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"/>
    </mc:Choice>
  </mc:AlternateContent>
  <xr:revisionPtr revIDLastSave="0" documentId="13_ncr:1_{79364130-68A9-47CD-8E91-98E2C7C3CE83}" xr6:coauthVersionLast="47" xr6:coauthVersionMax="47" xr10:uidLastSave="{00000000-0000-0000-0000-000000000000}"/>
  <workbookProtection workbookAlgorithmName="SHA-512" workbookHashValue="Ep8iad94uxD7McTJLTKEPA6xyaXhkdJXWaym/6ZqvrDOHAkV1kRoCFfgLuJHaOVVeq4XC6kTe+XRzKsBEmLWXA==" workbookSaltValue="mqaGZHgxAuMlWXcncuCt/g==" workbookSpinCount="100000" lockStructure="1"/>
  <bookViews>
    <workbookView showHorizontalScroll="0" showVerticalScroll="0" xWindow="28755" yWindow="765" windowWidth="23595" windowHeight="15075" tabRatio="770" xr2:uid="{00000000-000D-0000-FFFF-FFFF00000000}"/>
  </bookViews>
  <sheets>
    <sheet name="코스닥액티브" sheetId="111" r:id="rId1"/>
    <sheet name="반도체" sheetId="102" r:id="rId2"/>
    <sheet name="수급, 배당성장" sheetId="95" r:id="rId3"/>
    <sheet name="신재생, 2차전지" sheetId="88" r:id="rId4"/>
    <sheet name="이노, 소비, AI인프라" sheetId="81" r:id="rId5"/>
    <sheet name="코스피, 조선, 테크" sheetId="67" r:id="rId6"/>
    <sheet name="수출, 로봇, 컬쳐" sheetId="60" r:id="rId7"/>
    <sheet name="밸류업, 제조업, 바이오" sheetId="53" r:id="rId8"/>
    <sheet name="바이오" sheetId="38" r:id="rId9"/>
    <sheet name="유니버스" sheetId="109" state="hidden" r:id="rId10"/>
    <sheet name="코엑트 코스닥액티브" sheetId="112" state="hidden" r:id="rId11"/>
    <sheet name="코엑트 코스닥액티브(과거)" sheetId="113" state="hidden" r:id="rId12"/>
    <sheet name="타임 코스닥액티브" sheetId="114" state="hidden" r:id="rId13"/>
    <sheet name="타임코스닥액티브(과거)" sheetId="115" state="hidden" r:id="rId14"/>
    <sheet name="플러스코스닥액티브" sheetId="116" state="hidden" r:id="rId15"/>
    <sheet name="플러스코스닥액티브(과거)" sheetId="117" state="hidden" r:id="rId16"/>
    <sheet name="UNICORN SK하이닉스밸류체인액티브" sheetId="103" state="hidden" r:id="rId17"/>
    <sheet name="UNICORN SK하이닉스밸류체인액티브(과거)" sheetId="104" state="hidden" r:id="rId18"/>
    <sheet name="WON 반도체밸류체인액티브" sheetId="105" state="hidden" r:id="rId19"/>
    <sheet name="WON 반도체밸류체인액티브(과거)" sheetId="106" state="hidden" r:id="rId20"/>
    <sheet name="RISE 비메모리반도체액티브" sheetId="107" state="hidden" r:id="rId21"/>
    <sheet name="RISE 비메모리반도체액티브(과거)" sheetId="108" state="hidden" r:id="rId22"/>
    <sheet name="SOL 코리아메가테크액티브" sheetId="96" state="hidden" r:id="rId23"/>
    <sheet name="SOL 코리아메가테크액티브(과거)" sheetId="97" state="hidden" r:id="rId24"/>
    <sheet name="KoAct 배당성장액티브" sheetId="98" state="hidden" r:id="rId25"/>
    <sheet name="KoAct 배당성장액티브(과거)" sheetId="99" state="hidden" r:id="rId26"/>
    <sheet name="TIMEFOLIO Korea플러스배당액티브" sheetId="100" state="hidden" r:id="rId27"/>
    <sheet name="TIMEFOLIO Korea플러스배당액티브(과거)" sheetId="101" state="hidden" r:id="rId28"/>
    <sheet name="KODEX 신재생에너지액티브" sheetId="89" state="hidden" r:id="rId29"/>
    <sheet name="KODEX 신재생에너지액티브(과거)" sheetId="90" state="hidden" r:id="rId30"/>
    <sheet name="TIMEFOLIO K신재생에너지액티브" sheetId="91" state="hidden" r:id="rId31"/>
    <sheet name="TIMEFOLIO K신재생에너지액티브(과거)" sheetId="92" state="hidden" r:id="rId32"/>
    <sheet name="RISE 2차전지액티브" sheetId="93" state="hidden" r:id="rId33"/>
    <sheet name="RISE 2차전지액티브(과거)" sheetId="94" state="hidden" r:id="rId34"/>
    <sheet name="TIMEFOLIO K이노베이션액티브" sheetId="82" state="hidden" r:id="rId35"/>
    <sheet name="TIMEFOLIO K이노베이션액티브(과거)" sheetId="83" state="hidden" r:id="rId36"/>
    <sheet name="VITA MZ소비액티브" sheetId="84" state="hidden" r:id="rId37"/>
    <sheet name="VITA MZ소비액티브(과거)" sheetId="85" state="hidden" r:id="rId38"/>
    <sheet name="KoAct AI인프라액티브" sheetId="86" state="hidden" r:id="rId39"/>
    <sheet name="KoAct AI인프라액티브(과거)" sheetId="87" state="hidden" r:id="rId40"/>
    <sheet name="TIMEFOLIO 코스피액티브" sheetId="68" state="hidden" r:id="rId41"/>
    <sheet name="TIMEFOLIO 코스피액티브(과거)" sheetId="69" state="hidden" r:id="rId42"/>
    <sheet name="KODEX 친환경조선해운액티브" sheetId="70" state="hidden" r:id="rId43"/>
    <sheet name="KODEX 친환경조선해운액티브(과거)" sheetId="71" state="hidden" r:id="rId44"/>
    <sheet name="TIGER 코리아테크액티브" sheetId="72" state="hidden" r:id="rId45"/>
    <sheet name="TIGER 코리아테크액티브(과거)" sheetId="73" state="hidden" r:id="rId46"/>
    <sheet name="KoAct K수출핵심기업TOP30액티브" sheetId="61" state="hidden" r:id="rId47"/>
    <sheet name="KoAct K수출핵심기업TOP30액티브(과거)" sheetId="62" state="hidden" r:id="rId48"/>
    <sheet name="KODEX 로봇액티브" sheetId="63" state="hidden" r:id="rId49"/>
    <sheet name="KODEX 로봇액티브(과거)" sheetId="64" state="hidden" r:id="rId50"/>
    <sheet name="TIMEFOLIO K컬처액티브" sheetId="65" state="hidden" r:id="rId51"/>
    <sheet name="TIMEFOLIO K컬처액티브(과거)" sheetId="66" state="hidden" r:id="rId52"/>
    <sheet name="TIMEFOLIO 코리아밸류업액티브" sheetId="54" state="hidden" r:id="rId53"/>
    <sheet name="TIMEFOLIO 코리아밸류업액티브(과거)" sheetId="55" state="hidden" r:id="rId54"/>
    <sheet name="PLUS K제조업핵심기업액티브" sheetId="56" state="hidden" r:id="rId55"/>
    <sheet name="PLUS K제조업핵심기업액티브(과거)" sheetId="57" state="hidden" r:id="rId56"/>
    <sheet name="타이커 기술이전" sheetId="58" state="hidden" r:id="rId57"/>
    <sheet name="타이커 기술이전(과거)" sheetId="59" state="hidden" r:id="rId58"/>
    <sheet name="TIMEFOLIO K바이오액티브" sheetId="27" state="hidden" r:id="rId59"/>
    <sheet name="TIMEFOLIO K바이오액티브(과거)" sheetId="31" state="hidden" r:id="rId60"/>
    <sheet name="KoAct 바이오헬스케어액티브" sheetId="32" state="hidden" r:id="rId61"/>
    <sheet name="KoAct 바이오헬스케어액티브(과거)" sheetId="33" state="hidden" r:id="rId62"/>
    <sheet name="RISE 바이오TOP10액티브" sheetId="34" state="hidden" r:id="rId63"/>
    <sheet name="RISE 바이오TOP10액티브(과거)" sheetId="35" state="hidden" r:id="rId64"/>
  </sheets>
  <externalReferences>
    <externalReference r:id="rId65"/>
    <externalReference r:id="rId66"/>
    <externalReference r:id="rId67"/>
    <externalReference r:id="rId68"/>
  </externalReferences>
  <definedNames>
    <definedName name="_xlnm._FilterDatabase" localSheetId="38" hidden="1">'KoAct AI인프라액티브'!$A$10:$G$10</definedName>
    <definedName name="_xlnm._FilterDatabase" localSheetId="46" hidden="1">'KoAct K수출핵심기업TOP30액티브'!$A$10:$G$10</definedName>
    <definedName name="_xlnm._FilterDatabase" localSheetId="60" hidden="1">'KoAct 바이오헬스케어액티브'!$A$10:$G$10</definedName>
    <definedName name="_xlnm._FilterDatabase" localSheetId="24" hidden="1">'KoAct 배당성장액티브'!$A$10:$G$10</definedName>
    <definedName name="_xlnm._FilterDatabase" localSheetId="48" hidden="1">'KODEX 로봇액티브'!$A$10:$G$10</definedName>
    <definedName name="_xlnm._FilterDatabase" localSheetId="28" hidden="1">'KODEX 신재생에너지액티브'!$A$10:$G$10</definedName>
    <definedName name="_xlnm._FilterDatabase" localSheetId="42" hidden="1">'KODEX 친환경조선해운액티브'!$A$10:$G$10</definedName>
    <definedName name="_xlnm._FilterDatabase" localSheetId="54" hidden="1">'PLUS K제조업핵심기업액티브'!$A$10:$G$10</definedName>
    <definedName name="_xlnm._FilterDatabase" localSheetId="32" hidden="1">'RISE 2차전지액티브'!$A$10:$G$10</definedName>
    <definedName name="_xlnm._FilterDatabase" localSheetId="62" hidden="1">'RISE 바이오TOP10액티브'!$A$10:$G$10</definedName>
    <definedName name="_xlnm._FilterDatabase" localSheetId="20" hidden="1">'RISE 비메모리반도체액티브'!$A$10:$G$10</definedName>
    <definedName name="_xlnm._FilterDatabase" localSheetId="22" hidden="1">'SOL 코리아메가테크액티브'!$A$10:$G$10</definedName>
    <definedName name="_xlnm._FilterDatabase" localSheetId="44" hidden="1">'TIGER 코리아테크액티브'!$A$10:$G$10</definedName>
    <definedName name="_xlnm._FilterDatabase" localSheetId="26" hidden="1">'TIMEFOLIO Korea플러스배당액티브'!$A$10:$G$10</definedName>
    <definedName name="_xlnm._FilterDatabase" localSheetId="58" hidden="1">'TIMEFOLIO K바이오액티브'!$A$10:$G$10</definedName>
    <definedName name="_xlnm._FilterDatabase" localSheetId="30" hidden="1">'TIMEFOLIO K신재생에너지액티브'!$A$10:$G$10</definedName>
    <definedName name="_xlnm._FilterDatabase" localSheetId="34" hidden="1">'TIMEFOLIO K이노베이션액티브'!$A$10:$G$10</definedName>
    <definedName name="_xlnm._FilterDatabase" localSheetId="50" hidden="1">'TIMEFOLIO K컬처액티브'!$A$10:$G$10</definedName>
    <definedName name="_xlnm._FilterDatabase" localSheetId="52" hidden="1">'TIMEFOLIO 코리아밸류업액티브'!$A$10:$G$10</definedName>
    <definedName name="_xlnm._FilterDatabase" localSheetId="40" hidden="1">'TIMEFOLIO 코스피액티브'!$A$10:$G$10</definedName>
    <definedName name="_xlnm._FilterDatabase" localSheetId="16" hidden="1">'UNICORN SK하이닉스밸류체인액티브'!$A$10:$G$10</definedName>
    <definedName name="_xlnm._FilterDatabase" localSheetId="36" hidden="1">'VITA MZ소비액티브'!$A$10:$G$10</definedName>
    <definedName name="_xlnm._FilterDatabase" localSheetId="18" hidden="1">'WON 반도체밸류체인액티브'!$A$10:$G$10</definedName>
    <definedName name="_xlnm._FilterDatabase" localSheetId="8" hidden="1">바이오!$B$4:$R$4</definedName>
    <definedName name="_xlnm._FilterDatabase" localSheetId="1" hidden="1">반도체!$B$4:$R$4</definedName>
    <definedName name="_xlnm._FilterDatabase" localSheetId="7" hidden="1">'밸류업, 제조업, 바이오'!$B$4:$R$4</definedName>
    <definedName name="_xlnm._FilterDatabase" localSheetId="2" hidden="1">'수급, 배당성장'!$B$4:$R$4</definedName>
    <definedName name="_xlnm._FilterDatabase" localSheetId="6" hidden="1">'수출, 로봇, 컬쳐'!$B$4:$R$4</definedName>
    <definedName name="_xlnm._FilterDatabase" localSheetId="3" hidden="1">'신재생, 2차전지'!$B$4:$R$4</definedName>
    <definedName name="_xlnm._FilterDatabase" localSheetId="9" hidden="1">유니버스!$A$13:$I$2473</definedName>
    <definedName name="_xlnm._FilterDatabase" localSheetId="4" hidden="1">'이노, 소비, AI인프라'!$B$4:$R$4</definedName>
    <definedName name="_xlnm._FilterDatabase" localSheetId="0" hidden="1">코스닥액티브!$B$4:$R$4</definedName>
    <definedName name="_xlnm._FilterDatabase" localSheetId="5" hidden="1">'코스피, 조선, 테크'!$B$4:$R$4</definedName>
    <definedName name="_xlnm._FilterDatabase" localSheetId="10" hidden="1">'코엑트 코스닥액티브'!$A$10:$G$10</definedName>
    <definedName name="_xlnm._FilterDatabase" localSheetId="56" hidden="1">'타이커 기술이전'!$A$10:$G$10</definedName>
    <definedName name="_xlnm._FilterDatabase" localSheetId="12" hidden="1">'타임 코스닥액티브'!$A$10:$G$10</definedName>
    <definedName name="_xlnm._FilterDatabase" localSheetId="14" hidden="1">플러스코스닥액티브!$A$10:$G$10</definedName>
    <definedName name="bench2_list">[1]combo_lists!$C$1:$C$5</definedName>
    <definedName name="bench3_list">[1]combo_lists!$D$1:$D$2</definedName>
    <definedName name="benchmark_list">[1]combo_lists!$A$1:$A$2</definedName>
    <definedName name="Bm_Cushion">OFFSET([2]Work!$S$12,0,0,COUNT([2]Work!$S$12:$S$65536),1)</definedName>
    <definedName name="Bm_Floor">OFFSET([2]Work!$R$13,0,0,COUNT([2]Work!$R$13:$R$65536),1)</definedName>
    <definedName name="Bm_NAV">OFFSET([2]Work!$O$12,0,0,COUNT([2]Work!$O$12:$O$65536),1)</definedName>
    <definedName name="BM_Return">OFFSET([2]Work!$P$13,0,0,COUNT([2]Work!$P$13:$P$65536),1)</definedName>
    <definedName name="chart_name">'[1]Valuation Charts'!$B$29</definedName>
    <definedName name="chart_type">[1]lists!$A$1:$A$9</definedName>
    <definedName name="checklist">'[1]Valuation Charts'!$B$2:$B$28</definedName>
    <definedName name="chk_400">'[1]Valuation Charts'!$B$13</definedName>
    <definedName name="chk_400g">'[1]Valuation Charts'!$B$11</definedName>
    <definedName name="chk_400v">'[1]Valuation Charts'!$B$12</definedName>
    <definedName name="chk_500">'[1]Valuation Charts'!$B$16</definedName>
    <definedName name="chk_500g">'[1]Valuation Charts'!$B$14</definedName>
    <definedName name="chk_500v">'[1]Valuation Charts'!$B$15</definedName>
    <definedName name="chk_600">'[1]Valuation Charts'!$B$19</definedName>
    <definedName name="chk_600g">'[1]Valuation Charts'!$B$17</definedName>
    <definedName name="chk_600v">'[1]Valuation Charts'!$B$18</definedName>
    <definedName name="chk_r1000">'[1]Valuation Charts'!$B$2</definedName>
    <definedName name="chk_r1000g">'[1]Valuation Charts'!$B$3</definedName>
    <definedName name="chk_r1000v">'[1]Valuation Charts'!$B$4</definedName>
    <definedName name="chk_r2000">'[1]Valuation Charts'!$B$5</definedName>
    <definedName name="chk_r2000g">'[1]Valuation Charts'!$B$6</definedName>
    <definedName name="chk_r2000v">'[1]Valuation Charts'!$B$7</definedName>
    <definedName name="chk_rMid">'[1]Valuation Charts'!$B$8</definedName>
    <definedName name="chk_rMidG">'[1]Valuation Charts'!$B$9</definedName>
    <definedName name="chk_rMidV">'[1]Valuation Charts'!$B$10</definedName>
    <definedName name="CMA">#REF!</definedName>
    <definedName name="CMAG">#REF!</definedName>
    <definedName name="CMQ">#REF!</definedName>
    <definedName name="CMQG">#REF!</definedName>
    <definedName name="CNA">#REF!</definedName>
    <definedName name="CNQ">#REF!</definedName>
    <definedName name="Date">OFFSET([2]Work!$B$12,0,0,COUNT([2]Work!$B$12:$B$65536),1)</definedName>
    <definedName name="date_from">'[1]Valuation Charts'!$A$30</definedName>
    <definedName name="date_to">'[1]Valuation Charts'!$A$31</definedName>
    <definedName name="dates">[1]lists!$C$1:$C$92</definedName>
    <definedName name="full_date">[1]combo_lists!$B$3</definedName>
    <definedName name="Fund_Cushion">OFFSET([2]Work!$J$12,0,0,COUNT([2]Work!$J$12:$J$65536),1)</definedName>
    <definedName name="Fund_Floor">OFFSET([2]Work!$I$12,0,0,COUNT([2]Work!$I$12:$I$65536),1)</definedName>
    <definedName name="Fund_NAV">OFFSET([2]Work!$E$12,0,0,COUNT([2]Work!$E$12:$E$65536),1)</definedName>
    <definedName name="Fund_Return">OFFSET([2]Work!$F$13,0,0,COUNT([2]Work!$F$13:$F$65536),1)</definedName>
    <definedName name="GS건설_순매수대금">OFFSET([3]data!$AA$15,COUNT([3]data!$AA$15:$AA$65536)-90,0,93,1)</definedName>
    <definedName name="GS건설_외국인보유비중">OFFSET([3]data!$Z$15,COUNT([3]data!$Z$15:$Z$65536)-90,0,93,1)</definedName>
    <definedName name="index">'[1]Monthly Return Charts'!$A$1</definedName>
    <definedName name="index_type">'[1]Valuation Charts'!$A$28</definedName>
    <definedName name="indices">[1]lists!$D$1:$D$18</definedName>
    <definedName name="indices_list">[1]lists!$E$1:$E$2</definedName>
    <definedName name="Kospi_1000">OFFSET('[2]BM Data'!$O$16,0,0,COUNT('[2]BM Data'!$O$16:$O$65536),1)</definedName>
    <definedName name="KT_순매수대금">OFFSET([3]data!$AK$15,COUNT([3]data!$AK$15:$AK$65536)-90,0,93,1)</definedName>
    <definedName name="KT_외국인보유비중">OFFSET([3]data!$AJ$15,COUNT([3]data!$AJ$15:$AJ$65536)-90,0,93,1)</definedName>
    <definedName name="LG디스플레이_순매수대금">OFFSET([3]data!$I$15,COUNT([3]data!$I$15:$I$65536)-90,0,93,1)</definedName>
    <definedName name="LG디스플레이_외국인보유비중">OFFSET([3]data!$H$15,COUNT([3]data!$H$15:$H$65536)-90,0,93,1)</definedName>
    <definedName name="LG전자_순매수대금">OFFSET([3]data!$G$15,COUNT([3]data!$G$15:$G$65536)-90,0,93,1)</definedName>
    <definedName name="LG전자_외국인보유비중">OFFSET([3]data!$F$15,COUNT([3]data!$F$15:$F$65536)-90,0,93,1)</definedName>
    <definedName name="LG화학_순매수대금">OFFSET([3]data!$AM$15,COUNT([3]data!$AM$15:$AM$65536)-90,0,93,1)</definedName>
    <definedName name="LG화학_외국인보유비중">OFFSET([3]data!$AL$15,COUNT([3]data!$AL$15:$AL$65536)-90,0,93,1)</definedName>
    <definedName name="LS_순매수대금">OFFSET([3]data!$BE$15,COUNT([3]data!$BE$15:$BE$65536)-90,0,93,1)</definedName>
    <definedName name="LS_외국인보유비중">OFFSET([3]data!$BD$15,COUNT([3]data!$BD$15:$BD$65536)-90,0,93,1)</definedName>
    <definedName name="NHN_순매수대금">OFFSET([3]data!$AW$15,COUNT([3]data!$AW$15:$AW$65536)-90,0,93,1)</definedName>
    <definedName name="NHN_외국인보유비중">OFFSET([3]data!$AV$15,COUNT([3]data!$AV$15:$AV$65536)-90,0,93,1)</definedName>
    <definedName name="POSCO_순매수대금">OFFSET([3]data!$W$15,COUNT([3]data!$W$15:$W$65536)-90,0,93,1)</definedName>
    <definedName name="POSCO_외국인보유비중">OFFSET([3]data!$V$15,COUNT([3]data!$V$15:$V$65536)-90,0,93,1)</definedName>
    <definedName name="PR">#REF!</definedName>
    <definedName name="_xlnm.Print_Area">#REF!</definedName>
    <definedName name="q_period">[1]combo_lists!$B$1</definedName>
    <definedName name="qtr_period">[1]combo_lists!$B$2</definedName>
    <definedName name="ret_from">'[1]Monthly Return Charts'!$A$2</definedName>
    <definedName name="ret_to">'[1]Monthly Return Charts'!$A$3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ussell_credit_ratings">'[1]Credit Ratings Data'!$A$19:$J$39</definedName>
    <definedName name="russell_div">'[1]Dividend Return Data'!$B$7:$E$10</definedName>
    <definedName name="russell_ew_perf">'[1]Earnings and Dividends Data'!$A$12:$D$17</definedName>
    <definedName name="russell_list">[1]lists!$F$1:$F$9</definedName>
    <definedName name="russell_num_of_companies">'[1]Earnings and Dividends Data'!$A$18:$D$22</definedName>
    <definedName name="russell_range">[1]Returns!$C$11:$K$28</definedName>
    <definedName name="russell_returns">'[1]Return Data'!$A$10:$I$27</definedName>
    <definedName name="russell_size_con">'[1]Size Concentration Data'!$A$10:$M$27</definedName>
    <definedName name="russell_size_dist">'[1]Size Distribution Data'!$A$10:$K$27</definedName>
    <definedName name="russell_style">'[1]Growth Value Data'!$B$6:$D$8</definedName>
    <definedName name="russell_valuations">'[1]Valuation Data'!$A$10:$J$27</definedName>
    <definedName name="russell_weights">'[1]Weight Data'!$A$11:$M$29</definedName>
    <definedName name="Russell1000_Returns">'[1]Sector Return Data'!$A$31:$E$42</definedName>
    <definedName name="Russell1000_Valuations">'[1]Sector Valuation Data'!$A$31:$J$42</definedName>
    <definedName name="Russell2000_Returns">'[1]Sector Return Data'!$A$43:$E$54</definedName>
    <definedName name="Russell2000_Valuations">'[1]Sector Valuation Data'!$A$43:$J$54</definedName>
    <definedName name="S_Oil_순매수대금">OFFSET([3]data!$AQ$15,COUNT([3]data!$AQ$15:$AQ$65536)-90,0,93,1)</definedName>
    <definedName name="S_Oil_외국인보유비중">OFFSET([3]data!$AP$15,COUNT([3]data!$AP$15:$AP$65536)-90,0,93,1)</definedName>
    <definedName name="SK에너지_순매수대금">OFFSET([3]data!$AO$15,COUNT([3]data!$AO$15:$AO$65536)-90,0,93,1)</definedName>
    <definedName name="SK에너지_외국인보유비중">OFFSET([3]data!$AN$15,COUNT([3]data!$AN$15:$AN$65536)-90,0,93,1)</definedName>
    <definedName name="SK텔레콤_순매수대금">OFFSET([3]data!$AI$15,COUNT([3]data!$AI$15:$AI$65536)-90,0,93,1)</definedName>
    <definedName name="SK텔레콤_외국인보유비중">OFFSET([3]data!$AH$15,COUNT([3]data!$AH$15:$AH$65536)-90,0,93,1)</definedName>
    <definedName name="sp_credit_ratings">'[1]Credit Ratings Data'!$A$1:$J$18</definedName>
    <definedName name="sp_div">'[1]Dividend Return Data'!$B$2:$E$5</definedName>
    <definedName name="sp_ew_perf">'[1]Earnings and Dividends Data'!$A$1:$D$6</definedName>
    <definedName name="sp_list">[1]lists!$G$1:$G$9</definedName>
    <definedName name="sp_num_of_companies">'[1]Earnings and Dividends Data'!$A$7:$D$11</definedName>
    <definedName name="sp_range">[1]Returns!$C$11:$J$19</definedName>
    <definedName name="sp_returns">'[1]Return Data'!$A$1:$I$9</definedName>
    <definedName name="sp_size_con">'[1]Size Concentration Data'!$A$1:$M$9</definedName>
    <definedName name="sp_size_dist">'[1]Size Distribution Data'!$A$1:$K$9</definedName>
    <definedName name="sp_style">'[1]Growth Value Data'!$B$2:$D$4</definedName>
    <definedName name="sp_valuations">'[1]Valuation Data'!$A$1:$J$9</definedName>
    <definedName name="sp_weights">'[1]Weight Data'!$A$1:$K$10</definedName>
    <definedName name="SP400_Returns">'[1]Sector Return Data'!$A$21:$E$30</definedName>
    <definedName name="SP400_Valuations">'[1]Sector Valuation Data'!$A$21:$J$30</definedName>
    <definedName name="SP500_Returns">'[1]Sector Return Data'!$A$1:$E$10</definedName>
    <definedName name="SP500_Valuations">'[1]Sector Valuation Data'!$A$1:$J$10</definedName>
    <definedName name="SP600_returns">'[1]Sector Return Data'!$A$11:$E$20</definedName>
    <definedName name="SP600_Valuations">'[1]Sector Valuation Data'!$A$11:$J$20</definedName>
    <definedName name="TEST">OFFSET([4]Sheet2!$C$6,0,0,COUNTA([4]Sheet2!$C$6:$C$619),1)</definedName>
    <definedName name="TEST_LABLE">OFFSET([4]Sheet2!$B$6,0,0,COUNTA([4]Sheet2!$B$6:$B$619),1)</definedName>
    <definedName name="국가리스트">#REF!</definedName>
    <definedName name="국민은행_순매수대금">OFFSET([3]data!$K$15,COUNT([3]data!$K$15:$K$65536)-90,0,93,1)</definedName>
    <definedName name="국민은행_외국인보유비중">OFFSET([3]data!$J$15,COUNT([3]data!$J$15:$J$65536)-90,0,93,1)</definedName>
    <definedName name="기아차_순매수대금">OFFSET([3]data!$U$15,COUNT([3]data!$U$15:$U$65536)-90,0,93,1)</definedName>
    <definedName name="기아차_외국인보유비중">OFFSET([3]data!$T$15,COUNT([3]data!$T$15:$T$65536)-90,0,93,1)</definedName>
    <definedName name="다음_순매수대금">OFFSET([3]data!$AY$15,COUNT([3]data!$AY$15:$AY$65536)-90,0,93,1)</definedName>
    <definedName name="다음_외국인보유비중">OFFSET([3]data!$AX$15,COUNT([3]data!$AX$15:$AX$65536)-90,0,93,1)</definedName>
    <definedName name="대한항공_순매수대금">OFFSET([3]data!$AC$15,COUNT([3]data!$AC$15:$AC$65536)-90,0,93,1)</definedName>
    <definedName name="대한항공_외국인보유비중">OFFSET([3]data!$AB$15,COUNT([3]data!$AB$15:$AB$65536)-90,0,93,1)</definedName>
    <definedName name="대한해운_순매수대금">OFFSET([3]data!$AE$15,COUNT([3]data!$AE$15:$AE$65536)-90,0,93,1)</definedName>
    <definedName name="대한해운_외국인보유비중">OFFSET([3]data!$AD$15,COUNT([3]data!$AD$15:$AD$65536)-90,0,93,1)</definedName>
    <definedName name="두산인프라코어_순매수대금">OFFSET([3]data!$BC$15,COUNT([3]data!$BC$15:$BC$65536)-90,0,93,1)</definedName>
    <definedName name="두산인프라코어_외국인보유비중">OFFSET([3]data!$BB$15,COUNT([3]data!$BB$15:$BB$65536)-90,0,93,1)</definedName>
    <definedName name="두산중공업_순매수대금">OFFSET([3]data!$BA$15,COUNT([3]data!$BA$15:$BA$65536)-90,0,93,1)</definedName>
    <definedName name="두산중공업_외국인보유비중">OFFSET([3]data!$AZ$15,COUNT([3]data!$AZ$15:$AZ$65536)-90,0,93,1)</definedName>
    <definedName name="롯데쇼핑_순매수대금">OFFSET([3]data!$AU$15,COUNT([3]data!$AU$15:$AU$65536)-90,0,93,1)</definedName>
    <definedName name="롯데쇼핑_외국인보유비중">OFFSET([3]data!$AT$15,COUNT([3]data!$AT$15:$AT$65536)-90,0,93,1)</definedName>
    <definedName name="미래에셋증권_순매수대금">OFFSET([3]data!$Q$15,COUNT([3]data!$Q$15:$Q$65536)-90,0,93,1)</definedName>
    <definedName name="미래에셋증권_외국인보유비중">OFFSET([3]data!$P$15,COUNT([3]data!$P$15:$P$65536)-90,0,93,1)</definedName>
    <definedName name="삼성전자_순매수대금">OFFSET([3]data!$C$15,COUNT([3]data!$C$15:$C$65536)-90,0,93,1)</definedName>
    <definedName name="삼성전자_외국인보유비중">OFFSET([3]data!$B$15,COUNT([3]data!$B$15:$B$65536)-90,0,93,1)</definedName>
    <definedName name="삼성증권_순매수대금">OFFSET([3]data!$O$15,COUNT([3]data!$O$15:$O$65536)-90,0,93,1)</definedName>
    <definedName name="삼성증권_외국인보유비중">OFFSET([3]data!$N$15,COUNT([3]data!$N$15:$N$65536)-90,0,93,1)</definedName>
    <definedName name="신세계_순매수대금">OFFSET([3]data!$AS$15,COUNT([3]data!$AS$15:$AS$65536)-90,0,93,1)</definedName>
    <definedName name="신세계_외국인보유비중">OFFSET([3]data!$AR$15,COUNT([3]data!$AR$15:$AR$65536)-90,0,93,1)</definedName>
    <definedName name="신한지주_순매수대금">OFFSET([3]data!$M$15,COUNT([3]data!$M$15:$M$65536)-90,0,93,1)</definedName>
    <definedName name="신한지주_외국인보유비중">OFFSET([3]data!$L$15,COUNT([3]data!$L$15:$L$65536)-90,0,93,1)</definedName>
    <definedName name="유한양행_순매수대금">OFFSET([3]data!$BI$15,COUNT([3]data!$BI$15:$BI$65536)-90,0,93,1)</definedName>
    <definedName name="유한양행_외국인보유비중">OFFSET([3]data!$BH$15,COUNT([3]data!$BH$15:$BH$65536)-90,0,93,1)</definedName>
    <definedName name="하이닉스_순매수대금">OFFSET([3]data!$E$15,COUNT([3]data!$E$15:$E$65536)-90,0,93,1)</definedName>
    <definedName name="하이닉스_외국인보유비중">OFFSET([3]data!$D$15,COUNT([3]data!$D$15:$D$65536)-90,0,93,1)</definedName>
    <definedName name="한미약품_순매수대금">OFFSET([3]data!$BG$15,COUNT([3]data!$BG$15:$BG$65536)-90,0,93,1)</definedName>
    <definedName name="한미약품_외국인보유비중">OFFSET([3]data!$BF$15,COUNT([3]data!$BF$15:$BF$65536)-90,0,93,1)</definedName>
    <definedName name="한진해운_순매수대금">OFFSET([3]data!$AG$15,COUNT([3]data!$AG$15:$AG$65536)-90,0,93,1)</definedName>
    <definedName name="한진해운_외국인보유비중">OFFSET([3]data!$AF$15,COUNT([3]data!$AF$15:$AF$65536)-90,0,93,1)</definedName>
    <definedName name="현대건설_순매수대금">OFFSET([3]data!$Y$15,COUNT([3]data!$Y$15:$Y$65536)-90,0,93,1)</definedName>
    <definedName name="현대건설_외국인보유비중">OFFSET([3]data!$X$15,COUNT([3]data!$X$15:$X$65536)-90,0,93,1)</definedName>
    <definedName name="현대차_순매수대금">OFFSET([3]data!$S$15,COUNT([3]data!$S$15:$S$65536)-90,0,93,1)</definedName>
    <definedName name="현대차_외국인보유비중">OFFSET([3]data!$R$15,COUNT([3]data!$R$15:$R$65536)-90,0,93,1)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53" l="1"/>
  <c r="G44" i="53" s="1"/>
  <c r="J44" i="53"/>
  <c r="H45" i="53"/>
  <c r="G45" i="53" s="1"/>
  <c r="I45" i="53"/>
  <c r="K45" i="53" s="1"/>
  <c r="J45" i="53"/>
  <c r="H46" i="53"/>
  <c r="G46" i="53" s="1"/>
  <c r="J46" i="53"/>
  <c r="H47" i="53"/>
  <c r="G47" i="53" s="1"/>
  <c r="I47" i="53"/>
  <c r="K47" i="53" s="1"/>
  <c r="J47" i="53"/>
  <c r="L47" i="53" s="1"/>
  <c r="M36" i="81"/>
  <c r="N36" i="81"/>
  <c r="O36" i="81"/>
  <c r="Q36" i="81" s="1"/>
  <c r="P36" i="81"/>
  <c r="N37" i="81"/>
  <c r="M37" i="81" s="1"/>
  <c r="O37" i="81"/>
  <c r="M38" i="81"/>
  <c r="N38" i="81"/>
  <c r="O38" i="81"/>
  <c r="Q38" i="81" s="1"/>
  <c r="P38" i="81"/>
  <c r="H81" i="95"/>
  <c r="G81" i="95" s="1"/>
  <c r="I81" i="95"/>
  <c r="K81" i="95" s="1"/>
  <c r="J81" i="95"/>
  <c r="H82" i="95"/>
  <c r="G82" i="95" s="1"/>
  <c r="J82" i="95"/>
  <c r="H83" i="95"/>
  <c r="G83" i="95" s="1"/>
  <c r="J83" i="95"/>
  <c r="N74" i="111"/>
  <c r="M74" i="111" s="1"/>
  <c r="O74" i="111"/>
  <c r="Q74" i="111" s="1"/>
  <c r="P74" i="111"/>
  <c r="N69" i="111"/>
  <c r="M69" i="111" s="1"/>
  <c r="N70" i="111"/>
  <c r="M70" i="111" s="1"/>
  <c r="O70" i="111"/>
  <c r="P70" i="111"/>
  <c r="R70" i="111" s="1"/>
  <c r="N71" i="111"/>
  <c r="M71" i="111" s="1"/>
  <c r="N72" i="111"/>
  <c r="M72" i="111" s="1"/>
  <c r="O72" i="111"/>
  <c r="Q72" i="111" s="1"/>
  <c r="P72" i="111"/>
  <c r="N73" i="111"/>
  <c r="M73" i="111" s="1"/>
  <c r="H69" i="111"/>
  <c r="G69" i="111" s="1"/>
  <c r="H70" i="111"/>
  <c r="I70" i="111" s="1"/>
  <c r="J70" i="111"/>
  <c r="I46" i="53" l="1"/>
  <c r="I44" i="53"/>
  <c r="L45" i="53"/>
  <c r="P37" i="81"/>
  <c r="Q37" i="81" s="1"/>
  <c r="R38" i="81"/>
  <c r="R36" i="81"/>
  <c r="I82" i="95"/>
  <c r="L81" i="95"/>
  <c r="I83" i="95"/>
  <c r="R74" i="111"/>
  <c r="R72" i="111"/>
  <c r="Q70" i="111"/>
  <c r="P73" i="111"/>
  <c r="P71" i="111"/>
  <c r="P69" i="111"/>
  <c r="O73" i="111"/>
  <c r="O71" i="111"/>
  <c r="O69" i="111"/>
  <c r="L70" i="111"/>
  <c r="K70" i="111"/>
  <c r="G70" i="111"/>
  <c r="J69" i="111"/>
  <c r="I69" i="111"/>
  <c r="K44" i="53" l="1"/>
  <c r="L44" i="53"/>
  <c r="K46" i="53"/>
  <c r="L46" i="53"/>
  <c r="R37" i="81"/>
  <c r="K83" i="95"/>
  <c r="L83" i="95"/>
  <c r="K82" i="95"/>
  <c r="L82" i="95"/>
  <c r="Q71" i="111"/>
  <c r="R71" i="111"/>
  <c r="Q73" i="111"/>
  <c r="R73" i="111"/>
  <c r="Q69" i="111"/>
  <c r="R69" i="111"/>
  <c r="K69" i="111"/>
  <c r="L69" i="111"/>
  <c r="B83" i="88" l="1"/>
  <c r="C83" i="88" s="1"/>
  <c r="N20" i="102"/>
  <c r="M20" i="102" s="1"/>
  <c r="N21" i="102"/>
  <c r="M21" i="102" s="1"/>
  <c r="N22" i="102"/>
  <c r="O22" i="102" s="1"/>
  <c r="H66" i="111"/>
  <c r="G66" i="111" s="1"/>
  <c r="H67" i="111"/>
  <c r="G67" i="111" s="1"/>
  <c r="H68" i="111"/>
  <c r="G68" i="111" s="1"/>
  <c r="D83" i="88" l="1"/>
  <c r="E83" i="88" s="1"/>
  <c r="A83" i="88"/>
  <c r="O21" i="102"/>
  <c r="P21" i="102"/>
  <c r="M22" i="102"/>
  <c r="P22" i="102"/>
  <c r="R22" i="102" s="1"/>
  <c r="P20" i="102"/>
  <c r="O20" i="102"/>
  <c r="J67" i="111"/>
  <c r="I67" i="111"/>
  <c r="J66" i="111"/>
  <c r="J68" i="111"/>
  <c r="I68" i="111"/>
  <c r="I66" i="111"/>
  <c r="F83" i="88" l="1"/>
  <c r="R21" i="102"/>
  <c r="Q21" i="102"/>
  <c r="Q20" i="102"/>
  <c r="R20" i="102"/>
  <c r="Q22" i="102"/>
  <c r="K68" i="111"/>
  <c r="L68" i="111"/>
  <c r="L67" i="111"/>
  <c r="K67" i="111"/>
  <c r="K66" i="111"/>
  <c r="L66" i="111"/>
  <c r="N28" i="38" l="1"/>
  <c r="O28" i="38" s="1"/>
  <c r="N29" i="38"/>
  <c r="O29" i="38" s="1"/>
  <c r="N30" i="38"/>
  <c r="O30" i="38" s="1"/>
  <c r="H30" i="38"/>
  <c r="I30" i="38" s="1"/>
  <c r="H31" i="38"/>
  <c r="G31" i="38" s="1"/>
  <c r="H32" i="38"/>
  <c r="I32" i="38" s="1"/>
  <c r="H33" i="38"/>
  <c r="G33" i="38" s="1"/>
  <c r="H38" i="60"/>
  <c r="G38" i="60" s="1"/>
  <c r="B31" i="67"/>
  <c r="C31" i="67" s="1"/>
  <c r="B32" i="67"/>
  <c r="A32" i="67" s="1"/>
  <c r="H27" i="67"/>
  <c r="G27" i="67" s="1"/>
  <c r="H28" i="67"/>
  <c r="G28" i="67" s="1"/>
  <c r="H29" i="67"/>
  <c r="G29" i="67" s="1"/>
  <c r="N20" i="88"/>
  <c r="O20" i="88" s="1"/>
  <c r="N21" i="88"/>
  <c r="M21" i="88" s="1"/>
  <c r="N22" i="88"/>
  <c r="O22" i="88" s="1"/>
  <c r="N35" i="95"/>
  <c r="O35" i="95" s="1"/>
  <c r="N36" i="95"/>
  <c r="M36" i="95" s="1"/>
  <c r="N37" i="95"/>
  <c r="O37" i="95" s="1"/>
  <c r="H77" i="95"/>
  <c r="G77" i="95" s="1"/>
  <c r="H78" i="95"/>
  <c r="G78" i="95" s="1"/>
  <c r="H79" i="95"/>
  <c r="G79" i="95" s="1"/>
  <c r="H80" i="95"/>
  <c r="G80" i="95" s="1"/>
  <c r="B16" i="102"/>
  <c r="A16" i="102" s="1"/>
  <c r="B17" i="102"/>
  <c r="A17" i="102" s="1"/>
  <c r="B18" i="102"/>
  <c r="A18" i="102" s="1"/>
  <c r="B19" i="102"/>
  <c r="A19" i="102" s="1"/>
  <c r="B20" i="102"/>
  <c r="A20" i="102" s="1"/>
  <c r="B21" i="102"/>
  <c r="A21" i="102" s="1"/>
  <c r="B22" i="102"/>
  <c r="A22" i="102" s="1"/>
  <c r="B23" i="102"/>
  <c r="A23" i="102" s="1"/>
  <c r="B24" i="102"/>
  <c r="A24" i="102" s="1"/>
  <c r="B25" i="102"/>
  <c r="A25" i="102" s="1"/>
  <c r="B26" i="102"/>
  <c r="A26" i="102" s="1"/>
  <c r="N64" i="111"/>
  <c r="M64" i="111" s="1"/>
  <c r="N65" i="111"/>
  <c r="M65" i="111" s="1"/>
  <c r="N66" i="111"/>
  <c r="P66" i="111" s="1"/>
  <c r="N67" i="111"/>
  <c r="M67" i="111" s="1"/>
  <c r="N68" i="111"/>
  <c r="M68" i="111" s="1"/>
  <c r="H64" i="111"/>
  <c r="G64" i="111" s="1"/>
  <c r="H65" i="111"/>
  <c r="G65" i="111" s="1"/>
  <c r="C26" i="102" l="1"/>
  <c r="D21" i="102"/>
  <c r="C25" i="102"/>
  <c r="D25" i="102"/>
  <c r="D16" i="102"/>
  <c r="J31" i="38"/>
  <c r="I31" i="38"/>
  <c r="J29" i="67"/>
  <c r="I29" i="67"/>
  <c r="J28" i="67"/>
  <c r="I28" i="67"/>
  <c r="J27" i="67"/>
  <c r="D32" i="67"/>
  <c r="I79" i="95"/>
  <c r="J78" i="95"/>
  <c r="J79" i="95"/>
  <c r="C21" i="102"/>
  <c r="C20" i="102"/>
  <c r="D18" i="102"/>
  <c r="D24" i="102"/>
  <c r="C24" i="102"/>
  <c r="D17" i="102"/>
  <c r="C17" i="102"/>
  <c r="O64" i="111"/>
  <c r="O68" i="111"/>
  <c r="O66" i="111"/>
  <c r="Q66" i="111" s="1"/>
  <c r="M66" i="111"/>
  <c r="P68" i="111"/>
  <c r="P64" i="111"/>
  <c r="I65" i="111"/>
  <c r="J65" i="111"/>
  <c r="I27" i="67"/>
  <c r="P22" i="88"/>
  <c r="R22" i="88" s="1"/>
  <c r="P20" i="88"/>
  <c r="Q20" i="88" s="1"/>
  <c r="P36" i="95"/>
  <c r="O36" i="95"/>
  <c r="I78" i="95"/>
  <c r="I80" i="95"/>
  <c r="J77" i="95"/>
  <c r="I77" i="95"/>
  <c r="C16" i="102"/>
  <c r="D19" i="102"/>
  <c r="C19" i="102"/>
  <c r="D22" i="102"/>
  <c r="D26" i="102"/>
  <c r="E26" i="102" s="1"/>
  <c r="C22" i="102"/>
  <c r="O65" i="111"/>
  <c r="P67" i="111"/>
  <c r="O67" i="111"/>
  <c r="G32" i="38"/>
  <c r="G30" i="38"/>
  <c r="J33" i="38"/>
  <c r="I33" i="38"/>
  <c r="M20" i="88"/>
  <c r="M22" i="88"/>
  <c r="P21" i="88"/>
  <c r="O21" i="88"/>
  <c r="J80" i="95"/>
  <c r="K80" i="95" s="1"/>
  <c r="C18" i="102"/>
  <c r="D23" i="102"/>
  <c r="C23" i="102"/>
  <c r="D20" i="102"/>
  <c r="P65" i="111"/>
  <c r="M28" i="38"/>
  <c r="M29" i="38"/>
  <c r="M30" i="38"/>
  <c r="P29" i="38"/>
  <c r="Q29" i="38" s="1"/>
  <c r="P30" i="38"/>
  <c r="Q30" i="38" s="1"/>
  <c r="P28" i="38"/>
  <c r="Q28" i="38" s="1"/>
  <c r="J32" i="38"/>
  <c r="K32" i="38" s="1"/>
  <c r="J30" i="38"/>
  <c r="L30" i="38" s="1"/>
  <c r="J38" i="60"/>
  <c r="I38" i="60"/>
  <c r="A31" i="67"/>
  <c r="C32" i="67"/>
  <c r="D31" i="67"/>
  <c r="F31" i="67" s="1"/>
  <c r="M35" i="95"/>
  <c r="M37" i="95"/>
  <c r="P35" i="95"/>
  <c r="R35" i="95" s="1"/>
  <c r="P37" i="95"/>
  <c r="R37" i="95" s="1"/>
  <c r="J64" i="111"/>
  <c r="I64" i="111"/>
  <c r="N57" i="111"/>
  <c r="O57" i="111" s="1"/>
  <c r="N58" i="111"/>
  <c r="M58" i="111" s="1"/>
  <c r="N59" i="111"/>
  <c r="O59" i="111" s="1"/>
  <c r="N60" i="111"/>
  <c r="M60" i="111" s="1"/>
  <c r="N61" i="111"/>
  <c r="O61" i="111" s="1"/>
  <c r="N62" i="111"/>
  <c r="M62" i="111" s="1"/>
  <c r="N63" i="111"/>
  <c r="O63" i="111" s="1"/>
  <c r="H58" i="111"/>
  <c r="I58" i="111" s="1"/>
  <c r="H59" i="111"/>
  <c r="G59" i="111" s="1"/>
  <c r="H60" i="111"/>
  <c r="G60" i="111" s="1"/>
  <c r="H61" i="111"/>
  <c r="G61" i="111" s="1"/>
  <c r="H62" i="111"/>
  <c r="I62" i="111" s="1"/>
  <c r="H63" i="111"/>
  <c r="G63" i="111" s="1"/>
  <c r="B85" i="111"/>
  <c r="C85" i="111" s="1"/>
  <c r="B86" i="111"/>
  <c r="A86" i="111" s="1"/>
  <c r="B87" i="111"/>
  <c r="A87" i="111" s="1"/>
  <c r="H27" i="102"/>
  <c r="G27" i="102" s="1"/>
  <c r="H22" i="102"/>
  <c r="G22" i="102" s="1"/>
  <c r="H23" i="102"/>
  <c r="I23" i="102" s="1"/>
  <c r="H24" i="102"/>
  <c r="G24" i="102" s="1"/>
  <c r="H25" i="102"/>
  <c r="I25" i="102" s="1"/>
  <c r="H26" i="102"/>
  <c r="G26" i="102" s="1"/>
  <c r="N26" i="95"/>
  <c r="O26" i="95" s="1"/>
  <c r="N27" i="95"/>
  <c r="O27" i="95" s="1"/>
  <c r="N28" i="95"/>
  <c r="O28" i="95" s="1"/>
  <c r="N29" i="95"/>
  <c r="O29" i="95" s="1"/>
  <c r="N30" i="95"/>
  <c r="O30" i="95" s="1"/>
  <c r="N31" i="95"/>
  <c r="O31" i="95" s="1"/>
  <c r="N32" i="95"/>
  <c r="O32" i="95" s="1"/>
  <c r="N33" i="95"/>
  <c r="P33" i="95" s="1"/>
  <c r="N34" i="95"/>
  <c r="O34" i="95" s="1"/>
  <c r="H71" i="95"/>
  <c r="G71" i="95" s="1"/>
  <c r="H72" i="95"/>
  <c r="G72" i="95" s="1"/>
  <c r="H73" i="95"/>
  <c r="G73" i="95" s="1"/>
  <c r="H74" i="95"/>
  <c r="G74" i="95" s="1"/>
  <c r="H75" i="95"/>
  <c r="G75" i="95" s="1"/>
  <c r="H76" i="95"/>
  <c r="G76" i="95" s="1"/>
  <c r="B68" i="88"/>
  <c r="D68" i="88" s="1"/>
  <c r="B69" i="88"/>
  <c r="A69" i="88" s="1"/>
  <c r="B70" i="88"/>
  <c r="D70" i="88" s="1"/>
  <c r="B71" i="88"/>
  <c r="A71" i="88" s="1"/>
  <c r="B72" i="88"/>
  <c r="D72" i="88" s="1"/>
  <c r="B73" i="88"/>
  <c r="A73" i="88" s="1"/>
  <c r="B74" i="88"/>
  <c r="D74" i="88" s="1"/>
  <c r="B75" i="88"/>
  <c r="A75" i="88" s="1"/>
  <c r="B76" i="88"/>
  <c r="D76" i="88" s="1"/>
  <c r="B77" i="88"/>
  <c r="A77" i="88" s="1"/>
  <c r="B78" i="88"/>
  <c r="D78" i="88" s="1"/>
  <c r="B79" i="88"/>
  <c r="A79" i="88" s="1"/>
  <c r="B80" i="88"/>
  <c r="D80" i="88" s="1"/>
  <c r="B81" i="88"/>
  <c r="A81" i="88" s="1"/>
  <c r="B82" i="88"/>
  <c r="D82" i="88" s="1"/>
  <c r="B34" i="81"/>
  <c r="A34" i="81" s="1"/>
  <c r="B35" i="81"/>
  <c r="A35" i="81" s="1"/>
  <c r="B36" i="81"/>
  <c r="A36" i="81" s="1"/>
  <c r="B37" i="81"/>
  <c r="A37" i="81" s="1"/>
  <c r="B38" i="81"/>
  <c r="A38" i="81" s="1"/>
  <c r="A39" i="81"/>
  <c r="N34" i="81"/>
  <c r="M34" i="81" s="1"/>
  <c r="N35" i="81"/>
  <c r="P35" i="81" s="1"/>
  <c r="N30" i="67"/>
  <c r="O30" i="67" s="1"/>
  <c r="N31" i="67"/>
  <c r="M31" i="67" s="1"/>
  <c r="N32" i="67"/>
  <c r="O32" i="67" s="1"/>
  <c r="B29" i="67"/>
  <c r="A29" i="67" s="1"/>
  <c r="B30" i="67"/>
  <c r="C30" i="67" s="1"/>
  <c r="B35" i="53"/>
  <c r="A35" i="53" s="1"/>
  <c r="B36" i="53"/>
  <c r="A36" i="53" s="1"/>
  <c r="B37" i="53"/>
  <c r="A37" i="53" s="1"/>
  <c r="H40" i="53"/>
  <c r="G40" i="53" s="1"/>
  <c r="H41" i="53"/>
  <c r="G41" i="53" s="1"/>
  <c r="H42" i="53"/>
  <c r="G42" i="53" s="1"/>
  <c r="H43" i="53"/>
  <c r="G43" i="53" s="1"/>
  <c r="E16" i="102" l="1"/>
  <c r="F20" i="102"/>
  <c r="R64" i="111"/>
  <c r="Q68" i="111"/>
  <c r="L77" i="95"/>
  <c r="E21" i="102"/>
  <c r="F16" i="102"/>
  <c r="K31" i="38"/>
  <c r="K28" i="67"/>
  <c r="K29" i="67"/>
  <c r="Q36" i="95"/>
  <c r="K79" i="95"/>
  <c r="F25" i="102"/>
  <c r="F21" i="102"/>
  <c r="E25" i="102"/>
  <c r="R65" i="111"/>
  <c r="K65" i="111"/>
  <c r="L31" i="38"/>
  <c r="L28" i="67"/>
  <c r="L29" i="67"/>
  <c r="L27" i="67"/>
  <c r="L79" i="95"/>
  <c r="K78" i="95"/>
  <c r="F17" i="102"/>
  <c r="F24" i="102"/>
  <c r="E22" i="102"/>
  <c r="E17" i="102"/>
  <c r="E24" i="102"/>
  <c r="E23" i="102"/>
  <c r="Q64" i="111"/>
  <c r="R68" i="111"/>
  <c r="R67" i="111"/>
  <c r="R66" i="111"/>
  <c r="L65" i="111"/>
  <c r="R29" i="38"/>
  <c r="K33" i="38"/>
  <c r="K27" i="67"/>
  <c r="R20" i="88"/>
  <c r="Q21" i="88"/>
  <c r="Q22" i="88"/>
  <c r="R36" i="95"/>
  <c r="K77" i="95"/>
  <c r="L78" i="95"/>
  <c r="F26" i="102"/>
  <c r="F19" i="102"/>
  <c r="E19" i="102"/>
  <c r="F22" i="102"/>
  <c r="Q67" i="111"/>
  <c r="R28" i="38"/>
  <c r="L33" i="38"/>
  <c r="E31" i="67"/>
  <c r="R21" i="88"/>
  <c r="C77" i="88"/>
  <c r="L80" i="95"/>
  <c r="E20" i="102"/>
  <c r="F18" i="102"/>
  <c r="E18" i="102"/>
  <c r="F23" i="102"/>
  <c r="Q65" i="111"/>
  <c r="R30" i="38"/>
  <c r="K30" i="38"/>
  <c r="L32" i="38"/>
  <c r="K38" i="60"/>
  <c r="L38" i="60"/>
  <c r="E32" i="67"/>
  <c r="F32" i="67"/>
  <c r="Q35" i="95"/>
  <c r="Q37" i="95"/>
  <c r="K64" i="111"/>
  <c r="L64" i="111"/>
  <c r="C81" i="88"/>
  <c r="I76" i="95"/>
  <c r="D81" i="88"/>
  <c r="P62" i="111"/>
  <c r="C82" i="88"/>
  <c r="F82" i="88" s="1"/>
  <c r="C72" i="88"/>
  <c r="E72" i="88" s="1"/>
  <c r="C79" i="88"/>
  <c r="D71" i="88"/>
  <c r="C71" i="88"/>
  <c r="D77" i="88"/>
  <c r="O33" i="95"/>
  <c r="R33" i="95" s="1"/>
  <c r="P31" i="95"/>
  <c r="Q31" i="95" s="1"/>
  <c r="J72" i="95"/>
  <c r="I41" i="53"/>
  <c r="D30" i="67"/>
  <c r="F30" i="67" s="1"/>
  <c r="C38" i="81"/>
  <c r="C78" i="88"/>
  <c r="E78" i="88" s="1"/>
  <c r="A78" i="88"/>
  <c r="C68" i="88"/>
  <c r="E68" i="88" s="1"/>
  <c r="C80" i="88"/>
  <c r="E80" i="88" s="1"/>
  <c r="C74" i="88"/>
  <c r="F74" i="88" s="1"/>
  <c r="P32" i="95"/>
  <c r="Q32" i="95" s="1"/>
  <c r="P30" i="95"/>
  <c r="Q30" i="95" s="1"/>
  <c r="P28" i="95"/>
  <c r="Q28" i="95" s="1"/>
  <c r="J71" i="95"/>
  <c r="J76" i="95"/>
  <c r="I71" i="95"/>
  <c r="J75" i="95"/>
  <c r="I75" i="95"/>
  <c r="I73" i="95"/>
  <c r="J22" i="102"/>
  <c r="J24" i="102"/>
  <c r="O62" i="111"/>
  <c r="P60" i="111"/>
  <c r="O60" i="111"/>
  <c r="J60" i="111"/>
  <c r="I60" i="111"/>
  <c r="I61" i="111"/>
  <c r="J59" i="111"/>
  <c r="I59" i="111"/>
  <c r="G58" i="111"/>
  <c r="J63" i="111"/>
  <c r="J58" i="111"/>
  <c r="K58" i="111" s="1"/>
  <c r="I63" i="111"/>
  <c r="D87" i="111"/>
  <c r="C87" i="111"/>
  <c r="J42" i="53"/>
  <c r="J43" i="53"/>
  <c r="I43" i="53"/>
  <c r="I42" i="53"/>
  <c r="J41" i="53"/>
  <c r="C35" i="53"/>
  <c r="D36" i="53"/>
  <c r="C37" i="53"/>
  <c r="C36" i="53"/>
  <c r="M32" i="67"/>
  <c r="P31" i="67"/>
  <c r="O31" i="67"/>
  <c r="C34" i="81"/>
  <c r="C36" i="81"/>
  <c r="D37" i="81"/>
  <c r="C37" i="81"/>
  <c r="D35" i="81"/>
  <c r="C35" i="81"/>
  <c r="D75" i="88"/>
  <c r="D69" i="88"/>
  <c r="A82" i="88"/>
  <c r="C75" i="88"/>
  <c r="A72" i="88"/>
  <c r="C69" i="88"/>
  <c r="A80" i="88"/>
  <c r="C76" i="88"/>
  <c r="E76" i="88" s="1"/>
  <c r="C70" i="88"/>
  <c r="F70" i="88" s="1"/>
  <c r="A74" i="88"/>
  <c r="A68" i="88"/>
  <c r="D73" i="88"/>
  <c r="D79" i="88"/>
  <c r="A76" i="88"/>
  <c r="C73" i="88"/>
  <c r="A70" i="88"/>
  <c r="P34" i="95"/>
  <c r="R34" i="95" s="1"/>
  <c r="P27" i="95"/>
  <c r="R27" i="95" s="1"/>
  <c r="J74" i="95"/>
  <c r="I74" i="95"/>
  <c r="J73" i="95"/>
  <c r="J26" i="102"/>
  <c r="P58" i="111"/>
  <c r="O58" i="111"/>
  <c r="G62" i="111"/>
  <c r="J61" i="111"/>
  <c r="J62" i="111"/>
  <c r="K62" i="111" s="1"/>
  <c r="A85" i="111"/>
  <c r="D86" i="111"/>
  <c r="C86" i="111"/>
  <c r="D85" i="111"/>
  <c r="E85" i="111" s="1"/>
  <c r="M63" i="111"/>
  <c r="M61" i="111"/>
  <c r="M59" i="111"/>
  <c r="M57" i="111"/>
  <c r="P63" i="111"/>
  <c r="Q63" i="111" s="1"/>
  <c r="P61" i="111"/>
  <c r="Q61" i="111" s="1"/>
  <c r="P59" i="111"/>
  <c r="Q59" i="111" s="1"/>
  <c r="P57" i="111"/>
  <c r="R57" i="111" s="1"/>
  <c r="J27" i="102"/>
  <c r="I27" i="102"/>
  <c r="G25" i="102"/>
  <c r="G23" i="102"/>
  <c r="J25" i="102"/>
  <c r="L25" i="102" s="1"/>
  <c r="I26" i="102"/>
  <c r="I24" i="102"/>
  <c r="I22" i="102"/>
  <c r="J23" i="102"/>
  <c r="K23" i="102" s="1"/>
  <c r="P29" i="95"/>
  <c r="Q29" i="95" s="1"/>
  <c r="P26" i="95"/>
  <c r="R26" i="95" s="1"/>
  <c r="I72" i="95"/>
  <c r="D38" i="81"/>
  <c r="D36" i="81"/>
  <c r="D34" i="81"/>
  <c r="O34" i="81"/>
  <c r="O35" i="81"/>
  <c r="M35" i="81"/>
  <c r="P34" i="81"/>
  <c r="M30" i="67"/>
  <c r="P32" i="67"/>
  <c r="Q32" i="67" s="1"/>
  <c r="P30" i="67"/>
  <c r="Q30" i="67" s="1"/>
  <c r="A30" i="67"/>
  <c r="D29" i="67"/>
  <c r="C29" i="67"/>
  <c r="D37" i="53"/>
  <c r="D35" i="53"/>
  <c r="J40" i="53"/>
  <c r="I40" i="53"/>
  <c r="B39" i="38"/>
  <c r="A39" i="38" s="1"/>
  <c r="B40" i="38"/>
  <c r="A40" i="38" s="1"/>
  <c r="B41" i="38"/>
  <c r="A41" i="38" s="1"/>
  <c r="N27" i="38"/>
  <c r="M27" i="38" s="1"/>
  <c r="H38" i="53"/>
  <c r="G38" i="53" s="1"/>
  <c r="H39" i="53"/>
  <c r="G39" i="53" s="1"/>
  <c r="B33" i="53"/>
  <c r="C33" i="53" s="1"/>
  <c r="B34" i="53"/>
  <c r="A34" i="53" s="1"/>
  <c r="N32" i="53"/>
  <c r="O32" i="53" s="1"/>
  <c r="N33" i="53"/>
  <c r="M33" i="53" s="1"/>
  <c r="N34" i="53"/>
  <c r="O34" i="53" s="1"/>
  <c r="N35" i="53"/>
  <c r="M35" i="53" s="1"/>
  <c r="N28" i="67"/>
  <c r="O28" i="67" s="1"/>
  <c r="N29" i="67"/>
  <c r="M29" i="67" s="1"/>
  <c r="N33" i="81"/>
  <c r="O33" i="81" s="1"/>
  <c r="N32" i="81"/>
  <c r="O32" i="81" s="1"/>
  <c r="B33" i="81"/>
  <c r="C33" i="81" s="1"/>
  <c r="B84" i="111"/>
  <c r="D84" i="111" s="1"/>
  <c r="B83" i="111"/>
  <c r="A83" i="111" s="1"/>
  <c r="B82" i="111"/>
  <c r="B81" i="111"/>
  <c r="D81" i="111" s="1"/>
  <c r="B80" i="111"/>
  <c r="D80" i="111" s="1"/>
  <c r="B79" i="111"/>
  <c r="D79" i="111" s="1"/>
  <c r="B78" i="111"/>
  <c r="D78" i="111" s="1"/>
  <c r="B77" i="111"/>
  <c r="D77" i="111" s="1"/>
  <c r="B76" i="111"/>
  <c r="D76" i="111" s="1"/>
  <c r="B75" i="111"/>
  <c r="D75" i="111" s="1"/>
  <c r="B74" i="111"/>
  <c r="A74" i="111" s="1"/>
  <c r="B73" i="111"/>
  <c r="A73" i="111" s="1"/>
  <c r="B72" i="111"/>
  <c r="C72" i="111" s="1"/>
  <c r="B71" i="111"/>
  <c r="D71" i="111" s="1"/>
  <c r="B70" i="111"/>
  <c r="D70" i="111" s="1"/>
  <c r="B69" i="111"/>
  <c r="B68" i="111"/>
  <c r="B67" i="111"/>
  <c r="C67" i="111" s="1"/>
  <c r="B66" i="111"/>
  <c r="D66" i="111" s="1"/>
  <c r="B65" i="111"/>
  <c r="D65" i="111" s="1"/>
  <c r="B64" i="111"/>
  <c r="C64" i="111" s="1"/>
  <c r="B63" i="111"/>
  <c r="D63" i="111" s="1"/>
  <c r="B62" i="111"/>
  <c r="A62" i="111" s="1"/>
  <c r="B61" i="111"/>
  <c r="D61" i="111" s="1"/>
  <c r="B60" i="111"/>
  <c r="D60" i="111" s="1"/>
  <c r="B59" i="111"/>
  <c r="D59" i="111" s="1"/>
  <c r="B58" i="111"/>
  <c r="D58" i="111" s="1"/>
  <c r="H57" i="111"/>
  <c r="J57" i="111" s="1"/>
  <c r="B57" i="111"/>
  <c r="C57" i="111" s="1"/>
  <c r="N56" i="111"/>
  <c r="P56" i="111" s="1"/>
  <c r="H56" i="111"/>
  <c r="I56" i="111" s="1"/>
  <c r="B56" i="111"/>
  <c r="D56" i="111" s="1"/>
  <c r="N55" i="111"/>
  <c r="P55" i="111" s="1"/>
  <c r="H55" i="111"/>
  <c r="I55" i="111" s="1"/>
  <c r="B55" i="111"/>
  <c r="D55" i="111" s="1"/>
  <c r="N54" i="111"/>
  <c r="P54" i="111" s="1"/>
  <c r="H54" i="111"/>
  <c r="I54" i="111" s="1"/>
  <c r="B54" i="111"/>
  <c r="A54" i="111" s="1"/>
  <c r="N53" i="111"/>
  <c r="O53" i="111" s="1"/>
  <c r="H53" i="111"/>
  <c r="J53" i="111" s="1"/>
  <c r="B53" i="111"/>
  <c r="D53" i="111" s="1"/>
  <c r="N52" i="111"/>
  <c r="O52" i="111" s="1"/>
  <c r="H52" i="111"/>
  <c r="J52" i="111" s="1"/>
  <c r="B52" i="111"/>
  <c r="C52" i="111" s="1"/>
  <c r="N51" i="111"/>
  <c r="P51" i="111" s="1"/>
  <c r="H51" i="111"/>
  <c r="G51" i="111" s="1"/>
  <c r="B51" i="111"/>
  <c r="D51" i="111" s="1"/>
  <c r="N50" i="111"/>
  <c r="O50" i="111" s="1"/>
  <c r="H50" i="111"/>
  <c r="I50" i="111" s="1"/>
  <c r="B50" i="111"/>
  <c r="D50" i="111" s="1"/>
  <c r="N49" i="111"/>
  <c r="P49" i="111" s="1"/>
  <c r="H49" i="111"/>
  <c r="J49" i="111" s="1"/>
  <c r="B49" i="111"/>
  <c r="N48" i="111"/>
  <c r="P48" i="111" s="1"/>
  <c r="H48" i="111"/>
  <c r="J48" i="111" s="1"/>
  <c r="B48" i="111"/>
  <c r="A48" i="111" s="1"/>
  <c r="N47" i="111"/>
  <c r="O47" i="111" s="1"/>
  <c r="H47" i="111"/>
  <c r="J47" i="111" s="1"/>
  <c r="B47" i="111"/>
  <c r="D47" i="111" s="1"/>
  <c r="N46" i="111"/>
  <c r="P46" i="111" s="1"/>
  <c r="H46" i="111"/>
  <c r="J46" i="111" s="1"/>
  <c r="B46" i="111"/>
  <c r="C46" i="111" s="1"/>
  <c r="N45" i="111"/>
  <c r="H45" i="111"/>
  <c r="J45" i="111" s="1"/>
  <c r="B45" i="111"/>
  <c r="C45" i="111" s="1"/>
  <c r="N44" i="111"/>
  <c r="P44" i="111" s="1"/>
  <c r="H44" i="111"/>
  <c r="B44" i="111"/>
  <c r="D44" i="111" s="1"/>
  <c r="N43" i="111"/>
  <c r="H43" i="111"/>
  <c r="J43" i="111" s="1"/>
  <c r="B43" i="111"/>
  <c r="D43" i="111" s="1"/>
  <c r="N42" i="111"/>
  <c r="O42" i="111" s="1"/>
  <c r="H42" i="111"/>
  <c r="B42" i="111"/>
  <c r="D42" i="111" s="1"/>
  <c r="N41" i="111"/>
  <c r="O41" i="111" s="1"/>
  <c r="H41" i="111"/>
  <c r="G41" i="111" s="1"/>
  <c r="B41" i="111"/>
  <c r="C41" i="111" s="1"/>
  <c r="N40" i="111"/>
  <c r="O40" i="111" s="1"/>
  <c r="H40" i="111"/>
  <c r="G40" i="111" s="1"/>
  <c r="B40" i="111"/>
  <c r="N39" i="111"/>
  <c r="P39" i="111" s="1"/>
  <c r="H39" i="111"/>
  <c r="B39" i="111"/>
  <c r="C39" i="111" s="1"/>
  <c r="N38" i="111"/>
  <c r="P38" i="111" s="1"/>
  <c r="H38" i="111"/>
  <c r="I38" i="111" s="1"/>
  <c r="B38" i="111"/>
  <c r="C38" i="111" s="1"/>
  <c r="N37" i="111"/>
  <c r="O37" i="111" s="1"/>
  <c r="H37" i="111"/>
  <c r="J37" i="111" s="1"/>
  <c r="B37" i="111"/>
  <c r="D37" i="111" s="1"/>
  <c r="N36" i="111"/>
  <c r="H36" i="111"/>
  <c r="G36" i="111" s="1"/>
  <c r="B36" i="111"/>
  <c r="D36" i="111" s="1"/>
  <c r="N35" i="111"/>
  <c r="P35" i="111" s="1"/>
  <c r="H35" i="111"/>
  <c r="J35" i="111" s="1"/>
  <c r="B35" i="111"/>
  <c r="C35" i="111" s="1"/>
  <c r="N34" i="111"/>
  <c r="O34" i="111" s="1"/>
  <c r="H34" i="111"/>
  <c r="J34" i="111" s="1"/>
  <c r="B34" i="111"/>
  <c r="A34" i="111" s="1"/>
  <c r="N33" i="111"/>
  <c r="P33" i="111" s="1"/>
  <c r="H33" i="111"/>
  <c r="J33" i="111" s="1"/>
  <c r="B33" i="111"/>
  <c r="C33" i="111" s="1"/>
  <c r="N32" i="111"/>
  <c r="H32" i="111"/>
  <c r="B32" i="111"/>
  <c r="D32" i="111" s="1"/>
  <c r="N31" i="111"/>
  <c r="O31" i="111" s="1"/>
  <c r="H31" i="111"/>
  <c r="G31" i="111" s="1"/>
  <c r="B31" i="111"/>
  <c r="A31" i="111" s="1"/>
  <c r="N30" i="111"/>
  <c r="P30" i="111" s="1"/>
  <c r="H30" i="111"/>
  <c r="I30" i="111" s="1"/>
  <c r="B30" i="111"/>
  <c r="N29" i="111"/>
  <c r="O29" i="111" s="1"/>
  <c r="H29" i="111"/>
  <c r="J29" i="111" s="1"/>
  <c r="B29" i="111"/>
  <c r="C29" i="111" s="1"/>
  <c r="N28" i="111"/>
  <c r="H28" i="111"/>
  <c r="G28" i="111" s="1"/>
  <c r="B28" i="111"/>
  <c r="D28" i="111" s="1"/>
  <c r="N27" i="111"/>
  <c r="P27" i="111" s="1"/>
  <c r="H27" i="111"/>
  <c r="J27" i="111" s="1"/>
  <c r="B27" i="111"/>
  <c r="C27" i="111" s="1"/>
  <c r="N26" i="111"/>
  <c r="H26" i="111"/>
  <c r="J26" i="111" s="1"/>
  <c r="B26" i="111"/>
  <c r="A26" i="111" s="1"/>
  <c r="N25" i="111"/>
  <c r="P25" i="111" s="1"/>
  <c r="H25" i="111"/>
  <c r="J25" i="111" s="1"/>
  <c r="B25" i="111"/>
  <c r="C25" i="111" s="1"/>
  <c r="N24" i="111"/>
  <c r="H24" i="111"/>
  <c r="B24" i="111"/>
  <c r="D24" i="111" s="1"/>
  <c r="N23" i="111"/>
  <c r="O23" i="111" s="1"/>
  <c r="H23" i="111"/>
  <c r="B23" i="111"/>
  <c r="D23" i="111" s="1"/>
  <c r="N22" i="111"/>
  <c r="P22" i="111" s="1"/>
  <c r="H22" i="111"/>
  <c r="B22" i="111"/>
  <c r="N21" i="111"/>
  <c r="O21" i="111" s="1"/>
  <c r="H21" i="111"/>
  <c r="J21" i="111" s="1"/>
  <c r="B21" i="111"/>
  <c r="D21" i="111" s="1"/>
  <c r="N20" i="111"/>
  <c r="H20" i="111"/>
  <c r="G20" i="111" s="1"/>
  <c r="B20" i="111"/>
  <c r="D20" i="111" s="1"/>
  <c r="N19" i="111"/>
  <c r="P19" i="111" s="1"/>
  <c r="H19" i="111"/>
  <c r="J19" i="111" s="1"/>
  <c r="B19" i="111"/>
  <c r="C19" i="111" s="1"/>
  <c r="N18" i="111"/>
  <c r="O18" i="111" s="1"/>
  <c r="H18" i="111"/>
  <c r="J18" i="111" s="1"/>
  <c r="B18" i="111"/>
  <c r="A18" i="111" s="1"/>
  <c r="N17" i="111"/>
  <c r="P17" i="111" s="1"/>
  <c r="H17" i="111"/>
  <c r="J17" i="111" s="1"/>
  <c r="B17" i="111"/>
  <c r="D17" i="111" s="1"/>
  <c r="N16" i="111"/>
  <c r="H16" i="111"/>
  <c r="B16" i="111"/>
  <c r="D16" i="111" s="1"/>
  <c r="N15" i="111"/>
  <c r="O15" i="111" s="1"/>
  <c r="H15" i="111"/>
  <c r="B15" i="111"/>
  <c r="D15" i="111" s="1"/>
  <c r="N14" i="111"/>
  <c r="P14" i="111" s="1"/>
  <c r="H14" i="111"/>
  <c r="B14" i="111"/>
  <c r="N13" i="111"/>
  <c r="O13" i="111" s="1"/>
  <c r="H13" i="111"/>
  <c r="J13" i="111" s="1"/>
  <c r="B13" i="111"/>
  <c r="D13" i="111" s="1"/>
  <c r="N12" i="111"/>
  <c r="H12" i="111"/>
  <c r="G12" i="111" s="1"/>
  <c r="B12" i="111"/>
  <c r="A12" i="111" s="1"/>
  <c r="N11" i="111"/>
  <c r="P11" i="111" s="1"/>
  <c r="H11" i="111"/>
  <c r="J11" i="111" s="1"/>
  <c r="B11" i="111"/>
  <c r="C11" i="111" s="1"/>
  <c r="N10" i="111"/>
  <c r="O10" i="111" s="1"/>
  <c r="H10" i="111"/>
  <c r="J10" i="111" s="1"/>
  <c r="B10" i="111"/>
  <c r="A10" i="111" s="1"/>
  <c r="N9" i="111"/>
  <c r="P9" i="111" s="1"/>
  <c r="H9" i="111"/>
  <c r="J9" i="111" s="1"/>
  <c r="B9" i="111"/>
  <c r="A9" i="111" s="1"/>
  <c r="N8" i="111"/>
  <c r="H8" i="111"/>
  <c r="B8" i="111"/>
  <c r="A8" i="111" s="1"/>
  <c r="N7" i="111"/>
  <c r="H7" i="111"/>
  <c r="G7" i="111" s="1"/>
  <c r="B7" i="111"/>
  <c r="C7" i="111" s="1"/>
  <c r="N6" i="111"/>
  <c r="M6" i="111" s="1"/>
  <c r="H6" i="111"/>
  <c r="B6" i="111"/>
  <c r="A6" i="111" s="1"/>
  <c r="E77" i="88" l="1"/>
  <c r="L76" i="95"/>
  <c r="F81" i="88"/>
  <c r="E34" i="81"/>
  <c r="E82" i="88"/>
  <c r="E36" i="81"/>
  <c r="E81" i="88"/>
  <c r="F72" i="88"/>
  <c r="F68" i="88"/>
  <c r="K41" i="53"/>
  <c r="E74" i="88"/>
  <c r="E70" i="88"/>
  <c r="F71" i="88"/>
  <c r="F80" i="88"/>
  <c r="E79" i="88"/>
  <c r="Q33" i="95"/>
  <c r="Q62" i="111"/>
  <c r="K59" i="111"/>
  <c r="L43" i="53"/>
  <c r="F76" i="88"/>
  <c r="F77" i="88"/>
  <c r="R32" i="95"/>
  <c r="L71" i="95"/>
  <c r="Q60" i="111"/>
  <c r="L60" i="111"/>
  <c r="L61" i="111"/>
  <c r="E38" i="81"/>
  <c r="F78" i="88"/>
  <c r="E71" i="88"/>
  <c r="R31" i="95"/>
  <c r="K75" i="95"/>
  <c r="K63" i="111"/>
  <c r="A70" i="111"/>
  <c r="K42" i="53"/>
  <c r="E35" i="53"/>
  <c r="E30" i="67"/>
  <c r="R28" i="95"/>
  <c r="R30" i="95"/>
  <c r="L75" i="95"/>
  <c r="K76" i="95"/>
  <c r="K71" i="95"/>
  <c r="L73" i="95"/>
  <c r="Q57" i="111"/>
  <c r="R59" i="111"/>
  <c r="R62" i="111"/>
  <c r="R60" i="111"/>
  <c r="K60" i="111"/>
  <c r="L63" i="111"/>
  <c r="L59" i="111"/>
  <c r="L58" i="111"/>
  <c r="E87" i="111"/>
  <c r="F87" i="111"/>
  <c r="K43" i="53"/>
  <c r="L42" i="53"/>
  <c r="L41" i="53"/>
  <c r="F37" i="53"/>
  <c r="F36" i="53"/>
  <c r="E36" i="53"/>
  <c r="E37" i="53"/>
  <c r="R31" i="67"/>
  <c r="Q31" i="67"/>
  <c r="F37" i="81"/>
  <c r="E35" i="81"/>
  <c r="F35" i="81"/>
  <c r="E37" i="81"/>
  <c r="E69" i="88"/>
  <c r="F69" i="88"/>
  <c r="F75" i="88"/>
  <c r="E75" i="88"/>
  <c r="F73" i="88"/>
  <c r="E73" i="88"/>
  <c r="F79" i="88"/>
  <c r="Q27" i="95"/>
  <c r="Q26" i="95"/>
  <c r="Q34" i="95"/>
  <c r="K73" i="95"/>
  <c r="L74" i="95"/>
  <c r="K74" i="95"/>
  <c r="R61" i="111"/>
  <c r="R58" i="111"/>
  <c r="Q58" i="111"/>
  <c r="K61" i="111"/>
  <c r="L62" i="111"/>
  <c r="F85" i="111"/>
  <c r="A11" i="111"/>
  <c r="F86" i="111"/>
  <c r="E86" i="111"/>
  <c r="R63" i="111"/>
  <c r="K27" i="102"/>
  <c r="L27" i="102"/>
  <c r="K25" i="102"/>
  <c r="K26" i="102"/>
  <c r="L26" i="102"/>
  <c r="K22" i="102"/>
  <c r="L22" i="102"/>
  <c r="K24" i="102"/>
  <c r="L24" i="102"/>
  <c r="L23" i="102"/>
  <c r="R29" i="95"/>
  <c r="K72" i="95"/>
  <c r="L72" i="95"/>
  <c r="F34" i="81"/>
  <c r="F36" i="81"/>
  <c r="F38" i="81"/>
  <c r="Q35" i="81"/>
  <c r="R35" i="81"/>
  <c r="Q34" i="81"/>
  <c r="R34" i="81"/>
  <c r="R30" i="67"/>
  <c r="R32" i="67"/>
  <c r="E29" i="67"/>
  <c r="F29" i="67"/>
  <c r="F35" i="53"/>
  <c r="K40" i="53"/>
  <c r="L40" i="53"/>
  <c r="M29" i="111"/>
  <c r="M30" i="111"/>
  <c r="G53" i="111"/>
  <c r="G38" i="111"/>
  <c r="A72" i="111"/>
  <c r="A32" i="111"/>
  <c r="M22" i="111"/>
  <c r="M13" i="111"/>
  <c r="M48" i="111"/>
  <c r="G18" i="111"/>
  <c r="G37" i="111"/>
  <c r="A55" i="111"/>
  <c r="C66" i="111"/>
  <c r="F66" i="111" s="1"/>
  <c r="G25" i="111"/>
  <c r="A35" i="111"/>
  <c r="M41" i="111"/>
  <c r="D34" i="53"/>
  <c r="D9" i="111"/>
  <c r="M19" i="111"/>
  <c r="M35" i="111"/>
  <c r="C42" i="111"/>
  <c r="F42" i="111" s="1"/>
  <c r="A63" i="111"/>
  <c r="A81" i="111"/>
  <c r="M42" i="111"/>
  <c r="G49" i="111"/>
  <c r="A60" i="111"/>
  <c r="P42" i="111"/>
  <c r="Q42" i="111" s="1"/>
  <c r="C60" i="111"/>
  <c r="F60" i="111" s="1"/>
  <c r="A84" i="111"/>
  <c r="A43" i="111"/>
  <c r="M53" i="111"/>
  <c r="A75" i="111"/>
  <c r="C31" i="111"/>
  <c r="G11" i="111"/>
  <c r="M21" i="111"/>
  <c r="A25" i="111"/>
  <c r="D31" i="111"/>
  <c r="I34" i="111"/>
  <c r="K34" i="111" s="1"/>
  <c r="P15" i="111"/>
  <c r="Q15" i="111" s="1"/>
  <c r="A16" i="111"/>
  <c r="A27" i="111"/>
  <c r="M40" i="111"/>
  <c r="A46" i="111"/>
  <c r="A76" i="111"/>
  <c r="O35" i="53"/>
  <c r="P40" i="111"/>
  <c r="Q40" i="111" s="1"/>
  <c r="I27" i="111"/>
  <c r="L27" i="111" s="1"/>
  <c r="O35" i="111"/>
  <c r="R35" i="111" s="1"/>
  <c r="A17" i="111"/>
  <c r="I19" i="111"/>
  <c r="L19" i="111" s="1"/>
  <c r="D25" i="111"/>
  <c r="E25" i="111" s="1"/>
  <c r="A36" i="111"/>
  <c r="M38" i="111"/>
  <c r="A50" i="111"/>
  <c r="M56" i="111"/>
  <c r="A71" i="111"/>
  <c r="I47" i="111"/>
  <c r="K47" i="111" s="1"/>
  <c r="I11" i="111"/>
  <c r="L11" i="111" s="1"/>
  <c r="A20" i="111"/>
  <c r="A23" i="111"/>
  <c r="I25" i="111"/>
  <c r="K25" i="111" s="1"/>
  <c r="A37" i="111"/>
  <c r="M39" i="111"/>
  <c r="A61" i="111"/>
  <c r="M15" i="111"/>
  <c r="M31" i="111"/>
  <c r="A67" i="111"/>
  <c r="P29" i="67"/>
  <c r="D67" i="111"/>
  <c r="E67" i="111" s="1"/>
  <c r="C80" i="111"/>
  <c r="E80" i="111" s="1"/>
  <c r="C63" i="111"/>
  <c r="F63" i="111" s="1"/>
  <c r="C24" i="111"/>
  <c r="E24" i="111" s="1"/>
  <c r="C75" i="111"/>
  <c r="F75" i="111" s="1"/>
  <c r="J20" i="111"/>
  <c r="O55" i="111"/>
  <c r="Q55" i="111" s="1"/>
  <c r="I52" i="111"/>
  <c r="L52" i="111" s="1"/>
  <c r="D46" i="111"/>
  <c r="E46" i="111" s="1"/>
  <c r="I51" i="111"/>
  <c r="I18" i="111"/>
  <c r="K18" i="111" s="1"/>
  <c r="D27" i="111"/>
  <c r="F27" i="111" s="1"/>
  <c r="C37" i="111"/>
  <c r="F37" i="111" s="1"/>
  <c r="O38" i="111"/>
  <c r="Q38" i="111" s="1"/>
  <c r="C61" i="111"/>
  <c r="E61" i="111" s="1"/>
  <c r="C71" i="111"/>
  <c r="E71" i="111" s="1"/>
  <c r="C9" i="111"/>
  <c r="P13" i="111"/>
  <c r="R13" i="111" s="1"/>
  <c r="A21" i="111"/>
  <c r="O22" i="111"/>
  <c r="C43" i="111"/>
  <c r="E43" i="111" s="1"/>
  <c r="J51" i="111"/>
  <c r="A78" i="111"/>
  <c r="J38" i="53"/>
  <c r="C21" i="111"/>
  <c r="E21" i="111" s="1"/>
  <c r="C78" i="111"/>
  <c r="E78" i="111" s="1"/>
  <c r="P33" i="53"/>
  <c r="O11" i="111"/>
  <c r="R11" i="111" s="1"/>
  <c r="A28" i="111"/>
  <c r="O30" i="111"/>
  <c r="Q30" i="111" s="1"/>
  <c r="I37" i="111"/>
  <c r="L37" i="111" s="1"/>
  <c r="A42" i="111"/>
  <c r="G47" i="111"/>
  <c r="I49" i="111"/>
  <c r="L49" i="111" s="1"/>
  <c r="M54" i="111"/>
  <c r="D72" i="111"/>
  <c r="F72" i="111" s="1"/>
  <c r="O33" i="53"/>
  <c r="C34" i="53"/>
  <c r="O27" i="38"/>
  <c r="A15" i="111"/>
  <c r="G21" i="111"/>
  <c r="M37" i="111"/>
  <c r="G52" i="111"/>
  <c r="G57" i="111"/>
  <c r="A80" i="111"/>
  <c r="D29" i="111"/>
  <c r="F29" i="111" s="1"/>
  <c r="G10" i="111"/>
  <c r="G13" i="111"/>
  <c r="G29" i="111"/>
  <c r="A33" i="111"/>
  <c r="A39" i="111"/>
  <c r="A44" i="111"/>
  <c r="G45" i="111"/>
  <c r="M46" i="111"/>
  <c r="P52" i="111"/>
  <c r="R52" i="111" s="1"/>
  <c r="J54" i="111"/>
  <c r="K54" i="111" s="1"/>
  <c r="A59" i="111"/>
  <c r="P35" i="53"/>
  <c r="D40" i="38"/>
  <c r="C40" i="38"/>
  <c r="C59" i="111"/>
  <c r="E59" i="111" s="1"/>
  <c r="P37" i="111"/>
  <c r="R37" i="111" s="1"/>
  <c r="D39" i="111"/>
  <c r="F39" i="111" s="1"/>
  <c r="C76" i="111"/>
  <c r="F76" i="111" s="1"/>
  <c r="C81" i="111"/>
  <c r="F81" i="111" s="1"/>
  <c r="D39" i="38"/>
  <c r="C15" i="111"/>
  <c r="F15" i="111" s="1"/>
  <c r="D33" i="111"/>
  <c r="E33" i="111" s="1"/>
  <c r="D48" i="111"/>
  <c r="O54" i="111"/>
  <c r="Q54" i="111" s="1"/>
  <c r="G9" i="111"/>
  <c r="C17" i="111"/>
  <c r="O19" i="111"/>
  <c r="R19" i="111" s="1"/>
  <c r="I21" i="111"/>
  <c r="L21" i="111" s="1"/>
  <c r="C23" i="111"/>
  <c r="E23" i="111" s="1"/>
  <c r="G26" i="111"/>
  <c r="G33" i="111"/>
  <c r="J36" i="111"/>
  <c r="M44" i="111"/>
  <c r="A47" i="111"/>
  <c r="C50" i="111"/>
  <c r="E50" i="111" s="1"/>
  <c r="I53" i="111"/>
  <c r="L53" i="111" s="1"/>
  <c r="A58" i="111"/>
  <c r="D33" i="53"/>
  <c r="F33" i="53" s="1"/>
  <c r="C39" i="38"/>
  <c r="I29" i="111"/>
  <c r="K29" i="111" s="1"/>
  <c r="C44" i="111"/>
  <c r="F44" i="111" s="1"/>
  <c r="I45" i="111"/>
  <c r="O46" i="111"/>
  <c r="R46" i="111" s="1"/>
  <c r="C48" i="111"/>
  <c r="I9" i="111"/>
  <c r="C58" i="111"/>
  <c r="F58" i="111" s="1"/>
  <c r="I10" i="111"/>
  <c r="I13" i="111"/>
  <c r="L13" i="111" s="1"/>
  <c r="I26" i="111"/>
  <c r="K26" i="111" s="1"/>
  <c r="I33" i="111"/>
  <c r="L33" i="111" s="1"/>
  <c r="O44" i="111"/>
  <c r="C47" i="111"/>
  <c r="E47" i="111" s="1"/>
  <c r="A33" i="53"/>
  <c r="A13" i="111"/>
  <c r="G17" i="111"/>
  <c r="P21" i="111"/>
  <c r="R21" i="111" s="1"/>
  <c r="M23" i="111"/>
  <c r="A29" i="111"/>
  <c r="P31" i="111"/>
  <c r="R31" i="111" s="1"/>
  <c r="G35" i="111"/>
  <c r="J38" i="111"/>
  <c r="L38" i="111" s="1"/>
  <c r="O39" i="111"/>
  <c r="Q39" i="111" s="1"/>
  <c r="P41" i="111"/>
  <c r="R41" i="111" s="1"/>
  <c r="O48" i="111"/>
  <c r="R48" i="111" s="1"/>
  <c r="A51" i="111"/>
  <c r="P53" i="111"/>
  <c r="R53" i="111" s="1"/>
  <c r="C55" i="111"/>
  <c r="E55" i="111" s="1"/>
  <c r="O56" i="111"/>
  <c r="R56" i="111" s="1"/>
  <c r="M32" i="81"/>
  <c r="O29" i="67"/>
  <c r="J39" i="53"/>
  <c r="D41" i="38"/>
  <c r="I39" i="53"/>
  <c r="P27" i="38"/>
  <c r="C41" i="38"/>
  <c r="C13" i="111"/>
  <c r="M14" i="111"/>
  <c r="I17" i="111"/>
  <c r="A19" i="111"/>
  <c r="P23" i="111"/>
  <c r="Q23" i="111" s="1"/>
  <c r="I35" i="111"/>
  <c r="L35" i="111" s="1"/>
  <c r="A45" i="111"/>
  <c r="G46" i="111"/>
  <c r="C51" i="111"/>
  <c r="F51" i="111" s="1"/>
  <c r="M52" i="111"/>
  <c r="G54" i="111"/>
  <c r="C62" i="111"/>
  <c r="D62" i="111"/>
  <c r="M11" i="111"/>
  <c r="O14" i="111"/>
  <c r="G19" i="111"/>
  <c r="G27" i="111"/>
  <c r="G34" i="111"/>
  <c r="D45" i="111"/>
  <c r="F45" i="111" s="1"/>
  <c r="I46" i="111"/>
  <c r="K46" i="111" s="1"/>
  <c r="M55" i="111"/>
  <c r="A66" i="111"/>
  <c r="I38" i="53"/>
  <c r="M32" i="53"/>
  <c r="M34" i="53"/>
  <c r="P34" i="53"/>
  <c r="R34" i="53" s="1"/>
  <c r="P32" i="53"/>
  <c r="R32" i="53" s="1"/>
  <c r="M28" i="67"/>
  <c r="P28" i="67"/>
  <c r="Q28" i="67" s="1"/>
  <c r="P32" i="81"/>
  <c r="Q32" i="81" s="1"/>
  <c r="M33" i="81"/>
  <c r="P33" i="81"/>
  <c r="R33" i="81" s="1"/>
  <c r="A33" i="81"/>
  <c r="D33" i="81"/>
  <c r="E33" i="81" s="1"/>
  <c r="J8" i="111"/>
  <c r="G8" i="111"/>
  <c r="G14" i="111"/>
  <c r="J14" i="111"/>
  <c r="J16" i="111"/>
  <c r="G16" i="111"/>
  <c r="J7" i="111"/>
  <c r="J12" i="111"/>
  <c r="J15" i="111"/>
  <c r="I15" i="111"/>
  <c r="G30" i="111"/>
  <c r="J30" i="111"/>
  <c r="L30" i="111" s="1"/>
  <c r="J32" i="111"/>
  <c r="I32" i="111"/>
  <c r="G32" i="111"/>
  <c r="D40" i="111"/>
  <c r="C40" i="111"/>
  <c r="A40" i="111"/>
  <c r="D41" i="111"/>
  <c r="F41" i="111" s="1"/>
  <c r="J42" i="111"/>
  <c r="I42" i="111"/>
  <c r="G42" i="111"/>
  <c r="O49" i="111"/>
  <c r="D57" i="111"/>
  <c r="F57" i="111" s="1"/>
  <c r="P7" i="111"/>
  <c r="M7" i="111"/>
  <c r="P8" i="111"/>
  <c r="M8" i="111"/>
  <c r="P16" i="111"/>
  <c r="M16" i="111"/>
  <c r="D74" i="111"/>
  <c r="C74" i="111"/>
  <c r="J23" i="111"/>
  <c r="I23" i="111"/>
  <c r="P26" i="111"/>
  <c r="M26" i="111"/>
  <c r="P12" i="111"/>
  <c r="M12" i="111"/>
  <c r="P20" i="111"/>
  <c r="O20" i="111"/>
  <c r="M20" i="111"/>
  <c r="D26" i="111"/>
  <c r="C26" i="111"/>
  <c r="P36" i="111"/>
  <c r="O36" i="111"/>
  <c r="M36" i="111"/>
  <c r="P43" i="111"/>
  <c r="M43" i="111"/>
  <c r="O6" i="111"/>
  <c r="O7" i="111"/>
  <c r="O8" i="111"/>
  <c r="O9" i="111"/>
  <c r="M9" i="111"/>
  <c r="P10" i="111"/>
  <c r="R10" i="111" s="1"/>
  <c r="M10" i="111"/>
  <c r="O12" i="111"/>
  <c r="O16" i="111"/>
  <c r="O17" i="111"/>
  <c r="M17" i="111"/>
  <c r="P18" i="111"/>
  <c r="R18" i="111" s="1"/>
  <c r="M18" i="111"/>
  <c r="A24" i="111"/>
  <c r="J31" i="111"/>
  <c r="I31" i="111"/>
  <c r="P34" i="111"/>
  <c r="Q34" i="111" s="1"/>
  <c r="M34" i="111"/>
  <c r="A38" i="111"/>
  <c r="J41" i="111"/>
  <c r="I41" i="111"/>
  <c r="O43" i="111"/>
  <c r="P6" i="111"/>
  <c r="P32" i="111"/>
  <c r="M32" i="111"/>
  <c r="D64" i="111"/>
  <c r="F64" i="111" s="1"/>
  <c r="A64" i="111"/>
  <c r="D22" i="111"/>
  <c r="C22" i="111"/>
  <c r="A22" i="111"/>
  <c r="I28" i="111"/>
  <c r="O32" i="111"/>
  <c r="O33" i="111"/>
  <c r="M33" i="111"/>
  <c r="D38" i="111"/>
  <c r="F38" i="111" s="1"/>
  <c r="I40" i="111"/>
  <c r="P47" i="111"/>
  <c r="R47" i="111" s="1"/>
  <c r="M47" i="111"/>
  <c r="G50" i="111"/>
  <c r="J56" i="111"/>
  <c r="L56" i="111" s="1"/>
  <c r="G56" i="111"/>
  <c r="J28" i="111"/>
  <c r="G39" i="111"/>
  <c r="J39" i="111"/>
  <c r="J40" i="111"/>
  <c r="D49" i="111"/>
  <c r="C49" i="111"/>
  <c r="A49" i="111"/>
  <c r="D54" i="111"/>
  <c r="C54" i="111"/>
  <c r="C6" i="111"/>
  <c r="C8" i="111"/>
  <c r="D10" i="111"/>
  <c r="C10" i="111"/>
  <c r="D12" i="111"/>
  <c r="C12" i="111"/>
  <c r="D14" i="111"/>
  <c r="C14" i="111"/>
  <c r="A14" i="111"/>
  <c r="D18" i="111"/>
  <c r="C18" i="111"/>
  <c r="G22" i="111"/>
  <c r="J22" i="111"/>
  <c r="J24" i="111"/>
  <c r="I24" i="111"/>
  <c r="G24" i="111"/>
  <c r="G44" i="111"/>
  <c r="J44" i="111"/>
  <c r="J50" i="111"/>
  <c r="K50" i="111" s="1"/>
  <c r="G55" i="111"/>
  <c r="J55" i="111"/>
  <c r="K55" i="111" s="1"/>
  <c r="A68" i="111"/>
  <c r="D68" i="111"/>
  <c r="D69" i="111"/>
  <c r="C69" i="111"/>
  <c r="A69" i="111"/>
  <c r="D7" i="111"/>
  <c r="E7" i="111" s="1"/>
  <c r="A7" i="111"/>
  <c r="I39" i="111"/>
  <c r="D6" i="111"/>
  <c r="D8" i="111"/>
  <c r="D11" i="111"/>
  <c r="F11" i="111" s="1"/>
  <c r="C16" i="111"/>
  <c r="D19" i="111"/>
  <c r="F19" i="111" s="1"/>
  <c r="I22" i="111"/>
  <c r="G23" i="111"/>
  <c r="M27" i="111"/>
  <c r="P28" i="111"/>
  <c r="O28" i="111"/>
  <c r="M28" i="111"/>
  <c r="P29" i="111"/>
  <c r="D34" i="111"/>
  <c r="C34" i="111"/>
  <c r="D35" i="111"/>
  <c r="F35" i="111" s="1"/>
  <c r="I44" i="111"/>
  <c r="M50" i="111"/>
  <c r="A52" i="111"/>
  <c r="D52" i="111"/>
  <c r="E52" i="111" s="1"/>
  <c r="A53" i="111"/>
  <c r="C68" i="111"/>
  <c r="D73" i="111"/>
  <c r="C73" i="111"/>
  <c r="J6" i="111"/>
  <c r="G6" i="111"/>
  <c r="P45" i="111"/>
  <c r="O45" i="111"/>
  <c r="M45" i="111"/>
  <c r="P50" i="111"/>
  <c r="Q50" i="111" s="1"/>
  <c r="C53" i="111"/>
  <c r="P24" i="111"/>
  <c r="M24" i="111"/>
  <c r="O26" i="111"/>
  <c r="O27" i="111"/>
  <c r="I6" i="111"/>
  <c r="I7" i="111"/>
  <c r="I8" i="111"/>
  <c r="I12" i="111"/>
  <c r="I14" i="111"/>
  <c r="G15" i="111"/>
  <c r="I16" i="111"/>
  <c r="I20" i="111"/>
  <c r="O24" i="111"/>
  <c r="O25" i="111"/>
  <c r="M25" i="111"/>
  <c r="D30" i="111"/>
  <c r="C30" i="111"/>
  <c r="A30" i="111"/>
  <c r="C32" i="111"/>
  <c r="I36" i="111"/>
  <c r="A41" i="111"/>
  <c r="M49" i="111"/>
  <c r="A57" i="111"/>
  <c r="C82" i="111"/>
  <c r="A82" i="111"/>
  <c r="C83" i="111"/>
  <c r="C84" i="111"/>
  <c r="I57" i="111"/>
  <c r="A65" i="111"/>
  <c r="C70" i="111"/>
  <c r="A77" i="111"/>
  <c r="A79" i="111"/>
  <c r="D82" i="111"/>
  <c r="D83" i="111"/>
  <c r="G43" i="111"/>
  <c r="G48" i="111"/>
  <c r="M51" i="111"/>
  <c r="A56" i="111"/>
  <c r="C65" i="111"/>
  <c r="C77" i="111"/>
  <c r="C79" i="111"/>
  <c r="O51" i="111"/>
  <c r="C56" i="111"/>
  <c r="I43" i="111"/>
  <c r="I48" i="111"/>
  <c r="C20" i="111"/>
  <c r="C28" i="111"/>
  <c r="C36" i="111"/>
  <c r="K21" i="111" l="1"/>
  <c r="F78" i="111"/>
  <c r="K49" i="111"/>
  <c r="E60" i="111"/>
  <c r="K53" i="111"/>
  <c r="E62" i="111"/>
  <c r="R55" i="111"/>
  <c r="K27" i="111"/>
  <c r="E58" i="111"/>
  <c r="E44" i="111"/>
  <c r="E81" i="111"/>
  <c r="Q46" i="111"/>
  <c r="L47" i="111"/>
  <c r="K11" i="111"/>
  <c r="F71" i="111"/>
  <c r="R38" i="111"/>
  <c r="F61" i="111"/>
  <c r="Q11" i="111"/>
  <c r="L29" i="111"/>
  <c r="E76" i="111"/>
  <c r="E51" i="111"/>
  <c r="F55" i="111"/>
  <c r="F50" i="111"/>
  <c r="E75" i="111"/>
  <c r="R27" i="38"/>
  <c r="R39" i="111"/>
  <c r="L26" i="111"/>
  <c r="L51" i="111"/>
  <c r="F43" i="111"/>
  <c r="F21" i="111"/>
  <c r="E37" i="111"/>
  <c r="E42" i="111"/>
  <c r="F34" i="53"/>
  <c r="R34" i="111"/>
  <c r="Q21" i="111"/>
  <c r="Q13" i="111"/>
  <c r="R30" i="111"/>
  <c r="R15" i="111"/>
  <c r="Q56" i="111"/>
  <c r="K51" i="111"/>
  <c r="K33" i="111"/>
  <c r="K37" i="111"/>
  <c r="K52" i="111"/>
  <c r="E9" i="111"/>
  <c r="E63" i="111"/>
  <c r="E15" i="111"/>
  <c r="F24" i="111"/>
  <c r="F9" i="111"/>
  <c r="E66" i="111"/>
  <c r="F59" i="111"/>
  <c r="E48" i="111"/>
  <c r="E31" i="111"/>
  <c r="F39" i="38"/>
  <c r="E41" i="38"/>
  <c r="Q35" i="53"/>
  <c r="E33" i="53"/>
  <c r="Q37" i="111"/>
  <c r="Q41" i="111"/>
  <c r="Q52" i="111"/>
  <c r="Q53" i="111"/>
  <c r="R42" i="111"/>
  <c r="Q19" i="111"/>
  <c r="R40" i="111"/>
  <c r="Q35" i="111"/>
  <c r="L54" i="111"/>
  <c r="K38" i="111"/>
  <c r="K56" i="111"/>
  <c r="L34" i="111"/>
  <c r="K19" i="111"/>
  <c r="L25" i="111"/>
  <c r="F67" i="111"/>
  <c r="F46" i="111"/>
  <c r="F33" i="111"/>
  <c r="E39" i="111"/>
  <c r="F25" i="111"/>
  <c r="F47" i="111"/>
  <c r="F80" i="111"/>
  <c r="E27" i="111"/>
  <c r="R35" i="53"/>
  <c r="F31" i="111"/>
  <c r="L18" i="111"/>
  <c r="F48" i="111"/>
  <c r="R54" i="111"/>
  <c r="K35" i="111"/>
  <c r="E34" i="53"/>
  <c r="F41" i="38"/>
  <c r="Q31" i="111"/>
  <c r="Q32" i="53"/>
  <c r="K38" i="53"/>
  <c r="K13" i="111"/>
  <c r="L46" i="111"/>
  <c r="F62" i="111"/>
  <c r="L50" i="111"/>
  <c r="K30" i="111"/>
  <c r="L55" i="111"/>
  <c r="E64" i="111"/>
  <c r="F23" i="111"/>
  <c r="Q47" i="111"/>
  <c r="Q48" i="111"/>
  <c r="F33" i="81"/>
  <c r="E39" i="38"/>
  <c r="Q22" i="111"/>
  <c r="R22" i="111"/>
  <c r="E72" i="111"/>
  <c r="R33" i="53"/>
  <c r="Q33" i="53"/>
  <c r="F13" i="111"/>
  <c r="E13" i="111"/>
  <c r="Q18" i="111"/>
  <c r="K39" i="53"/>
  <c r="L39" i="53"/>
  <c r="K17" i="111"/>
  <c r="L17" i="111"/>
  <c r="R32" i="81"/>
  <c r="E19" i="111"/>
  <c r="E35" i="111"/>
  <c r="Q14" i="111"/>
  <c r="R14" i="111"/>
  <c r="K10" i="111"/>
  <c r="L10" i="111"/>
  <c r="R23" i="111"/>
  <c r="Q27" i="38"/>
  <c r="K9" i="111"/>
  <c r="L9" i="111"/>
  <c r="Q29" i="67"/>
  <c r="R29" i="67"/>
  <c r="E45" i="111"/>
  <c r="R44" i="111"/>
  <c r="Q44" i="111"/>
  <c r="L38" i="53"/>
  <c r="E17" i="111"/>
  <c r="F17" i="111"/>
  <c r="K45" i="111"/>
  <c r="L45" i="111"/>
  <c r="E29" i="111"/>
  <c r="E11" i="111"/>
  <c r="Q10" i="111"/>
  <c r="Q33" i="81"/>
  <c r="E40" i="38"/>
  <c r="F40" i="38"/>
  <c r="Q34" i="53"/>
  <c r="R28" i="67"/>
  <c r="F22" i="111"/>
  <c r="E22" i="111"/>
  <c r="L41" i="111"/>
  <c r="K41" i="111"/>
  <c r="Q6" i="111"/>
  <c r="R6" i="111"/>
  <c r="L42" i="111"/>
  <c r="K42" i="111"/>
  <c r="E57" i="111"/>
  <c r="R17" i="111"/>
  <c r="Q17" i="111"/>
  <c r="F70" i="111"/>
  <c r="E70" i="111"/>
  <c r="R27" i="111"/>
  <c r="Q27" i="111"/>
  <c r="K20" i="111"/>
  <c r="L20" i="111"/>
  <c r="R16" i="111"/>
  <c r="Q16" i="111"/>
  <c r="E20" i="111"/>
  <c r="F20" i="111"/>
  <c r="L16" i="111"/>
  <c r="K16" i="111"/>
  <c r="R50" i="111"/>
  <c r="L22" i="111"/>
  <c r="K22" i="111"/>
  <c r="E10" i="111"/>
  <c r="F10" i="111"/>
  <c r="Q36" i="111"/>
  <c r="R36" i="111"/>
  <c r="F40" i="111"/>
  <c r="E40" i="111"/>
  <c r="E41" i="111"/>
  <c r="L48" i="111"/>
  <c r="K48" i="111"/>
  <c r="E32" i="111"/>
  <c r="F32" i="111"/>
  <c r="E68" i="111"/>
  <c r="F68" i="111"/>
  <c r="F34" i="111"/>
  <c r="E34" i="111"/>
  <c r="Q12" i="111"/>
  <c r="R12" i="111"/>
  <c r="F73" i="111"/>
  <c r="E73" i="111"/>
  <c r="Q28" i="111"/>
  <c r="R28" i="111"/>
  <c r="E14" i="111"/>
  <c r="F14" i="111"/>
  <c r="R43" i="111"/>
  <c r="Q43" i="111"/>
  <c r="R24" i="111"/>
  <c r="Q24" i="111"/>
  <c r="Q26" i="111"/>
  <c r="R26" i="111"/>
  <c r="L39" i="111"/>
  <c r="K39" i="111"/>
  <c r="E12" i="111"/>
  <c r="F12" i="111"/>
  <c r="K36" i="111"/>
  <c r="L36" i="111"/>
  <c r="F54" i="111"/>
  <c r="E54" i="111"/>
  <c r="L23" i="111"/>
  <c r="K23" i="111"/>
  <c r="L43" i="111"/>
  <c r="K43" i="111"/>
  <c r="E84" i="111"/>
  <c r="F84" i="111"/>
  <c r="L14" i="111"/>
  <c r="K14" i="111"/>
  <c r="E8" i="111"/>
  <c r="F8" i="111"/>
  <c r="R33" i="111"/>
  <c r="Q33" i="111"/>
  <c r="E38" i="111"/>
  <c r="L31" i="111"/>
  <c r="K31" i="111"/>
  <c r="F26" i="111"/>
  <c r="E26" i="111"/>
  <c r="R32" i="111"/>
  <c r="Q32" i="111"/>
  <c r="R25" i="111"/>
  <c r="Q25" i="111"/>
  <c r="F69" i="111"/>
  <c r="E69" i="111"/>
  <c r="L32" i="111"/>
  <c r="K32" i="111"/>
  <c r="F65" i="111"/>
  <c r="E65" i="111"/>
  <c r="L40" i="111"/>
  <c r="K40" i="111"/>
  <c r="F36" i="111"/>
  <c r="E36" i="111"/>
  <c r="F28" i="111"/>
  <c r="E28" i="111"/>
  <c r="F79" i="111"/>
  <c r="E79" i="111"/>
  <c r="F83" i="111"/>
  <c r="E83" i="111"/>
  <c r="F56" i="111"/>
  <c r="E56" i="111"/>
  <c r="F77" i="111"/>
  <c r="E77" i="111"/>
  <c r="F30" i="111"/>
  <c r="E30" i="111"/>
  <c r="L8" i="111"/>
  <c r="K8" i="111"/>
  <c r="E18" i="111"/>
  <c r="F18" i="111"/>
  <c r="F49" i="111"/>
  <c r="E49" i="111"/>
  <c r="R49" i="111"/>
  <c r="Q49" i="111"/>
  <c r="L15" i="111"/>
  <c r="K15" i="111"/>
  <c r="F52" i="111"/>
  <c r="R9" i="111"/>
  <c r="Q9" i="111"/>
  <c r="Q20" i="111"/>
  <c r="R20" i="111"/>
  <c r="F7" i="111"/>
  <c r="R7" i="111"/>
  <c r="Q7" i="111"/>
  <c r="L44" i="111"/>
  <c r="K44" i="111"/>
  <c r="K24" i="111"/>
  <c r="L24" i="111"/>
  <c r="R45" i="111"/>
  <c r="Q45" i="111"/>
  <c r="L57" i="111"/>
  <c r="K57" i="111"/>
  <c r="K12" i="111"/>
  <c r="L12" i="111"/>
  <c r="E16" i="111"/>
  <c r="F16" i="111"/>
  <c r="E6" i="111"/>
  <c r="F6" i="111"/>
  <c r="E82" i="111"/>
  <c r="F82" i="111"/>
  <c r="K7" i="111"/>
  <c r="L7" i="111"/>
  <c r="F53" i="111"/>
  <c r="E53" i="111"/>
  <c r="R29" i="111"/>
  <c r="Q29" i="111"/>
  <c r="R51" i="111"/>
  <c r="Q51" i="111"/>
  <c r="L6" i="111"/>
  <c r="K6" i="111"/>
  <c r="K28" i="111"/>
  <c r="L28" i="111"/>
  <c r="R8" i="111"/>
  <c r="Q8" i="111"/>
  <c r="F74" i="111"/>
  <c r="E74" i="111"/>
  <c r="B38" i="38" l="1"/>
  <c r="D38" i="38" s="1"/>
  <c r="B37" i="38"/>
  <c r="C37" i="38" s="1"/>
  <c r="B36" i="38"/>
  <c r="D36" i="38" s="1"/>
  <c r="B35" i="38"/>
  <c r="C35" i="38" s="1"/>
  <c r="B34" i="38"/>
  <c r="D34" i="38" s="1"/>
  <c r="B33" i="38"/>
  <c r="C33" i="38" s="1"/>
  <c r="B32" i="38"/>
  <c r="D32" i="38" s="1"/>
  <c r="B31" i="38"/>
  <c r="A31" i="38" s="1"/>
  <c r="B30" i="38"/>
  <c r="D30" i="38" s="1"/>
  <c r="H29" i="38"/>
  <c r="J29" i="38" s="1"/>
  <c r="B29" i="38"/>
  <c r="D29" i="38" s="1"/>
  <c r="H28" i="38"/>
  <c r="G28" i="38" s="1"/>
  <c r="B28" i="38"/>
  <c r="D28" i="38" s="1"/>
  <c r="H27" i="38"/>
  <c r="J27" i="38" s="1"/>
  <c r="B27" i="38"/>
  <c r="C27" i="38" s="1"/>
  <c r="N26" i="38"/>
  <c r="P26" i="38" s="1"/>
  <c r="H26" i="38"/>
  <c r="J26" i="38" s="1"/>
  <c r="B26" i="38"/>
  <c r="D26" i="38" s="1"/>
  <c r="N25" i="38"/>
  <c r="M25" i="38" s="1"/>
  <c r="H25" i="38"/>
  <c r="J25" i="38" s="1"/>
  <c r="B25" i="38"/>
  <c r="D25" i="38" s="1"/>
  <c r="N24" i="38"/>
  <c r="P24" i="38" s="1"/>
  <c r="H24" i="38"/>
  <c r="I24" i="38" s="1"/>
  <c r="B24" i="38"/>
  <c r="D24" i="38" s="1"/>
  <c r="N23" i="38"/>
  <c r="P23" i="38" s="1"/>
  <c r="H23" i="38"/>
  <c r="J23" i="38" s="1"/>
  <c r="B23" i="38"/>
  <c r="A23" i="38" s="1"/>
  <c r="N22" i="38"/>
  <c r="P22" i="38" s="1"/>
  <c r="H22" i="38"/>
  <c r="J22" i="38" s="1"/>
  <c r="B22" i="38"/>
  <c r="D22" i="38" s="1"/>
  <c r="N21" i="38"/>
  <c r="O21" i="38" s="1"/>
  <c r="H21" i="38"/>
  <c r="J21" i="38" s="1"/>
  <c r="B21" i="38"/>
  <c r="D21" i="38" s="1"/>
  <c r="N20" i="38"/>
  <c r="P20" i="38" s="1"/>
  <c r="H20" i="38"/>
  <c r="G20" i="38" s="1"/>
  <c r="B20" i="38"/>
  <c r="D20" i="38" s="1"/>
  <c r="N19" i="38"/>
  <c r="P19" i="38" s="1"/>
  <c r="H19" i="38"/>
  <c r="J19" i="38" s="1"/>
  <c r="B19" i="38"/>
  <c r="C19" i="38" s="1"/>
  <c r="N18" i="38"/>
  <c r="P18" i="38" s="1"/>
  <c r="H18" i="38"/>
  <c r="J18" i="38" s="1"/>
  <c r="B18" i="38"/>
  <c r="D18" i="38" s="1"/>
  <c r="N17" i="38"/>
  <c r="M17" i="38" s="1"/>
  <c r="H17" i="38"/>
  <c r="J17" i="38" s="1"/>
  <c r="B17" i="38"/>
  <c r="D17" i="38" s="1"/>
  <c r="N16" i="38"/>
  <c r="P16" i="38" s="1"/>
  <c r="H16" i="38"/>
  <c r="I16" i="38" s="1"/>
  <c r="B16" i="38"/>
  <c r="D16" i="38" s="1"/>
  <c r="N15" i="38"/>
  <c r="P15" i="38" s="1"/>
  <c r="H15" i="38"/>
  <c r="J15" i="38" s="1"/>
  <c r="B15" i="38"/>
  <c r="A15" i="38" s="1"/>
  <c r="N14" i="38"/>
  <c r="P14" i="38" s="1"/>
  <c r="H14" i="38"/>
  <c r="J14" i="38" s="1"/>
  <c r="B14" i="38"/>
  <c r="D14" i="38" s="1"/>
  <c r="N13" i="38"/>
  <c r="O13" i="38" s="1"/>
  <c r="H13" i="38"/>
  <c r="J13" i="38" s="1"/>
  <c r="B13" i="38"/>
  <c r="D13" i="38" s="1"/>
  <c r="N12" i="38"/>
  <c r="P12" i="38" s="1"/>
  <c r="H12" i="38"/>
  <c r="G12" i="38" s="1"/>
  <c r="B12" i="38"/>
  <c r="D12" i="38" s="1"/>
  <c r="N11" i="38"/>
  <c r="P11" i="38" s="1"/>
  <c r="H11" i="38"/>
  <c r="J11" i="38" s="1"/>
  <c r="B11" i="38"/>
  <c r="C11" i="38" s="1"/>
  <c r="N10" i="38"/>
  <c r="P10" i="38" s="1"/>
  <c r="H10" i="38"/>
  <c r="J10" i="38" s="1"/>
  <c r="B10" i="38"/>
  <c r="D10" i="38" s="1"/>
  <c r="N9" i="38"/>
  <c r="M9" i="38" s="1"/>
  <c r="H9" i="38"/>
  <c r="J9" i="38" s="1"/>
  <c r="B9" i="38"/>
  <c r="D9" i="38" s="1"/>
  <c r="N8" i="38"/>
  <c r="P8" i="38" s="1"/>
  <c r="H8" i="38"/>
  <c r="I8" i="38" s="1"/>
  <c r="B8" i="38"/>
  <c r="D8" i="38" s="1"/>
  <c r="N7" i="38"/>
  <c r="P7" i="38" s="1"/>
  <c r="H7" i="38"/>
  <c r="J7" i="38" s="1"/>
  <c r="B7" i="38"/>
  <c r="A7" i="38" s="1"/>
  <c r="N6" i="38"/>
  <c r="P6" i="38" s="1"/>
  <c r="H6" i="38"/>
  <c r="J6" i="38" s="1"/>
  <c r="B6" i="38"/>
  <c r="D6" i="38" s="1"/>
  <c r="H37" i="53"/>
  <c r="G37" i="53" s="1"/>
  <c r="H36" i="53"/>
  <c r="J36" i="53" s="1"/>
  <c r="H35" i="53"/>
  <c r="G35" i="53" s="1"/>
  <c r="H34" i="53"/>
  <c r="J34" i="53" s="1"/>
  <c r="H33" i="53"/>
  <c r="G33" i="53" s="1"/>
  <c r="H32" i="53"/>
  <c r="J32" i="53" s="1"/>
  <c r="B32" i="53"/>
  <c r="A32" i="53" s="1"/>
  <c r="N31" i="53"/>
  <c r="P31" i="53" s="1"/>
  <c r="H31" i="53"/>
  <c r="G31" i="53" s="1"/>
  <c r="B31" i="53"/>
  <c r="C31" i="53" s="1"/>
  <c r="N30" i="53"/>
  <c r="M30" i="53" s="1"/>
  <c r="H30" i="53"/>
  <c r="J30" i="53" s="1"/>
  <c r="B30" i="53"/>
  <c r="A30" i="53" s="1"/>
  <c r="N29" i="53"/>
  <c r="P29" i="53" s="1"/>
  <c r="H29" i="53"/>
  <c r="G29" i="53" s="1"/>
  <c r="B29" i="53"/>
  <c r="D29" i="53" s="1"/>
  <c r="N28" i="53"/>
  <c r="M28" i="53" s="1"/>
  <c r="H28" i="53"/>
  <c r="J28" i="53" s="1"/>
  <c r="B28" i="53"/>
  <c r="A28" i="53" s="1"/>
  <c r="N27" i="53"/>
  <c r="P27" i="53" s="1"/>
  <c r="H27" i="53"/>
  <c r="J27" i="53" s="1"/>
  <c r="B27" i="53"/>
  <c r="A27" i="53" s="1"/>
  <c r="N26" i="53"/>
  <c r="P26" i="53" s="1"/>
  <c r="H26" i="53"/>
  <c r="I26" i="53" s="1"/>
  <c r="B26" i="53"/>
  <c r="D26" i="53" s="1"/>
  <c r="N25" i="53"/>
  <c r="O25" i="53" s="1"/>
  <c r="H25" i="53"/>
  <c r="J25" i="53" s="1"/>
  <c r="B25" i="53"/>
  <c r="D25" i="53" s="1"/>
  <c r="N24" i="53"/>
  <c r="P24" i="53" s="1"/>
  <c r="H24" i="53"/>
  <c r="G24" i="53" s="1"/>
  <c r="B24" i="53"/>
  <c r="D24" i="53" s="1"/>
  <c r="N23" i="53"/>
  <c r="O23" i="53" s="1"/>
  <c r="H23" i="53"/>
  <c r="J23" i="53" s="1"/>
  <c r="B23" i="53"/>
  <c r="C23" i="53" s="1"/>
  <c r="N22" i="53"/>
  <c r="P22" i="53" s="1"/>
  <c r="H22" i="53"/>
  <c r="J22" i="53" s="1"/>
  <c r="B22" i="53"/>
  <c r="D22" i="53" s="1"/>
  <c r="N21" i="53"/>
  <c r="M21" i="53" s="1"/>
  <c r="H21" i="53"/>
  <c r="J21" i="53" s="1"/>
  <c r="B21" i="53"/>
  <c r="C21" i="53" s="1"/>
  <c r="N20" i="53"/>
  <c r="P20" i="53" s="1"/>
  <c r="H20" i="53"/>
  <c r="I20" i="53" s="1"/>
  <c r="B20" i="53"/>
  <c r="D20" i="53" s="1"/>
  <c r="N19" i="53"/>
  <c r="P19" i="53" s="1"/>
  <c r="H19" i="53"/>
  <c r="J19" i="53" s="1"/>
  <c r="B19" i="53"/>
  <c r="A19" i="53" s="1"/>
  <c r="N18" i="53"/>
  <c r="P18" i="53" s="1"/>
  <c r="H18" i="53"/>
  <c r="I18" i="53" s="1"/>
  <c r="B18" i="53"/>
  <c r="D18" i="53" s="1"/>
  <c r="N17" i="53"/>
  <c r="O17" i="53" s="1"/>
  <c r="H17" i="53"/>
  <c r="J17" i="53" s="1"/>
  <c r="B17" i="53"/>
  <c r="D17" i="53" s="1"/>
  <c r="N16" i="53"/>
  <c r="P16" i="53" s="1"/>
  <c r="H16" i="53"/>
  <c r="G16" i="53" s="1"/>
  <c r="B16" i="53"/>
  <c r="D16" i="53" s="1"/>
  <c r="N15" i="53"/>
  <c r="O15" i="53" s="1"/>
  <c r="H15" i="53"/>
  <c r="J15" i="53" s="1"/>
  <c r="B15" i="53"/>
  <c r="C15" i="53" s="1"/>
  <c r="N14" i="53"/>
  <c r="P14" i="53" s="1"/>
  <c r="H14" i="53"/>
  <c r="J14" i="53" s="1"/>
  <c r="B14" i="53"/>
  <c r="D14" i="53" s="1"/>
  <c r="N13" i="53"/>
  <c r="M13" i="53" s="1"/>
  <c r="H13" i="53"/>
  <c r="J13" i="53" s="1"/>
  <c r="B13" i="53"/>
  <c r="C13" i="53" s="1"/>
  <c r="N12" i="53"/>
  <c r="P12" i="53" s="1"/>
  <c r="H12" i="53"/>
  <c r="I12" i="53" s="1"/>
  <c r="B12" i="53"/>
  <c r="D12" i="53" s="1"/>
  <c r="N11" i="53"/>
  <c r="P11" i="53" s="1"/>
  <c r="H11" i="53"/>
  <c r="J11" i="53" s="1"/>
  <c r="B11" i="53"/>
  <c r="A11" i="53" s="1"/>
  <c r="N10" i="53"/>
  <c r="P10" i="53" s="1"/>
  <c r="H10" i="53"/>
  <c r="I10" i="53" s="1"/>
  <c r="B10" i="53"/>
  <c r="D10" i="53" s="1"/>
  <c r="N9" i="53"/>
  <c r="O9" i="53" s="1"/>
  <c r="H9" i="53"/>
  <c r="J9" i="53" s="1"/>
  <c r="B9" i="53"/>
  <c r="D9" i="53" s="1"/>
  <c r="N8" i="53"/>
  <c r="P8" i="53" s="1"/>
  <c r="H8" i="53"/>
  <c r="G8" i="53" s="1"/>
  <c r="B8" i="53"/>
  <c r="D8" i="53" s="1"/>
  <c r="N7" i="53"/>
  <c r="O7" i="53" s="1"/>
  <c r="H7" i="53"/>
  <c r="J7" i="53" s="1"/>
  <c r="B7" i="53"/>
  <c r="C7" i="53" s="1"/>
  <c r="N6" i="53"/>
  <c r="P6" i="53" s="1"/>
  <c r="H6" i="53"/>
  <c r="J6" i="53" s="1"/>
  <c r="B6" i="53"/>
  <c r="D6" i="53" s="1"/>
  <c r="B40" i="60"/>
  <c r="D40" i="60" s="1"/>
  <c r="B39" i="60"/>
  <c r="D39" i="60" s="1"/>
  <c r="B38" i="60"/>
  <c r="D38" i="60" s="1"/>
  <c r="H37" i="60"/>
  <c r="J37" i="60" s="1"/>
  <c r="B37" i="60"/>
  <c r="D37" i="60" s="1"/>
  <c r="H36" i="60"/>
  <c r="J36" i="60" s="1"/>
  <c r="B36" i="60"/>
  <c r="D36" i="60" s="1"/>
  <c r="H35" i="60"/>
  <c r="J35" i="60" s="1"/>
  <c r="B35" i="60"/>
  <c r="D35" i="60" s="1"/>
  <c r="H34" i="60"/>
  <c r="J34" i="60" s="1"/>
  <c r="B34" i="60"/>
  <c r="D34" i="60" s="1"/>
  <c r="H33" i="60"/>
  <c r="J33" i="60" s="1"/>
  <c r="B33" i="60"/>
  <c r="D33" i="60" s="1"/>
  <c r="H32" i="60"/>
  <c r="J32" i="60" s="1"/>
  <c r="B32" i="60"/>
  <c r="D32" i="60" s="1"/>
  <c r="H31" i="60"/>
  <c r="J31" i="60" s="1"/>
  <c r="B31" i="60"/>
  <c r="A31" i="60" s="1"/>
  <c r="H30" i="60"/>
  <c r="G30" i="60" s="1"/>
  <c r="B30" i="60"/>
  <c r="D30" i="60" s="1"/>
  <c r="N29" i="60"/>
  <c r="O29" i="60" s="1"/>
  <c r="H29" i="60"/>
  <c r="J29" i="60" s="1"/>
  <c r="B29" i="60"/>
  <c r="D29" i="60" s="1"/>
  <c r="N28" i="60"/>
  <c r="P28" i="60" s="1"/>
  <c r="H28" i="60"/>
  <c r="G28" i="60" s="1"/>
  <c r="B28" i="60"/>
  <c r="D28" i="60" s="1"/>
  <c r="N27" i="60"/>
  <c r="M27" i="60" s="1"/>
  <c r="H27" i="60"/>
  <c r="J27" i="60" s="1"/>
  <c r="B27" i="60"/>
  <c r="C27" i="60" s="1"/>
  <c r="N26" i="60"/>
  <c r="P26" i="60" s="1"/>
  <c r="H26" i="60"/>
  <c r="J26" i="60" s="1"/>
  <c r="B26" i="60"/>
  <c r="D26" i="60" s="1"/>
  <c r="N25" i="60"/>
  <c r="M25" i="60" s="1"/>
  <c r="H25" i="60"/>
  <c r="J25" i="60" s="1"/>
  <c r="B25" i="60"/>
  <c r="A25" i="60" s="1"/>
  <c r="N24" i="60"/>
  <c r="P24" i="60" s="1"/>
  <c r="H24" i="60"/>
  <c r="I24" i="60" s="1"/>
  <c r="B24" i="60"/>
  <c r="D24" i="60" s="1"/>
  <c r="N23" i="60"/>
  <c r="P23" i="60" s="1"/>
  <c r="H23" i="60"/>
  <c r="J23" i="60" s="1"/>
  <c r="B23" i="60"/>
  <c r="A23" i="60" s="1"/>
  <c r="N22" i="60"/>
  <c r="P22" i="60" s="1"/>
  <c r="H22" i="60"/>
  <c r="G22" i="60" s="1"/>
  <c r="B22" i="60"/>
  <c r="D22" i="60" s="1"/>
  <c r="N21" i="60"/>
  <c r="O21" i="60" s="1"/>
  <c r="H21" i="60"/>
  <c r="J21" i="60" s="1"/>
  <c r="B21" i="60"/>
  <c r="D21" i="60" s="1"/>
  <c r="N20" i="60"/>
  <c r="P20" i="60" s="1"/>
  <c r="H20" i="60"/>
  <c r="G20" i="60" s="1"/>
  <c r="B20" i="60"/>
  <c r="D20" i="60" s="1"/>
  <c r="N19" i="60"/>
  <c r="M19" i="60" s="1"/>
  <c r="H19" i="60"/>
  <c r="J19" i="60" s="1"/>
  <c r="B19" i="60"/>
  <c r="C19" i="60" s="1"/>
  <c r="N18" i="60"/>
  <c r="P18" i="60" s="1"/>
  <c r="H18" i="60"/>
  <c r="J18" i="60" s="1"/>
  <c r="B18" i="60"/>
  <c r="D18" i="60" s="1"/>
  <c r="N17" i="60"/>
  <c r="M17" i="60" s="1"/>
  <c r="H17" i="60"/>
  <c r="J17" i="60" s="1"/>
  <c r="B17" i="60"/>
  <c r="A17" i="60" s="1"/>
  <c r="N16" i="60"/>
  <c r="P16" i="60" s="1"/>
  <c r="H16" i="60"/>
  <c r="I16" i="60" s="1"/>
  <c r="B16" i="60"/>
  <c r="D16" i="60" s="1"/>
  <c r="N15" i="60"/>
  <c r="P15" i="60" s="1"/>
  <c r="H15" i="60"/>
  <c r="J15" i="60" s="1"/>
  <c r="B15" i="60"/>
  <c r="A15" i="60" s="1"/>
  <c r="N14" i="60"/>
  <c r="P14" i="60" s="1"/>
  <c r="H14" i="60"/>
  <c r="G14" i="60" s="1"/>
  <c r="B14" i="60"/>
  <c r="D14" i="60" s="1"/>
  <c r="N13" i="60"/>
  <c r="O13" i="60" s="1"/>
  <c r="H13" i="60"/>
  <c r="J13" i="60" s="1"/>
  <c r="B13" i="60"/>
  <c r="D13" i="60" s="1"/>
  <c r="N12" i="60"/>
  <c r="P12" i="60" s="1"/>
  <c r="H12" i="60"/>
  <c r="G12" i="60" s="1"/>
  <c r="B12" i="60"/>
  <c r="D12" i="60" s="1"/>
  <c r="N11" i="60"/>
  <c r="M11" i="60" s="1"/>
  <c r="H11" i="60"/>
  <c r="J11" i="60" s="1"/>
  <c r="B11" i="60"/>
  <c r="C11" i="60" s="1"/>
  <c r="N10" i="60"/>
  <c r="P10" i="60" s="1"/>
  <c r="H10" i="60"/>
  <c r="J10" i="60" s="1"/>
  <c r="B10" i="60"/>
  <c r="D10" i="60" s="1"/>
  <c r="N9" i="60"/>
  <c r="M9" i="60" s="1"/>
  <c r="H9" i="60"/>
  <c r="J9" i="60" s="1"/>
  <c r="B9" i="60"/>
  <c r="N8" i="60"/>
  <c r="P8" i="60" s="1"/>
  <c r="H8" i="60"/>
  <c r="I8" i="60" s="1"/>
  <c r="B8" i="60"/>
  <c r="D8" i="60" s="1"/>
  <c r="N7" i="60"/>
  <c r="P7" i="60" s="1"/>
  <c r="H7" i="60"/>
  <c r="J7" i="60" s="1"/>
  <c r="B7" i="60"/>
  <c r="A7" i="60" s="1"/>
  <c r="N6" i="60"/>
  <c r="P6" i="60" s="1"/>
  <c r="H6" i="60"/>
  <c r="G6" i="60" s="1"/>
  <c r="B6" i="60"/>
  <c r="D6" i="60" s="1"/>
  <c r="B28" i="67"/>
  <c r="D28" i="67" s="1"/>
  <c r="N27" i="67"/>
  <c r="M27" i="67" s="1"/>
  <c r="B27" i="67"/>
  <c r="A27" i="67" s="1"/>
  <c r="N26" i="67"/>
  <c r="P26" i="67" s="1"/>
  <c r="H26" i="67"/>
  <c r="G26" i="67" s="1"/>
  <c r="B26" i="67"/>
  <c r="D26" i="67" s="1"/>
  <c r="N25" i="67"/>
  <c r="M25" i="67" s="1"/>
  <c r="H25" i="67"/>
  <c r="J25" i="67" s="1"/>
  <c r="B25" i="67"/>
  <c r="A25" i="67" s="1"/>
  <c r="N24" i="67"/>
  <c r="P24" i="67" s="1"/>
  <c r="H24" i="67"/>
  <c r="J24" i="67" s="1"/>
  <c r="B24" i="67"/>
  <c r="D24" i="67" s="1"/>
  <c r="N23" i="67"/>
  <c r="M23" i="67" s="1"/>
  <c r="H23" i="67"/>
  <c r="J23" i="67" s="1"/>
  <c r="B23" i="67"/>
  <c r="A23" i="67" s="1"/>
  <c r="N22" i="67"/>
  <c r="P22" i="67" s="1"/>
  <c r="H22" i="67"/>
  <c r="B22" i="67"/>
  <c r="D22" i="67" s="1"/>
  <c r="N21" i="67"/>
  <c r="M21" i="67" s="1"/>
  <c r="H21" i="67"/>
  <c r="J21" i="67" s="1"/>
  <c r="B21" i="67"/>
  <c r="A21" i="67" s="1"/>
  <c r="N20" i="67"/>
  <c r="P20" i="67" s="1"/>
  <c r="H20" i="67"/>
  <c r="G20" i="67" s="1"/>
  <c r="B20" i="67"/>
  <c r="D20" i="67" s="1"/>
  <c r="N19" i="67"/>
  <c r="H19" i="67"/>
  <c r="J19" i="67" s="1"/>
  <c r="B19" i="67"/>
  <c r="A19" i="67" s="1"/>
  <c r="N18" i="67"/>
  <c r="P18" i="67" s="1"/>
  <c r="H18" i="67"/>
  <c r="G18" i="67" s="1"/>
  <c r="B18" i="67"/>
  <c r="D18" i="67" s="1"/>
  <c r="N17" i="67"/>
  <c r="M17" i="67" s="1"/>
  <c r="H17" i="67"/>
  <c r="J17" i="67" s="1"/>
  <c r="B17" i="67"/>
  <c r="N16" i="67"/>
  <c r="P16" i="67" s="1"/>
  <c r="H16" i="67"/>
  <c r="G16" i="67" s="1"/>
  <c r="B16" i="67"/>
  <c r="D16" i="67" s="1"/>
  <c r="N15" i="67"/>
  <c r="M15" i="67" s="1"/>
  <c r="H15" i="67"/>
  <c r="J15" i="67" s="1"/>
  <c r="B15" i="67"/>
  <c r="A15" i="67" s="1"/>
  <c r="N14" i="67"/>
  <c r="P14" i="67" s="1"/>
  <c r="H14" i="67"/>
  <c r="B14" i="67"/>
  <c r="D14" i="67" s="1"/>
  <c r="N13" i="67"/>
  <c r="M13" i="67" s="1"/>
  <c r="H13" i="67"/>
  <c r="J13" i="67" s="1"/>
  <c r="B13" i="67"/>
  <c r="A13" i="67" s="1"/>
  <c r="N12" i="67"/>
  <c r="P12" i="67" s="1"/>
  <c r="H12" i="67"/>
  <c r="G12" i="67" s="1"/>
  <c r="B12" i="67"/>
  <c r="D12" i="67" s="1"/>
  <c r="N11" i="67"/>
  <c r="H11" i="67"/>
  <c r="J11" i="67" s="1"/>
  <c r="B11" i="67"/>
  <c r="A11" i="67" s="1"/>
  <c r="N10" i="67"/>
  <c r="P10" i="67" s="1"/>
  <c r="H10" i="67"/>
  <c r="G10" i="67" s="1"/>
  <c r="B10" i="67"/>
  <c r="D10" i="67" s="1"/>
  <c r="N9" i="67"/>
  <c r="M9" i="67" s="1"/>
  <c r="H9" i="67"/>
  <c r="J9" i="67" s="1"/>
  <c r="B9" i="67"/>
  <c r="N8" i="67"/>
  <c r="P8" i="67" s="1"/>
  <c r="H8" i="67"/>
  <c r="G8" i="67" s="1"/>
  <c r="B8" i="67"/>
  <c r="D8" i="67" s="1"/>
  <c r="N7" i="67"/>
  <c r="M7" i="67" s="1"/>
  <c r="H7" i="67"/>
  <c r="J7" i="67" s="1"/>
  <c r="B7" i="67"/>
  <c r="A7" i="67" s="1"/>
  <c r="N6" i="67"/>
  <c r="P6" i="67" s="1"/>
  <c r="H6" i="67"/>
  <c r="J6" i="67" s="1"/>
  <c r="B6" i="67"/>
  <c r="D6" i="67" s="1"/>
  <c r="B32" i="81"/>
  <c r="C32" i="81" s="1"/>
  <c r="N31" i="81"/>
  <c r="P31" i="81" s="1"/>
  <c r="B31" i="81"/>
  <c r="D31" i="81" s="1"/>
  <c r="N30" i="81"/>
  <c r="O30" i="81" s="1"/>
  <c r="B30" i="81"/>
  <c r="C30" i="81" s="1"/>
  <c r="N29" i="81"/>
  <c r="P29" i="81" s="1"/>
  <c r="B29" i="81"/>
  <c r="D29" i="81" s="1"/>
  <c r="N28" i="81"/>
  <c r="O28" i="81" s="1"/>
  <c r="B28" i="81"/>
  <c r="C28" i="81" s="1"/>
  <c r="N27" i="81"/>
  <c r="P27" i="81" s="1"/>
  <c r="B27" i="81"/>
  <c r="D27" i="81" s="1"/>
  <c r="N26" i="81"/>
  <c r="O26" i="81" s="1"/>
  <c r="B26" i="81"/>
  <c r="C26" i="81" s="1"/>
  <c r="N25" i="81"/>
  <c r="P25" i="81" s="1"/>
  <c r="B25" i="81"/>
  <c r="D25" i="81" s="1"/>
  <c r="N24" i="81"/>
  <c r="O24" i="81" s="1"/>
  <c r="B24" i="81"/>
  <c r="C24" i="81" s="1"/>
  <c r="N23" i="81"/>
  <c r="P23" i="81" s="1"/>
  <c r="B23" i="81"/>
  <c r="D23" i="81" s="1"/>
  <c r="N22" i="81"/>
  <c r="O22" i="81" s="1"/>
  <c r="B22" i="81"/>
  <c r="C22" i="81" s="1"/>
  <c r="N21" i="81"/>
  <c r="P21" i="81" s="1"/>
  <c r="H21" i="81"/>
  <c r="I21" i="81" s="1"/>
  <c r="B21" i="81"/>
  <c r="D21" i="81" s="1"/>
  <c r="N20" i="81"/>
  <c r="O20" i="81" s="1"/>
  <c r="H20" i="81"/>
  <c r="J20" i="81" s="1"/>
  <c r="B20" i="81"/>
  <c r="C20" i="81" s="1"/>
  <c r="N19" i="81"/>
  <c r="P19" i="81" s="1"/>
  <c r="H19" i="81"/>
  <c r="I19" i="81" s="1"/>
  <c r="B19" i="81"/>
  <c r="D19" i="81" s="1"/>
  <c r="N18" i="81"/>
  <c r="O18" i="81" s="1"/>
  <c r="H18" i="81"/>
  <c r="J18" i="81" s="1"/>
  <c r="B18" i="81"/>
  <c r="C18" i="81" s="1"/>
  <c r="N17" i="81"/>
  <c r="P17" i="81" s="1"/>
  <c r="H17" i="81"/>
  <c r="I17" i="81" s="1"/>
  <c r="B17" i="81"/>
  <c r="D17" i="81" s="1"/>
  <c r="N16" i="81"/>
  <c r="O16" i="81" s="1"/>
  <c r="H16" i="81"/>
  <c r="J16" i="81" s="1"/>
  <c r="B16" i="81"/>
  <c r="C16" i="81" s="1"/>
  <c r="N15" i="81"/>
  <c r="P15" i="81" s="1"/>
  <c r="H15" i="81"/>
  <c r="I15" i="81" s="1"/>
  <c r="B15" i="81"/>
  <c r="D15" i="81" s="1"/>
  <c r="N14" i="81"/>
  <c r="O14" i="81" s="1"/>
  <c r="H14" i="81"/>
  <c r="J14" i="81" s="1"/>
  <c r="B14" i="81"/>
  <c r="C14" i="81" s="1"/>
  <c r="N13" i="81"/>
  <c r="P13" i="81" s="1"/>
  <c r="H13" i="81"/>
  <c r="I13" i="81" s="1"/>
  <c r="B13" i="81"/>
  <c r="D13" i="81" s="1"/>
  <c r="N12" i="81"/>
  <c r="O12" i="81" s="1"/>
  <c r="H12" i="81"/>
  <c r="J12" i="81" s="1"/>
  <c r="B12" i="81"/>
  <c r="C12" i="81" s="1"/>
  <c r="N11" i="81"/>
  <c r="P11" i="81" s="1"/>
  <c r="H11" i="81"/>
  <c r="I11" i="81" s="1"/>
  <c r="B11" i="81"/>
  <c r="D11" i="81" s="1"/>
  <c r="N10" i="81"/>
  <c r="O10" i="81" s="1"/>
  <c r="H10" i="81"/>
  <c r="J10" i="81" s="1"/>
  <c r="B10" i="81"/>
  <c r="C10" i="81" s="1"/>
  <c r="N9" i="81"/>
  <c r="P9" i="81" s="1"/>
  <c r="H9" i="81"/>
  <c r="I9" i="81" s="1"/>
  <c r="B9" i="81"/>
  <c r="D9" i="81" s="1"/>
  <c r="N8" i="81"/>
  <c r="O8" i="81" s="1"/>
  <c r="H8" i="81"/>
  <c r="J8" i="81" s="1"/>
  <c r="B8" i="81"/>
  <c r="D8" i="81" s="1"/>
  <c r="N7" i="81"/>
  <c r="P7" i="81" s="1"/>
  <c r="H7" i="81"/>
  <c r="I7" i="81" s="1"/>
  <c r="B7" i="81"/>
  <c r="D7" i="81" s="1"/>
  <c r="N6" i="81"/>
  <c r="O6" i="81" s="1"/>
  <c r="H6" i="81"/>
  <c r="J6" i="81" s="1"/>
  <c r="B6" i="81"/>
  <c r="C6" i="81" s="1"/>
  <c r="B67" i="88"/>
  <c r="D67" i="88" s="1"/>
  <c r="B66" i="88"/>
  <c r="A66" i="88" s="1"/>
  <c r="B65" i="88"/>
  <c r="D65" i="88" s="1"/>
  <c r="B64" i="88"/>
  <c r="A64" i="88" s="1"/>
  <c r="B63" i="88"/>
  <c r="D63" i="88" s="1"/>
  <c r="B62" i="88"/>
  <c r="A62" i="88" s="1"/>
  <c r="B61" i="88"/>
  <c r="D61" i="88" s="1"/>
  <c r="B60" i="88"/>
  <c r="A60" i="88" s="1"/>
  <c r="B59" i="88"/>
  <c r="D59" i="88" s="1"/>
  <c r="B58" i="88"/>
  <c r="A58" i="88" s="1"/>
  <c r="B57" i="88"/>
  <c r="D57" i="88" s="1"/>
  <c r="B56" i="88"/>
  <c r="A56" i="88" s="1"/>
  <c r="B55" i="88"/>
  <c r="D55" i="88" s="1"/>
  <c r="B54" i="88"/>
  <c r="A54" i="88" s="1"/>
  <c r="B53" i="88"/>
  <c r="D53" i="88" s="1"/>
  <c r="B52" i="88"/>
  <c r="A52" i="88" s="1"/>
  <c r="B51" i="88"/>
  <c r="D51" i="88" s="1"/>
  <c r="B50" i="88"/>
  <c r="A50" i="88" s="1"/>
  <c r="B49" i="88"/>
  <c r="D49" i="88" s="1"/>
  <c r="B48" i="88"/>
  <c r="A48" i="88" s="1"/>
  <c r="B47" i="88"/>
  <c r="D47" i="88" s="1"/>
  <c r="B46" i="88"/>
  <c r="A46" i="88" s="1"/>
  <c r="B45" i="88"/>
  <c r="D45" i="88" s="1"/>
  <c r="B44" i="88"/>
  <c r="A44" i="88" s="1"/>
  <c r="B43" i="88"/>
  <c r="D43" i="88" s="1"/>
  <c r="B42" i="88"/>
  <c r="A42" i="88" s="1"/>
  <c r="B41" i="88"/>
  <c r="D41" i="88" s="1"/>
  <c r="B40" i="88"/>
  <c r="A40" i="88" s="1"/>
  <c r="B39" i="88"/>
  <c r="D39" i="88" s="1"/>
  <c r="B38" i="88"/>
  <c r="A38" i="88" s="1"/>
  <c r="B37" i="88"/>
  <c r="D37" i="88" s="1"/>
  <c r="B36" i="88"/>
  <c r="A36" i="88" s="1"/>
  <c r="B35" i="88"/>
  <c r="D35" i="88" s="1"/>
  <c r="B34" i="88"/>
  <c r="A34" i="88" s="1"/>
  <c r="B33" i="88"/>
  <c r="D33" i="88" s="1"/>
  <c r="B32" i="88"/>
  <c r="A32" i="88" s="1"/>
  <c r="B31" i="88"/>
  <c r="D31" i="88" s="1"/>
  <c r="B30" i="88"/>
  <c r="A30" i="88" s="1"/>
  <c r="B29" i="88"/>
  <c r="D29" i="88" s="1"/>
  <c r="B28" i="88"/>
  <c r="A28" i="88" s="1"/>
  <c r="H27" i="88"/>
  <c r="G27" i="88" s="1"/>
  <c r="B27" i="88"/>
  <c r="D27" i="88" s="1"/>
  <c r="H26" i="88"/>
  <c r="G26" i="88" s="1"/>
  <c r="B26" i="88"/>
  <c r="A26" i="88" s="1"/>
  <c r="H25" i="88"/>
  <c r="G25" i="88" s="1"/>
  <c r="B25" i="88"/>
  <c r="D25" i="88" s="1"/>
  <c r="H24" i="88"/>
  <c r="G24" i="88" s="1"/>
  <c r="B24" i="88"/>
  <c r="A24" i="88" s="1"/>
  <c r="H23" i="88"/>
  <c r="G23" i="88" s="1"/>
  <c r="B23" i="88"/>
  <c r="D23" i="88" s="1"/>
  <c r="H22" i="88"/>
  <c r="G22" i="88" s="1"/>
  <c r="B22" i="88"/>
  <c r="A22" i="88" s="1"/>
  <c r="H21" i="88"/>
  <c r="G21" i="88" s="1"/>
  <c r="B21" i="88"/>
  <c r="C21" i="88" s="1"/>
  <c r="H20" i="88"/>
  <c r="J20" i="88" s="1"/>
  <c r="B20" i="88"/>
  <c r="C20" i="88" s="1"/>
  <c r="N19" i="88"/>
  <c r="P19" i="88" s="1"/>
  <c r="H19" i="88"/>
  <c r="I19" i="88" s="1"/>
  <c r="B19" i="88"/>
  <c r="D19" i="88" s="1"/>
  <c r="N18" i="88"/>
  <c r="O18" i="88" s="1"/>
  <c r="H18" i="88"/>
  <c r="J18" i="88" s="1"/>
  <c r="B18" i="88"/>
  <c r="C18" i="88" s="1"/>
  <c r="N17" i="88"/>
  <c r="P17" i="88" s="1"/>
  <c r="H17" i="88"/>
  <c r="I17" i="88" s="1"/>
  <c r="B17" i="88"/>
  <c r="D17" i="88" s="1"/>
  <c r="N16" i="88"/>
  <c r="O16" i="88" s="1"/>
  <c r="H16" i="88"/>
  <c r="J16" i="88" s="1"/>
  <c r="B16" i="88"/>
  <c r="C16" i="88" s="1"/>
  <c r="N15" i="88"/>
  <c r="P15" i="88" s="1"/>
  <c r="H15" i="88"/>
  <c r="I15" i="88" s="1"/>
  <c r="B15" i="88"/>
  <c r="D15" i="88" s="1"/>
  <c r="N14" i="88"/>
  <c r="O14" i="88" s="1"/>
  <c r="H14" i="88"/>
  <c r="J14" i="88" s="1"/>
  <c r="B14" i="88"/>
  <c r="C14" i="88" s="1"/>
  <c r="N13" i="88"/>
  <c r="P13" i="88" s="1"/>
  <c r="H13" i="88"/>
  <c r="I13" i="88" s="1"/>
  <c r="B13" i="88"/>
  <c r="D13" i="88" s="1"/>
  <c r="N12" i="88"/>
  <c r="O12" i="88" s="1"/>
  <c r="H12" i="88"/>
  <c r="I12" i="88" s="1"/>
  <c r="B12" i="88"/>
  <c r="C12" i="88" s="1"/>
  <c r="N11" i="88"/>
  <c r="P11" i="88" s="1"/>
  <c r="H11" i="88"/>
  <c r="I11" i="88" s="1"/>
  <c r="B11" i="88"/>
  <c r="C11" i="88" s="1"/>
  <c r="N10" i="88"/>
  <c r="O10" i="88" s="1"/>
  <c r="H10" i="88"/>
  <c r="J10" i="88" s="1"/>
  <c r="B10" i="88"/>
  <c r="C10" i="88" s="1"/>
  <c r="N9" i="88"/>
  <c r="O9" i="88" s="1"/>
  <c r="H9" i="88"/>
  <c r="I9" i="88" s="1"/>
  <c r="B9" i="88"/>
  <c r="A9" i="88" s="1"/>
  <c r="N8" i="88"/>
  <c r="O8" i="88" s="1"/>
  <c r="H8" i="88"/>
  <c r="J8" i="88" s="1"/>
  <c r="B8" i="88"/>
  <c r="C8" i="88" s="1"/>
  <c r="N7" i="88"/>
  <c r="M7" i="88" s="1"/>
  <c r="H7" i="88"/>
  <c r="I7" i="88" s="1"/>
  <c r="B7" i="88"/>
  <c r="C7" i="88" s="1"/>
  <c r="N6" i="88"/>
  <c r="O6" i="88" s="1"/>
  <c r="H6" i="88"/>
  <c r="G6" i="88" s="1"/>
  <c r="B6" i="88"/>
  <c r="C6" i="88" s="1"/>
  <c r="H64" i="95"/>
  <c r="J64" i="95" s="1"/>
  <c r="H63" i="95"/>
  <c r="G63" i="95" s="1"/>
  <c r="H62" i="95"/>
  <c r="I62" i="95" s="1"/>
  <c r="H61" i="95"/>
  <c r="J61" i="95" s="1"/>
  <c r="H60" i="95"/>
  <c r="I60" i="95" s="1"/>
  <c r="H59" i="95"/>
  <c r="J59" i="95" s="1"/>
  <c r="H58" i="95"/>
  <c r="H57" i="95"/>
  <c r="H56" i="95"/>
  <c r="H55" i="95"/>
  <c r="J55" i="95" s="1"/>
  <c r="H54" i="95"/>
  <c r="G54" i="95" s="1"/>
  <c r="H53" i="95"/>
  <c r="J53" i="95" s="1"/>
  <c r="H52" i="95"/>
  <c r="J52" i="95" s="1"/>
  <c r="H51" i="95"/>
  <c r="H50" i="95"/>
  <c r="I50" i="95" s="1"/>
  <c r="H49" i="95"/>
  <c r="B49" i="95"/>
  <c r="D49" i="95" s="1"/>
  <c r="H48" i="95"/>
  <c r="J48" i="95" s="1"/>
  <c r="B48" i="95"/>
  <c r="D48" i="95" s="1"/>
  <c r="H47" i="95"/>
  <c r="J47" i="95" s="1"/>
  <c r="B47" i="95"/>
  <c r="D47" i="95" s="1"/>
  <c r="H46" i="95"/>
  <c r="J46" i="95" s="1"/>
  <c r="B46" i="95"/>
  <c r="H45" i="95"/>
  <c r="J45" i="95" s="1"/>
  <c r="B45" i="95"/>
  <c r="C45" i="95" s="1"/>
  <c r="H44" i="95"/>
  <c r="B44" i="95"/>
  <c r="H43" i="95"/>
  <c r="B43" i="95"/>
  <c r="D43" i="95" s="1"/>
  <c r="H42" i="95"/>
  <c r="B42" i="95"/>
  <c r="D42" i="95" s="1"/>
  <c r="H41" i="95"/>
  <c r="I41" i="95" s="1"/>
  <c r="B41" i="95"/>
  <c r="D41" i="95" s="1"/>
  <c r="H40" i="95"/>
  <c r="J40" i="95" s="1"/>
  <c r="B40" i="95"/>
  <c r="D40" i="95" s="1"/>
  <c r="H39" i="95"/>
  <c r="J39" i="95" s="1"/>
  <c r="B39" i="95"/>
  <c r="D39" i="95" s="1"/>
  <c r="H38" i="95"/>
  <c r="J38" i="95" s="1"/>
  <c r="B38" i="95"/>
  <c r="H37" i="95"/>
  <c r="J37" i="95" s="1"/>
  <c r="B37" i="95"/>
  <c r="H36" i="95"/>
  <c r="B36" i="95"/>
  <c r="C36" i="95" s="1"/>
  <c r="H35" i="95"/>
  <c r="B35" i="95"/>
  <c r="D35" i="95" s="1"/>
  <c r="H34" i="95"/>
  <c r="B34" i="95"/>
  <c r="D34" i="95" s="1"/>
  <c r="H33" i="95"/>
  <c r="I33" i="95" s="1"/>
  <c r="B33" i="95"/>
  <c r="A33" i="95" s="1"/>
  <c r="H32" i="95"/>
  <c r="J32" i="95" s="1"/>
  <c r="B32" i="95"/>
  <c r="D32" i="95" s="1"/>
  <c r="H31" i="95"/>
  <c r="J31" i="95" s="1"/>
  <c r="B31" i="95"/>
  <c r="H30" i="95"/>
  <c r="J30" i="95" s="1"/>
  <c r="B30" i="95"/>
  <c r="H29" i="95"/>
  <c r="J29" i="95" s="1"/>
  <c r="B29" i="95"/>
  <c r="C29" i="95" s="1"/>
  <c r="H28" i="95"/>
  <c r="J28" i="95" s="1"/>
  <c r="B28" i="95"/>
  <c r="H27" i="95"/>
  <c r="B27" i="95"/>
  <c r="D27" i="95" s="1"/>
  <c r="H26" i="95"/>
  <c r="B26" i="95"/>
  <c r="D26" i="95" s="1"/>
  <c r="N25" i="95"/>
  <c r="H25" i="95"/>
  <c r="I25" i="95" s="1"/>
  <c r="B25" i="95"/>
  <c r="D25" i="95" s="1"/>
  <c r="N24" i="95"/>
  <c r="H24" i="95"/>
  <c r="J24" i="95" s="1"/>
  <c r="B24" i="95"/>
  <c r="D24" i="95" s="1"/>
  <c r="N23" i="95"/>
  <c r="H23" i="95"/>
  <c r="J23" i="95" s="1"/>
  <c r="B23" i="95"/>
  <c r="N22" i="95"/>
  <c r="H22" i="95"/>
  <c r="J22" i="95" s="1"/>
  <c r="B22" i="95"/>
  <c r="N21" i="95"/>
  <c r="P21" i="95" s="1"/>
  <c r="H21" i="95"/>
  <c r="J21" i="95" s="1"/>
  <c r="B21" i="95"/>
  <c r="N20" i="95"/>
  <c r="P20" i="95" s="1"/>
  <c r="H20" i="95"/>
  <c r="J20" i="95" s="1"/>
  <c r="B20" i="95"/>
  <c r="N19" i="95"/>
  <c r="O19" i="95" s="1"/>
  <c r="H19" i="95"/>
  <c r="B19" i="95"/>
  <c r="A19" i="95" s="1"/>
  <c r="N18" i="95"/>
  <c r="M18" i="95" s="1"/>
  <c r="H18" i="95"/>
  <c r="B18" i="95"/>
  <c r="A18" i="95" s="1"/>
  <c r="N17" i="95"/>
  <c r="O17" i="95" s="1"/>
  <c r="H17" i="95"/>
  <c r="G17" i="95" s="1"/>
  <c r="B17" i="95"/>
  <c r="D17" i="95" s="1"/>
  <c r="N16" i="95"/>
  <c r="P16" i="95" s="1"/>
  <c r="H16" i="95"/>
  <c r="G16" i="95" s="1"/>
  <c r="B16" i="95"/>
  <c r="C16" i="95" s="1"/>
  <c r="N15" i="95"/>
  <c r="O15" i="95" s="1"/>
  <c r="H15" i="95"/>
  <c r="B15" i="95"/>
  <c r="D15" i="95" s="1"/>
  <c r="N14" i="95"/>
  <c r="M14" i="95" s="1"/>
  <c r="H14" i="95"/>
  <c r="I14" i="95" s="1"/>
  <c r="B14" i="95"/>
  <c r="D14" i="95" s="1"/>
  <c r="N13" i="95"/>
  <c r="O13" i="95" s="1"/>
  <c r="H13" i="95"/>
  <c r="J13" i="95" s="1"/>
  <c r="B13" i="95"/>
  <c r="N12" i="95"/>
  <c r="P12" i="95" s="1"/>
  <c r="H12" i="95"/>
  <c r="G12" i="95" s="1"/>
  <c r="B12" i="95"/>
  <c r="C12" i="95" s="1"/>
  <c r="N11" i="95"/>
  <c r="M11" i="95" s="1"/>
  <c r="H11" i="95"/>
  <c r="J11" i="95" s="1"/>
  <c r="B11" i="95"/>
  <c r="D11" i="95" s="1"/>
  <c r="N10" i="95"/>
  <c r="H10" i="95"/>
  <c r="G10" i="95" s="1"/>
  <c r="B10" i="95"/>
  <c r="D10" i="95" s="1"/>
  <c r="N9" i="95"/>
  <c r="M9" i="95" s="1"/>
  <c r="H9" i="95"/>
  <c r="G9" i="95" s="1"/>
  <c r="B9" i="95"/>
  <c r="D9" i="95" s="1"/>
  <c r="N8" i="95"/>
  <c r="M8" i="95" s="1"/>
  <c r="H8" i="95"/>
  <c r="G8" i="95" s="1"/>
  <c r="B8" i="95"/>
  <c r="D8" i="95" s="1"/>
  <c r="N7" i="95"/>
  <c r="M7" i="95" s="1"/>
  <c r="H7" i="95"/>
  <c r="J7" i="95" s="1"/>
  <c r="B7" i="95"/>
  <c r="A7" i="95" s="1"/>
  <c r="N6" i="95"/>
  <c r="P6" i="95" s="1"/>
  <c r="H6" i="95"/>
  <c r="B6" i="95"/>
  <c r="A6" i="95" s="1"/>
  <c r="H21" i="102"/>
  <c r="I21" i="102" s="1"/>
  <c r="H20" i="102"/>
  <c r="G20" i="102" s="1"/>
  <c r="N19" i="102"/>
  <c r="P19" i="102" s="1"/>
  <c r="H19" i="102"/>
  <c r="I19" i="102" s="1"/>
  <c r="N18" i="102"/>
  <c r="O18" i="102" s="1"/>
  <c r="H18" i="102"/>
  <c r="J18" i="102" s="1"/>
  <c r="N17" i="102"/>
  <c r="P17" i="102" s="1"/>
  <c r="H17" i="102"/>
  <c r="I17" i="102" s="1"/>
  <c r="N16" i="102"/>
  <c r="O16" i="102" s="1"/>
  <c r="H16" i="102"/>
  <c r="I16" i="102" s="1"/>
  <c r="N15" i="102"/>
  <c r="P15" i="102" s="1"/>
  <c r="H15" i="102"/>
  <c r="I15" i="102" s="1"/>
  <c r="B15" i="102"/>
  <c r="C15" i="102" s="1"/>
  <c r="N14" i="102"/>
  <c r="O14" i="102" s="1"/>
  <c r="H14" i="102"/>
  <c r="J14" i="102" s="1"/>
  <c r="B14" i="102"/>
  <c r="C14" i="102" s="1"/>
  <c r="N13" i="102"/>
  <c r="P13" i="102" s="1"/>
  <c r="H13" i="102"/>
  <c r="I13" i="102" s="1"/>
  <c r="B13" i="102"/>
  <c r="C13" i="102" s="1"/>
  <c r="N12" i="102"/>
  <c r="O12" i="102" s="1"/>
  <c r="H12" i="102"/>
  <c r="G12" i="102" s="1"/>
  <c r="B12" i="102"/>
  <c r="C12" i="102" s="1"/>
  <c r="N11" i="102"/>
  <c r="P11" i="102" s="1"/>
  <c r="H11" i="102"/>
  <c r="I11" i="102" s="1"/>
  <c r="B11" i="102"/>
  <c r="C11" i="102" s="1"/>
  <c r="N10" i="102"/>
  <c r="O10" i="102" s="1"/>
  <c r="H10" i="102"/>
  <c r="J10" i="102" s="1"/>
  <c r="B10" i="102"/>
  <c r="C10" i="102" s="1"/>
  <c r="N9" i="102"/>
  <c r="O9" i="102" s="1"/>
  <c r="H9" i="102"/>
  <c r="J9" i="102" s="1"/>
  <c r="B9" i="102"/>
  <c r="D9" i="102" s="1"/>
  <c r="N8" i="102"/>
  <c r="O8" i="102" s="1"/>
  <c r="H8" i="102"/>
  <c r="I8" i="102" s="1"/>
  <c r="B8" i="102"/>
  <c r="C8" i="102" s="1"/>
  <c r="N7" i="102"/>
  <c r="M7" i="102" s="1"/>
  <c r="H7" i="102"/>
  <c r="J7" i="102" s="1"/>
  <c r="B7" i="102"/>
  <c r="C7" i="102" s="1"/>
  <c r="N6" i="102"/>
  <c r="O6" i="102" s="1"/>
  <c r="H6" i="102"/>
  <c r="J6" i="102" s="1"/>
  <c r="B6" i="102"/>
  <c r="C6" i="102" s="1"/>
  <c r="G19" i="88" l="1"/>
  <c r="G18" i="88"/>
  <c r="G11" i="60"/>
  <c r="G11" i="53"/>
  <c r="A23" i="53"/>
  <c r="G37" i="60"/>
  <c r="A15" i="95"/>
  <c r="G48" i="95"/>
  <c r="G13" i="88"/>
  <c r="M9" i="53"/>
  <c r="G19" i="60"/>
  <c r="A43" i="88"/>
  <c r="A7" i="88"/>
  <c r="A16" i="60"/>
  <c r="G7" i="102"/>
  <c r="G32" i="60"/>
  <c r="M28" i="60"/>
  <c r="A15" i="88"/>
  <c r="M10" i="60"/>
  <c r="A18" i="60"/>
  <c r="G12" i="88"/>
  <c r="G19" i="38"/>
  <c r="G13" i="53"/>
  <c r="G8" i="38"/>
  <c r="G16" i="88"/>
  <c r="G14" i="53"/>
  <c r="A26" i="95"/>
  <c r="A33" i="60"/>
  <c r="G14" i="88"/>
  <c r="G17" i="88"/>
  <c r="A31" i="88"/>
  <c r="G26" i="60"/>
  <c r="A12" i="88"/>
  <c r="I19" i="60"/>
  <c r="L19" i="60" s="1"/>
  <c r="A21" i="53"/>
  <c r="M11" i="38"/>
  <c r="M12" i="38"/>
  <c r="G7" i="38"/>
  <c r="C10" i="38"/>
  <c r="A25" i="38"/>
  <c r="M22" i="53"/>
  <c r="M6" i="53"/>
  <c r="G17" i="53"/>
  <c r="M24" i="60"/>
  <c r="A14" i="60"/>
  <c r="M8" i="81"/>
  <c r="G32" i="95"/>
  <c r="A34" i="95"/>
  <c r="D18" i="95"/>
  <c r="G21" i="102"/>
  <c r="M20" i="38"/>
  <c r="M14" i="38"/>
  <c r="G27" i="38"/>
  <c r="G18" i="38"/>
  <c r="D27" i="38"/>
  <c r="F27" i="38" s="1"/>
  <c r="A29" i="38"/>
  <c r="A13" i="38"/>
  <c r="A27" i="38"/>
  <c r="M8" i="53"/>
  <c r="O26" i="53"/>
  <c r="Q26" i="53" s="1"/>
  <c r="G18" i="53"/>
  <c r="A15" i="53"/>
  <c r="C9" i="53"/>
  <c r="F9" i="53" s="1"/>
  <c r="M6" i="60"/>
  <c r="G10" i="60"/>
  <c r="G7" i="60"/>
  <c r="C18" i="60"/>
  <c r="F18" i="60" s="1"/>
  <c r="C6" i="60"/>
  <c r="E6" i="60" s="1"/>
  <c r="M6" i="81"/>
  <c r="A12" i="81"/>
  <c r="G8" i="88"/>
  <c r="G9" i="88"/>
  <c r="A49" i="88"/>
  <c r="A61" i="88"/>
  <c r="D9" i="88"/>
  <c r="M6" i="95"/>
  <c r="P7" i="95"/>
  <c r="G55" i="95"/>
  <c r="G39" i="95"/>
  <c r="C42" i="95"/>
  <c r="F42" i="95" s="1"/>
  <c r="A24" i="95"/>
  <c r="C27" i="95"/>
  <c r="E27" i="95" s="1"/>
  <c r="C34" i="95"/>
  <c r="F34" i="95" s="1"/>
  <c r="G14" i="102"/>
  <c r="A7" i="102"/>
  <c r="O10" i="38"/>
  <c r="Q10" i="38" s="1"/>
  <c r="M23" i="38"/>
  <c r="J24" i="38"/>
  <c r="L24" i="38" s="1"/>
  <c r="G15" i="38"/>
  <c r="G26" i="38"/>
  <c r="G29" i="38"/>
  <c r="A33" i="38"/>
  <c r="A17" i="38"/>
  <c r="A20" i="38"/>
  <c r="C20" i="38"/>
  <c r="F20" i="38" s="1"/>
  <c r="A21" i="38"/>
  <c r="M24" i="53"/>
  <c r="M31" i="53"/>
  <c r="M10" i="53"/>
  <c r="G12" i="53"/>
  <c r="G10" i="53"/>
  <c r="C16" i="53"/>
  <c r="E16" i="53" s="1"/>
  <c r="A29" i="53"/>
  <c r="D23" i="53"/>
  <c r="F23" i="53" s="1"/>
  <c r="D21" i="53"/>
  <c r="F21" i="53" s="1"/>
  <c r="D15" i="53"/>
  <c r="E15" i="53" s="1"/>
  <c r="A31" i="53"/>
  <c r="P9" i="60"/>
  <c r="M13" i="60"/>
  <c r="P13" i="60"/>
  <c r="R13" i="60" s="1"/>
  <c r="P17" i="60"/>
  <c r="G8" i="60"/>
  <c r="I25" i="60"/>
  <c r="L25" i="60" s="1"/>
  <c r="G17" i="60"/>
  <c r="G15" i="60"/>
  <c r="G18" i="60"/>
  <c r="C15" i="60"/>
  <c r="A39" i="60"/>
  <c r="D15" i="60"/>
  <c r="C14" i="60"/>
  <c r="E14" i="60" s="1"/>
  <c r="C16" i="60"/>
  <c r="F16" i="60" s="1"/>
  <c r="G24" i="67"/>
  <c r="G6" i="67"/>
  <c r="M12" i="81"/>
  <c r="M24" i="81"/>
  <c r="M20" i="81"/>
  <c r="M14" i="81"/>
  <c r="G13" i="81"/>
  <c r="P6" i="88"/>
  <c r="R6" i="88" s="1"/>
  <c r="M13" i="88"/>
  <c r="A55" i="88"/>
  <c r="A67" i="88"/>
  <c r="M28" i="95"/>
  <c r="M15" i="95"/>
  <c r="P19" i="95"/>
  <c r="R19" i="95" s="1"/>
  <c r="G22" i="95"/>
  <c r="G40" i="95"/>
  <c r="G45" i="95"/>
  <c r="G46" i="95"/>
  <c r="C19" i="95"/>
  <c r="A8" i="95"/>
  <c r="A12" i="95"/>
  <c r="O15" i="102"/>
  <c r="R15" i="102" s="1"/>
  <c r="M19" i="102"/>
  <c r="A12" i="102"/>
  <c r="M22" i="38"/>
  <c r="O18" i="38"/>
  <c r="Q18" i="38" s="1"/>
  <c r="M7" i="38"/>
  <c r="G23" i="38"/>
  <c r="I25" i="38"/>
  <c r="K25" i="38" s="1"/>
  <c r="G13" i="38"/>
  <c r="I7" i="38"/>
  <c r="K7" i="38" s="1"/>
  <c r="I15" i="38"/>
  <c r="L15" i="38" s="1"/>
  <c r="G6" i="38"/>
  <c r="I11" i="38"/>
  <c r="K11" i="38" s="1"/>
  <c r="I19" i="38"/>
  <c r="K19" i="38" s="1"/>
  <c r="G9" i="38"/>
  <c r="A11" i="38"/>
  <c r="C36" i="38"/>
  <c r="E36" i="38" s="1"/>
  <c r="A9" i="38"/>
  <c r="D11" i="38"/>
  <c r="F11" i="38" s="1"/>
  <c r="A28" i="38"/>
  <c r="A32" i="38"/>
  <c r="A38" i="38"/>
  <c r="C18" i="38"/>
  <c r="E18" i="38" s="1"/>
  <c r="A19" i="38"/>
  <c r="C26" i="38"/>
  <c r="E26" i="38" s="1"/>
  <c r="C28" i="38"/>
  <c r="F28" i="38" s="1"/>
  <c r="C38" i="38"/>
  <c r="E38" i="38" s="1"/>
  <c r="A12" i="38"/>
  <c r="A34" i="38"/>
  <c r="D19" i="38"/>
  <c r="E19" i="38" s="1"/>
  <c r="C12" i="38"/>
  <c r="E12" i="38" s="1"/>
  <c r="C34" i="38"/>
  <c r="F34" i="38" s="1"/>
  <c r="M11" i="53"/>
  <c r="M25" i="53"/>
  <c r="O11" i="53"/>
  <c r="Q11" i="53" s="1"/>
  <c r="P25" i="53"/>
  <c r="Q25" i="53" s="1"/>
  <c r="P9" i="53"/>
  <c r="R9" i="53" s="1"/>
  <c r="M23" i="53"/>
  <c r="P23" i="53"/>
  <c r="Q23" i="53" s="1"/>
  <c r="M26" i="53"/>
  <c r="I27" i="53"/>
  <c r="L27" i="53" s="1"/>
  <c r="G25" i="53"/>
  <c r="G27" i="53"/>
  <c r="G19" i="53"/>
  <c r="G22" i="53"/>
  <c r="J26" i="53"/>
  <c r="L26" i="53" s="1"/>
  <c r="I22" i="53"/>
  <c r="K22" i="53" s="1"/>
  <c r="A7" i="53"/>
  <c r="A22" i="53"/>
  <c r="A12" i="53"/>
  <c r="C17" i="53"/>
  <c r="E17" i="53" s="1"/>
  <c r="A20" i="53"/>
  <c r="C24" i="53"/>
  <c r="F24" i="53" s="1"/>
  <c r="D7" i="53"/>
  <c r="E7" i="53" s="1"/>
  <c r="C8" i="53"/>
  <c r="F8" i="53" s="1"/>
  <c r="A13" i="53"/>
  <c r="C25" i="53"/>
  <c r="F25" i="53" s="1"/>
  <c r="M8" i="60"/>
  <c r="O17" i="60"/>
  <c r="M22" i="60"/>
  <c r="P25" i="60"/>
  <c r="M12" i="60"/>
  <c r="M14" i="60"/>
  <c r="M16" i="60"/>
  <c r="M23" i="60"/>
  <c r="O22" i="60"/>
  <c r="Q22" i="60" s="1"/>
  <c r="M7" i="60"/>
  <c r="O16" i="60"/>
  <c r="R16" i="60" s="1"/>
  <c r="M18" i="60"/>
  <c r="M21" i="60"/>
  <c r="J8" i="60"/>
  <c r="K8" i="60" s="1"/>
  <c r="G21" i="60"/>
  <c r="G9" i="60"/>
  <c r="I11" i="60"/>
  <c r="L11" i="60" s="1"/>
  <c r="G34" i="60"/>
  <c r="I15" i="60"/>
  <c r="K15" i="60" s="1"/>
  <c r="G25" i="60"/>
  <c r="I33" i="60"/>
  <c r="K33" i="60" s="1"/>
  <c r="G16" i="60"/>
  <c r="C22" i="60"/>
  <c r="E22" i="60" s="1"/>
  <c r="A6" i="60"/>
  <c r="A38" i="60"/>
  <c r="A13" i="60"/>
  <c r="A28" i="60"/>
  <c r="C38" i="60"/>
  <c r="F38" i="60" s="1"/>
  <c r="C28" i="60"/>
  <c r="E28" i="60" s="1"/>
  <c r="A26" i="60"/>
  <c r="A36" i="60"/>
  <c r="A12" i="60"/>
  <c r="A22" i="60"/>
  <c r="A29" i="60"/>
  <c r="G15" i="81"/>
  <c r="A20" i="81"/>
  <c r="A8" i="81"/>
  <c r="C8" i="81"/>
  <c r="E8" i="81" s="1"/>
  <c r="A6" i="81"/>
  <c r="M8" i="88"/>
  <c r="O13" i="88"/>
  <c r="R13" i="88" s="1"/>
  <c r="M6" i="88"/>
  <c r="M17" i="88"/>
  <c r="O17" i="88"/>
  <c r="R17" i="88" s="1"/>
  <c r="J6" i="88"/>
  <c r="G15" i="88"/>
  <c r="I24" i="88"/>
  <c r="I6" i="88"/>
  <c r="J24" i="88"/>
  <c r="C9" i="88"/>
  <c r="A6" i="88"/>
  <c r="C15" i="88"/>
  <c r="F15" i="88" s="1"/>
  <c r="A20" i="88"/>
  <c r="C17" i="88"/>
  <c r="E17" i="88" s="1"/>
  <c r="A18" i="88"/>
  <c r="A21" i="88"/>
  <c r="A35" i="88"/>
  <c r="C67" i="88"/>
  <c r="F67" i="88" s="1"/>
  <c r="A14" i="88"/>
  <c r="O20" i="95"/>
  <c r="R20" i="95" s="1"/>
  <c r="M12" i="95"/>
  <c r="O18" i="95"/>
  <c r="O16" i="95"/>
  <c r="R16" i="95" s="1"/>
  <c r="M19" i="95"/>
  <c r="I21" i="95"/>
  <c r="L21" i="95" s="1"/>
  <c r="I29" i="95"/>
  <c r="K29" i="95" s="1"/>
  <c r="I13" i="95"/>
  <c r="K13" i="95" s="1"/>
  <c r="I30" i="95"/>
  <c r="L30" i="95" s="1"/>
  <c r="I22" i="95"/>
  <c r="L22" i="95" s="1"/>
  <c r="I12" i="95"/>
  <c r="G62" i="95"/>
  <c r="J12" i="95"/>
  <c r="I23" i="95"/>
  <c r="K23" i="95" s="1"/>
  <c r="G29" i="95"/>
  <c r="C18" i="95"/>
  <c r="A32" i="95"/>
  <c r="A14" i="95"/>
  <c r="D19" i="95"/>
  <c r="C35" i="95"/>
  <c r="E35" i="95" s="1"/>
  <c r="C33" i="95"/>
  <c r="P7" i="102"/>
  <c r="M12" i="102"/>
  <c r="M15" i="102"/>
  <c r="O7" i="102"/>
  <c r="M10" i="102"/>
  <c r="M13" i="102"/>
  <c r="G15" i="102"/>
  <c r="G19" i="102"/>
  <c r="D13" i="102"/>
  <c r="F13" i="102" s="1"/>
  <c r="A9" i="102"/>
  <c r="O16" i="38"/>
  <c r="Q16" i="38" s="1"/>
  <c r="O12" i="38"/>
  <c r="Q12" i="38" s="1"/>
  <c r="O20" i="38"/>
  <c r="R20" i="38" s="1"/>
  <c r="M13" i="38"/>
  <c r="M15" i="38"/>
  <c r="M19" i="38"/>
  <c r="M21" i="38"/>
  <c r="P13" i="38"/>
  <c r="Q13" i="38" s="1"/>
  <c r="P21" i="38"/>
  <c r="R21" i="38" s="1"/>
  <c r="M10" i="38"/>
  <c r="M18" i="38"/>
  <c r="M6" i="38"/>
  <c r="M8" i="38"/>
  <c r="M16" i="38"/>
  <c r="M24" i="38"/>
  <c r="M26" i="38"/>
  <c r="O24" i="38"/>
  <c r="Q24" i="38" s="1"/>
  <c r="O26" i="38"/>
  <c r="Q26" i="38" s="1"/>
  <c r="O6" i="38"/>
  <c r="R6" i="38" s="1"/>
  <c r="O8" i="38"/>
  <c r="R8" i="38" s="1"/>
  <c r="O14" i="38"/>
  <c r="Q14" i="38" s="1"/>
  <c r="O22" i="38"/>
  <c r="R22" i="38" s="1"/>
  <c r="G17" i="38"/>
  <c r="I17" i="38"/>
  <c r="K17" i="38" s="1"/>
  <c r="G14" i="38"/>
  <c r="G16" i="38"/>
  <c r="G21" i="38"/>
  <c r="I21" i="38"/>
  <c r="L21" i="38" s="1"/>
  <c r="J16" i="38"/>
  <c r="L16" i="38" s="1"/>
  <c r="I9" i="38"/>
  <c r="K9" i="38" s="1"/>
  <c r="G11" i="38"/>
  <c r="I23" i="38"/>
  <c r="K23" i="38" s="1"/>
  <c r="G25" i="38"/>
  <c r="I29" i="38"/>
  <c r="K29" i="38" s="1"/>
  <c r="J8" i="38"/>
  <c r="L8" i="38" s="1"/>
  <c r="G10" i="38"/>
  <c r="I13" i="38"/>
  <c r="K13" i="38" s="1"/>
  <c r="G22" i="38"/>
  <c r="G24" i="38"/>
  <c r="I27" i="38"/>
  <c r="L27" i="38" s="1"/>
  <c r="C8" i="38"/>
  <c r="E8" i="38" s="1"/>
  <c r="A30" i="38"/>
  <c r="C30" i="38"/>
  <c r="E30" i="38" s="1"/>
  <c r="A6" i="38"/>
  <c r="A14" i="38"/>
  <c r="A22" i="38"/>
  <c r="A35" i="38"/>
  <c r="C6" i="38"/>
  <c r="F6" i="38" s="1"/>
  <c r="A8" i="38"/>
  <c r="C14" i="38"/>
  <c r="F14" i="38" s="1"/>
  <c r="A16" i="38"/>
  <c r="C22" i="38"/>
  <c r="E22" i="38" s="1"/>
  <c r="A24" i="38"/>
  <c r="A36" i="38"/>
  <c r="C24" i="38"/>
  <c r="E24" i="38" s="1"/>
  <c r="C16" i="38"/>
  <c r="E16" i="38" s="1"/>
  <c r="A10" i="38"/>
  <c r="A18" i="38"/>
  <c r="A26" i="38"/>
  <c r="C32" i="38"/>
  <c r="F32" i="38" s="1"/>
  <c r="A37" i="38"/>
  <c r="M7" i="53"/>
  <c r="M14" i="53"/>
  <c r="M16" i="53"/>
  <c r="M18" i="53"/>
  <c r="O18" i="53"/>
  <c r="R18" i="53" s="1"/>
  <c r="O10" i="53"/>
  <c r="R10" i="53" s="1"/>
  <c r="M29" i="53"/>
  <c r="O31" i="53"/>
  <c r="Q31" i="53" s="1"/>
  <c r="P7" i="53"/>
  <c r="R7" i="53" s="1"/>
  <c r="M15" i="53"/>
  <c r="M17" i="53"/>
  <c r="M19" i="53"/>
  <c r="M27" i="53"/>
  <c r="O29" i="53"/>
  <c r="Q29" i="53" s="1"/>
  <c r="P15" i="53"/>
  <c r="R15" i="53" s="1"/>
  <c r="P17" i="53"/>
  <c r="Q17" i="53" s="1"/>
  <c r="O19" i="53"/>
  <c r="R19" i="53" s="1"/>
  <c r="O27" i="53"/>
  <c r="Q27" i="53" s="1"/>
  <c r="G6" i="53"/>
  <c r="G21" i="53"/>
  <c r="I13" i="53"/>
  <c r="L13" i="53" s="1"/>
  <c r="I21" i="53"/>
  <c r="L21" i="53" s="1"/>
  <c r="I14" i="53"/>
  <c r="K14" i="53" s="1"/>
  <c r="J12" i="53"/>
  <c r="K12" i="53" s="1"/>
  <c r="J18" i="53"/>
  <c r="L18" i="53" s="1"/>
  <c r="G20" i="53"/>
  <c r="J10" i="53"/>
  <c r="L10" i="53" s="1"/>
  <c r="I6" i="53"/>
  <c r="K6" i="53" s="1"/>
  <c r="G9" i="53"/>
  <c r="J20" i="53"/>
  <c r="K20" i="53" s="1"/>
  <c r="G26" i="53"/>
  <c r="C29" i="53"/>
  <c r="E29" i="53" s="1"/>
  <c r="D13" i="53"/>
  <c r="E13" i="53" s="1"/>
  <c r="A8" i="53"/>
  <c r="A17" i="53"/>
  <c r="A24" i="53"/>
  <c r="A14" i="53"/>
  <c r="A9" i="53"/>
  <c r="A16" i="53"/>
  <c r="A25" i="53"/>
  <c r="P29" i="60"/>
  <c r="R29" i="60" s="1"/>
  <c r="P21" i="60"/>
  <c r="R21" i="60" s="1"/>
  <c r="O6" i="60"/>
  <c r="Q6" i="60" s="1"/>
  <c r="O8" i="60"/>
  <c r="Q8" i="60" s="1"/>
  <c r="O10" i="60"/>
  <c r="R10" i="60" s="1"/>
  <c r="O12" i="60"/>
  <c r="R12" i="60" s="1"/>
  <c r="O14" i="60"/>
  <c r="R14" i="60" s="1"/>
  <c r="O9" i="60"/>
  <c r="M20" i="60"/>
  <c r="O24" i="60"/>
  <c r="Q24" i="60" s="1"/>
  <c r="M26" i="60"/>
  <c r="O28" i="60"/>
  <c r="Q28" i="60" s="1"/>
  <c r="O26" i="60"/>
  <c r="R26" i="60" s="1"/>
  <c r="O20" i="60"/>
  <c r="R20" i="60" s="1"/>
  <c r="O18" i="60"/>
  <c r="Q18" i="60" s="1"/>
  <c r="M15" i="60"/>
  <c r="M29" i="60"/>
  <c r="G24" i="60"/>
  <c r="G29" i="60"/>
  <c r="G31" i="60"/>
  <c r="I17" i="60"/>
  <c r="K17" i="60" s="1"/>
  <c r="I37" i="60"/>
  <c r="L37" i="60" s="1"/>
  <c r="I28" i="60"/>
  <c r="I7" i="60"/>
  <c r="L7" i="60" s="1"/>
  <c r="I9" i="60"/>
  <c r="K9" i="60" s="1"/>
  <c r="G13" i="60"/>
  <c r="I21" i="60"/>
  <c r="K21" i="60" s="1"/>
  <c r="G23" i="60"/>
  <c r="J28" i="60"/>
  <c r="G35" i="60"/>
  <c r="J24" i="60"/>
  <c r="L24" i="60" s="1"/>
  <c r="I29" i="60"/>
  <c r="K29" i="60" s="1"/>
  <c r="I31" i="60"/>
  <c r="K31" i="60" s="1"/>
  <c r="I13" i="60"/>
  <c r="K13" i="60" s="1"/>
  <c r="I23" i="60"/>
  <c r="L23" i="60" s="1"/>
  <c r="I35" i="60"/>
  <c r="K35" i="60" s="1"/>
  <c r="J16" i="60"/>
  <c r="K16" i="60" s="1"/>
  <c r="G27" i="60"/>
  <c r="I27" i="60"/>
  <c r="L27" i="60" s="1"/>
  <c r="G33" i="60"/>
  <c r="G36" i="60"/>
  <c r="A8" i="60"/>
  <c r="A11" i="60"/>
  <c r="A20" i="60"/>
  <c r="A10" i="60"/>
  <c r="A19" i="60"/>
  <c r="A24" i="60"/>
  <c r="A27" i="60"/>
  <c r="A30" i="60"/>
  <c r="A34" i="60"/>
  <c r="A40" i="60"/>
  <c r="C36" i="60"/>
  <c r="F36" i="60" s="1"/>
  <c r="C10" i="60"/>
  <c r="F10" i="60" s="1"/>
  <c r="D19" i="60"/>
  <c r="F19" i="60" s="1"/>
  <c r="C24" i="60"/>
  <c r="E24" i="60" s="1"/>
  <c r="D27" i="60"/>
  <c r="F27" i="60" s="1"/>
  <c r="C30" i="60"/>
  <c r="F30" i="60" s="1"/>
  <c r="A32" i="60"/>
  <c r="C34" i="60"/>
  <c r="F34" i="60" s="1"/>
  <c r="A37" i="60"/>
  <c r="C40" i="60"/>
  <c r="F40" i="60" s="1"/>
  <c r="C8" i="60"/>
  <c r="E8" i="60" s="1"/>
  <c r="D11" i="60"/>
  <c r="F11" i="60" s="1"/>
  <c r="C20" i="60"/>
  <c r="F20" i="60" s="1"/>
  <c r="A21" i="60"/>
  <c r="A41" i="60"/>
  <c r="C32" i="60"/>
  <c r="F32" i="60" s="1"/>
  <c r="C12" i="60"/>
  <c r="E12" i="60" s="1"/>
  <c r="C26" i="60"/>
  <c r="E26" i="60" s="1"/>
  <c r="A42" i="60"/>
  <c r="I24" i="67"/>
  <c r="L24" i="67" s="1"/>
  <c r="I6" i="67"/>
  <c r="K6" i="67" s="1"/>
  <c r="M30" i="81"/>
  <c r="M18" i="81"/>
  <c r="M26" i="81"/>
  <c r="M22" i="81"/>
  <c r="M10" i="81"/>
  <c r="M16" i="81"/>
  <c r="M28" i="81"/>
  <c r="G9" i="81"/>
  <c r="G7" i="81"/>
  <c r="G21" i="81"/>
  <c r="G19" i="81"/>
  <c r="G11" i="81"/>
  <c r="G17" i="81"/>
  <c r="A14" i="81"/>
  <c r="A22" i="81"/>
  <c r="A26" i="81"/>
  <c r="A30" i="81"/>
  <c r="A10" i="81"/>
  <c r="A18" i="81"/>
  <c r="A24" i="81"/>
  <c r="A28" i="81"/>
  <c r="A32" i="81"/>
  <c r="A16" i="81"/>
  <c r="M9" i="88"/>
  <c r="P9" i="88"/>
  <c r="R9" i="88" s="1"/>
  <c r="M10" i="88"/>
  <c r="M19" i="88"/>
  <c r="M15" i="88"/>
  <c r="O19" i="88"/>
  <c r="R19" i="88" s="1"/>
  <c r="O15" i="88"/>
  <c r="Q15" i="88" s="1"/>
  <c r="I22" i="88"/>
  <c r="G20" i="88"/>
  <c r="I26" i="88"/>
  <c r="J26" i="88"/>
  <c r="J9" i="88"/>
  <c r="L9" i="88" s="1"/>
  <c r="J22" i="88"/>
  <c r="D8" i="88"/>
  <c r="F8" i="88" s="1"/>
  <c r="C19" i="88"/>
  <c r="F19" i="88" s="1"/>
  <c r="C29" i="88"/>
  <c r="E29" i="88" s="1"/>
  <c r="A16" i="88"/>
  <c r="C25" i="88"/>
  <c r="F25" i="88" s="1"/>
  <c r="D7" i="88"/>
  <c r="F7" i="88" s="1"/>
  <c r="A13" i="88"/>
  <c r="C31" i="88"/>
  <c r="F31" i="88" s="1"/>
  <c r="A45" i="88"/>
  <c r="A51" i="88"/>
  <c r="A57" i="88"/>
  <c r="A63" i="88"/>
  <c r="C13" i="88"/>
  <c r="F13" i="88" s="1"/>
  <c r="A17" i="88"/>
  <c r="C45" i="88"/>
  <c r="F45" i="88" s="1"/>
  <c r="C51" i="88"/>
  <c r="E51" i="88" s="1"/>
  <c r="C57" i="88"/>
  <c r="F57" i="88" s="1"/>
  <c r="C63" i="88"/>
  <c r="F63" i="88" s="1"/>
  <c r="A8" i="88"/>
  <c r="A11" i="88"/>
  <c r="A19" i="88"/>
  <c r="A33" i="88"/>
  <c r="P17" i="95"/>
  <c r="R17" i="95" s="1"/>
  <c r="O7" i="95"/>
  <c r="M27" i="95"/>
  <c r="M29" i="95"/>
  <c r="M34" i="95"/>
  <c r="M13" i="95"/>
  <c r="P15" i="95"/>
  <c r="R15" i="95" s="1"/>
  <c r="P14" i="95"/>
  <c r="M21" i="95"/>
  <c r="I7" i="95"/>
  <c r="L7" i="95" s="1"/>
  <c r="J9" i="95"/>
  <c r="I24" i="95"/>
  <c r="K24" i="95" s="1"/>
  <c r="I31" i="95"/>
  <c r="L31" i="95" s="1"/>
  <c r="G38" i="95"/>
  <c r="J54" i="95"/>
  <c r="I61" i="95"/>
  <c r="L61" i="95" s="1"/>
  <c r="G14" i="95"/>
  <c r="I16" i="95"/>
  <c r="I10" i="95"/>
  <c r="G21" i="95"/>
  <c r="G23" i="95"/>
  <c r="I37" i="95"/>
  <c r="K37" i="95" s="1"/>
  <c r="I48" i="95"/>
  <c r="G64" i="95"/>
  <c r="J10" i="95"/>
  <c r="G53" i="95"/>
  <c r="I9" i="95"/>
  <c r="I54" i="95"/>
  <c r="I53" i="95"/>
  <c r="L53" i="95" s="1"/>
  <c r="J60" i="95"/>
  <c r="L60" i="95" s="1"/>
  <c r="C6" i="95"/>
  <c r="D6" i="95"/>
  <c r="C10" i="95"/>
  <c r="E10" i="95" s="1"/>
  <c r="A40" i="95"/>
  <c r="D33" i="95"/>
  <c r="C40" i="95"/>
  <c r="F40" i="95" s="1"/>
  <c r="C48" i="95"/>
  <c r="F48" i="95" s="1"/>
  <c r="C41" i="95"/>
  <c r="F41" i="95" s="1"/>
  <c r="C7" i="95"/>
  <c r="C11" i="95"/>
  <c r="F11" i="95" s="1"/>
  <c r="C32" i="95"/>
  <c r="F32" i="95" s="1"/>
  <c r="A49" i="95"/>
  <c r="D16" i="95"/>
  <c r="F16" i="95" s="1"/>
  <c r="A27" i="95"/>
  <c r="A43" i="95"/>
  <c r="M6" i="102"/>
  <c r="M8" i="102"/>
  <c r="M11" i="102"/>
  <c r="M18" i="102"/>
  <c r="M14" i="102"/>
  <c r="M16" i="102"/>
  <c r="G8" i="102"/>
  <c r="G13" i="102"/>
  <c r="J8" i="102"/>
  <c r="L8" i="102" s="1"/>
  <c r="G11" i="102"/>
  <c r="G17" i="102"/>
  <c r="G9" i="102"/>
  <c r="G16" i="102"/>
  <c r="G18" i="102"/>
  <c r="G6" i="102"/>
  <c r="G10" i="102"/>
  <c r="J16" i="102"/>
  <c r="L16" i="102" s="1"/>
  <c r="A11" i="102"/>
  <c r="A13" i="102"/>
  <c r="D11" i="102"/>
  <c r="E11" i="102" s="1"/>
  <c r="A15" i="102"/>
  <c r="A6" i="102"/>
  <c r="A8" i="102"/>
  <c r="A10" i="102"/>
  <c r="A14" i="102"/>
  <c r="D33" i="38"/>
  <c r="F33" i="38" s="1"/>
  <c r="D35" i="38"/>
  <c r="F35" i="38" s="1"/>
  <c r="D37" i="38"/>
  <c r="F37" i="38" s="1"/>
  <c r="I6" i="38"/>
  <c r="F8" i="38"/>
  <c r="C9" i="38"/>
  <c r="O11" i="38"/>
  <c r="I14" i="38"/>
  <c r="C17" i="38"/>
  <c r="O19" i="38"/>
  <c r="I22" i="38"/>
  <c r="C25" i="38"/>
  <c r="D31" i="38"/>
  <c r="D7" i="38"/>
  <c r="J12" i="38"/>
  <c r="P17" i="38"/>
  <c r="J20" i="38"/>
  <c r="P25" i="38"/>
  <c r="F10" i="38"/>
  <c r="C7" i="38"/>
  <c r="O9" i="38"/>
  <c r="I12" i="38"/>
  <c r="C15" i="38"/>
  <c r="O17" i="38"/>
  <c r="I20" i="38"/>
  <c r="C23" i="38"/>
  <c r="O25" i="38"/>
  <c r="I28" i="38"/>
  <c r="C31" i="38"/>
  <c r="P9" i="38"/>
  <c r="D15" i="38"/>
  <c r="D23" i="38"/>
  <c r="J28" i="38"/>
  <c r="O7" i="38"/>
  <c r="I10" i="38"/>
  <c r="C13" i="38"/>
  <c r="O15" i="38"/>
  <c r="I18" i="38"/>
  <c r="C21" i="38"/>
  <c r="O23" i="38"/>
  <c r="I26" i="38"/>
  <c r="C29" i="38"/>
  <c r="E10" i="38"/>
  <c r="E9" i="53"/>
  <c r="I7" i="53"/>
  <c r="I8" i="53"/>
  <c r="C10" i="53"/>
  <c r="C11" i="53"/>
  <c r="O12" i="53"/>
  <c r="O13" i="53"/>
  <c r="I15" i="53"/>
  <c r="I16" i="53"/>
  <c r="C18" i="53"/>
  <c r="C19" i="53"/>
  <c r="O20" i="53"/>
  <c r="O21" i="53"/>
  <c r="I23" i="53"/>
  <c r="I24" i="53"/>
  <c r="C26" i="53"/>
  <c r="C27" i="53"/>
  <c r="P13" i="53"/>
  <c r="D27" i="53"/>
  <c r="D11" i="53"/>
  <c r="P21" i="53"/>
  <c r="D28" i="53"/>
  <c r="C28" i="53"/>
  <c r="D30" i="53"/>
  <c r="C30" i="53"/>
  <c r="D31" i="53"/>
  <c r="F31" i="53" s="1"/>
  <c r="D32" i="53"/>
  <c r="C32" i="53"/>
  <c r="J8" i="53"/>
  <c r="D19" i="53"/>
  <c r="J24" i="53"/>
  <c r="A6" i="53"/>
  <c r="O6" i="53"/>
  <c r="I9" i="53"/>
  <c r="C12" i="53"/>
  <c r="O14" i="53"/>
  <c r="I17" i="53"/>
  <c r="C20" i="53"/>
  <c r="O22" i="53"/>
  <c r="I25" i="53"/>
  <c r="G28" i="53"/>
  <c r="G30" i="53"/>
  <c r="G32" i="53"/>
  <c r="G34" i="53"/>
  <c r="G36" i="53"/>
  <c r="J16" i="53"/>
  <c r="C6" i="53"/>
  <c r="I28" i="53"/>
  <c r="I30" i="53"/>
  <c r="I32" i="53"/>
  <c r="I34" i="53"/>
  <c r="I36" i="53"/>
  <c r="O8" i="53"/>
  <c r="I11" i="53"/>
  <c r="C14" i="53"/>
  <c r="O16" i="53"/>
  <c r="I19" i="53"/>
  <c r="C22" i="53"/>
  <c r="O24" i="53"/>
  <c r="J29" i="53"/>
  <c r="I29" i="53"/>
  <c r="J31" i="53"/>
  <c r="I31" i="53"/>
  <c r="J33" i="53"/>
  <c r="I33" i="53"/>
  <c r="J35" i="53"/>
  <c r="I35" i="53"/>
  <c r="J37" i="53"/>
  <c r="I37" i="53"/>
  <c r="G7" i="53"/>
  <c r="A10" i="53"/>
  <c r="M12" i="53"/>
  <c r="G15" i="53"/>
  <c r="A18" i="53"/>
  <c r="M20" i="53"/>
  <c r="G23" i="53"/>
  <c r="A26" i="53"/>
  <c r="P28" i="53"/>
  <c r="O28" i="53"/>
  <c r="P30" i="53"/>
  <c r="O30" i="53"/>
  <c r="C31" i="60"/>
  <c r="D31" i="60"/>
  <c r="C37" i="60"/>
  <c r="F22" i="60"/>
  <c r="P19" i="60"/>
  <c r="O19" i="60"/>
  <c r="A35" i="60"/>
  <c r="C7" i="60"/>
  <c r="D25" i="60"/>
  <c r="C25" i="60"/>
  <c r="C35" i="60"/>
  <c r="D17" i="60"/>
  <c r="C17" i="60"/>
  <c r="D7" i="60"/>
  <c r="I22" i="60"/>
  <c r="J22" i="60"/>
  <c r="I12" i="60"/>
  <c r="J12" i="60"/>
  <c r="P27" i="60"/>
  <c r="O27" i="60"/>
  <c r="I20" i="60"/>
  <c r="J14" i="60"/>
  <c r="I14" i="60"/>
  <c r="J20" i="60"/>
  <c r="C23" i="60"/>
  <c r="C33" i="60"/>
  <c r="C39" i="60"/>
  <c r="D9" i="60"/>
  <c r="C9" i="60"/>
  <c r="P11" i="60"/>
  <c r="O11" i="60"/>
  <c r="Q13" i="60"/>
  <c r="I30" i="60"/>
  <c r="J30" i="60"/>
  <c r="J6" i="60"/>
  <c r="I6" i="60"/>
  <c r="A9" i="60"/>
  <c r="D23" i="60"/>
  <c r="O25" i="60"/>
  <c r="I32" i="60"/>
  <c r="I34" i="60"/>
  <c r="I36" i="60"/>
  <c r="O7" i="60"/>
  <c r="I10" i="60"/>
  <c r="C13" i="60"/>
  <c r="O15" i="60"/>
  <c r="I18" i="60"/>
  <c r="C21" i="60"/>
  <c r="O23" i="60"/>
  <c r="I26" i="60"/>
  <c r="C29" i="60"/>
  <c r="O11" i="67"/>
  <c r="P11" i="67"/>
  <c r="I22" i="67"/>
  <c r="J22" i="67"/>
  <c r="C25" i="67"/>
  <c r="D25" i="67"/>
  <c r="O27" i="67"/>
  <c r="P27" i="67"/>
  <c r="C7" i="67"/>
  <c r="D7" i="67"/>
  <c r="O9" i="67"/>
  <c r="P9" i="67"/>
  <c r="I12" i="67"/>
  <c r="J12" i="67"/>
  <c r="C15" i="67"/>
  <c r="D15" i="67"/>
  <c r="O17" i="67"/>
  <c r="P17" i="67"/>
  <c r="I20" i="67"/>
  <c r="J20" i="67"/>
  <c r="C23" i="67"/>
  <c r="D23" i="67"/>
  <c r="O25" i="67"/>
  <c r="P25" i="67"/>
  <c r="C9" i="67"/>
  <c r="D9" i="67"/>
  <c r="I14" i="67"/>
  <c r="J14" i="67"/>
  <c r="C17" i="67"/>
  <c r="D17" i="67"/>
  <c r="O19" i="67"/>
  <c r="P19" i="67"/>
  <c r="O7" i="67"/>
  <c r="P7" i="67"/>
  <c r="I10" i="67"/>
  <c r="J10" i="67"/>
  <c r="C13" i="67"/>
  <c r="D13" i="67"/>
  <c r="O15" i="67"/>
  <c r="P15" i="67"/>
  <c r="I18" i="67"/>
  <c r="J18" i="67"/>
  <c r="C21" i="67"/>
  <c r="D21" i="67"/>
  <c r="O23" i="67"/>
  <c r="P23" i="67"/>
  <c r="I26" i="67"/>
  <c r="J26" i="67"/>
  <c r="J8" i="67"/>
  <c r="I8" i="67"/>
  <c r="C11" i="67"/>
  <c r="D11" i="67"/>
  <c r="O13" i="67"/>
  <c r="P13" i="67"/>
  <c r="I16" i="67"/>
  <c r="J16" i="67"/>
  <c r="C19" i="67"/>
  <c r="D19" i="67"/>
  <c r="O21" i="67"/>
  <c r="P21" i="67"/>
  <c r="C27" i="67"/>
  <c r="D27" i="67"/>
  <c r="A9" i="67"/>
  <c r="M11" i="67"/>
  <c r="G14" i="67"/>
  <c r="A17" i="67"/>
  <c r="M19" i="67"/>
  <c r="G22" i="67"/>
  <c r="A6" i="67"/>
  <c r="M6" i="67"/>
  <c r="G7" i="67"/>
  <c r="A8" i="67"/>
  <c r="M8" i="67"/>
  <c r="G9" i="67"/>
  <c r="A10" i="67"/>
  <c r="M10" i="67"/>
  <c r="G11" i="67"/>
  <c r="A12" i="67"/>
  <c r="M12" i="67"/>
  <c r="G13" i="67"/>
  <c r="A14" i="67"/>
  <c r="M14" i="67"/>
  <c r="G15" i="67"/>
  <c r="A16" i="67"/>
  <c r="M16" i="67"/>
  <c r="G17" i="67"/>
  <c r="A18" i="67"/>
  <c r="M18" i="67"/>
  <c r="G19" i="67"/>
  <c r="A20" i="67"/>
  <c r="M20" i="67"/>
  <c r="G21" i="67"/>
  <c r="A22" i="67"/>
  <c r="M22" i="67"/>
  <c r="G23" i="67"/>
  <c r="A24" i="67"/>
  <c r="M24" i="67"/>
  <c r="G25" i="67"/>
  <c r="A26" i="67"/>
  <c r="M26" i="67"/>
  <c r="A28" i="67"/>
  <c r="C6" i="67"/>
  <c r="O6" i="67"/>
  <c r="I7" i="67"/>
  <c r="C8" i="67"/>
  <c r="O8" i="67"/>
  <c r="I9" i="67"/>
  <c r="C10" i="67"/>
  <c r="O10" i="67"/>
  <c r="I11" i="67"/>
  <c r="C12" i="67"/>
  <c r="O12" i="67"/>
  <c r="I13" i="67"/>
  <c r="C14" i="67"/>
  <c r="O14" i="67"/>
  <c r="I15" i="67"/>
  <c r="C16" i="67"/>
  <c r="O16" i="67"/>
  <c r="I17" i="67"/>
  <c r="C18" i="67"/>
  <c r="O18" i="67"/>
  <c r="I19" i="67"/>
  <c r="C20" i="67"/>
  <c r="O20" i="67"/>
  <c r="I21" i="67"/>
  <c r="C22" i="67"/>
  <c r="O22" i="67"/>
  <c r="I23" i="67"/>
  <c r="C24" i="67"/>
  <c r="O24" i="67"/>
  <c r="I25" i="67"/>
  <c r="C26" i="67"/>
  <c r="O26" i="67"/>
  <c r="C28" i="67"/>
  <c r="J7" i="81"/>
  <c r="L7" i="81" s="1"/>
  <c r="J9" i="81"/>
  <c r="L9" i="81" s="1"/>
  <c r="J11" i="81"/>
  <c r="L11" i="81" s="1"/>
  <c r="J13" i="81"/>
  <c r="L13" i="81" s="1"/>
  <c r="J15" i="81"/>
  <c r="L15" i="81" s="1"/>
  <c r="P16" i="81"/>
  <c r="Q16" i="81" s="1"/>
  <c r="P18" i="81"/>
  <c r="R18" i="81" s="1"/>
  <c r="D20" i="81"/>
  <c r="F20" i="81" s="1"/>
  <c r="D22" i="81"/>
  <c r="E22" i="81" s="1"/>
  <c r="P24" i="81"/>
  <c r="R24" i="81" s="1"/>
  <c r="P26" i="81"/>
  <c r="R26" i="81" s="1"/>
  <c r="P28" i="81"/>
  <c r="R28" i="81" s="1"/>
  <c r="D30" i="81"/>
  <c r="F30" i="81" s="1"/>
  <c r="D6" i="81"/>
  <c r="E6" i="81" s="1"/>
  <c r="P8" i="81"/>
  <c r="Q8" i="81" s="1"/>
  <c r="D10" i="81"/>
  <c r="F10" i="81" s="1"/>
  <c r="D12" i="81"/>
  <c r="F12" i="81" s="1"/>
  <c r="D14" i="81"/>
  <c r="F14" i="81" s="1"/>
  <c r="D16" i="81"/>
  <c r="F16" i="81" s="1"/>
  <c r="D18" i="81"/>
  <c r="E18" i="81" s="1"/>
  <c r="J19" i="81"/>
  <c r="L19" i="81" s="1"/>
  <c r="J21" i="81"/>
  <c r="L21" i="81" s="1"/>
  <c r="P22" i="81"/>
  <c r="R22" i="81" s="1"/>
  <c r="D24" i="81"/>
  <c r="F24" i="81" s="1"/>
  <c r="D26" i="81"/>
  <c r="F26" i="81" s="1"/>
  <c r="D28" i="81"/>
  <c r="F28" i="81" s="1"/>
  <c r="P30" i="81"/>
  <c r="R30" i="81" s="1"/>
  <c r="D32" i="81"/>
  <c r="F32" i="81" s="1"/>
  <c r="P6" i="81"/>
  <c r="R6" i="81" s="1"/>
  <c r="P10" i="81"/>
  <c r="R10" i="81" s="1"/>
  <c r="P12" i="81"/>
  <c r="R12" i="81" s="1"/>
  <c r="P14" i="81"/>
  <c r="R14" i="81" s="1"/>
  <c r="J17" i="81"/>
  <c r="L17" i="81" s="1"/>
  <c r="P20" i="81"/>
  <c r="Q20" i="81" s="1"/>
  <c r="G6" i="81"/>
  <c r="A7" i="81"/>
  <c r="M7" i="81"/>
  <c r="G8" i="81"/>
  <c r="A9" i="81"/>
  <c r="M9" i="81"/>
  <c r="G10" i="81"/>
  <c r="A11" i="81"/>
  <c r="M11" i="81"/>
  <c r="G12" i="81"/>
  <c r="A13" i="81"/>
  <c r="M13" i="81"/>
  <c r="G14" i="81"/>
  <c r="A15" i="81"/>
  <c r="M15" i="81"/>
  <c r="G16" i="81"/>
  <c r="A17" i="81"/>
  <c r="M17" i="81"/>
  <c r="G18" i="81"/>
  <c r="A19" i="81"/>
  <c r="M19" i="81"/>
  <c r="G20" i="81"/>
  <c r="A21" i="81"/>
  <c r="M21" i="81"/>
  <c r="A23" i="81"/>
  <c r="M23" i="81"/>
  <c r="A25" i="81"/>
  <c r="M25" i="81"/>
  <c r="A27" i="81"/>
  <c r="M27" i="81"/>
  <c r="A29" i="81"/>
  <c r="M29" i="81"/>
  <c r="A31" i="81"/>
  <c r="M31" i="81"/>
  <c r="I6" i="81"/>
  <c r="C7" i="81"/>
  <c r="O7" i="81"/>
  <c r="I8" i="81"/>
  <c r="C9" i="81"/>
  <c r="O9" i="81"/>
  <c r="I10" i="81"/>
  <c r="C11" i="81"/>
  <c r="O11" i="81"/>
  <c r="I12" i="81"/>
  <c r="C13" i="81"/>
  <c r="O13" i="81"/>
  <c r="I14" i="81"/>
  <c r="C15" i="81"/>
  <c r="O15" i="81"/>
  <c r="I16" i="81"/>
  <c r="C17" i="81"/>
  <c r="O17" i="81"/>
  <c r="I18" i="81"/>
  <c r="C19" i="81"/>
  <c r="O19" i="81"/>
  <c r="I20" i="81"/>
  <c r="C21" i="81"/>
  <c r="O21" i="81"/>
  <c r="C23" i="81"/>
  <c r="O23" i="81"/>
  <c r="C25" i="81"/>
  <c r="O25" i="81"/>
  <c r="C27" i="81"/>
  <c r="O27" i="81"/>
  <c r="C29" i="81"/>
  <c r="O29" i="81"/>
  <c r="C31" i="81"/>
  <c r="O31" i="81"/>
  <c r="C39" i="88"/>
  <c r="D6" i="88"/>
  <c r="E6" i="88" s="1"/>
  <c r="P7" i="88"/>
  <c r="J12" i="88"/>
  <c r="L12" i="88" s="1"/>
  <c r="I14" i="88"/>
  <c r="I16" i="88"/>
  <c r="I18" i="88"/>
  <c r="I20" i="88"/>
  <c r="C35" i="88"/>
  <c r="P8" i="88"/>
  <c r="Q8" i="88" s="1"/>
  <c r="J13" i="88"/>
  <c r="L13" i="88" s="1"/>
  <c r="P10" i="88"/>
  <c r="Q10" i="88" s="1"/>
  <c r="M11" i="88"/>
  <c r="M12" i="88"/>
  <c r="M14" i="88"/>
  <c r="M16" i="88"/>
  <c r="M18" i="88"/>
  <c r="A23" i="88"/>
  <c r="A27" i="88"/>
  <c r="A41" i="88"/>
  <c r="A47" i="88"/>
  <c r="A53" i="88"/>
  <c r="A59" i="88"/>
  <c r="A65" i="88"/>
  <c r="J15" i="88"/>
  <c r="K15" i="88" s="1"/>
  <c r="J17" i="88"/>
  <c r="L17" i="88" s="1"/>
  <c r="J19" i="88"/>
  <c r="L19" i="88" s="1"/>
  <c r="O7" i="88"/>
  <c r="I10" i="88"/>
  <c r="J11" i="88"/>
  <c r="L11" i="88" s="1"/>
  <c r="J25" i="88"/>
  <c r="I25" i="88"/>
  <c r="G7" i="88"/>
  <c r="A10" i="88"/>
  <c r="O11" i="88"/>
  <c r="P12" i="88"/>
  <c r="P14" i="88"/>
  <c r="P16" i="88"/>
  <c r="P18" i="88"/>
  <c r="C23" i="88"/>
  <c r="C27" i="88"/>
  <c r="A37" i="88"/>
  <c r="C41" i="88"/>
  <c r="C47" i="88"/>
  <c r="C53" i="88"/>
  <c r="C59" i="88"/>
  <c r="C65" i="88"/>
  <c r="C37" i="88"/>
  <c r="J7" i="88"/>
  <c r="L7" i="88" s="1"/>
  <c r="D10" i="88"/>
  <c r="E10" i="88" s="1"/>
  <c r="J27" i="88"/>
  <c r="I27" i="88"/>
  <c r="I8" i="88"/>
  <c r="D11" i="88"/>
  <c r="F11" i="88" s="1"/>
  <c r="D14" i="88"/>
  <c r="F14" i="88" s="1"/>
  <c r="D16" i="88"/>
  <c r="F16" i="88" s="1"/>
  <c r="D18" i="88"/>
  <c r="F18" i="88" s="1"/>
  <c r="D20" i="88"/>
  <c r="F20" i="88" s="1"/>
  <c r="D21" i="88"/>
  <c r="F21" i="88" s="1"/>
  <c r="A25" i="88"/>
  <c r="A29" i="88"/>
  <c r="C33" i="88"/>
  <c r="C43" i="88"/>
  <c r="C49" i="88"/>
  <c r="C55" i="88"/>
  <c r="C61" i="88"/>
  <c r="J23" i="88"/>
  <c r="I23" i="88"/>
  <c r="D12" i="88"/>
  <c r="F12" i="88" s="1"/>
  <c r="G10" i="88"/>
  <c r="G11" i="88"/>
  <c r="A39" i="88"/>
  <c r="D22" i="88"/>
  <c r="C22" i="88"/>
  <c r="D26" i="88"/>
  <c r="C26" i="88"/>
  <c r="D28" i="88"/>
  <c r="C28" i="88"/>
  <c r="D30" i="88"/>
  <c r="C30" i="88"/>
  <c r="D34" i="88"/>
  <c r="C34" i="88"/>
  <c r="D36" i="88"/>
  <c r="C36" i="88"/>
  <c r="D38" i="88"/>
  <c r="C38" i="88"/>
  <c r="D44" i="88"/>
  <c r="C44" i="88"/>
  <c r="D46" i="88"/>
  <c r="C46" i="88"/>
  <c r="D48" i="88"/>
  <c r="C48" i="88"/>
  <c r="D50" i="88"/>
  <c r="C50" i="88"/>
  <c r="D52" i="88"/>
  <c r="C52" i="88"/>
  <c r="D54" i="88"/>
  <c r="C54" i="88"/>
  <c r="D56" i="88"/>
  <c r="C56" i="88"/>
  <c r="D58" i="88"/>
  <c r="C58" i="88"/>
  <c r="D60" i="88"/>
  <c r="C60" i="88"/>
  <c r="D62" i="88"/>
  <c r="C62" i="88"/>
  <c r="D64" i="88"/>
  <c r="C64" i="88"/>
  <c r="D66" i="88"/>
  <c r="C66" i="88"/>
  <c r="D24" i="88"/>
  <c r="C24" i="88"/>
  <c r="D32" i="88"/>
  <c r="C32" i="88"/>
  <c r="D40" i="88"/>
  <c r="C40" i="88"/>
  <c r="D42" i="88"/>
  <c r="C42" i="88"/>
  <c r="J21" i="88"/>
  <c r="I21" i="88"/>
  <c r="I40" i="95"/>
  <c r="J63" i="95"/>
  <c r="I63" i="95"/>
  <c r="O9" i="95"/>
  <c r="P9" i="95"/>
  <c r="G13" i="95"/>
  <c r="I15" i="95"/>
  <c r="G15" i="95"/>
  <c r="I18" i="95"/>
  <c r="J18" i="95"/>
  <c r="M10" i="95"/>
  <c r="P10" i="95"/>
  <c r="O10" i="95"/>
  <c r="O11" i="95"/>
  <c r="P11" i="95"/>
  <c r="D45" i="95"/>
  <c r="E45" i="95" s="1"/>
  <c r="A45" i="95"/>
  <c r="J15" i="95"/>
  <c r="D20" i="95"/>
  <c r="A20" i="95"/>
  <c r="P23" i="95"/>
  <c r="M23" i="95"/>
  <c r="C31" i="95"/>
  <c r="A31" i="95"/>
  <c r="D31" i="95"/>
  <c r="G6" i="95"/>
  <c r="I6" i="95"/>
  <c r="J6" i="95"/>
  <c r="I20" i="95"/>
  <c r="G20" i="95"/>
  <c r="J14" i="95"/>
  <c r="K14" i="95" s="1"/>
  <c r="I17" i="95"/>
  <c r="J17" i="95"/>
  <c r="C26" i="95"/>
  <c r="I46" i="95"/>
  <c r="P22" i="95"/>
  <c r="M22" i="95"/>
  <c r="O22" i="95"/>
  <c r="D7" i="95"/>
  <c r="J16" i="95"/>
  <c r="A25" i="95"/>
  <c r="G47" i="95"/>
  <c r="I52" i="95"/>
  <c r="G52" i="95"/>
  <c r="C20" i="95"/>
  <c r="O23" i="95"/>
  <c r="J27" i="95"/>
  <c r="I27" i="95"/>
  <c r="G27" i="95"/>
  <c r="I11" i="95"/>
  <c r="G11" i="95"/>
  <c r="J41" i="95"/>
  <c r="K41" i="95" s="1"/>
  <c r="G41" i="95"/>
  <c r="J34" i="95"/>
  <c r="G34" i="95"/>
  <c r="J56" i="95"/>
  <c r="G56" i="95"/>
  <c r="P8" i="95"/>
  <c r="O8" i="95"/>
  <c r="G18" i="95"/>
  <c r="C25" i="95"/>
  <c r="M30" i="95"/>
  <c r="I34" i="95"/>
  <c r="D38" i="95"/>
  <c r="C38" i="95"/>
  <c r="A38" i="95"/>
  <c r="I47" i="95"/>
  <c r="I56" i="95"/>
  <c r="J26" i="95"/>
  <c r="G26" i="95"/>
  <c r="D37" i="95"/>
  <c r="A37" i="95"/>
  <c r="D44" i="95"/>
  <c r="A44" i="95"/>
  <c r="C37" i="95"/>
  <c r="J51" i="95"/>
  <c r="I51" i="95"/>
  <c r="G51" i="95"/>
  <c r="O21" i="95"/>
  <c r="C23" i="95"/>
  <c r="A23" i="95"/>
  <c r="C24" i="95"/>
  <c r="D30" i="95"/>
  <c r="C30" i="95"/>
  <c r="A30" i="95"/>
  <c r="I32" i="95"/>
  <c r="M33" i="95"/>
  <c r="I38" i="95"/>
  <c r="I39" i="95"/>
  <c r="C43" i="95"/>
  <c r="I44" i="95"/>
  <c r="G44" i="95"/>
  <c r="I45" i="95"/>
  <c r="C49" i="95"/>
  <c r="J62" i="95"/>
  <c r="L62" i="95" s="1"/>
  <c r="G7" i="95"/>
  <c r="C8" i="95"/>
  <c r="C9" i="95"/>
  <c r="A9" i="95"/>
  <c r="A10" i="95"/>
  <c r="A11" i="95"/>
  <c r="O12" i="95"/>
  <c r="P13" i="95"/>
  <c r="Q13" i="95" s="1"/>
  <c r="O14" i="95"/>
  <c r="M16" i="95"/>
  <c r="M17" i="95"/>
  <c r="M20" i="95"/>
  <c r="D23" i="95"/>
  <c r="G24" i="95"/>
  <c r="J25" i="95"/>
  <c r="L25" i="95" s="1"/>
  <c r="G25" i="95"/>
  <c r="M26" i="95"/>
  <c r="D29" i="95"/>
  <c r="E29" i="95" s="1"/>
  <c r="A29" i="95"/>
  <c r="G30" i="95"/>
  <c r="G31" i="95"/>
  <c r="A35" i="95"/>
  <c r="D36" i="95"/>
  <c r="F36" i="95" s="1"/>
  <c r="A36" i="95"/>
  <c r="G37" i="95"/>
  <c r="A41" i="95"/>
  <c r="A42" i="95"/>
  <c r="J44" i="95"/>
  <c r="A48" i="95"/>
  <c r="J50" i="95"/>
  <c r="K50" i="95" s="1"/>
  <c r="G50" i="95"/>
  <c r="I55" i="95"/>
  <c r="J58" i="95"/>
  <c r="I58" i="95"/>
  <c r="G58" i="95"/>
  <c r="G61" i="95"/>
  <c r="J19" i="95"/>
  <c r="I19" i="95"/>
  <c r="G19" i="95"/>
  <c r="I26" i="95"/>
  <c r="C44" i="95"/>
  <c r="J49" i="95"/>
  <c r="G49" i="95"/>
  <c r="C13" i="95"/>
  <c r="A13" i="95"/>
  <c r="D22" i="95"/>
  <c r="C22" i="95"/>
  <c r="A22" i="95"/>
  <c r="O25" i="95"/>
  <c r="M25" i="95"/>
  <c r="M32" i="95"/>
  <c r="D13" i="95"/>
  <c r="P18" i="95"/>
  <c r="D21" i="95"/>
  <c r="A21" i="95"/>
  <c r="D28" i="95"/>
  <c r="A28" i="95"/>
  <c r="M31" i="95"/>
  <c r="J42" i="95"/>
  <c r="G42" i="95"/>
  <c r="O6" i="95"/>
  <c r="I8" i="95"/>
  <c r="D12" i="95"/>
  <c r="E12" i="95" s="1"/>
  <c r="C14" i="95"/>
  <c r="C15" i="95"/>
  <c r="A16" i="95"/>
  <c r="C17" i="95"/>
  <c r="A17" i="95"/>
  <c r="C21" i="95"/>
  <c r="C28" i="95"/>
  <c r="I42" i="95"/>
  <c r="I49" i="95"/>
  <c r="J57" i="95"/>
  <c r="I57" i="95"/>
  <c r="G57" i="95"/>
  <c r="I64" i="95"/>
  <c r="J33" i="95"/>
  <c r="L33" i="95" s="1"/>
  <c r="G33" i="95"/>
  <c r="I36" i="95"/>
  <c r="G36" i="95"/>
  <c r="J43" i="95"/>
  <c r="I43" i="95"/>
  <c r="G43" i="95"/>
  <c r="C47" i="95"/>
  <c r="A47" i="95"/>
  <c r="P25" i="95"/>
  <c r="J36" i="95"/>
  <c r="J8" i="95"/>
  <c r="P24" i="95"/>
  <c r="O24" i="95"/>
  <c r="M24" i="95"/>
  <c r="I28" i="95"/>
  <c r="G28" i="95"/>
  <c r="J35" i="95"/>
  <c r="I35" i="95"/>
  <c r="G35" i="95"/>
  <c r="C39" i="95"/>
  <c r="A39" i="95"/>
  <c r="D46" i="95"/>
  <c r="C46" i="95"/>
  <c r="A46" i="95"/>
  <c r="G59" i="95"/>
  <c r="G60" i="95"/>
  <c r="I59" i="95"/>
  <c r="I12" i="102"/>
  <c r="D7" i="102"/>
  <c r="F7" i="102" s="1"/>
  <c r="O11" i="102"/>
  <c r="C9" i="102"/>
  <c r="O13" i="102"/>
  <c r="I18" i="102"/>
  <c r="D15" i="102"/>
  <c r="F15" i="102" s="1"/>
  <c r="O19" i="102"/>
  <c r="M9" i="102"/>
  <c r="M17" i="102"/>
  <c r="P9" i="102"/>
  <c r="R9" i="102" s="1"/>
  <c r="I14" i="102"/>
  <c r="I20" i="102"/>
  <c r="J12" i="102"/>
  <c r="J20" i="102"/>
  <c r="I10" i="102"/>
  <c r="O17" i="102"/>
  <c r="I6" i="102"/>
  <c r="D6" i="102"/>
  <c r="F6" i="102" s="1"/>
  <c r="P6" i="102"/>
  <c r="R6" i="102" s="1"/>
  <c r="D8" i="102"/>
  <c r="E8" i="102" s="1"/>
  <c r="P8" i="102"/>
  <c r="R8" i="102" s="1"/>
  <c r="D10" i="102"/>
  <c r="F10" i="102" s="1"/>
  <c r="P10" i="102"/>
  <c r="R10" i="102" s="1"/>
  <c r="J11" i="102"/>
  <c r="L11" i="102" s="1"/>
  <c r="D12" i="102"/>
  <c r="F12" i="102" s="1"/>
  <c r="P12" i="102"/>
  <c r="R12" i="102" s="1"/>
  <c r="J13" i="102"/>
  <c r="L13" i="102" s="1"/>
  <c r="D14" i="102"/>
  <c r="F14" i="102" s="1"/>
  <c r="P14" i="102"/>
  <c r="R14" i="102" s="1"/>
  <c r="J15" i="102"/>
  <c r="L15" i="102" s="1"/>
  <c r="P16" i="102"/>
  <c r="R16" i="102" s="1"/>
  <c r="J17" i="102"/>
  <c r="L17" i="102" s="1"/>
  <c r="P18" i="102"/>
  <c r="R18" i="102" s="1"/>
  <c r="J19" i="102"/>
  <c r="L19" i="102" s="1"/>
  <c r="J21" i="102"/>
  <c r="L21" i="102" s="1"/>
  <c r="I7" i="102"/>
  <c r="I9" i="102"/>
  <c r="Q17" i="88" l="1"/>
  <c r="E28" i="38"/>
  <c r="F28" i="60"/>
  <c r="E18" i="60"/>
  <c r="F6" i="60"/>
  <c r="E42" i="95"/>
  <c r="F35" i="95"/>
  <c r="R22" i="60"/>
  <c r="R14" i="38"/>
  <c r="Q20" i="95"/>
  <c r="F36" i="38"/>
  <c r="L29" i="95"/>
  <c r="E13" i="102"/>
  <c r="E20" i="38"/>
  <c r="K27" i="53"/>
  <c r="R8" i="60"/>
  <c r="K19" i="60"/>
  <c r="L9" i="60"/>
  <c r="L35" i="60"/>
  <c r="E67" i="88"/>
  <c r="K30" i="95"/>
  <c r="L13" i="95"/>
  <c r="E34" i="95"/>
  <c r="F27" i="95"/>
  <c r="Q20" i="60"/>
  <c r="Q22" i="38"/>
  <c r="L7" i="38"/>
  <c r="E24" i="53"/>
  <c r="Q26" i="60"/>
  <c r="E16" i="60"/>
  <c r="K61" i="95"/>
  <c r="L23" i="95"/>
  <c r="E41" i="95"/>
  <c r="F18" i="95"/>
  <c r="Q15" i="102"/>
  <c r="K15" i="38"/>
  <c r="F16" i="38"/>
  <c r="Q19" i="53"/>
  <c r="R26" i="53"/>
  <c r="R11" i="53"/>
  <c r="K25" i="60"/>
  <c r="K23" i="60"/>
  <c r="K11" i="60"/>
  <c r="F15" i="60"/>
  <c r="E34" i="60"/>
  <c r="Q19" i="88"/>
  <c r="F51" i="88"/>
  <c r="F29" i="88"/>
  <c r="E19" i="95"/>
  <c r="F16" i="53"/>
  <c r="F17" i="53"/>
  <c r="R15" i="88"/>
  <c r="L37" i="95"/>
  <c r="F22" i="38"/>
  <c r="L24" i="95"/>
  <c r="F17" i="88"/>
  <c r="E45" i="88"/>
  <c r="E48" i="95"/>
  <c r="R7" i="95"/>
  <c r="F18" i="38"/>
  <c r="Q14" i="60"/>
  <c r="K7" i="95"/>
  <c r="E15" i="88"/>
  <c r="E20" i="60"/>
  <c r="E40" i="95"/>
  <c r="E32" i="95"/>
  <c r="F26" i="60"/>
  <c r="E19" i="88"/>
  <c r="R18" i="60"/>
  <c r="E13" i="88"/>
  <c r="R10" i="38"/>
  <c r="L9" i="38"/>
  <c r="L11" i="38"/>
  <c r="L23" i="38"/>
  <c r="E27" i="38"/>
  <c r="E32" i="38"/>
  <c r="E34" i="38"/>
  <c r="R28" i="60"/>
  <c r="L8" i="60"/>
  <c r="F14" i="60"/>
  <c r="E38" i="60"/>
  <c r="E32" i="60"/>
  <c r="F8" i="81"/>
  <c r="Q13" i="88"/>
  <c r="L6" i="88"/>
  <c r="F9" i="88"/>
  <c r="Q19" i="95"/>
  <c r="Q16" i="95"/>
  <c r="K21" i="95"/>
  <c r="E18" i="95"/>
  <c r="F10" i="95"/>
  <c r="E7" i="95"/>
  <c r="Q7" i="102"/>
  <c r="F11" i="102"/>
  <c r="Q6" i="88"/>
  <c r="E23" i="53"/>
  <c r="L12" i="53"/>
  <c r="E21" i="53"/>
  <c r="E15" i="60"/>
  <c r="R12" i="38"/>
  <c r="R16" i="38"/>
  <c r="K24" i="38"/>
  <c r="K27" i="38"/>
  <c r="L25" i="38"/>
  <c r="E11" i="38"/>
  <c r="F12" i="38"/>
  <c r="F38" i="38"/>
  <c r="E14" i="38"/>
  <c r="K26" i="53"/>
  <c r="L22" i="53"/>
  <c r="K21" i="53"/>
  <c r="E25" i="53"/>
  <c r="F15" i="53"/>
  <c r="R17" i="60"/>
  <c r="R24" i="60"/>
  <c r="R9" i="60"/>
  <c r="K28" i="60"/>
  <c r="F12" i="60"/>
  <c r="E11" i="60"/>
  <c r="K6" i="88"/>
  <c r="E9" i="88"/>
  <c r="K22" i="95"/>
  <c r="K12" i="95"/>
  <c r="F19" i="95"/>
  <c r="E16" i="95"/>
  <c r="E33" i="95"/>
  <c r="R7" i="102"/>
  <c r="K17" i="102"/>
  <c r="Q20" i="38"/>
  <c r="Q8" i="38"/>
  <c r="R24" i="38"/>
  <c r="R18" i="38"/>
  <c r="R26" i="38"/>
  <c r="K8" i="38"/>
  <c r="K21" i="38"/>
  <c r="F24" i="38"/>
  <c r="R25" i="53"/>
  <c r="R29" i="53"/>
  <c r="K13" i="53"/>
  <c r="E8" i="53"/>
  <c r="F7" i="53"/>
  <c r="F29" i="53"/>
  <c r="Q21" i="60"/>
  <c r="Q29" i="60"/>
  <c r="Q12" i="60"/>
  <c r="Q10" i="60"/>
  <c r="Q17" i="60"/>
  <c r="L17" i="60"/>
  <c r="K7" i="60"/>
  <c r="L15" i="60"/>
  <c r="L31" i="60"/>
  <c r="L13" i="60"/>
  <c r="E30" i="60"/>
  <c r="E10" i="60"/>
  <c r="K24" i="67"/>
  <c r="K7" i="88"/>
  <c r="K24" i="88"/>
  <c r="K26" i="88"/>
  <c r="Q17" i="95"/>
  <c r="Q7" i="95"/>
  <c r="R18" i="95"/>
  <c r="F45" i="95"/>
  <c r="Q6" i="38"/>
  <c r="L19" i="38"/>
  <c r="L29" i="38"/>
  <c r="L13" i="38"/>
  <c r="L17" i="38"/>
  <c r="F19" i="38"/>
  <c r="F30" i="38"/>
  <c r="F26" i="38"/>
  <c r="R23" i="53"/>
  <c r="Q15" i="53"/>
  <c r="Q9" i="53"/>
  <c r="Q18" i="53"/>
  <c r="R17" i="53"/>
  <c r="R27" i="53"/>
  <c r="R31" i="53"/>
  <c r="K18" i="53"/>
  <c r="L6" i="53"/>
  <c r="L14" i="53"/>
  <c r="K10" i="53"/>
  <c r="F13" i="53"/>
  <c r="R6" i="60"/>
  <c r="Q16" i="60"/>
  <c r="L16" i="60"/>
  <c r="L29" i="60"/>
  <c r="K24" i="60"/>
  <c r="L21" i="60"/>
  <c r="L33" i="60"/>
  <c r="K37" i="60"/>
  <c r="E27" i="60"/>
  <c r="E40" i="60"/>
  <c r="F24" i="60"/>
  <c r="E36" i="60"/>
  <c r="L6" i="67"/>
  <c r="R20" i="81"/>
  <c r="Q9" i="88"/>
  <c r="L24" i="88"/>
  <c r="L22" i="88"/>
  <c r="L26" i="88"/>
  <c r="E25" i="88"/>
  <c r="L12" i="95"/>
  <c r="K9" i="95"/>
  <c r="L9" i="95"/>
  <c r="K54" i="95"/>
  <c r="K31" i="95"/>
  <c r="K53" i="95"/>
  <c r="L16" i="95"/>
  <c r="F33" i="95"/>
  <c r="K8" i="102"/>
  <c r="R13" i="38"/>
  <c r="Q21" i="38"/>
  <c r="K16" i="38"/>
  <c r="E6" i="38"/>
  <c r="Q10" i="53"/>
  <c r="Q7" i="53"/>
  <c r="L20" i="53"/>
  <c r="Q9" i="60"/>
  <c r="L28" i="60"/>
  <c r="K27" i="60"/>
  <c r="F8" i="60"/>
  <c r="E19" i="60"/>
  <c r="R16" i="81"/>
  <c r="Q30" i="81"/>
  <c r="Q14" i="81"/>
  <c r="R8" i="81"/>
  <c r="Q6" i="81"/>
  <c r="K11" i="81"/>
  <c r="K13" i="81"/>
  <c r="K17" i="81"/>
  <c r="K21" i="81"/>
  <c r="F22" i="81"/>
  <c r="F18" i="81"/>
  <c r="F6" i="81"/>
  <c r="K22" i="88"/>
  <c r="K12" i="88"/>
  <c r="K9" i="88"/>
  <c r="E63" i="88"/>
  <c r="E57" i="88"/>
  <c r="E7" i="88"/>
  <c r="E31" i="88"/>
  <c r="E8" i="88"/>
  <c r="Q15" i="95"/>
  <c r="R13" i="95"/>
  <c r="Q18" i="95"/>
  <c r="L14" i="95"/>
  <c r="L48" i="95"/>
  <c r="K48" i="95"/>
  <c r="L41" i="95"/>
  <c r="K10" i="95"/>
  <c r="L10" i="95"/>
  <c r="L54" i="95"/>
  <c r="K60" i="95"/>
  <c r="E36" i="95"/>
  <c r="E6" i="95"/>
  <c r="F12" i="95"/>
  <c r="E11" i="95"/>
  <c r="F29" i="95"/>
  <c r="F6" i="95"/>
  <c r="Q8" i="102"/>
  <c r="Q10" i="102"/>
  <c r="Q14" i="102"/>
  <c r="Q16" i="102"/>
  <c r="K15" i="102"/>
  <c r="K11" i="102"/>
  <c r="K16" i="102"/>
  <c r="F8" i="102"/>
  <c r="E6" i="102"/>
  <c r="E15" i="102"/>
  <c r="L14" i="38"/>
  <c r="K14" i="38"/>
  <c r="E33" i="38"/>
  <c r="L22" i="38"/>
  <c r="K22" i="38"/>
  <c r="L6" i="38"/>
  <c r="K6" i="38"/>
  <c r="E23" i="38"/>
  <c r="F23" i="38"/>
  <c r="E7" i="38"/>
  <c r="F7" i="38"/>
  <c r="R19" i="38"/>
  <c r="Q19" i="38"/>
  <c r="F21" i="38"/>
  <c r="E21" i="38"/>
  <c r="Q17" i="38"/>
  <c r="R17" i="38"/>
  <c r="R15" i="38"/>
  <c r="Q15" i="38"/>
  <c r="F31" i="38"/>
  <c r="E31" i="38"/>
  <c r="E15" i="38"/>
  <c r="F15" i="38"/>
  <c r="F17" i="38"/>
  <c r="E17" i="38"/>
  <c r="L18" i="38"/>
  <c r="K18" i="38"/>
  <c r="R11" i="38"/>
  <c r="Q11" i="38"/>
  <c r="E37" i="38"/>
  <c r="R23" i="38"/>
  <c r="Q23" i="38"/>
  <c r="K20" i="38"/>
  <c r="L20" i="38"/>
  <c r="F29" i="38"/>
  <c r="E29" i="38"/>
  <c r="F13" i="38"/>
  <c r="E13" i="38"/>
  <c r="K28" i="38"/>
  <c r="L28" i="38"/>
  <c r="K12" i="38"/>
  <c r="L12" i="38"/>
  <c r="R7" i="38"/>
  <c r="Q7" i="38"/>
  <c r="F25" i="38"/>
  <c r="E25" i="38"/>
  <c r="F9" i="38"/>
  <c r="E9" i="38"/>
  <c r="E35" i="38"/>
  <c r="L26" i="38"/>
  <c r="K26" i="38"/>
  <c r="L10" i="38"/>
  <c r="K10" i="38"/>
  <c r="Q25" i="38"/>
  <c r="R25" i="38"/>
  <c r="Q9" i="38"/>
  <c r="R9" i="38"/>
  <c r="L37" i="53"/>
  <c r="K37" i="53"/>
  <c r="R24" i="53"/>
  <c r="Q24" i="53"/>
  <c r="L25" i="53"/>
  <c r="K25" i="53"/>
  <c r="F22" i="53"/>
  <c r="E22" i="53"/>
  <c r="R22" i="53"/>
  <c r="Q22" i="53"/>
  <c r="F30" i="53"/>
  <c r="E30" i="53"/>
  <c r="F19" i="53"/>
  <c r="E19" i="53"/>
  <c r="L8" i="53"/>
  <c r="K8" i="53"/>
  <c r="L28" i="53"/>
  <c r="K28" i="53"/>
  <c r="R28" i="53"/>
  <c r="Q28" i="53"/>
  <c r="L29" i="53"/>
  <c r="K29" i="53"/>
  <c r="F6" i="53"/>
  <c r="E6" i="53"/>
  <c r="L35" i="53"/>
  <c r="K35" i="53"/>
  <c r="L19" i="53"/>
  <c r="K19" i="53"/>
  <c r="F20" i="53"/>
  <c r="E20" i="53"/>
  <c r="F18" i="53"/>
  <c r="E18" i="53"/>
  <c r="L7" i="53"/>
  <c r="K7" i="53"/>
  <c r="R16" i="53"/>
  <c r="Q16" i="53"/>
  <c r="L36" i="53"/>
  <c r="K36" i="53"/>
  <c r="L17" i="53"/>
  <c r="K17" i="53"/>
  <c r="F28" i="53"/>
  <c r="E28" i="53"/>
  <c r="L33" i="53"/>
  <c r="K33" i="53"/>
  <c r="F14" i="53"/>
  <c r="E14" i="53"/>
  <c r="L34" i="53"/>
  <c r="K34" i="53"/>
  <c r="R14" i="53"/>
  <c r="Q14" i="53"/>
  <c r="F27" i="53"/>
  <c r="E27" i="53"/>
  <c r="L16" i="53"/>
  <c r="K16" i="53"/>
  <c r="F12" i="53"/>
  <c r="E12" i="53"/>
  <c r="F26" i="53"/>
  <c r="E26" i="53"/>
  <c r="L15" i="53"/>
  <c r="K15" i="53"/>
  <c r="L11" i="53"/>
  <c r="K11" i="53"/>
  <c r="L32" i="53"/>
  <c r="K32" i="53"/>
  <c r="R30" i="53"/>
  <c r="Q30" i="53"/>
  <c r="L31" i="53"/>
  <c r="K31" i="53"/>
  <c r="R8" i="53"/>
  <c r="Q8" i="53"/>
  <c r="L30" i="53"/>
  <c r="K30" i="53"/>
  <c r="L9" i="53"/>
  <c r="K9" i="53"/>
  <c r="E31" i="53"/>
  <c r="R6" i="53"/>
  <c r="Q6" i="53"/>
  <c r="L24" i="53"/>
  <c r="K24" i="53"/>
  <c r="R13" i="53"/>
  <c r="Q13" i="53"/>
  <c r="R12" i="53"/>
  <c r="Q12" i="53"/>
  <c r="L23" i="53"/>
  <c r="K23" i="53"/>
  <c r="F32" i="53"/>
  <c r="E32" i="53"/>
  <c r="R21" i="53"/>
  <c r="Q21" i="53"/>
  <c r="F11" i="53"/>
  <c r="E11" i="53"/>
  <c r="R20" i="53"/>
  <c r="Q20" i="53"/>
  <c r="F10" i="53"/>
  <c r="E10" i="53"/>
  <c r="F39" i="60"/>
  <c r="E39" i="60"/>
  <c r="R23" i="60"/>
  <c r="Q23" i="60"/>
  <c r="R19" i="60"/>
  <c r="Q19" i="60"/>
  <c r="L34" i="60"/>
  <c r="K34" i="60"/>
  <c r="L30" i="60"/>
  <c r="K30" i="60"/>
  <c r="F25" i="60"/>
  <c r="E25" i="60"/>
  <c r="R7" i="60"/>
  <c r="Q7" i="60"/>
  <c r="F23" i="60"/>
  <c r="E23" i="60"/>
  <c r="L32" i="60"/>
  <c r="K32" i="60"/>
  <c r="F37" i="60"/>
  <c r="E37" i="60"/>
  <c r="F33" i="60"/>
  <c r="E33" i="60"/>
  <c r="L36" i="60"/>
  <c r="K36" i="60"/>
  <c r="E21" i="60"/>
  <c r="F21" i="60"/>
  <c r="L18" i="60"/>
  <c r="K18" i="60"/>
  <c r="L12" i="60"/>
  <c r="K12" i="60"/>
  <c r="F7" i="60"/>
  <c r="E7" i="60"/>
  <c r="R25" i="60"/>
  <c r="Q25" i="60"/>
  <c r="R11" i="60"/>
  <c r="Q11" i="60"/>
  <c r="L20" i="60"/>
  <c r="K20" i="60"/>
  <c r="F35" i="60"/>
  <c r="E35" i="60"/>
  <c r="Q15" i="60"/>
  <c r="R15" i="60"/>
  <c r="L6" i="60"/>
  <c r="K6" i="60"/>
  <c r="E29" i="60"/>
  <c r="F29" i="60"/>
  <c r="F13" i="60"/>
  <c r="E13" i="60"/>
  <c r="L22" i="60"/>
  <c r="K22" i="60"/>
  <c r="F9" i="60"/>
  <c r="E9" i="60"/>
  <c r="L14" i="60"/>
  <c r="K14" i="60"/>
  <c r="R27" i="60"/>
  <c r="Q27" i="60"/>
  <c r="L26" i="60"/>
  <c r="K26" i="60"/>
  <c r="L10" i="60"/>
  <c r="K10" i="60"/>
  <c r="F17" i="60"/>
  <c r="E17" i="60"/>
  <c r="F31" i="60"/>
  <c r="E31" i="60"/>
  <c r="F8" i="67"/>
  <c r="E8" i="67"/>
  <c r="L23" i="67"/>
  <c r="K23" i="67"/>
  <c r="L15" i="67"/>
  <c r="K15" i="67"/>
  <c r="L7" i="67"/>
  <c r="K7" i="67"/>
  <c r="L21" i="67"/>
  <c r="K21" i="67"/>
  <c r="R13" i="67"/>
  <c r="Q13" i="67"/>
  <c r="L26" i="67"/>
  <c r="K26" i="67"/>
  <c r="F13" i="67"/>
  <c r="E13" i="67"/>
  <c r="F9" i="67"/>
  <c r="E9" i="67"/>
  <c r="F28" i="67"/>
  <c r="E28" i="67"/>
  <c r="F20" i="67"/>
  <c r="E20" i="67"/>
  <c r="F12" i="67"/>
  <c r="E12" i="67"/>
  <c r="F27" i="67"/>
  <c r="E27" i="67"/>
  <c r="F23" i="67"/>
  <c r="E23" i="67"/>
  <c r="F7" i="67"/>
  <c r="E7" i="67"/>
  <c r="L13" i="67"/>
  <c r="K13" i="67"/>
  <c r="R20" i="67"/>
  <c r="Q20" i="67"/>
  <c r="R12" i="67"/>
  <c r="Q12" i="67"/>
  <c r="L19" i="67"/>
  <c r="K19" i="67"/>
  <c r="L11" i="67"/>
  <c r="K11" i="67"/>
  <c r="F11" i="67"/>
  <c r="E11" i="67"/>
  <c r="L10" i="67"/>
  <c r="K10" i="67"/>
  <c r="L8" i="67"/>
  <c r="K8" i="67"/>
  <c r="L20" i="67"/>
  <c r="K20" i="67"/>
  <c r="R27" i="67"/>
  <c r="Q27" i="67"/>
  <c r="R23" i="67"/>
  <c r="Q23" i="67"/>
  <c r="R7" i="67"/>
  <c r="Q7" i="67"/>
  <c r="R26" i="67"/>
  <c r="Q26" i="67"/>
  <c r="R18" i="67"/>
  <c r="Q18" i="67"/>
  <c r="R10" i="67"/>
  <c r="Q10" i="67"/>
  <c r="L25" i="67"/>
  <c r="K25" i="67"/>
  <c r="L17" i="67"/>
  <c r="K17" i="67"/>
  <c r="L9" i="67"/>
  <c r="K9" i="67"/>
  <c r="R17" i="67"/>
  <c r="Q17" i="67"/>
  <c r="F25" i="67"/>
  <c r="E25" i="67"/>
  <c r="F26" i="67"/>
  <c r="E26" i="67"/>
  <c r="F18" i="67"/>
  <c r="E18" i="67"/>
  <c r="F10" i="67"/>
  <c r="E10" i="67"/>
  <c r="R24" i="67"/>
  <c r="Q24" i="67"/>
  <c r="R16" i="67"/>
  <c r="Q16" i="67"/>
  <c r="R8" i="67"/>
  <c r="Q8" i="67"/>
  <c r="R21" i="67"/>
  <c r="Q21" i="67"/>
  <c r="F21" i="67"/>
  <c r="E21" i="67"/>
  <c r="R19" i="67"/>
  <c r="Q19" i="67"/>
  <c r="F24" i="67"/>
  <c r="E24" i="67"/>
  <c r="F16" i="67"/>
  <c r="E16" i="67"/>
  <c r="F15" i="67"/>
  <c r="E15" i="67"/>
  <c r="L22" i="67"/>
  <c r="K22" i="67"/>
  <c r="F19" i="67"/>
  <c r="E19" i="67"/>
  <c r="L18" i="67"/>
  <c r="K18" i="67"/>
  <c r="F17" i="67"/>
  <c r="E17" i="67"/>
  <c r="R25" i="67"/>
  <c r="Q25" i="67"/>
  <c r="R22" i="67"/>
  <c r="Q22" i="67"/>
  <c r="R14" i="67"/>
  <c r="Q14" i="67"/>
  <c r="R6" i="67"/>
  <c r="Q6" i="67"/>
  <c r="L12" i="67"/>
  <c r="K12" i="67"/>
  <c r="R11" i="67"/>
  <c r="Q11" i="67"/>
  <c r="F22" i="67"/>
  <c r="E22" i="67"/>
  <c r="F14" i="67"/>
  <c r="E14" i="67"/>
  <c r="F6" i="67"/>
  <c r="E6" i="67"/>
  <c r="L16" i="67"/>
  <c r="K16" i="67"/>
  <c r="R15" i="67"/>
  <c r="Q15" i="67"/>
  <c r="L14" i="67"/>
  <c r="K14" i="67"/>
  <c r="R9" i="67"/>
  <c r="Q9" i="67"/>
  <c r="R21" i="81"/>
  <c r="Q21" i="81"/>
  <c r="L20" i="81"/>
  <c r="K20" i="81"/>
  <c r="L16" i="81"/>
  <c r="K16" i="81"/>
  <c r="L8" i="81"/>
  <c r="K8" i="81"/>
  <c r="R31" i="81"/>
  <c r="Q31" i="81"/>
  <c r="R23" i="81"/>
  <c r="Q23" i="81"/>
  <c r="R15" i="81"/>
  <c r="Q15" i="81"/>
  <c r="R7" i="81"/>
  <c r="Q7" i="81"/>
  <c r="Q18" i="81"/>
  <c r="E32" i="81"/>
  <c r="K7" i="81"/>
  <c r="E28" i="81"/>
  <c r="E12" i="81"/>
  <c r="F29" i="81"/>
  <c r="E29" i="81"/>
  <c r="F21" i="81"/>
  <c r="E21" i="81"/>
  <c r="F13" i="81"/>
  <c r="E13" i="81"/>
  <c r="L6" i="81"/>
  <c r="K6" i="81"/>
  <c r="E16" i="81"/>
  <c r="K15" i="81"/>
  <c r="K9" i="81"/>
  <c r="F31" i="81"/>
  <c r="E31" i="81"/>
  <c r="F15" i="81"/>
  <c r="E15" i="81"/>
  <c r="F7" i="81"/>
  <c r="E7" i="81"/>
  <c r="L14" i="81"/>
  <c r="K14" i="81"/>
  <c r="R27" i="81"/>
  <c r="Q27" i="81"/>
  <c r="R19" i="81"/>
  <c r="Q19" i="81"/>
  <c r="R11" i="81"/>
  <c r="Q11" i="81"/>
  <c r="Q26" i="81"/>
  <c r="Q28" i="81"/>
  <c r="Q12" i="81"/>
  <c r="E14" i="81"/>
  <c r="Q22" i="81"/>
  <c r="E30" i="81"/>
  <c r="F23" i="81"/>
  <c r="E23" i="81"/>
  <c r="R29" i="81"/>
  <c r="Q29" i="81"/>
  <c r="F27" i="81"/>
  <c r="E27" i="81"/>
  <c r="F19" i="81"/>
  <c r="E19" i="81"/>
  <c r="F11" i="81"/>
  <c r="E11" i="81"/>
  <c r="L18" i="81"/>
  <c r="K18" i="81"/>
  <c r="L10" i="81"/>
  <c r="K10" i="81"/>
  <c r="R25" i="81"/>
  <c r="Q25" i="81"/>
  <c r="R17" i="81"/>
  <c r="Q17" i="81"/>
  <c r="R9" i="81"/>
  <c r="Q9" i="81"/>
  <c r="Q10" i="81"/>
  <c r="E24" i="81"/>
  <c r="K19" i="81"/>
  <c r="E26" i="81"/>
  <c r="E10" i="81"/>
  <c r="E20" i="81"/>
  <c r="Q24" i="81"/>
  <c r="R13" i="81"/>
  <c r="Q13" i="81"/>
  <c r="L12" i="81"/>
  <c r="K12" i="81"/>
  <c r="F25" i="81"/>
  <c r="E25" i="81"/>
  <c r="F17" i="81"/>
  <c r="E17" i="81"/>
  <c r="F9" i="81"/>
  <c r="E9" i="81"/>
  <c r="L23" i="88"/>
  <c r="K23" i="88"/>
  <c r="F47" i="88"/>
  <c r="E47" i="88"/>
  <c r="R7" i="88"/>
  <c r="Q7" i="88"/>
  <c r="K19" i="88"/>
  <c r="L15" i="88"/>
  <c r="E12" i="88"/>
  <c r="F41" i="88"/>
  <c r="E41" i="88"/>
  <c r="L18" i="88"/>
  <c r="K18" i="88"/>
  <c r="K11" i="88"/>
  <c r="F64" i="88"/>
  <c r="E64" i="88"/>
  <c r="L20" i="88"/>
  <c r="K20" i="88"/>
  <c r="F40" i="88"/>
  <c r="E40" i="88"/>
  <c r="F34" i="88"/>
  <c r="E34" i="88"/>
  <c r="K17" i="88"/>
  <c r="E21" i="88"/>
  <c r="F50" i="88"/>
  <c r="E50" i="88"/>
  <c r="F32" i="88"/>
  <c r="E32" i="88"/>
  <c r="F60" i="88"/>
  <c r="E60" i="88"/>
  <c r="F48" i="88"/>
  <c r="E48" i="88"/>
  <c r="F30" i="88"/>
  <c r="E30" i="88"/>
  <c r="F33" i="88"/>
  <c r="E33" i="88"/>
  <c r="F10" i="88"/>
  <c r="F27" i="88"/>
  <c r="E27" i="88"/>
  <c r="L16" i="88"/>
  <c r="K16" i="88"/>
  <c r="F39" i="88"/>
  <c r="E39" i="88"/>
  <c r="E11" i="88"/>
  <c r="F52" i="88"/>
  <c r="E52" i="88"/>
  <c r="F62" i="88"/>
  <c r="E62" i="88"/>
  <c r="L8" i="88"/>
  <c r="K8" i="88"/>
  <c r="F23" i="88"/>
  <c r="E23" i="88"/>
  <c r="R10" i="88"/>
  <c r="F24" i="88"/>
  <c r="E24" i="88"/>
  <c r="F58" i="88"/>
  <c r="E58" i="88"/>
  <c r="F46" i="88"/>
  <c r="E46" i="88"/>
  <c r="F28" i="88"/>
  <c r="E28" i="88"/>
  <c r="Q18" i="88"/>
  <c r="R18" i="88"/>
  <c r="L14" i="88"/>
  <c r="K14" i="88"/>
  <c r="F6" i="88"/>
  <c r="K13" i="88"/>
  <c r="E16" i="88"/>
  <c r="E18" i="88"/>
  <c r="R8" i="88"/>
  <c r="F53" i="88"/>
  <c r="E53" i="88"/>
  <c r="K21" i="88"/>
  <c r="L21" i="88"/>
  <c r="F44" i="88"/>
  <c r="E44" i="88"/>
  <c r="F61" i="88"/>
  <c r="E61" i="88"/>
  <c r="F55" i="88"/>
  <c r="E55" i="88"/>
  <c r="R12" i="88"/>
  <c r="Q12" i="88"/>
  <c r="L25" i="88"/>
  <c r="K25" i="88"/>
  <c r="F35" i="88"/>
  <c r="E35" i="88"/>
  <c r="E14" i="88"/>
  <c r="L27" i="88"/>
  <c r="K27" i="88"/>
  <c r="L10" i="88"/>
  <c r="K10" i="88"/>
  <c r="Q16" i="88"/>
  <c r="R16" i="88"/>
  <c r="F56" i="88"/>
  <c r="E56" i="88"/>
  <c r="F26" i="88"/>
  <c r="E26" i="88"/>
  <c r="R14" i="88"/>
  <c r="Q14" i="88"/>
  <c r="F42" i="88"/>
  <c r="E42" i="88"/>
  <c r="F66" i="88"/>
  <c r="E66" i="88"/>
  <c r="F54" i="88"/>
  <c r="E54" i="88"/>
  <c r="F38" i="88"/>
  <c r="E38" i="88"/>
  <c r="F22" i="88"/>
  <c r="E22" i="88"/>
  <c r="F49" i="88"/>
  <c r="E49" i="88"/>
  <c r="F65" i="88"/>
  <c r="E65" i="88"/>
  <c r="R11" i="88"/>
  <c r="Q11" i="88"/>
  <c r="F36" i="88"/>
  <c r="E36" i="88"/>
  <c r="F37" i="88"/>
  <c r="E37" i="88"/>
  <c r="F43" i="88"/>
  <c r="E43" i="88"/>
  <c r="F59" i="88"/>
  <c r="E59" i="88"/>
  <c r="E20" i="88"/>
  <c r="L44" i="95"/>
  <c r="K44" i="95"/>
  <c r="F47" i="95"/>
  <c r="E47" i="95"/>
  <c r="F28" i="95"/>
  <c r="E28" i="95"/>
  <c r="L11" i="95"/>
  <c r="K11" i="95"/>
  <c r="L63" i="95"/>
  <c r="K63" i="95"/>
  <c r="F25" i="95"/>
  <c r="E25" i="95"/>
  <c r="L55" i="95"/>
  <c r="K55" i="95"/>
  <c r="L34" i="95"/>
  <c r="K34" i="95"/>
  <c r="E31" i="95"/>
  <c r="F31" i="95"/>
  <c r="L28" i="95"/>
  <c r="K28" i="95"/>
  <c r="K46" i="95"/>
  <c r="L46" i="95"/>
  <c r="R8" i="95"/>
  <c r="Q8" i="95"/>
  <c r="F7" i="95"/>
  <c r="K33" i="95"/>
  <c r="K18" i="95"/>
  <c r="L18" i="95"/>
  <c r="K40" i="95"/>
  <c r="L40" i="95"/>
  <c r="L38" i="95"/>
  <c r="K38" i="95"/>
  <c r="F23" i="95"/>
  <c r="E23" i="95"/>
  <c r="L56" i="95"/>
  <c r="K56" i="95"/>
  <c r="L27" i="95"/>
  <c r="K27" i="95"/>
  <c r="L6" i="95"/>
  <c r="K6" i="95"/>
  <c r="R11" i="95"/>
  <c r="Q11" i="95"/>
  <c r="L64" i="95"/>
  <c r="K64" i="95"/>
  <c r="R24" i="95"/>
  <c r="Q24" i="95"/>
  <c r="R12" i="95"/>
  <c r="Q12" i="95"/>
  <c r="R21" i="95"/>
  <c r="Q21" i="95"/>
  <c r="K62" i="95"/>
  <c r="F26" i="95"/>
  <c r="E26" i="95"/>
  <c r="L15" i="95"/>
  <c r="K15" i="95"/>
  <c r="R22" i="95"/>
  <c r="Q22" i="95"/>
  <c r="Q9" i="95"/>
  <c r="R9" i="95"/>
  <c r="K16" i="95"/>
  <c r="L57" i="95"/>
  <c r="K57" i="95"/>
  <c r="L19" i="95"/>
  <c r="K19" i="95"/>
  <c r="R14" i="95"/>
  <c r="Q14" i="95"/>
  <c r="L39" i="95"/>
  <c r="K39" i="95"/>
  <c r="L35" i="95"/>
  <c r="K35" i="95"/>
  <c r="E17" i="95"/>
  <c r="F17" i="95"/>
  <c r="L59" i="95"/>
  <c r="K59" i="95"/>
  <c r="L49" i="95"/>
  <c r="K49" i="95"/>
  <c r="L42" i="95"/>
  <c r="K42" i="95"/>
  <c r="L58" i="95"/>
  <c r="K58" i="95"/>
  <c r="L47" i="95"/>
  <c r="K47" i="95"/>
  <c r="R23" i="95"/>
  <c r="Q23" i="95"/>
  <c r="R10" i="95"/>
  <c r="Q10" i="95"/>
  <c r="L8" i="95"/>
  <c r="K8" i="95"/>
  <c r="Q6" i="95"/>
  <c r="R6" i="95"/>
  <c r="L26" i="95"/>
  <c r="K26" i="95"/>
  <c r="F46" i="95"/>
  <c r="E46" i="95"/>
  <c r="F14" i="95"/>
  <c r="E14" i="95"/>
  <c r="F13" i="95"/>
  <c r="E13" i="95"/>
  <c r="L50" i="95"/>
  <c r="F49" i="95"/>
  <c r="E49" i="95"/>
  <c r="L51" i="95"/>
  <c r="K51" i="95"/>
  <c r="F20" i="95"/>
  <c r="E20" i="95"/>
  <c r="L17" i="95"/>
  <c r="K17" i="95"/>
  <c r="F9" i="95"/>
  <c r="E9" i="95"/>
  <c r="F37" i="95"/>
  <c r="E37" i="95"/>
  <c r="L52" i="95"/>
  <c r="K52" i="95"/>
  <c r="F22" i="95"/>
  <c r="E22" i="95"/>
  <c r="E8" i="95"/>
  <c r="F8" i="95"/>
  <c r="F30" i="95"/>
  <c r="E30" i="95"/>
  <c r="K20" i="95"/>
  <c r="L20" i="95"/>
  <c r="F44" i="95"/>
  <c r="E44" i="95"/>
  <c r="F43" i="95"/>
  <c r="E43" i="95"/>
  <c r="L43" i="95"/>
  <c r="K43" i="95"/>
  <c r="E39" i="95"/>
  <c r="F39" i="95"/>
  <c r="F21" i="95"/>
  <c r="E21" i="95"/>
  <c r="K25" i="95"/>
  <c r="F24" i="95"/>
  <c r="E24" i="95"/>
  <c r="L36" i="95"/>
  <c r="K36" i="95"/>
  <c r="F15" i="95"/>
  <c r="E15" i="95"/>
  <c r="R25" i="95"/>
  <c r="Q25" i="95"/>
  <c r="L45" i="95"/>
  <c r="K45" i="95"/>
  <c r="L32" i="95"/>
  <c r="K32" i="95"/>
  <c r="F38" i="95"/>
  <c r="E38" i="95"/>
  <c r="L7" i="102"/>
  <c r="K7" i="102"/>
  <c r="R13" i="102"/>
  <c r="Q13" i="102"/>
  <c r="R17" i="102"/>
  <c r="Q17" i="102"/>
  <c r="R19" i="102"/>
  <c r="Q19" i="102"/>
  <c r="L14" i="102"/>
  <c r="K14" i="102"/>
  <c r="K19" i="102"/>
  <c r="E7" i="102"/>
  <c r="Q12" i="102"/>
  <c r="E12" i="102"/>
  <c r="L12" i="102"/>
  <c r="K12" i="102"/>
  <c r="F9" i="102"/>
  <c r="E9" i="102"/>
  <c r="E10" i="102"/>
  <c r="L9" i="102"/>
  <c r="K9" i="102"/>
  <c r="K13" i="102"/>
  <c r="L20" i="102"/>
  <c r="K20" i="102"/>
  <c r="Q18" i="102"/>
  <c r="E14" i="102"/>
  <c r="L18" i="102"/>
  <c r="K18" i="102"/>
  <c r="Q6" i="102"/>
  <c r="K21" i="102"/>
  <c r="Q9" i="102"/>
  <c r="R11" i="102"/>
  <c r="Q11" i="102"/>
  <c r="L6" i="102"/>
  <c r="K6" i="102"/>
  <c r="L10" i="102"/>
  <c r="K10" i="102"/>
  <c r="H70" i="95" l="1"/>
  <c r="G70" i="95" s="1"/>
  <c r="H69" i="95"/>
  <c r="G69" i="95" s="1"/>
  <c r="H68" i="95"/>
  <c r="H67" i="95"/>
  <c r="G67" i="95" s="1"/>
  <c r="H66" i="95"/>
  <c r="J66" i="95" s="1"/>
  <c r="H65" i="95"/>
  <c r="G66" i="95" l="1"/>
  <c r="I66" i="95"/>
  <c r="K66" i="95" s="1"/>
  <c r="J67" i="95"/>
  <c r="I67" i="95"/>
  <c r="I69" i="95"/>
  <c r="J69" i="95"/>
  <c r="J70" i="95"/>
  <c r="I70" i="95"/>
  <c r="J68" i="95"/>
  <c r="I68" i="95"/>
  <c r="G68" i="95"/>
  <c r="G65" i="95"/>
  <c r="I65" i="95"/>
  <c r="J65" i="95"/>
  <c r="N5" i="111"/>
  <c r="P5" i="111" s="1"/>
  <c r="H5" i="111"/>
  <c r="J5" i="111" s="1"/>
  <c r="B5" i="111"/>
  <c r="C5" i="111" s="1"/>
  <c r="D4" i="111"/>
  <c r="P4" i="111" s="1"/>
  <c r="C4" i="111"/>
  <c r="O4" i="111" s="1"/>
  <c r="N3" i="111"/>
  <c r="H3" i="111"/>
  <c r="B3" i="111"/>
  <c r="L66" i="95" l="1"/>
  <c r="K67" i="95"/>
  <c r="L67" i="95"/>
  <c r="K69" i="95"/>
  <c r="L69" i="95"/>
  <c r="L70" i="95"/>
  <c r="K70" i="95"/>
  <c r="L65" i="95"/>
  <c r="K65" i="95"/>
  <c r="K68" i="95"/>
  <c r="L68" i="95"/>
  <c r="G5" i="111"/>
  <c r="I5" i="111"/>
  <c r="L5" i="111" s="1"/>
  <c r="M5" i="111"/>
  <c r="O5" i="111"/>
  <c r="R5" i="111" s="1"/>
  <c r="A5" i="111"/>
  <c r="D5" i="111"/>
  <c r="E5" i="111" s="1"/>
  <c r="J4" i="111"/>
  <c r="I4" i="111"/>
  <c r="K5" i="111" l="1"/>
  <c r="Q5" i="111"/>
  <c r="F5" i="111"/>
  <c r="I2600" i="109" l="1"/>
  <c r="K2599" i="109"/>
  <c r="J2599" i="109"/>
  <c r="I2599" i="109"/>
  <c r="K2598" i="109"/>
  <c r="J2598" i="109"/>
  <c r="I2598" i="109"/>
  <c r="K2597" i="109"/>
  <c r="J2597" i="109"/>
  <c r="I2597" i="109"/>
  <c r="K2596" i="109"/>
  <c r="J2596" i="109"/>
  <c r="I2596" i="109"/>
  <c r="K2595" i="109"/>
  <c r="J2595" i="109"/>
  <c r="I2595" i="109"/>
  <c r="K2594" i="109"/>
  <c r="J2594" i="109"/>
  <c r="I2594" i="109"/>
  <c r="K2593" i="109"/>
  <c r="J2593" i="109"/>
  <c r="I2593" i="109"/>
  <c r="K2592" i="109"/>
  <c r="J2592" i="109"/>
  <c r="I2592" i="109"/>
  <c r="K2591" i="109"/>
  <c r="J2591" i="109"/>
  <c r="I2591" i="109"/>
  <c r="K2590" i="109"/>
  <c r="J2590" i="109"/>
  <c r="I2590" i="109"/>
  <c r="K2589" i="109"/>
  <c r="J2589" i="109"/>
  <c r="I2589" i="109"/>
  <c r="K2588" i="109"/>
  <c r="J2588" i="109"/>
  <c r="I2588" i="109"/>
  <c r="K2587" i="109"/>
  <c r="J2587" i="109"/>
  <c r="I2587" i="109"/>
  <c r="K2586" i="109"/>
  <c r="J2586" i="109"/>
  <c r="I2586" i="109"/>
  <c r="K2585" i="109"/>
  <c r="J2585" i="109"/>
  <c r="I2585" i="109"/>
  <c r="K2584" i="109"/>
  <c r="J2584" i="109"/>
  <c r="I2584" i="109"/>
  <c r="K2583" i="109"/>
  <c r="J2583" i="109"/>
  <c r="I2583" i="109"/>
  <c r="K2582" i="109"/>
  <c r="J2582" i="109"/>
  <c r="I2582" i="109"/>
  <c r="K2581" i="109"/>
  <c r="J2581" i="109"/>
  <c r="I2581" i="109"/>
  <c r="K2580" i="109"/>
  <c r="J2580" i="109"/>
  <c r="I2580" i="109"/>
  <c r="K2579" i="109"/>
  <c r="J2579" i="109"/>
  <c r="I2579" i="109"/>
  <c r="K2578" i="109"/>
  <c r="J2578" i="109"/>
  <c r="I2578" i="109"/>
  <c r="K2577" i="109"/>
  <c r="J2577" i="109"/>
  <c r="I2577" i="109"/>
  <c r="K2576" i="109"/>
  <c r="J2576" i="109"/>
  <c r="I2576" i="109"/>
  <c r="K2575" i="109"/>
  <c r="J2575" i="109"/>
  <c r="I2575" i="109"/>
  <c r="K2574" i="109"/>
  <c r="J2574" i="109"/>
  <c r="I2574" i="109"/>
  <c r="K2573" i="109"/>
  <c r="J2573" i="109"/>
  <c r="I2573" i="109"/>
  <c r="K2572" i="109"/>
  <c r="J2572" i="109"/>
  <c r="I2572" i="109"/>
  <c r="K2571" i="109"/>
  <c r="J2571" i="109"/>
  <c r="I2571" i="109"/>
  <c r="K2570" i="109"/>
  <c r="J2570" i="109"/>
  <c r="K2569" i="109"/>
  <c r="J2569" i="109"/>
  <c r="I2569" i="109"/>
  <c r="K2568" i="109"/>
  <c r="J2568" i="109"/>
  <c r="I2568" i="109"/>
  <c r="K2567" i="109"/>
  <c r="J2567" i="109"/>
  <c r="I2567" i="109"/>
  <c r="K2566" i="109"/>
  <c r="J2566" i="109"/>
  <c r="K2565" i="109"/>
  <c r="J2565" i="109"/>
  <c r="I2565" i="109"/>
  <c r="K2564" i="109"/>
  <c r="J2564" i="109"/>
  <c r="I2564" i="109"/>
  <c r="K2563" i="109"/>
  <c r="J2563" i="109"/>
  <c r="I2563" i="109"/>
  <c r="K2562" i="109"/>
  <c r="J2562" i="109"/>
  <c r="I2562" i="109"/>
  <c r="K2561" i="109"/>
  <c r="J2561" i="109"/>
  <c r="I2561" i="109"/>
  <c r="K2560" i="109"/>
  <c r="J2560" i="109"/>
  <c r="I2560" i="109"/>
  <c r="K2559" i="109"/>
  <c r="J2559" i="109"/>
  <c r="I2559" i="109"/>
  <c r="K2558" i="109"/>
  <c r="J2558" i="109"/>
  <c r="I2558" i="109"/>
  <c r="K2557" i="109"/>
  <c r="J2557" i="109"/>
  <c r="I2557" i="109"/>
  <c r="K2556" i="109"/>
  <c r="J2556" i="109"/>
  <c r="I2556" i="109"/>
  <c r="K2555" i="109"/>
  <c r="J2555" i="109"/>
  <c r="I2555" i="109"/>
  <c r="K2554" i="109"/>
  <c r="J2554" i="109"/>
  <c r="I2554" i="109"/>
  <c r="K2553" i="109"/>
  <c r="J2553" i="109"/>
  <c r="I2553" i="109"/>
  <c r="K2552" i="109"/>
  <c r="J2552" i="109"/>
  <c r="K2551" i="109"/>
  <c r="J2551" i="109"/>
  <c r="I2551" i="109"/>
  <c r="K2550" i="109"/>
  <c r="J2550" i="109"/>
  <c r="I2550" i="109"/>
  <c r="K2549" i="109"/>
  <c r="J2549" i="109"/>
  <c r="I2549" i="109"/>
  <c r="K2548" i="109"/>
  <c r="J2548" i="109"/>
  <c r="I2548" i="109"/>
  <c r="K2547" i="109"/>
  <c r="J2547" i="109"/>
  <c r="I2547" i="109"/>
  <c r="K2546" i="109"/>
  <c r="J2546" i="109"/>
  <c r="I2546" i="109"/>
  <c r="K2545" i="109"/>
  <c r="J2545" i="109"/>
  <c r="I2545" i="109"/>
  <c r="K2544" i="109"/>
  <c r="J2544" i="109"/>
  <c r="I2544" i="109"/>
  <c r="K2543" i="109"/>
  <c r="J2543" i="109"/>
  <c r="I2543" i="109"/>
  <c r="K2542" i="109"/>
  <c r="J2542" i="109"/>
  <c r="I2542" i="109"/>
  <c r="K2541" i="109"/>
  <c r="J2541" i="109"/>
  <c r="I2541" i="109"/>
  <c r="K2540" i="109"/>
  <c r="J2540" i="109"/>
  <c r="I2540" i="109"/>
  <c r="K2539" i="109"/>
  <c r="J2539" i="109"/>
  <c r="I2539" i="109"/>
  <c r="K2538" i="109"/>
  <c r="J2538" i="109"/>
  <c r="I2538" i="109"/>
  <c r="K2537" i="109"/>
  <c r="J2537" i="109"/>
  <c r="I2537" i="109"/>
  <c r="K2536" i="109"/>
  <c r="J2536" i="109"/>
  <c r="K2535" i="109"/>
  <c r="J2535" i="109"/>
  <c r="I2535" i="109"/>
  <c r="K2534" i="109"/>
  <c r="J2534" i="109"/>
  <c r="I2534" i="109"/>
  <c r="K2533" i="109"/>
  <c r="J2533" i="109"/>
  <c r="I2533" i="109"/>
  <c r="K2532" i="109"/>
  <c r="J2532" i="109"/>
  <c r="I2532" i="109"/>
  <c r="K2531" i="109"/>
  <c r="J2531" i="109"/>
  <c r="I2531" i="109"/>
  <c r="K2530" i="109"/>
  <c r="J2530" i="109"/>
  <c r="K2529" i="109"/>
  <c r="J2529" i="109"/>
  <c r="I2529" i="109"/>
  <c r="K2528" i="109"/>
  <c r="J2528" i="109"/>
  <c r="I2528" i="109"/>
  <c r="K2527" i="109"/>
  <c r="J2527" i="109"/>
  <c r="I2527" i="109"/>
  <c r="K2526" i="109"/>
  <c r="J2526" i="109"/>
  <c r="I2526" i="109"/>
  <c r="K2525" i="109"/>
  <c r="J2525" i="109"/>
  <c r="I2525" i="109"/>
  <c r="K2524" i="109"/>
  <c r="J2524" i="109"/>
  <c r="I2524" i="109"/>
  <c r="K2523" i="109"/>
  <c r="J2523" i="109"/>
  <c r="I2523" i="109"/>
  <c r="K2522" i="109"/>
  <c r="J2522" i="109"/>
  <c r="I2522" i="109"/>
  <c r="K2521" i="109"/>
  <c r="J2521" i="109"/>
  <c r="I2521" i="109"/>
  <c r="K2520" i="109"/>
  <c r="J2520" i="109"/>
  <c r="I2520" i="109"/>
  <c r="K2519" i="109"/>
  <c r="J2519" i="109"/>
  <c r="I2519" i="109"/>
  <c r="K2518" i="109"/>
  <c r="J2518" i="109"/>
  <c r="I2518" i="109"/>
  <c r="K2517" i="109"/>
  <c r="J2517" i="109"/>
  <c r="I2517" i="109"/>
  <c r="K2516" i="109"/>
  <c r="J2516" i="109"/>
  <c r="I2516" i="109"/>
  <c r="K2515" i="109"/>
  <c r="J2515" i="109"/>
  <c r="I2515" i="109"/>
  <c r="K2514" i="109"/>
  <c r="J2514" i="109"/>
  <c r="I2514" i="109"/>
  <c r="K2513" i="109"/>
  <c r="J2513" i="109"/>
  <c r="I2513" i="109"/>
  <c r="K2512" i="109"/>
  <c r="J2512" i="109"/>
  <c r="I2512" i="109"/>
  <c r="K2511" i="109"/>
  <c r="J2511" i="109"/>
  <c r="I2511" i="109"/>
  <c r="K2510" i="109"/>
  <c r="J2510" i="109"/>
  <c r="I2510" i="109"/>
  <c r="K2509" i="109"/>
  <c r="J2509" i="109"/>
  <c r="I2509" i="109"/>
  <c r="K2508" i="109"/>
  <c r="J2508" i="109"/>
  <c r="I2508" i="109"/>
  <c r="K2507" i="109"/>
  <c r="J2507" i="109"/>
  <c r="I2507" i="109"/>
  <c r="K2506" i="109"/>
  <c r="J2506" i="109"/>
  <c r="I2506" i="109"/>
  <c r="K2505" i="109"/>
  <c r="J2505" i="109"/>
  <c r="I2505" i="109"/>
  <c r="K2504" i="109"/>
  <c r="J2504" i="109"/>
  <c r="I2504" i="109"/>
  <c r="K2503" i="109"/>
  <c r="J2503" i="109"/>
  <c r="I2503" i="109"/>
  <c r="K2502" i="109"/>
  <c r="J2502" i="109"/>
  <c r="K2501" i="109"/>
  <c r="J2501" i="109"/>
  <c r="I2501" i="109"/>
  <c r="K2500" i="109"/>
  <c r="J2500" i="109"/>
  <c r="I2500" i="109"/>
  <c r="K2499" i="109"/>
  <c r="J2499" i="109"/>
  <c r="I2499" i="109"/>
  <c r="K2498" i="109"/>
  <c r="J2498" i="109"/>
  <c r="I2498" i="109"/>
  <c r="K2497" i="109"/>
  <c r="J2497" i="109"/>
  <c r="I2497" i="109"/>
  <c r="K2496" i="109"/>
  <c r="J2496" i="109"/>
  <c r="I2496" i="109"/>
  <c r="K2495" i="109"/>
  <c r="J2495" i="109"/>
  <c r="I2495" i="109"/>
  <c r="K2494" i="109"/>
  <c r="J2494" i="109"/>
  <c r="I2494" i="109"/>
  <c r="K2493" i="109"/>
  <c r="J2493" i="109"/>
  <c r="I2493" i="109"/>
  <c r="K2492" i="109"/>
  <c r="J2492" i="109"/>
  <c r="I2492" i="109"/>
  <c r="K2491" i="109"/>
  <c r="J2491" i="109"/>
  <c r="I2491" i="109"/>
  <c r="K2490" i="109"/>
  <c r="J2490" i="109"/>
  <c r="I2490" i="109"/>
  <c r="K2489" i="109"/>
  <c r="J2489" i="109"/>
  <c r="I2489" i="109"/>
  <c r="K2488" i="109"/>
  <c r="J2488" i="109"/>
  <c r="I2488" i="109"/>
  <c r="K2487" i="109"/>
  <c r="J2487" i="109"/>
  <c r="I2487" i="109"/>
  <c r="K2486" i="109"/>
  <c r="J2486" i="109"/>
  <c r="I2486" i="109"/>
  <c r="K2485" i="109"/>
  <c r="J2485" i="109"/>
  <c r="I2485" i="109"/>
  <c r="K2484" i="109"/>
  <c r="J2484" i="109"/>
  <c r="I2484" i="109"/>
  <c r="K2483" i="109"/>
  <c r="J2483" i="109"/>
  <c r="K2482" i="109"/>
  <c r="J2482" i="109"/>
  <c r="I2482" i="109"/>
  <c r="K2481" i="109"/>
  <c r="J2481" i="109"/>
  <c r="I2481" i="109"/>
  <c r="K2480" i="109"/>
  <c r="J2480" i="109"/>
  <c r="I2480" i="109"/>
  <c r="K2479" i="109"/>
  <c r="J2479" i="109"/>
  <c r="I2479" i="109"/>
  <c r="K2478" i="109"/>
  <c r="J2478" i="109"/>
  <c r="I2478" i="109"/>
  <c r="K2477" i="109"/>
  <c r="J2477" i="109"/>
  <c r="I2477" i="109"/>
  <c r="K2476" i="109"/>
  <c r="J2476" i="109"/>
  <c r="I2476" i="109"/>
  <c r="K2475" i="109"/>
  <c r="J2475" i="109"/>
  <c r="I2475" i="109"/>
  <c r="K2474" i="109"/>
  <c r="J2474" i="109"/>
  <c r="I2474" i="109"/>
  <c r="K2473" i="109"/>
  <c r="J2473" i="109"/>
  <c r="I2473" i="109"/>
  <c r="K2472" i="109"/>
  <c r="J2472" i="109"/>
  <c r="I2472" i="109"/>
  <c r="K2471" i="109"/>
  <c r="J2471" i="109"/>
  <c r="I2471" i="109"/>
  <c r="K2470" i="109"/>
  <c r="J2470" i="109"/>
  <c r="I2470" i="109"/>
  <c r="K2469" i="109"/>
  <c r="J2469" i="109"/>
  <c r="I2469" i="109"/>
  <c r="K2468" i="109"/>
  <c r="J2468" i="109"/>
  <c r="I2468" i="109"/>
  <c r="K2467" i="109"/>
  <c r="J2467" i="109"/>
  <c r="I2467" i="109"/>
  <c r="K2466" i="109"/>
  <c r="J2466" i="109"/>
  <c r="I2466" i="109"/>
  <c r="K2465" i="109"/>
  <c r="J2465" i="109"/>
  <c r="I2465" i="109"/>
  <c r="K2464" i="109"/>
  <c r="J2464" i="109"/>
  <c r="I2464" i="109"/>
  <c r="K2463" i="109"/>
  <c r="J2463" i="109"/>
  <c r="I2463" i="109"/>
  <c r="K2462" i="109"/>
  <c r="J2462" i="109"/>
  <c r="I2462" i="109"/>
  <c r="K2461" i="109"/>
  <c r="J2461" i="109"/>
  <c r="I2461" i="109"/>
  <c r="K2460" i="109"/>
  <c r="J2460" i="109"/>
  <c r="I2460" i="109"/>
  <c r="K2459" i="109"/>
  <c r="J2459" i="109"/>
  <c r="I2459" i="109"/>
  <c r="K2458" i="109"/>
  <c r="J2458" i="109"/>
  <c r="I2458" i="109"/>
  <c r="K2457" i="109"/>
  <c r="J2457" i="109"/>
  <c r="I2457" i="109"/>
  <c r="K2456" i="109"/>
  <c r="J2456" i="109"/>
  <c r="I2456" i="109"/>
  <c r="K2455" i="109"/>
  <c r="J2455" i="109"/>
  <c r="K2454" i="109"/>
  <c r="J2454" i="109"/>
  <c r="I2454" i="109"/>
  <c r="K2453" i="109"/>
  <c r="J2453" i="109"/>
  <c r="I2453" i="109"/>
  <c r="K2452" i="109"/>
  <c r="J2452" i="109"/>
  <c r="I2452" i="109"/>
  <c r="K2451" i="109"/>
  <c r="J2451" i="109"/>
  <c r="I2451" i="109"/>
  <c r="K2450" i="109"/>
  <c r="J2450" i="109"/>
  <c r="I2450" i="109"/>
  <c r="K2449" i="109"/>
  <c r="J2449" i="109"/>
  <c r="I2449" i="109"/>
  <c r="K2448" i="109"/>
  <c r="J2448" i="109"/>
  <c r="I2448" i="109"/>
  <c r="K2447" i="109"/>
  <c r="J2447" i="109"/>
  <c r="I2447" i="109"/>
  <c r="K2446" i="109"/>
  <c r="J2446" i="109"/>
  <c r="I2446" i="109"/>
  <c r="K2445" i="109"/>
  <c r="J2445" i="109"/>
  <c r="I2445" i="109"/>
  <c r="K2444" i="109"/>
  <c r="J2444" i="109"/>
  <c r="I2444" i="109"/>
  <c r="K2443" i="109"/>
  <c r="J2443" i="109"/>
  <c r="I2443" i="109"/>
  <c r="K2442" i="109"/>
  <c r="J2442" i="109"/>
  <c r="I2442" i="109"/>
  <c r="K2441" i="109"/>
  <c r="J2441" i="109"/>
  <c r="I2441" i="109"/>
  <c r="K2440" i="109"/>
  <c r="J2440" i="109"/>
  <c r="I2440" i="109"/>
  <c r="K2439" i="109"/>
  <c r="J2439" i="109"/>
  <c r="I2439" i="109"/>
  <c r="K2438" i="109"/>
  <c r="J2438" i="109"/>
  <c r="I2438" i="109"/>
  <c r="K2437" i="109"/>
  <c r="J2437" i="109"/>
  <c r="I2437" i="109"/>
  <c r="K2436" i="109"/>
  <c r="J2436" i="109"/>
  <c r="I2436" i="109"/>
  <c r="K2435" i="109"/>
  <c r="J2435" i="109"/>
  <c r="I2435" i="109"/>
  <c r="K2434" i="109"/>
  <c r="J2434" i="109"/>
  <c r="I2434" i="109"/>
  <c r="K2433" i="109"/>
  <c r="J2433" i="109"/>
  <c r="I2433" i="109"/>
  <c r="K2432" i="109"/>
  <c r="J2432" i="109"/>
  <c r="I2432" i="109"/>
  <c r="K2431" i="109"/>
  <c r="J2431" i="109"/>
  <c r="I2431" i="109"/>
  <c r="K2430" i="109"/>
  <c r="J2430" i="109"/>
  <c r="I2430" i="109"/>
  <c r="K2429" i="109"/>
  <c r="J2429" i="109"/>
  <c r="I2429" i="109"/>
  <c r="K2428" i="109"/>
  <c r="J2428" i="109"/>
  <c r="I2428" i="109"/>
  <c r="K2427" i="109"/>
  <c r="J2427" i="109"/>
  <c r="I2427" i="109"/>
  <c r="K2426" i="109"/>
  <c r="J2426" i="109"/>
  <c r="I2426" i="109"/>
  <c r="K2425" i="109"/>
  <c r="J2425" i="109"/>
  <c r="I2425" i="109"/>
  <c r="K2424" i="109"/>
  <c r="J2424" i="109"/>
  <c r="I2424" i="109"/>
  <c r="K2423" i="109"/>
  <c r="J2423" i="109"/>
  <c r="I2423" i="109"/>
  <c r="K2422" i="109"/>
  <c r="J2422" i="109"/>
  <c r="I2422" i="109"/>
  <c r="K2421" i="109"/>
  <c r="J2421" i="109"/>
  <c r="I2421" i="109"/>
  <c r="K2420" i="109"/>
  <c r="J2420" i="109"/>
  <c r="I2420" i="109"/>
  <c r="K2419" i="109"/>
  <c r="J2419" i="109"/>
  <c r="I2419" i="109"/>
  <c r="K2418" i="109"/>
  <c r="J2418" i="109"/>
  <c r="I2418" i="109"/>
  <c r="K2417" i="109"/>
  <c r="J2417" i="109"/>
  <c r="I2417" i="109"/>
  <c r="K2416" i="109"/>
  <c r="J2416" i="109"/>
  <c r="I2416" i="109"/>
  <c r="K2415" i="109"/>
  <c r="J2415" i="109"/>
  <c r="I2415" i="109"/>
  <c r="K2414" i="109"/>
  <c r="J2414" i="109"/>
  <c r="I2414" i="109"/>
  <c r="K2413" i="109"/>
  <c r="J2413" i="109"/>
  <c r="I2413" i="109"/>
  <c r="K2412" i="109"/>
  <c r="J2412" i="109"/>
  <c r="I2412" i="109"/>
  <c r="K2411" i="109"/>
  <c r="J2411" i="109"/>
  <c r="I2411" i="109"/>
  <c r="K2410" i="109"/>
  <c r="J2410" i="109"/>
  <c r="I2410" i="109"/>
  <c r="K2409" i="109"/>
  <c r="J2409" i="109"/>
  <c r="I2409" i="109"/>
  <c r="K2408" i="109"/>
  <c r="J2408" i="109"/>
  <c r="I2408" i="109"/>
  <c r="K2407" i="109"/>
  <c r="J2407" i="109"/>
  <c r="I2407" i="109"/>
  <c r="K2406" i="109"/>
  <c r="J2406" i="109"/>
  <c r="K2405" i="109"/>
  <c r="J2405" i="109"/>
  <c r="I2405" i="109"/>
  <c r="K2404" i="109"/>
  <c r="J2404" i="109"/>
  <c r="I2404" i="109"/>
  <c r="K2403" i="109"/>
  <c r="J2403" i="109"/>
  <c r="I2403" i="109"/>
  <c r="K2402" i="109"/>
  <c r="J2402" i="109"/>
  <c r="K2401" i="109"/>
  <c r="J2401" i="109"/>
  <c r="I2401" i="109"/>
  <c r="K2400" i="109"/>
  <c r="J2400" i="109"/>
  <c r="I2400" i="109"/>
  <c r="K2399" i="109"/>
  <c r="J2399" i="109"/>
  <c r="I2399" i="109"/>
  <c r="K2398" i="109"/>
  <c r="J2398" i="109"/>
  <c r="I2398" i="109"/>
  <c r="K2397" i="109"/>
  <c r="J2397" i="109"/>
  <c r="I2397" i="109"/>
  <c r="K2396" i="109"/>
  <c r="J2396" i="109"/>
  <c r="I2396" i="109"/>
  <c r="K2395" i="109"/>
  <c r="J2395" i="109"/>
  <c r="I2395" i="109"/>
  <c r="K2394" i="109"/>
  <c r="J2394" i="109"/>
  <c r="K2393" i="109"/>
  <c r="J2393" i="109"/>
  <c r="I2393" i="109"/>
  <c r="K2392" i="109"/>
  <c r="J2392" i="109"/>
  <c r="K2391" i="109"/>
  <c r="J2391" i="109"/>
  <c r="I2391" i="109"/>
  <c r="K2390" i="109"/>
  <c r="J2390" i="109"/>
  <c r="I2390" i="109"/>
  <c r="K2389" i="109"/>
  <c r="J2389" i="109"/>
  <c r="I2389" i="109"/>
  <c r="K2388" i="109"/>
  <c r="J2388" i="109"/>
  <c r="I2388" i="109"/>
  <c r="K2387" i="109"/>
  <c r="J2387" i="109"/>
  <c r="I2387" i="109"/>
  <c r="K2386" i="109"/>
  <c r="J2386" i="109"/>
  <c r="K2385" i="109"/>
  <c r="J2385" i="109"/>
  <c r="I2385" i="109"/>
  <c r="K2384" i="109"/>
  <c r="J2384" i="109"/>
  <c r="I2384" i="109"/>
  <c r="K2383" i="109"/>
  <c r="J2383" i="109"/>
  <c r="I2383" i="109"/>
  <c r="K2382" i="109"/>
  <c r="J2382" i="109"/>
  <c r="I2382" i="109"/>
  <c r="K2381" i="109"/>
  <c r="J2381" i="109"/>
  <c r="I2381" i="109"/>
  <c r="K2380" i="109"/>
  <c r="J2380" i="109"/>
  <c r="I2380" i="109"/>
  <c r="K2379" i="109"/>
  <c r="J2379" i="109"/>
  <c r="I2379" i="109"/>
  <c r="K2378" i="109"/>
  <c r="J2378" i="109"/>
  <c r="I2378" i="109"/>
  <c r="K2377" i="109"/>
  <c r="J2377" i="109"/>
  <c r="I2377" i="109"/>
  <c r="K2376" i="109"/>
  <c r="J2376" i="109"/>
  <c r="I2376" i="109"/>
  <c r="K2375" i="109"/>
  <c r="J2375" i="109"/>
  <c r="K2374" i="109"/>
  <c r="J2374" i="109"/>
  <c r="I2374" i="109"/>
  <c r="K2373" i="109"/>
  <c r="J2373" i="109"/>
  <c r="I2373" i="109"/>
  <c r="K2372" i="109"/>
  <c r="J2372" i="109"/>
  <c r="I2372" i="109"/>
  <c r="K2371" i="109"/>
  <c r="J2371" i="109"/>
  <c r="I2371" i="109"/>
  <c r="K2370" i="109"/>
  <c r="J2370" i="109"/>
  <c r="I2370" i="109"/>
  <c r="K2369" i="109"/>
  <c r="J2369" i="109"/>
  <c r="I2369" i="109"/>
  <c r="K2368" i="109"/>
  <c r="J2368" i="109"/>
  <c r="I2368" i="109"/>
  <c r="K2367" i="109"/>
  <c r="J2367" i="109"/>
  <c r="I2367" i="109"/>
  <c r="K2366" i="109"/>
  <c r="J2366" i="109"/>
  <c r="I2366" i="109"/>
  <c r="K2365" i="109"/>
  <c r="J2365" i="109"/>
  <c r="I2365" i="109"/>
  <c r="K2364" i="109"/>
  <c r="J2364" i="109"/>
  <c r="I2364" i="109"/>
  <c r="K2363" i="109"/>
  <c r="J2363" i="109"/>
  <c r="I2363" i="109"/>
  <c r="K2362" i="109"/>
  <c r="J2362" i="109"/>
  <c r="I2362" i="109"/>
  <c r="K2361" i="109"/>
  <c r="J2361" i="109"/>
  <c r="I2361" i="109"/>
  <c r="K2360" i="109"/>
  <c r="J2360" i="109"/>
  <c r="I2360" i="109"/>
  <c r="K2359" i="109"/>
  <c r="J2359" i="109"/>
  <c r="I2359" i="109"/>
  <c r="K2358" i="109"/>
  <c r="J2358" i="109"/>
  <c r="K2357" i="109"/>
  <c r="J2357" i="109"/>
  <c r="I2357" i="109"/>
  <c r="K2356" i="109"/>
  <c r="J2356" i="109"/>
  <c r="I2356" i="109"/>
  <c r="K2355" i="109"/>
  <c r="J2355" i="109"/>
  <c r="K2354" i="109"/>
  <c r="J2354" i="109"/>
  <c r="I2354" i="109"/>
  <c r="K2353" i="109"/>
  <c r="J2353" i="109"/>
  <c r="I2353" i="109"/>
  <c r="K2352" i="109"/>
  <c r="J2352" i="109"/>
  <c r="I2352" i="109"/>
  <c r="K2351" i="109"/>
  <c r="J2351" i="109"/>
  <c r="I2351" i="109"/>
  <c r="K2350" i="109"/>
  <c r="J2350" i="109"/>
  <c r="K2349" i="109"/>
  <c r="J2349" i="109"/>
  <c r="I2349" i="109"/>
  <c r="K2348" i="109"/>
  <c r="J2348" i="109"/>
  <c r="I2348" i="109"/>
  <c r="K2347" i="109"/>
  <c r="J2347" i="109"/>
  <c r="I2347" i="109"/>
  <c r="K2346" i="109"/>
  <c r="J2346" i="109"/>
  <c r="I2346" i="109"/>
  <c r="K2345" i="109"/>
  <c r="J2345" i="109"/>
  <c r="I2345" i="109"/>
  <c r="K2344" i="109"/>
  <c r="J2344" i="109"/>
  <c r="I2344" i="109"/>
  <c r="K2343" i="109"/>
  <c r="J2343" i="109"/>
  <c r="I2343" i="109"/>
  <c r="K2342" i="109"/>
  <c r="J2342" i="109"/>
  <c r="I2342" i="109"/>
  <c r="K2341" i="109"/>
  <c r="J2341" i="109"/>
  <c r="I2341" i="109"/>
  <c r="K2340" i="109"/>
  <c r="J2340" i="109"/>
  <c r="I2340" i="109"/>
  <c r="K2339" i="109"/>
  <c r="J2339" i="109"/>
  <c r="I2339" i="109"/>
  <c r="K2338" i="109"/>
  <c r="J2338" i="109"/>
  <c r="I2338" i="109"/>
  <c r="K2337" i="109"/>
  <c r="J2337" i="109"/>
  <c r="I2337" i="109"/>
  <c r="K2336" i="109"/>
  <c r="J2336" i="109"/>
  <c r="K2335" i="109"/>
  <c r="J2335" i="109"/>
  <c r="I2335" i="109"/>
  <c r="K2334" i="109"/>
  <c r="J2334" i="109"/>
  <c r="I2334" i="109"/>
  <c r="K2333" i="109"/>
  <c r="J2333" i="109"/>
  <c r="I2333" i="109"/>
  <c r="K2332" i="109"/>
  <c r="J2332" i="109"/>
  <c r="I2332" i="109"/>
  <c r="K2331" i="109"/>
  <c r="J2331" i="109"/>
  <c r="I2331" i="109"/>
  <c r="K2330" i="109"/>
  <c r="J2330" i="109"/>
  <c r="I2330" i="109"/>
  <c r="K2329" i="109"/>
  <c r="J2329" i="109"/>
  <c r="I2329" i="109"/>
  <c r="K2328" i="109"/>
  <c r="J2328" i="109"/>
  <c r="I2328" i="109"/>
  <c r="K2327" i="109"/>
  <c r="J2327" i="109"/>
  <c r="I2327" i="109"/>
  <c r="K2326" i="109"/>
  <c r="J2326" i="109"/>
  <c r="K2325" i="109"/>
  <c r="J2325" i="109"/>
  <c r="K2324" i="109"/>
  <c r="J2324" i="109"/>
  <c r="I2324" i="109"/>
  <c r="K2323" i="109"/>
  <c r="J2323" i="109"/>
  <c r="I2323" i="109"/>
  <c r="K2322" i="109"/>
  <c r="J2322" i="109"/>
  <c r="I2322" i="109"/>
  <c r="K2321" i="109"/>
  <c r="J2321" i="109"/>
  <c r="I2321" i="109"/>
  <c r="K2320" i="109"/>
  <c r="J2320" i="109"/>
  <c r="I2320" i="109"/>
  <c r="K2319" i="109"/>
  <c r="J2319" i="109"/>
  <c r="I2319" i="109"/>
  <c r="K2318" i="109"/>
  <c r="J2318" i="109"/>
  <c r="I2318" i="109"/>
  <c r="K2317" i="109"/>
  <c r="J2317" i="109"/>
  <c r="I2317" i="109"/>
  <c r="K2316" i="109"/>
  <c r="J2316" i="109"/>
  <c r="I2316" i="109"/>
  <c r="K2315" i="109"/>
  <c r="J2315" i="109"/>
  <c r="I2315" i="109"/>
  <c r="K2314" i="109"/>
  <c r="J2314" i="109"/>
  <c r="I2314" i="109"/>
  <c r="K2313" i="109"/>
  <c r="J2313" i="109"/>
  <c r="I2313" i="109"/>
  <c r="K2312" i="109"/>
  <c r="J2312" i="109"/>
  <c r="I2312" i="109"/>
  <c r="K2311" i="109"/>
  <c r="J2311" i="109"/>
  <c r="I2311" i="109"/>
  <c r="K2310" i="109"/>
  <c r="J2310" i="109"/>
  <c r="I2310" i="109"/>
  <c r="K2309" i="109"/>
  <c r="J2309" i="109"/>
  <c r="I2309" i="109"/>
  <c r="K2308" i="109"/>
  <c r="J2308" i="109"/>
  <c r="I2308" i="109"/>
  <c r="K2307" i="109"/>
  <c r="J2307" i="109"/>
  <c r="I2307" i="109"/>
  <c r="K2306" i="109"/>
  <c r="J2306" i="109"/>
  <c r="I2306" i="109"/>
  <c r="K2305" i="109"/>
  <c r="J2305" i="109"/>
  <c r="I2305" i="109"/>
  <c r="K2304" i="109"/>
  <c r="J2304" i="109"/>
  <c r="I2304" i="109"/>
  <c r="K2303" i="109"/>
  <c r="J2303" i="109"/>
  <c r="I2303" i="109"/>
  <c r="K2302" i="109"/>
  <c r="J2302" i="109"/>
  <c r="K2301" i="109"/>
  <c r="J2301" i="109"/>
  <c r="I2301" i="109"/>
  <c r="K2300" i="109"/>
  <c r="J2300" i="109"/>
  <c r="I2300" i="109"/>
  <c r="K2299" i="109"/>
  <c r="J2299" i="109"/>
  <c r="I2299" i="109"/>
  <c r="K2298" i="109"/>
  <c r="J2298" i="109"/>
  <c r="I2298" i="109"/>
  <c r="K2297" i="109"/>
  <c r="J2297" i="109"/>
  <c r="I2297" i="109"/>
  <c r="K2296" i="109"/>
  <c r="J2296" i="109"/>
  <c r="I2296" i="109"/>
  <c r="K2295" i="109"/>
  <c r="J2295" i="109"/>
  <c r="I2295" i="109"/>
  <c r="K2294" i="109"/>
  <c r="J2294" i="109"/>
  <c r="I2294" i="109"/>
  <c r="K2293" i="109"/>
  <c r="J2293" i="109"/>
  <c r="I2293" i="109"/>
  <c r="K2292" i="109"/>
  <c r="J2292" i="109"/>
  <c r="I2292" i="109"/>
  <c r="K2291" i="109"/>
  <c r="J2291" i="109"/>
  <c r="I2291" i="109"/>
  <c r="K2290" i="109"/>
  <c r="J2290" i="109"/>
  <c r="K2289" i="109"/>
  <c r="J2289" i="109"/>
  <c r="I2289" i="109"/>
  <c r="K2288" i="109"/>
  <c r="J2288" i="109"/>
  <c r="I2288" i="109"/>
  <c r="K2287" i="109"/>
  <c r="J2287" i="109"/>
  <c r="I2287" i="109"/>
  <c r="K2286" i="109"/>
  <c r="J2286" i="109"/>
  <c r="I2286" i="109"/>
  <c r="K2285" i="109"/>
  <c r="J2285" i="109"/>
  <c r="I2285" i="109"/>
  <c r="K2284" i="109"/>
  <c r="J2284" i="109"/>
  <c r="I2284" i="109"/>
  <c r="K2283" i="109"/>
  <c r="J2283" i="109"/>
  <c r="I2283" i="109"/>
  <c r="K2282" i="109"/>
  <c r="J2282" i="109"/>
  <c r="I2282" i="109"/>
  <c r="K2281" i="109"/>
  <c r="J2281" i="109"/>
  <c r="I2281" i="109"/>
  <c r="K2280" i="109"/>
  <c r="J2280" i="109"/>
  <c r="I2280" i="109"/>
  <c r="K2279" i="109"/>
  <c r="J2279" i="109"/>
  <c r="I2279" i="109"/>
  <c r="K2278" i="109"/>
  <c r="J2278" i="109"/>
  <c r="I2278" i="109"/>
  <c r="K2277" i="109"/>
  <c r="J2277" i="109"/>
  <c r="I2277" i="109"/>
  <c r="K2276" i="109"/>
  <c r="J2276" i="109"/>
  <c r="I2276" i="109"/>
  <c r="K2275" i="109"/>
  <c r="J2275" i="109"/>
  <c r="I2275" i="109"/>
  <c r="K2274" i="109"/>
  <c r="J2274" i="109"/>
  <c r="I2274" i="109"/>
  <c r="K2273" i="109"/>
  <c r="J2273" i="109"/>
  <c r="I2273" i="109"/>
  <c r="K2272" i="109"/>
  <c r="J2272" i="109"/>
  <c r="I2272" i="109"/>
  <c r="K2271" i="109"/>
  <c r="J2271" i="109"/>
  <c r="I2271" i="109"/>
  <c r="K2270" i="109"/>
  <c r="J2270" i="109"/>
  <c r="I2270" i="109"/>
  <c r="K2269" i="109"/>
  <c r="J2269" i="109"/>
  <c r="I2269" i="109"/>
  <c r="K2268" i="109"/>
  <c r="J2268" i="109"/>
  <c r="K2267" i="109"/>
  <c r="J2267" i="109"/>
  <c r="K2266" i="109"/>
  <c r="J2266" i="109"/>
  <c r="I2266" i="109"/>
  <c r="K2265" i="109"/>
  <c r="J2265" i="109"/>
  <c r="I2265" i="109"/>
  <c r="K2264" i="109"/>
  <c r="J2264" i="109"/>
  <c r="K2263" i="109"/>
  <c r="J2263" i="109"/>
  <c r="I2263" i="109"/>
  <c r="K2262" i="109"/>
  <c r="J2262" i="109"/>
  <c r="I2262" i="109"/>
  <c r="K2261" i="109"/>
  <c r="J2261" i="109"/>
  <c r="K2260" i="109"/>
  <c r="J2260" i="109"/>
  <c r="I2260" i="109"/>
  <c r="K2259" i="109"/>
  <c r="J2259" i="109"/>
  <c r="I2259" i="109"/>
  <c r="K2258" i="109"/>
  <c r="J2258" i="109"/>
  <c r="I2258" i="109"/>
  <c r="K2257" i="109"/>
  <c r="J2257" i="109"/>
  <c r="K2256" i="109"/>
  <c r="J2256" i="109"/>
  <c r="I2256" i="109"/>
  <c r="K2255" i="109"/>
  <c r="J2255" i="109"/>
  <c r="I2255" i="109"/>
  <c r="K2254" i="109"/>
  <c r="J2254" i="109"/>
  <c r="I2254" i="109"/>
  <c r="K2253" i="109"/>
  <c r="J2253" i="109"/>
  <c r="I2253" i="109"/>
  <c r="K2252" i="109"/>
  <c r="J2252" i="109"/>
  <c r="K2251" i="109"/>
  <c r="J2251" i="109"/>
  <c r="I2251" i="109"/>
  <c r="K2250" i="109"/>
  <c r="J2250" i="109"/>
  <c r="I2250" i="109"/>
  <c r="K2249" i="109"/>
  <c r="J2249" i="109"/>
  <c r="I2249" i="109"/>
  <c r="K2248" i="109"/>
  <c r="J2248" i="109"/>
  <c r="I2248" i="109"/>
  <c r="K2247" i="109"/>
  <c r="J2247" i="109"/>
  <c r="I2247" i="109"/>
  <c r="K2246" i="109"/>
  <c r="J2246" i="109"/>
  <c r="I2246" i="109"/>
  <c r="K2245" i="109"/>
  <c r="J2245" i="109"/>
  <c r="I2245" i="109"/>
  <c r="K2244" i="109"/>
  <c r="J2244" i="109"/>
  <c r="I2244" i="109"/>
  <c r="K2243" i="109"/>
  <c r="J2243" i="109"/>
  <c r="I2243" i="109"/>
  <c r="K2242" i="109"/>
  <c r="J2242" i="109"/>
  <c r="I2242" i="109"/>
  <c r="K2241" i="109"/>
  <c r="J2241" i="109"/>
  <c r="I2241" i="109"/>
  <c r="K2240" i="109"/>
  <c r="J2240" i="109"/>
  <c r="I2240" i="109"/>
  <c r="K2239" i="109"/>
  <c r="J2239" i="109"/>
  <c r="K2238" i="109"/>
  <c r="J2238" i="109"/>
  <c r="I2238" i="109"/>
  <c r="K2237" i="109"/>
  <c r="J2237" i="109"/>
  <c r="I2237" i="109"/>
  <c r="K2236" i="109"/>
  <c r="J2236" i="109"/>
  <c r="I2236" i="109"/>
  <c r="K2235" i="109"/>
  <c r="J2235" i="109"/>
  <c r="I2235" i="109"/>
  <c r="K2234" i="109"/>
  <c r="J2234" i="109"/>
  <c r="I2234" i="109"/>
  <c r="K2233" i="109"/>
  <c r="J2233" i="109"/>
  <c r="I2233" i="109"/>
  <c r="K2232" i="109"/>
  <c r="J2232" i="109"/>
  <c r="I2232" i="109"/>
  <c r="K2231" i="109"/>
  <c r="J2231" i="109"/>
  <c r="I2231" i="109"/>
  <c r="K2230" i="109"/>
  <c r="J2230" i="109"/>
  <c r="I2230" i="109"/>
  <c r="K2229" i="109"/>
  <c r="J2229" i="109"/>
  <c r="I2229" i="109"/>
  <c r="K2228" i="109"/>
  <c r="J2228" i="109"/>
  <c r="I2228" i="109"/>
  <c r="K2227" i="109"/>
  <c r="J2227" i="109"/>
  <c r="I2227" i="109"/>
  <c r="K2226" i="109"/>
  <c r="J2226" i="109"/>
  <c r="I2226" i="109"/>
  <c r="K2225" i="109"/>
  <c r="J2225" i="109"/>
  <c r="I2225" i="109"/>
  <c r="K2224" i="109"/>
  <c r="J2224" i="109"/>
  <c r="K2223" i="109"/>
  <c r="J2223" i="109"/>
  <c r="K2222" i="109"/>
  <c r="J2222" i="109"/>
  <c r="I2222" i="109"/>
  <c r="K2221" i="109"/>
  <c r="J2221" i="109"/>
  <c r="I2221" i="109"/>
  <c r="K2220" i="109"/>
  <c r="J2220" i="109"/>
  <c r="I2220" i="109"/>
  <c r="K2219" i="109"/>
  <c r="J2219" i="109"/>
  <c r="I2219" i="109"/>
  <c r="K2218" i="109"/>
  <c r="J2218" i="109"/>
  <c r="I2218" i="109"/>
  <c r="K2217" i="109"/>
  <c r="J2217" i="109"/>
  <c r="I2217" i="109"/>
  <c r="K2216" i="109"/>
  <c r="J2216" i="109"/>
  <c r="K2215" i="109"/>
  <c r="J2215" i="109"/>
  <c r="I2215" i="109"/>
  <c r="K2214" i="109"/>
  <c r="J2214" i="109"/>
  <c r="I2214" i="109"/>
  <c r="K2213" i="109"/>
  <c r="J2213" i="109"/>
  <c r="I2213" i="109"/>
  <c r="K2212" i="109"/>
  <c r="J2212" i="109"/>
  <c r="I2212" i="109"/>
  <c r="K2211" i="109"/>
  <c r="J2211" i="109"/>
  <c r="I2211" i="109"/>
  <c r="K2210" i="109"/>
  <c r="J2210" i="109"/>
  <c r="K2209" i="109"/>
  <c r="J2209" i="109"/>
  <c r="I2209" i="109"/>
  <c r="K2208" i="109"/>
  <c r="J2208" i="109"/>
  <c r="I2208" i="109"/>
  <c r="K2207" i="109"/>
  <c r="J2207" i="109"/>
  <c r="I2207" i="109"/>
  <c r="K2206" i="109"/>
  <c r="J2206" i="109"/>
  <c r="K2205" i="109"/>
  <c r="J2205" i="109"/>
  <c r="I2205" i="109"/>
  <c r="K2204" i="109"/>
  <c r="J2204" i="109"/>
  <c r="K2203" i="109"/>
  <c r="J2203" i="109"/>
  <c r="I2203" i="109"/>
  <c r="K2202" i="109"/>
  <c r="J2202" i="109"/>
  <c r="I2202" i="109"/>
  <c r="K2201" i="109"/>
  <c r="J2201" i="109"/>
  <c r="I2201" i="109"/>
  <c r="K2200" i="109"/>
  <c r="J2200" i="109"/>
  <c r="I2200" i="109"/>
  <c r="K2199" i="109"/>
  <c r="J2199" i="109"/>
  <c r="I2199" i="109"/>
  <c r="K2198" i="109"/>
  <c r="J2198" i="109"/>
  <c r="I2198" i="109"/>
  <c r="K2197" i="109"/>
  <c r="J2197" i="109"/>
  <c r="I2197" i="109"/>
  <c r="K2196" i="109"/>
  <c r="J2196" i="109"/>
  <c r="I2196" i="109"/>
  <c r="K2195" i="109"/>
  <c r="J2195" i="109"/>
  <c r="I2195" i="109"/>
  <c r="K2194" i="109"/>
  <c r="J2194" i="109"/>
  <c r="I2194" i="109"/>
  <c r="K2193" i="109"/>
  <c r="J2193" i="109"/>
  <c r="I2193" i="109"/>
  <c r="K2192" i="109"/>
  <c r="J2192" i="109"/>
  <c r="I2192" i="109"/>
  <c r="K2191" i="109"/>
  <c r="J2191" i="109"/>
  <c r="I2191" i="109"/>
  <c r="K2190" i="109"/>
  <c r="J2190" i="109"/>
  <c r="I2190" i="109"/>
  <c r="K2189" i="109"/>
  <c r="J2189" i="109"/>
  <c r="I2189" i="109"/>
  <c r="K2188" i="109"/>
  <c r="J2188" i="109"/>
  <c r="I2188" i="109"/>
  <c r="K2187" i="109"/>
  <c r="J2187" i="109"/>
  <c r="I2187" i="109"/>
  <c r="K2186" i="109"/>
  <c r="J2186" i="109"/>
  <c r="I2186" i="109"/>
  <c r="K2185" i="109"/>
  <c r="J2185" i="109"/>
  <c r="I2185" i="109"/>
  <c r="K2184" i="109"/>
  <c r="J2184" i="109"/>
  <c r="I2184" i="109"/>
  <c r="K2183" i="109"/>
  <c r="J2183" i="109"/>
  <c r="I2183" i="109"/>
  <c r="K2182" i="109"/>
  <c r="J2182" i="109"/>
  <c r="I2182" i="109"/>
  <c r="K2181" i="109"/>
  <c r="J2181" i="109"/>
  <c r="I2181" i="109"/>
  <c r="K2180" i="109"/>
  <c r="J2180" i="109"/>
  <c r="K2179" i="109"/>
  <c r="J2179" i="109"/>
  <c r="I2179" i="109"/>
  <c r="K2178" i="109"/>
  <c r="J2178" i="109"/>
  <c r="I2178" i="109"/>
  <c r="K2177" i="109"/>
  <c r="J2177" i="109"/>
  <c r="I2177" i="109"/>
  <c r="K2176" i="109"/>
  <c r="J2176" i="109"/>
  <c r="I2176" i="109"/>
  <c r="K2175" i="109"/>
  <c r="J2175" i="109"/>
  <c r="I2175" i="109"/>
  <c r="K2174" i="109"/>
  <c r="J2174" i="109"/>
  <c r="I2174" i="109"/>
  <c r="K2173" i="109"/>
  <c r="J2173" i="109"/>
  <c r="I2173" i="109"/>
  <c r="K2172" i="109"/>
  <c r="J2172" i="109"/>
  <c r="I2172" i="109"/>
  <c r="K2171" i="109"/>
  <c r="J2171" i="109"/>
  <c r="I2171" i="109"/>
  <c r="K2170" i="109"/>
  <c r="J2170" i="109"/>
  <c r="I2170" i="109"/>
  <c r="K2169" i="109"/>
  <c r="J2169" i="109"/>
  <c r="I2169" i="109"/>
  <c r="K2168" i="109"/>
  <c r="J2168" i="109"/>
  <c r="I2168" i="109"/>
  <c r="K2167" i="109"/>
  <c r="J2167" i="109"/>
  <c r="I2167" i="109"/>
  <c r="K2166" i="109"/>
  <c r="J2166" i="109"/>
  <c r="I2166" i="109"/>
  <c r="K2165" i="109"/>
  <c r="J2165" i="109"/>
  <c r="I2165" i="109"/>
  <c r="K2164" i="109"/>
  <c r="J2164" i="109"/>
  <c r="I2164" i="109"/>
  <c r="K2163" i="109"/>
  <c r="J2163" i="109"/>
  <c r="I2163" i="109"/>
  <c r="K2162" i="109"/>
  <c r="J2162" i="109"/>
  <c r="I2162" i="109"/>
  <c r="K2161" i="109"/>
  <c r="J2161" i="109"/>
  <c r="I2161" i="109"/>
  <c r="K2160" i="109"/>
  <c r="J2160" i="109"/>
  <c r="I2160" i="109"/>
  <c r="K2159" i="109"/>
  <c r="J2159" i="109"/>
  <c r="I2159" i="109"/>
  <c r="K2158" i="109"/>
  <c r="J2158" i="109"/>
  <c r="I2158" i="109"/>
  <c r="K2157" i="109"/>
  <c r="J2157" i="109"/>
  <c r="I2157" i="109"/>
  <c r="K2156" i="109"/>
  <c r="J2156" i="109"/>
  <c r="I2156" i="109"/>
  <c r="K2155" i="109"/>
  <c r="J2155" i="109"/>
  <c r="I2155" i="109"/>
  <c r="K2154" i="109"/>
  <c r="J2154" i="109"/>
  <c r="K2153" i="109"/>
  <c r="J2153" i="109"/>
  <c r="K2152" i="109"/>
  <c r="J2152" i="109"/>
  <c r="I2152" i="109"/>
  <c r="K2151" i="109"/>
  <c r="J2151" i="109"/>
  <c r="K2150" i="109"/>
  <c r="J2150" i="109"/>
  <c r="I2150" i="109"/>
  <c r="K2149" i="109"/>
  <c r="J2149" i="109"/>
  <c r="I2149" i="109"/>
  <c r="K2148" i="109"/>
  <c r="J2148" i="109"/>
  <c r="I2148" i="109"/>
  <c r="K2147" i="109"/>
  <c r="J2147" i="109"/>
  <c r="I2147" i="109"/>
  <c r="K2146" i="109"/>
  <c r="J2146" i="109"/>
  <c r="I2146" i="109"/>
  <c r="K2145" i="109"/>
  <c r="J2145" i="109"/>
  <c r="I2145" i="109"/>
  <c r="K2144" i="109"/>
  <c r="J2144" i="109"/>
  <c r="I2144" i="109"/>
  <c r="K2143" i="109"/>
  <c r="J2143" i="109"/>
  <c r="I2143" i="109"/>
  <c r="K2142" i="109"/>
  <c r="J2142" i="109"/>
  <c r="I2142" i="109"/>
  <c r="K2141" i="109"/>
  <c r="J2141" i="109"/>
  <c r="I2141" i="109"/>
  <c r="K2140" i="109"/>
  <c r="J2140" i="109"/>
  <c r="I2140" i="109"/>
  <c r="K2139" i="109"/>
  <c r="J2139" i="109"/>
  <c r="I2139" i="109"/>
  <c r="K2138" i="109"/>
  <c r="J2138" i="109"/>
  <c r="I2138" i="109"/>
  <c r="K2137" i="109"/>
  <c r="J2137" i="109"/>
  <c r="I2137" i="109"/>
  <c r="K2136" i="109"/>
  <c r="J2136" i="109"/>
  <c r="I2136" i="109"/>
  <c r="K2135" i="109"/>
  <c r="J2135" i="109"/>
  <c r="I2135" i="109"/>
  <c r="K2134" i="109"/>
  <c r="J2134" i="109"/>
  <c r="K2133" i="109"/>
  <c r="J2133" i="109"/>
  <c r="K2132" i="109"/>
  <c r="J2132" i="109"/>
  <c r="I2132" i="109"/>
  <c r="K2131" i="109"/>
  <c r="J2131" i="109"/>
  <c r="I2131" i="109"/>
  <c r="K2130" i="109"/>
  <c r="J2130" i="109"/>
  <c r="I2130" i="109"/>
  <c r="K2129" i="109"/>
  <c r="J2129" i="109"/>
  <c r="I2129" i="109"/>
  <c r="K2128" i="109"/>
  <c r="J2128" i="109"/>
  <c r="I2128" i="109"/>
  <c r="K2127" i="109"/>
  <c r="J2127" i="109"/>
  <c r="I2127" i="109"/>
  <c r="K2126" i="109"/>
  <c r="J2126" i="109"/>
  <c r="K2125" i="109"/>
  <c r="J2125" i="109"/>
  <c r="K2124" i="109"/>
  <c r="J2124" i="109"/>
  <c r="I2124" i="109"/>
  <c r="K2123" i="109"/>
  <c r="J2123" i="109"/>
  <c r="I2123" i="109"/>
  <c r="K2122" i="109"/>
  <c r="J2122" i="109"/>
  <c r="I2122" i="109"/>
  <c r="K2121" i="109"/>
  <c r="J2121" i="109"/>
  <c r="I2121" i="109"/>
  <c r="K2120" i="109"/>
  <c r="J2120" i="109"/>
  <c r="I2120" i="109"/>
  <c r="K2119" i="109"/>
  <c r="J2119" i="109"/>
  <c r="K2118" i="109"/>
  <c r="J2118" i="109"/>
  <c r="I2118" i="109"/>
  <c r="K2117" i="109"/>
  <c r="J2117" i="109"/>
  <c r="I2117" i="109"/>
  <c r="K2116" i="109"/>
  <c r="J2116" i="109"/>
  <c r="I2116" i="109"/>
  <c r="K2115" i="109"/>
  <c r="J2115" i="109"/>
  <c r="I2115" i="109"/>
  <c r="K2114" i="109"/>
  <c r="J2114" i="109"/>
  <c r="I2114" i="109"/>
  <c r="K2113" i="109"/>
  <c r="J2113" i="109"/>
  <c r="I2113" i="109"/>
  <c r="K2112" i="109"/>
  <c r="J2112" i="109"/>
  <c r="I2112" i="109"/>
  <c r="K2111" i="109"/>
  <c r="J2111" i="109"/>
  <c r="K2110" i="109"/>
  <c r="J2110" i="109"/>
  <c r="I2110" i="109"/>
  <c r="K2109" i="109"/>
  <c r="J2109" i="109"/>
  <c r="I2109" i="109"/>
  <c r="K2108" i="109"/>
  <c r="J2108" i="109"/>
  <c r="I2108" i="109"/>
  <c r="K2107" i="109"/>
  <c r="J2107" i="109"/>
  <c r="I2107" i="109"/>
  <c r="K2106" i="109"/>
  <c r="J2106" i="109"/>
  <c r="I2106" i="109"/>
  <c r="K2105" i="109"/>
  <c r="J2105" i="109"/>
  <c r="I2105" i="109"/>
  <c r="K2104" i="109"/>
  <c r="J2104" i="109"/>
  <c r="I2104" i="109"/>
  <c r="K2103" i="109"/>
  <c r="J2103" i="109"/>
  <c r="I2103" i="109"/>
  <c r="K2102" i="109"/>
  <c r="J2102" i="109"/>
  <c r="I2102" i="109"/>
  <c r="K2101" i="109"/>
  <c r="J2101" i="109"/>
  <c r="I2101" i="109"/>
  <c r="K2100" i="109"/>
  <c r="J2100" i="109"/>
  <c r="I2100" i="109"/>
  <c r="K2099" i="109"/>
  <c r="J2099" i="109"/>
  <c r="I2099" i="109"/>
  <c r="K2098" i="109"/>
  <c r="J2098" i="109"/>
  <c r="I2098" i="109"/>
  <c r="K2097" i="109"/>
  <c r="J2097" i="109"/>
  <c r="I2097" i="109"/>
  <c r="K2096" i="109"/>
  <c r="J2096" i="109"/>
  <c r="I2096" i="109"/>
  <c r="K2095" i="109"/>
  <c r="J2095" i="109"/>
  <c r="K2094" i="109"/>
  <c r="J2094" i="109"/>
  <c r="I2094" i="109"/>
  <c r="K2093" i="109"/>
  <c r="J2093" i="109"/>
  <c r="I2093" i="109"/>
  <c r="K2092" i="109"/>
  <c r="J2092" i="109"/>
  <c r="I2092" i="109"/>
  <c r="K2091" i="109"/>
  <c r="J2091" i="109"/>
  <c r="I2091" i="109"/>
  <c r="K2090" i="109"/>
  <c r="J2090" i="109"/>
  <c r="I2090" i="109"/>
  <c r="K2089" i="109"/>
  <c r="J2089" i="109"/>
  <c r="I2089" i="109"/>
  <c r="K2088" i="109"/>
  <c r="J2088" i="109"/>
  <c r="I2088" i="109"/>
  <c r="K2087" i="109"/>
  <c r="J2087" i="109"/>
  <c r="I2087" i="109"/>
  <c r="K2086" i="109"/>
  <c r="J2086" i="109"/>
  <c r="I2086" i="109"/>
  <c r="K2085" i="109"/>
  <c r="J2085" i="109"/>
  <c r="I2085" i="109"/>
  <c r="K2084" i="109"/>
  <c r="J2084" i="109"/>
  <c r="I2084" i="109"/>
  <c r="K2083" i="109"/>
  <c r="J2083" i="109"/>
  <c r="I2083" i="109"/>
  <c r="K2082" i="109"/>
  <c r="J2082" i="109"/>
  <c r="K2081" i="109"/>
  <c r="J2081" i="109"/>
  <c r="K2080" i="109"/>
  <c r="J2080" i="109"/>
  <c r="I2080" i="109"/>
  <c r="K2079" i="109"/>
  <c r="J2079" i="109"/>
  <c r="I2079" i="109"/>
  <c r="K2078" i="109"/>
  <c r="J2078" i="109"/>
  <c r="I2078" i="109"/>
  <c r="K2077" i="109"/>
  <c r="J2077" i="109"/>
  <c r="I2077" i="109"/>
  <c r="K2076" i="109"/>
  <c r="J2076" i="109"/>
  <c r="I2076" i="109"/>
  <c r="K2075" i="109"/>
  <c r="J2075" i="109"/>
  <c r="I2075" i="109"/>
  <c r="K2074" i="109"/>
  <c r="J2074" i="109"/>
  <c r="K2073" i="109"/>
  <c r="J2073" i="109"/>
  <c r="I2073" i="109"/>
  <c r="K2072" i="109"/>
  <c r="J2072" i="109"/>
  <c r="I2072" i="109"/>
  <c r="K2071" i="109"/>
  <c r="J2071" i="109"/>
  <c r="I2071" i="109"/>
  <c r="K2070" i="109"/>
  <c r="J2070" i="109"/>
  <c r="I2070" i="109"/>
  <c r="K2069" i="109"/>
  <c r="J2069" i="109"/>
  <c r="K2068" i="109"/>
  <c r="J2068" i="109"/>
  <c r="I2068" i="109"/>
  <c r="K2067" i="109"/>
  <c r="J2067" i="109"/>
  <c r="I2067" i="109"/>
  <c r="K2066" i="109"/>
  <c r="J2066" i="109"/>
  <c r="I2066" i="109"/>
  <c r="K2065" i="109"/>
  <c r="J2065" i="109"/>
  <c r="I2065" i="109"/>
  <c r="K2064" i="109"/>
  <c r="J2064" i="109"/>
  <c r="I2064" i="109"/>
  <c r="K2063" i="109"/>
  <c r="J2063" i="109"/>
  <c r="K2062" i="109"/>
  <c r="J2062" i="109"/>
  <c r="I2062" i="109"/>
  <c r="K2061" i="109"/>
  <c r="J2061" i="109"/>
  <c r="I2061" i="109"/>
  <c r="K2060" i="109"/>
  <c r="J2060" i="109"/>
  <c r="I2060" i="109"/>
  <c r="K2059" i="109"/>
  <c r="J2059" i="109"/>
  <c r="I2059" i="109"/>
  <c r="K2058" i="109"/>
  <c r="J2058" i="109"/>
  <c r="I2058" i="109"/>
  <c r="K2057" i="109"/>
  <c r="J2057" i="109"/>
  <c r="I2057" i="109"/>
  <c r="K2056" i="109"/>
  <c r="J2056" i="109"/>
  <c r="I2056" i="109"/>
  <c r="K2055" i="109"/>
  <c r="J2055" i="109"/>
  <c r="I2055" i="109"/>
  <c r="K2054" i="109"/>
  <c r="J2054" i="109"/>
  <c r="I2054" i="109"/>
  <c r="K2053" i="109"/>
  <c r="J2053" i="109"/>
  <c r="I2053" i="109"/>
  <c r="K2052" i="109"/>
  <c r="J2052" i="109"/>
  <c r="I2052" i="109"/>
  <c r="K2051" i="109"/>
  <c r="J2051" i="109"/>
  <c r="I2051" i="109"/>
  <c r="K2050" i="109"/>
  <c r="J2050" i="109"/>
  <c r="I2050" i="109"/>
  <c r="K2049" i="109"/>
  <c r="J2049" i="109"/>
  <c r="I2049" i="109"/>
  <c r="K2048" i="109"/>
  <c r="J2048" i="109"/>
  <c r="I2048" i="109"/>
  <c r="K2047" i="109"/>
  <c r="J2047" i="109"/>
  <c r="I2047" i="109"/>
  <c r="K2046" i="109"/>
  <c r="J2046" i="109"/>
  <c r="I2046" i="109"/>
  <c r="K2045" i="109"/>
  <c r="J2045" i="109"/>
  <c r="I2045" i="109"/>
  <c r="K2044" i="109"/>
  <c r="J2044" i="109"/>
  <c r="I2044" i="109"/>
  <c r="K2043" i="109"/>
  <c r="J2043" i="109"/>
  <c r="I2043" i="109"/>
  <c r="K2042" i="109"/>
  <c r="J2042" i="109"/>
  <c r="I2042" i="109"/>
  <c r="K2041" i="109"/>
  <c r="J2041" i="109"/>
  <c r="I2041" i="109"/>
  <c r="K2040" i="109"/>
  <c r="J2040" i="109"/>
  <c r="I2040" i="109"/>
  <c r="K2039" i="109"/>
  <c r="J2039" i="109"/>
  <c r="I2039" i="109"/>
  <c r="K2038" i="109"/>
  <c r="J2038" i="109"/>
  <c r="I2038" i="109"/>
  <c r="K2037" i="109"/>
  <c r="J2037" i="109"/>
  <c r="I2037" i="109"/>
  <c r="K2036" i="109"/>
  <c r="J2036" i="109"/>
  <c r="I2036" i="109"/>
  <c r="K2035" i="109"/>
  <c r="J2035" i="109"/>
  <c r="I2035" i="109"/>
  <c r="K2034" i="109"/>
  <c r="J2034" i="109"/>
  <c r="I2034" i="109"/>
  <c r="K2033" i="109"/>
  <c r="J2033" i="109"/>
  <c r="I2033" i="109"/>
  <c r="K2032" i="109"/>
  <c r="J2032" i="109"/>
  <c r="K2031" i="109"/>
  <c r="J2031" i="109"/>
  <c r="I2031" i="109"/>
  <c r="K2030" i="109"/>
  <c r="J2030" i="109"/>
  <c r="I2030" i="109"/>
  <c r="K2029" i="109"/>
  <c r="J2029" i="109"/>
  <c r="I2029" i="109"/>
  <c r="K2028" i="109"/>
  <c r="J2028" i="109"/>
  <c r="I2028" i="109"/>
  <c r="K2027" i="109"/>
  <c r="J2027" i="109"/>
  <c r="K2026" i="109"/>
  <c r="J2026" i="109"/>
  <c r="K2025" i="109"/>
  <c r="J2025" i="109"/>
  <c r="I2025" i="109"/>
  <c r="K2024" i="109"/>
  <c r="J2024" i="109"/>
  <c r="I2024" i="109"/>
  <c r="K2023" i="109"/>
  <c r="J2023" i="109"/>
  <c r="I2023" i="109"/>
  <c r="K2022" i="109"/>
  <c r="J2022" i="109"/>
  <c r="K2021" i="109"/>
  <c r="J2021" i="109"/>
  <c r="I2021" i="109"/>
  <c r="K2020" i="109"/>
  <c r="J2020" i="109"/>
  <c r="I2020" i="109"/>
  <c r="K2019" i="109"/>
  <c r="J2019" i="109"/>
  <c r="I2019" i="109"/>
  <c r="K2018" i="109"/>
  <c r="J2018" i="109"/>
  <c r="I2018" i="109"/>
  <c r="K2017" i="109"/>
  <c r="J2017" i="109"/>
  <c r="I2017" i="109"/>
  <c r="K2016" i="109"/>
  <c r="J2016" i="109"/>
  <c r="I2016" i="109"/>
  <c r="K2015" i="109"/>
  <c r="J2015" i="109"/>
  <c r="I2015" i="109"/>
  <c r="K2014" i="109"/>
  <c r="J2014" i="109"/>
  <c r="I2014" i="109"/>
  <c r="K2013" i="109"/>
  <c r="J2013" i="109"/>
  <c r="I2013" i="109"/>
  <c r="K2012" i="109"/>
  <c r="J2012" i="109"/>
  <c r="I2012" i="109"/>
  <c r="K2011" i="109"/>
  <c r="J2011" i="109"/>
  <c r="I2011" i="109"/>
  <c r="K2010" i="109"/>
  <c r="J2010" i="109"/>
  <c r="I2010" i="109"/>
  <c r="K2009" i="109"/>
  <c r="J2009" i="109"/>
  <c r="I2009" i="109"/>
  <c r="K2008" i="109"/>
  <c r="J2008" i="109"/>
  <c r="I2008" i="109"/>
  <c r="K2007" i="109"/>
  <c r="J2007" i="109"/>
  <c r="I2007" i="109"/>
  <c r="K2006" i="109"/>
  <c r="J2006" i="109"/>
  <c r="K2005" i="109"/>
  <c r="J2005" i="109"/>
  <c r="K2004" i="109"/>
  <c r="J2004" i="109"/>
  <c r="I2004" i="109"/>
  <c r="K2003" i="109"/>
  <c r="J2003" i="109"/>
  <c r="I2003" i="109"/>
  <c r="K2002" i="109"/>
  <c r="J2002" i="109"/>
  <c r="I2002" i="109"/>
  <c r="K2001" i="109"/>
  <c r="J2001" i="109"/>
  <c r="I2001" i="109"/>
  <c r="K2000" i="109"/>
  <c r="J2000" i="109"/>
  <c r="I2000" i="109"/>
  <c r="K1999" i="109"/>
  <c r="J1999" i="109"/>
  <c r="I1999" i="109"/>
  <c r="K1998" i="109"/>
  <c r="J1998" i="109"/>
  <c r="K1997" i="109"/>
  <c r="J1997" i="109"/>
  <c r="I1997" i="109"/>
  <c r="K1996" i="109"/>
  <c r="J1996" i="109"/>
  <c r="I1996" i="109"/>
  <c r="K1995" i="109"/>
  <c r="J1995" i="109"/>
  <c r="I1995" i="109"/>
  <c r="K1994" i="109"/>
  <c r="J1994" i="109"/>
  <c r="I1994" i="109"/>
  <c r="K1993" i="109"/>
  <c r="J1993" i="109"/>
  <c r="I1993" i="109"/>
  <c r="K1992" i="109"/>
  <c r="J1992" i="109"/>
  <c r="I1992" i="109"/>
  <c r="K1991" i="109"/>
  <c r="J1991" i="109"/>
  <c r="I1991" i="109"/>
  <c r="K1990" i="109"/>
  <c r="J1990" i="109"/>
  <c r="I1990" i="109"/>
  <c r="K1989" i="109"/>
  <c r="J1989" i="109"/>
  <c r="K1988" i="109"/>
  <c r="J1988" i="109"/>
  <c r="K1987" i="109"/>
  <c r="J1987" i="109"/>
  <c r="I1987" i="109"/>
  <c r="K1986" i="109"/>
  <c r="J1986" i="109"/>
  <c r="I1986" i="109"/>
  <c r="K1985" i="109"/>
  <c r="J1985" i="109"/>
  <c r="I1985" i="109"/>
  <c r="K1984" i="109"/>
  <c r="J1984" i="109"/>
  <c r="I1984" i="109"/>
  <c r="K1983" i="109"/>
  <c r="J1983" i="109"/>
  <c r="I1983" i="109"/>
  <c r="K1982" i="109"/>
  <c r="J1982" i="109"/>
  <c r="I1982" i="109"/>
  <c r="K1981" i="109"/>
  <c r="J1981" i="109"/>
  <c r="I1981" i="109"/>
  <c r="K1980" i="109"/>
  <c r="J1980" i="109"/>
  <c r="K1979" i="109"/>
  <c r="J1979" i="109"/>
  <c r="I1979" i="109"/>
  <c r="K1978" i="109"/>
  <c r="J1978" i="109"/>
  <c r="I1978" i="109"/>
  <c r="K1977" i="109"/>
  <c r="J1977" i="109"/>
  <c r="I1977" i="109"/>
  <c r="K1976" i="109"/>
  <c r="J1976" i="109"/>
  <c r="I1976" i="109"/>
  <c r="K1975" i="109"/>
  <c r="J1975" i="109"/>
  <c r="I1975" i="109"/>
  <c r="K1974" i="109"/>
  <c r="J1974" i="109"/>
  <c r="I1974" i="109"/>
  <c r="K1973" i="109"/>
  <c r="J1973" i="109"/>
  <c r="I1973" i="109"/>
  <c r="K1972" i="109"/>
  <c r="J1972" i="109"/>
  <c r="I1972" i="109"/>
  <c r="K1971" i="109"/>
  <c r="J1971" i="109"/>
  <c r="I1971" i="109"/>
  <c r="K1970" i="109"/>
  <c r="J1970" i="109"/>
  <c r="K1969" i="109"/>
  <c r="J1969" i="109"/>
  <c r="I1969" i="109"/>
  <c r="K1968" i="109"/>
  <c r="J1968" i="109"/>
  <c r="I1968" i="109"/>
  <c r="K1967" i="109"/>
  <c r="J1967" i="109"/>
  <c r="I1967" i="109"/>
  <c r="K1966" i="109"/>
  <c r="J1966" i="109"/>
  <c r="I1966" i="109"/>
  <c r="K1965" i="109"/>
  <c r="J1965" i="109"/>
  <c r="I1965" i="109"/>
  <c r="K1964" i="109"/>
  <c r="J1964" i="109"/>
  <c r="I1964" i="109"/>
  <c r="K1963" i="109"/>
  <c r="J1963" i="109"/>
  <c r="I1963" i="109"/>
  <c r="K1962" i="109"/>
  <c r="J1962" i="109"/>
  <c r="I1962" i="109"/>
  <c r="K1961" i="109"/>
  <c r="J1961" i="109"/>
  <c r="I1961" i="109"/>
  <c r="K1960" i="109"/>
  <c r="J1960" i="109"/>
  <c r="I1960" i="109"/>
  <c r="K1959" i="109"/>
  <c r="J1959" i="109"/>
  <c r="I1959" i="109"/>
  <c r="K1958" i="109"/>
  <c r="J1958" i="109"/>
  <c r="I1958" i="109"/>
  <c r="K1957" i="109"/>
  <c r="J1957" i="109"/>
  <c r="I1957" i="109"/>
  <c r="K1956" i="109"/>
  <c r="J1956" i="109"/>
  <c r="I1956" i="109"/>
  <c r="K1955" i="109"/>
  <c r="J1955" i="109"/>
  <c r="K1954" i="109"/>
  <c r="J1954" i="109"/>
  <c r="I1954" i="109"/>
  <c r="K1953" i="109"/>
  <c r="J1953" i="109"/>
  <c r="I1953" i="109"/>
  <c r="K1952" i="109"/>
  <c r="J1952" i="109"/>
  <c r="K1951" i="109"/>
  <c r="J1951" i="109"/>
  <c r="I1951" i="109"/>
  <c r="K1950" i="109"/>
  <c r="J1950" i="109"/>
  <c r="I1950" i="109"/>
  <c r="K1949" i="109"/>
  <c r="J1949" i="109"/>
  <c r="I1949" i="109"/>
  <c r="K1948" i="109"/>
  <c r="J1948" i="109"/>
  <c r="I1948" i="109"/>
  <c r="K1947" i="109"/>
  <c r="J1947" i="109"/>
  <c r="I1947" i="109"/>
  <c r="K1946" i="109"/>
  <c r="J1946" i="109"/>
  <c r="I1946" i="109"/>
  <c r="K1945" i="109"/>
  <c r="J1945" i="109"/>
  <c r="I1945" i="109"/>
  <c r="K1944" i="109"/>
  <c r="J1944" i="109"/>
  <c r="I1944" i="109"/>
  <c r="K1943" i="109"/>
  <c r="J1943" i="109"/>
  <c r="I1943" i="109"/>
  <c r="K1942" i="109"/>
  <c r="J1942" i="109"/>
  <c r="I1942" i="109"/>
  <c r="K1941" i="109"/>
  <c r="J1941" i="109"/>
  <c r="I1941" i="109"/>
  <c r="K1940" i="109"/>
  <c r="J1940" i="109"/>
  <c r="I1940" i="109"/>
  <c r="K1939" i="109"/>
  <c r="J1939" i="109"/>
  <c r="I1939" i="109"/>
  <c r="K1938" i="109"/>
  <c r="J1938" i="109"/>
  <c r="I1938" i="109"/>
  <c r="K1937" i="109"/>
  <c r="J1937" i="109"/>
  <c r="I1937" i="109"/>
  <c r="K1936" i="109"/>
  <c r="J1936" i="109"/>
  <c r="I1936" i="109"/>
  <c r="K1935" i="109"/>
  <c r="J1935" i="109"/>
  <c r="I1935" i="109"/>
  <c r="K1934" i="109"/>
  <c r="J1934" i="109"/>
  <c r="I1934" i="109"/>
  <c r="K1933" i="109"/>
  <c r="J1933" i="109"/>
  <c r="K1932" i="109"/>
  <c r="J1932" i="109"/>
  <c r="I1932" i="109"/>
  <c r="K1931" i="109"/>
  <c r="J1931" i="109"/>
  <c r="I1931" i="109"/>
  <c r="K1930" i="109"/>
  <c r="J1930" i="109"/>
  <c r="I1930" i="109"/>
  <c r="K1929" i="109"/>
  <c r="J1929" i="109"/>
  <c r="I1929" i="109"/>
  <c r="K1928" i="109"/>
  <c r="J1928" i="109"/>
  <c r="I1928" i="109"/>
  <c r="K1927" i="109"/>
  <c r="J1927" i="109"/>
  <c r="I1927" i="109"/>
  <c r="K1926" i="109"/>
  <c r="J1926" i="109"/>
  <c r="I1926" i="109"/>
  <c r="K1925" i="109"/>
  <c r="J1925" i="109"/>
  <c r="I1925" i="109"/>
  <c r="K1924" i="109"/>
  <c r="J1924" i="109"/>
  <c r="I1924" i="109"/>
  <c r="K1923" i="109"/>
  <c r="J1923" i="109"/>
  <c r="I1923" i="109"/>
  <c r="K1922" i="109"/>
  <c r="J1922" i="109"/>
  <c r="I1922" i="109"/>
  <c r="K1921" i="109"/>
  <c r="J1921" i="109"/>
  <c r="I1921" i="109"/>
  <c r="K1920" i="109"/>
  <c r="J1920" i="109"/>
  <c r="I1920" i="109"/>
  <c r="K1919" i="109"/>
  <c r="J1919" i="109"/>
  <c r="I1919" i="109"/>
  <c r="K1918" i="109"/>
  <c r="J1918" i="109"/>
  <c r="I1918" i="109"/>
  <c r="K1917" i="109"/>
  <c r="J1917" i="109"/>
  <c r="I1917" i="109"/>
  <c r="K1916" i="109"/>
  <c r="J1916" i="109"/>
  <c r="K1915" i="109"/>
  <c r="J1915" i="109"/>
  <c r="I1915" i="109"/>
  <c r="K1914" i="109"/>
  <c r="J1914" i="109"/>
  <c r="I1914" i="109"/>
  <c r="K1913" i="109"/>
  <c r="J1913" i="109"/>
  <c r="I1913" i="109"/>
  <c r="K1912" i="109"/>
  <c r="J1912" i="109"/>
  <c r="I1912" i="109"/>
  <c r="K1911" i="109"/>
  <c r="J1911" i="109"/>
  <c r="I1911" i="109"/>
  <c r="K1910" i="109"/>
  <c r="J1910" i="109"/>
  <c r="I1910" i="109"/>
  <c r="K1909" i="109"/>
  <c r="J1909" i="109"/>
  <c r="I1909" i="109"/>
  <c r="K1908" i="109"/>
  <c r="J1908" i="109"/>
  <c r="I1908" i="109"/>
  <c r="K1907" i="109"/>
  <c r="J1907" i="109"/>
  <c r="I1907" i="109"/>
  <c r="K1906" i="109"/>
  <c r="J1906" i="109"/>
  <c r="I1906" i="109"/>
  <c r="K1905" i="109"/>
  <c r="J1905" i="109"/>
  <c r="K1904" i="109"/>
  <c r="J1904" i="109"/>
  <c r="I1904" i="109"/>
  <c r="K1903" i="109"/>
  <c r="J1903" i="109"/>
  <c r="I1903" i="109"/>
  <c r="K1902" i="109"/>
  <c r="J1902" i="109"/>
  <c r="I1902" i="109"/>
  <c r="K1901" i="109"/>
  <c r="J1901" i="109"/>
  <c r="I1901" i="109"/>
  <c r="K1900" i="109"/>
  <c r="J1900" i="109"/>
  <c r="I1900" i="109"/>
  <c r="K1899" i="109"/>
  <c r="J1899" i="109"/>
  <c r="I1899" i="109"/>
  <c r="K1898" i="109"/>
  <c r="J1898" i="109"/>
  <c r="I1898" i="109"/>
  <c r="K1897" i="109"/>
  <c r="J1897" i="109"/>
  <c r="I1897" i="109"/>
  <c r="K1896" i="109"/>
  <c r="J1896" i="109"/>
  <c r="I1896" i="109"/>
  <c r="K1895" i="109"/>
  <c r="J1895" i="109"/>
  <c r="I1895" i="109"/>
  <c r="K1894" i="109"/>
  <c r="J1894" i="109"/>
  <c r="I1894" i="109"/>
  <c r="K1893" i="109"/>
  <c r="J1893" i="109"/>
  <c r="I1893" i="109"/>
  <c r="K1892" i="109"/>
  <c r="J1892" i="109"/>
  <c r="I1892" i="109"/>
  <c r="K1891" i="109"/>
  <c r="J1891" i="109"/>
  <c r="I1891" i="109"/>
  <c r="K1890" i="109"/>
  <c r="J1890" i="109"/>
  <c r="I1890" i="109"/>
  <c r="K1889" i="109"/>
  <c r="J1889" i="109"/>
  <c r="I1889" i="109"/>
  <c r="K1888" i="109"/>
  <c r="J1888" i="109"/>
  <c r="I1888" i="109"/>
  <c r="K1887" i="109"/>
  <c r="J1887" i="109"/>
  <c r="I1887" i="109"/>
  <c r="K1886" i="109"/>
  <c r="J1886" i="109"/>
  <c r="I1886" i="109"/>
  <c r="K1885" i="109"/>
  <c r="J1885" i="109"/>
  <c r="I1885" i="109"/>
  <c r="K1884" i="109"/>
  <c r="J1884" i="109"/>
  <c r="K1883" i="109"/>
  <c r="J1883" i="109"/>
  <c r="I1883" i="109"/>
  <c r="K1882" i="109"/>
  <c r="J1882" i="109"/>
  <c r="I1882" i="109"/>
  <c r="K1881" i="109"/>
  <c r="J1881" i="109"/>
  <c r="I1881" i="109"/>
  <c r="K1880" i="109"/>
  <c r="J1880" i="109"/>
  <c r="I1880" i="109"/>
  <c r="K1879" i="109"/>
  <c r="J1879" i="109"/>
  <c r="I1879" i="109"/>
  <c r="K1878" i="109"/>
  <c r="J1878" i="109"/>
  <c r="I1878" i="109"/>
  <c r="K1877" i="109"/>
  <c r="J1877" i="109"/>
  <c r="I1877" i="109"/>
  <c r="K1876" i="109"/>
  <c r="J1876" i="109"/>
  <c r="K1875" i="109"/>
  <c r="J1875" i="109"/>
  <c r="I1875" i="109"/>
  <c r="K1874" i="109"/>
  <c r="J1874" i="109"/>
  <c r="I1874" i="109"/>
  <c r="K1873" i="109"/>
  <c r="J1873" i="109"/>
  <c r="I1873" i="109"/>
  <c r="K1872" i="109"/>
  <c r="J1872" i="109"/>
  <c r="I1872" i="109"/>
  <c r="K1871" i="109"/>
  <c r="J1871" i="109"/>
  <c r="I1871" i="109"/>
  <c r="K1870" i="109"/>
  <c r="J1870" i="109"/>
  <c r="I1870" i="109"/>
  <c r="K1869" i="109"/>
  <c r="J1869" i="109"/>
  <c r="I1869" i="109"/>
  <c r="K1868" i="109"/>
  <c r="J1868" i="109"/>
  <c r="I1868" i="109"/>
  <c r="K1867" i="109"/>
  <c r="J1867" i="109"/>
  <c r="I1867" i="109"/>
  <c r="K1866" i="109"/>
  <c r="J1866" i="109"/>
  <c r="I1866" i="109"/>
  <c r="K1865" i="109"/>
  <c r="J1865" i="109"/>
  <c r="I1865" i="109"/>
  <c r="K1864" i="109"/>
  <c r="J1864" i="109"/>
  <c r="I1864" i="109"/>
  <c r="K1863" i="109"/>
  <c r="J1863" i="109"/>
  <c r="I1863" i="109"/>
  <c r="K1862" i="109"/>
  <c r="J1862" i="109"/>
  <c r="I1862" i="109"/>
  <c r="K1861" i="109"/>
  <c r="J1861" i="109"/>
  <c r="I1861" i="109"/>
  <c r="K1860" i="109"/>
  <c r="J1860" i="109"/>
  <c r="I1860" i="109"/>
  <c r="K1859" i="109"/>
  <c r="J1859" i="109"/>
  <c r="I1859" i="109"/>
  <c r="K1858" i="109"/>
  <c r="J1858" i="109"/>
  <c r="I1858" i="109"/>
  <c r="K1857" i="109"/>
  <c r="J1857" i="109"/>
  <c r="I1857" i="109"/>
  <c r="K1856" i="109"/>
  <c r="J1856" i="109"/>
  <c r="I1856" i="109"/>
  <c r="K1855" i="109"/>
  <c r="J1855" i="109"/>
  <c r="I1855" i="109"/>
  <c r="K1854" i="109"/>
  <c r="J1854" i="109"/>
  <c r="I1854" i="109"/>
  <c r="K1853" i="109"/>
  <c r="J1853" i="109"/>
  <c r="I1853" i="109"/>
  <c r="K1852" i="109"/>
  <c r="J1852" i="109"/>
  <c r="K1851" i="109"/>
  <c r="J1851" i="109"/>
  <c r="I1851" i="109"/>
  <c r="K1850" i="109"/>
  <c r="J1850" i="109"/>
  <c r="I1850" i="109"/>
  <c r="K1849" i="109"/>
  <c r="J1849" i="109"/>
  <c r="K1848" i="109"/>
  <c r="J1848" i="109"/>
  <c r="I1848" i="109"/>
  <c r="K1847" i="109"/>
  <c r="J1847" i="109"/>
  <c r="I1847" i="109"/>
  <c r="K1846" i="109"/>
  <c r="J1846" i="109"/>
  <c r="I1846" i="109"/>
  <c r="K1845" i="109"/>
  <c r="J1845" i="109"/>
  <c r="I1845" i="109"/>
  <c r="K1844" i="109"/>
  <c r="J1844" i="109"/>
  <c r="I1844" i="109"/>
  <c r="K1843" i="109"/>
  <c r="J1843" i="109"/>
  <c r="I1843" i="109"/>
  <c r="K1842" i="109"/>
  <c r="J1842" i="109"/>
  <c r="I1842" i="109"/>
  <c r="K1841" i="109"/>
  <c r="J1841" i="109"/>
  <c r="K1840" i="109"/>
  <c r="J1840" i="109"/>
  <c r="I1840" i="109"/>
  <c r="K1839" i="109"/>
  <c r="J1839" i="109"/>
  <c r="I1839" i="109"/>
  <c r="K1838" i="109"/>
  <c r="J1838" i="109"/>
  <c r="I1838" i="109"/>
  <c r="K1837" i="109"/>
  <c r="J1837" i="109"/>
  <c r="I1837" i="109"/>
  <c r="K1836" i="109"/>
  <c r="J1836" i="109"/>
  <c r="I1836" i="109"/>
  <c r="K1835" i="109"/>
  <c r="J1835" i="109"/>
  <c r="I1835" i="109"/>
  <c r="K1834" i="109"/>
  <c r="J1834" i="109"/>
  <c r="I1834" i="109"/>
  <c r="K1833" i="109"/>
  <c r="J1833" i="109"/>
  <c r="I1833" i="109"/>
  <c r="K1832" i="109"/>
  <c r="J1832" i="109"/>
  <c r="K1831" i="109"/>
  <c r="J1831" i="109"/>
  <c r="I1831" i="109"/>
  <c r="K1830" i="109"/>
  <c r="J1830" i="109"/>
  <c r="K1829" i="109"/>
  <c r="J1829" i="109"/>
  <c r="K1828" i="109"/>
  <c r="J1828" i="109"/>
  <c r="I1828" i="109"/>
  <c r="K1827" i="109"/>
  <c r="J1827" i="109"/>
  <c r="K1826" i="109"/>
  <c r="J1826" i="109"/>
  <c r="I1826" i="109"/>
  <c r="K1825" i="109"/>
  <c r="J1825" i="109"/>
  <c r="I1825" i="109"/>
  <c r="K1824" i="109"/>
  <c r="J1824" i="109"/>
  <c r="I1824" i="109"/>
  <c r="K1823" i="109"/>
  <c r="J1823" i="109"/>
  <c r="I1823" i="109"/>
  <c r="K1822" i="109"/>
  <c r="J1822" i="109"/>
  <c r="K1821" i="109"/>
  <c r="J1821" i="109"/>
  <c r="I1821" i="109"/>
  <c r="K1820" i="109"/>
  <c r="J1820" i="109"/>
  <c r="I1820" i="109"/>
  <c r="K1819" i="109"/>
  <c r="J1819" i="109"/>
  <c r="I1819" i="109"/>
  <c r="K1818" i="109"/>
  <c r="J1818" i="109"/>
  <c r="I1818" i="109"/>
  <c r="K1817" i="109"/>
  <c r="J1817" i="109"/>
  <c r="I1817" i="109"/>
  <c r="K1816" i="109"/>
  <c r="J1816" i="109"/>
  <c r="I1816" i="109"/>
  <c r="K1815" i="109"/>
  <c r="J1815" i="109"/>
  <c r="I1815" i="109"/>
  <c r="K1814" i="109"/>
  <c r="J1814" i="109"/>
  <c r="I1814" i="109"/>
  <c r="K1813" i="109"/>
  <c r="J1813" i="109"/>
  <c r="I1813" i="109"/>
  <c r="K1812" i="109"/>
  <c r="J1812" i="109"/>
  <c r="I1812" i="109"/>
  <c r="K1811" i="109"/>
  <c r="J1811" i="109"/>
  <c r="I1811" i="109"/>
  <c r="K1810" i="109"/>
  <c r="J1810" i="109"/>
  <c r="K1809" i="109"/>
  <c r="J1809" i="109"/>
  <c r="I1809" i="109"/>
  <c r="K1808" i="109"/>
  <c r="J1808" i="109"/>
  <c r="I1808" i="109"/>
  <c r="K1807" i="109"/>
  <c r="J1807" i="109"/>
  <c r="I1807" i="109"/>
  <c r="K1806" i="109"/>
  <c r="J1806" i="109"/>
  <c r="I1806" i="109"/>
  <c r="K1805" i="109"/>
  <c r="J1805" i="109"/>
  <c r="I1805" i="109"/>
  <c r="K1804" i="109"/>
  <c r="J1804" i="109"/>
  <c r="I1804" i="109"/>
  <c r="K1803" i="109"/>
  <c r="J1803" i="109"/>
  <c r="I1803" i="109"/>
  <c r="K1802" i="109"/>
  <c r="J1802" i="109"/>
  <c r="I1802" i="109"/>
  <c r="K1801" i="109"/>
  <c r="J1801" i="109"/>
  <c r="I1801" i="109"/>
  <c r="K1800" i="109"/>
  <c r="J1800" i="109"/>
  <c r="I1800" i="109"/>
  <c r="K1799" i="109"/>
  <c r="J1799" i="109"/>
  <c r="I1799" i="109"/>
  <c r="K1798" i="109"/>
  <c r="J1798" i="109"/>
  <c r="I1798" i="109"/>
  <c r="K1797" i="109"/>
  <c r="J1797" i="109"/>
  <c r="I1797" i="109"/>
  <c r="K1796" i="109"/>
  <c r="J1796" i="109"/>
  <c r="I1796" i="109"/>
  <c r="K1795" i="109"/>
  <c r="J1795" i="109"/>
  <c r="I1795" i="109"/>
  <c r="K1794" i="109"/>
  <c r="J1794" i="109"/>
  <c r="I1794" i="109"/>
  <c r="K1793" i="109"/>
  <c r="J1793" i="109"/>
  <c r="I1793" i="109"/>
  <c r="K1792" i="109"/>
  <c r="J1792" i="109"/>
  <c r="I1792" i="109"/>
  <c r="K1791" i="109"/>
  <c r="J1791" i="109"/>
  <c r="K1790" i="109"/>
  <c r="J1790" i="109"/>
  <c r="I1790" i="109"/>
  <c r="K1789" i="109"/>
  <c r="J1789" i="109"/>
  <c r="I1789" i="109"/>
  <c r="K1788" i="109"/>
  <c r="J1788" i="109"/>
  <c r="I1788" i="109"/>
  <c r="K1787" i="109"/>
  <c r="J1787" i="109"/>
  <c r="I1787" i="109"/>
  <c r="K1786" i="109"/>
  <c r="J1786" i="109"/>
  <c r="I1786" i="109"/>
  <c r="K1785" i="109"/>
  <c r="J1785" i="109"/>
  <c r="I1785" i="109"/>
  <c r="K1784" i="109"/>
  <c r="J1784" i="109"/>
  <c r="I1784" i="109"/>
  <c r="K1783" i="109"/>
  <c r="J1783" i="109"/>
  <c r="I1783" i="109"/>
  <c r="K1782" i="109"/>
  <c r="J1782" i="109"/>
  <c r="I1782" i="109"/>
  <c r="K1781" i="109"/>
  <c r="J1781" i="109"/>
  <c r="I1781" i="109"/>
  <c r="K1780" i="109"/>
  <c r="J1780" i="109"/>
  <c r="I1780" i="109"/>
  <c r="K1779" i="109"/>
  <c r="J1779" i="109"/>
  <c r="I1779" i="109"/>
  <c r="K1778" i="109"/>
  <c r="J1778" i="109"/>
  <c r="K1777" i="109"/>
  <c r="J1777" i="109"/>
  <c r="I1777" i="109"/>
  <c r="K1776" i="109"/>
  <c r="J1776" i="109"/>
  <c r="I1776" i="109"/>
  <c r="K1775" i="109"/>
  <c r="J1775" i="109"/>
  <c r="I1775" i="109"/>
  <c r="K1774" i="109"/>
  <c r="J1774" i="109"/>
  <c r="I1774" i="109"/>
  <c r="K1773" i="109"/>
  <c r="J1773" i="109"/>
  <c r="I1773" i="109"/>
  <c r="K1772" i="109"/>
  <c r="J1772" i="109"/>
  <c r="I1772" i="109"/>
  <c r="K1771" i="109"/>
  <c r="J1771" i="109"/>
  <c r="I1771" i="109"/>
  <c r="K1770" i="109"/>
  <c r="J1770" i="109"/>
  <c r="I1770" i="109"/>
  <c r="K1769" i="109"/>
  <c r="J1769" i="109"/>
  <c r="I1769" i="109"/>
  <c r="K1768" i="109"/>
  <c r="J1768" i="109"/>
  <c r="I1768" i="109"/>
  <c r="K1767" i="109"/>
  <c r="J1767" i="109"/>
  <c r="K1766" i="109"/>
  <c r="J1766" i="109"/>
  <c r="I1766" i="109"/>
  <c r="K1765" i="109"/>
  <c r="J1765" i="109"/>
  <c r="I1765" i="109"/>
  <c r="K1764" i="109"/>
  <c r="J1764" i="109"/>
  <c r="I1764" i="109"/>
  <c r="K1763" i="109"/>
  <c r="J1763" i="109"/>
  <c r="I1763" i="109"/>
  <c r="K1762" i="109"/>
  <c r="J1762" i="109"/>
  <c r="I1762" i="109"/>
  <c r="K1761" i="109"/>
  <c r="J1761" i="109"/>
  <c r="I1761" i="109"/>
  <c r="K1760" i="109"/>
  <c r="J1760" i="109"/>
  <c r="I1760" i="109"/>
  <c r="K1759" i="109"/>
  <c r="J1759" i="109"/>
  <c r="I1759" i="109"/>
  <c r="K1758" i="109"/>
  <c r="J1758" i="109"/>
  <c r="I1758" i="109"/>
  <c r="K1757" i="109"/>
  <c r="J1757" i="109"/>
  <c r="I1757" i="109"/>
  <c r="K1756" i="109"/>
  <c r="J1756" i="109"/>
  <c r="I1756" i="109"/>
  <c r="K1755" i="109"/>
  <c r="J1755" i="109"/>
  <c r="I1755" i="109"/>
  <c r="K1754" i="109"/>
  <c r="J1754" i="109"/>
  <c r="I1754" i="109"/>
  <c r="K1753" i="109"/>
  <c r="J1753" i="109"/>
  <c r="I1753" i="109"/>
  <c r="K1752" i="109"/>
  <c r="J1752" i="109"/>
  <c r="I1752" i="109"/>
  <c r="K1751" i="109"/>
  <c r="J1751" i="109"/>
  <c r="I1751" i="109"/>
  <c r="K1750" i="109"/>
  <c r="J1750" i="109"/>
  <c r="I1750" i="109"/>
  <c r="K1749" i="109"/>
  <c r="J1749" i="109"/>
  <c r="I1749" i="109"/>
  <c r="K1748" i="109"/>
  <c r="J1748" i="109"/>
  <c r="I1748" i="109"/>
  <c r="K1747" i="109"/>
  <c r="J1747" i="109"/>
  <c r="I1747" i="109"/>
  <c r="K1746" i="109"/>
  <c r="J1746" i="109"/>
  <c r="I1746" i="109"/>
  <c r="K1745" i="109"/>
  <c r="J1745" i="109"/>
  <c r="I1745" i="109"/>
  <c r="K1744" i="109"/>
  <c r="J1744" i="109"/>
  <c r="I1744" i="109"/>
  <c r="K1743" i="109"/>
  <c r="J1743" i="109"/>
  <c r="I1743" i="109"/>
  <c r="K1742" i="109"/>
  <c r="J1742" i="109"/>
  <c r="I1742" i="109"/>
  <c r="K1741" i="109"/>
  <c r="J1741" i="109"/>
  <c r="I1741" i="109"/>
  <c r="K1740" i="109"/>
  <c r="J1740" i="109"/>
  <c r="I1740" i="109"/>
  <c r="K1739" i="109"/>
  <c r="J1739" i="109"/>
  <c r="I1739" i="109"/>
  <c r="K1738" i="109"/>
  <c r="J1738" i="109"/>
  <c r="K1737" i="109"/>
  <c r="J1737" i="109"/>
  <c r="I1737" i="109"/>
  <c r="K1736" i="109"/>
  <c r="J1736" i="109"/>
  <c r="I1736" i="109"/>
  <c r="K1735" i="109"/>
  <c r="J1735" i="109"/>
  <c r="I1735" i="109"/>
  <c r="K1734" i="109"/>
  <c r="J1734" i="109"/>
  <c r="I1734" i="109"/>
  <c r="K1733" i="109"/>
  <c r="J1733" i="109"/>
  <c r="I1733" i="109"/>
  <c r="K1732" i="109"/>
  <c r="J1732" i="109"/>
  <c r="I1732" i="109"/>
  <c r="K1731" i="109"/>
  <c r="J1731" i="109"/>
  <c r="I1731" i="109"/>
  <c r="K1730" i="109"/>
  <c r="J1730" i="109"/>
  <c r="I1730" i="109"/>
  <c r="K1729" i="109"/>
  <c r="J1729" i="109"/>
  <c r="I1729" i="109"/>
  <c r="K1728" i="109"/>
  <c r="J1728" i="109"/>
  <c r="I1728" i="109"/>
  <c r="K1727" i="109"/>
  <c r="J1727" i="109"/>
  <c r="I1727" i="109"/>
  <c r="K1726" i="109"/>
  <c r="J1726" i="109"/>
  <c r="I1726" i="109"/>
  <c r="K1725" i="109"/>
  <c r="J1725" i="109"/>
  <c r="I1725" i="109"/>
  <c r="K1724" i="109"/>
  <c r="J1724" i="109"/>
  <c r="I1724" i="109"/>
  <c r="K1723" i="109"/>
  <c r="J1723" i="109"/>
  <c r="I1723" i="109"/>
  <c r="K1722" i="109"/>
  <c r="J1722" i="109"/>
  <c r="I1722" i="109"/>
  <c r="K1721" i="109"/>
  <c r="J1721" i="109"/>
  <c r="I1721" i="109"/>
  <c r="K1720" i="109"/>
  <c r="J1720" i="109"/>
  <c r="I1720" i="109"/>
  <c r="K1719" i="109"/>
  <c r="J1719" i="109"/>
  <c r="I1719" i="109"/>
  <c r="K1718" i="109"/>
  <c r="J1718" i="109"/>
  <c r="I1718" i="109"/>
  <c r="K1717" i="109"/>
  <c r="J1717" i="109"/>
  <c r="K1716" i="109"/>
  <c r="J1716" i="109"/>
  <c r="I1716" i="109"/>
  <c r="K1715" i="109"/>
  <c r="J1715" i="109"/>
  <c r="I1715" i="109"/>
  <c r="K1714" i="109"/>
  <c r="J1714" i="109"/>
  <c r="I1714" i="109"/>
  <c r="K1713" i="109"/>
  <c r="J1713" i="109"/>
  <c r="I1713" i="109"/>
  <c r="K1712" i="109"/>
  <c r="J1712" i="109"/>
  <c r="I1712" i="109"/>
  <c r="K1711" i="109"/>
  <c r="J1711" i="109"/>
  <c r="I1711" i="109"/>
  <c r="K1710" i="109"/>
  <c r="J1710" i="109"/>
  <c r="I1710" i="109"/>
  <c r="K1709" i="109"/>
  <c r="J1709" i="109"/>
  <c r="K1708" i="109"/>
  <c r="J1708" i="109"/>
  <c r="I1708" i="109"/>
  <c r="K1707" i="109"/>
  <c r="J1707" i="109"/>
  <c r="K1706" i="109"/>
  <c r="J1706" i="109"/>
  <c r="I1706" i="109"/>
  <c r="K1705" i="109"/>
  <c r="J1705" i="109"/>
  <c r="I1705" i="109"/>
  <c r="K1704" i="109"/>
  <c r="J1704" i="109"/>
  <c r="K1703" i="109"/>
  <c r="J1703" i="109"/>
  <c r="I1703" i="109"/>
  <c r="K1702" i="109"/>
  <c r="J1702" i="109"/>
  <c r="I1702" i="109"/>
  <c r="K1701" i="109"/>
  <c r="J1701" i="109"/>
  <c r="I1701" i="109"/>
  <c r="K1700" i="109"/>
  <c r="J1700" i="109"/>
  <c r="I1700" i="109"/>
  <c r="K1699" i="109"/>
  <c r="J1699" i="109"/>
  <c r="I1699" i="109"/>
  <c r="K1698" i="109"/>
  <c r="J1698" i="109"/>
  <c r="I1698" i="109"/>
  <c r="K1697" i="109"/>
  <c r="J1697" i="109"/>
  <c r="I1697" i="109"/>
  <c r="K1696" i="109"/>
  <c r="J1696" i="109"/>
  <c r="I1696" i="109"/>
  <c r="K1695" i="109"/>
  <c r="J1695" i="109"/>
  <c r="I1695" i="109"/>
  <c r="K1694" i="109"/>
  <c r="J1694" i="109"/>
  <c r="I1694" i="109"/>
  <c r="K1693" i="109"/>
  <c r="J1693" i="109"/>
  <c r="I1693" i="109"/>
  <c r="K1692" i="109"/>
  <c r="J1692" i="109"/>
  <c r="I1692" i="109"/>
  <c r="K1691" i="109"/>
  <c r="J1691" i="109"/>
  <c r="I1691" i="109"/>
  <c r="K1690" i="109"/>
  <c r="J1690" i="109"/>
  <c r="I1690" i="109"/>
  <c r="K1689" i="109"/>
  <c r="J1689" i="109"/>
  <c r="K1688" i="109"/>
  <c r="J1688" i="109"/>
  <c r="I1688" i="109"/>
  <c r="K1687" i="109"/>
  <c r="J1687" i="109"/>
  <c r="I1687" i="109"/>
  <c r="K1686" i="109"/>
  <c r="J1686" i="109"/>
  <c r="I1686" i="109"/>
  <c r="K1685" i="109"/>
  <c r="J1685" i="109"/>
  <c r="I1685" i="109"/>
  <c r="K1684" i="109"/>
  <c r="J1684" i="109"/>
  <c r="I1684" i="109"/>
  <c r="K1683" i="109"/>
  <c r="J1683" i="109"/>
  <c r="I1683" i="109"/>
  <c r="K1682" i="109"/>
  <c r="J1682" i="109"/>
  <c r="I1682" i="109"/>
  <c r="K1681" i="109"/>
  <c r="J1681" i="109"/>
  <c r="I1681" i="109"/>
  <c r="K1680" i="109"/>
  <c r="J1680" i="109"/>
  <c r="I1680" i="109"/>
  <c r="K1679" i="109"/>
  <c r="J1679" i="109"/>
  <c r="I1679" i="109"/>
  <c r="K1678" i="109"/>
  <c r="J1678" i="109"/>
  <c r="I1678" i="109"/>
  <c r="K1677" i="109"/>
  <c r="J1677" i="109"/>
  <c r="I1677" i="109"/>
  <c r="K1676" i="109"/>
  <c r="J1676" i="109"/>
  <c r="I1676" i="109"/>
  <c r="K1675" i="109"/>
  <c r="J1675" i="109"/>
  <c r="I1675" i="109"/>
  <c r="K1674" i="109"/>
  <c r="J1674" i="109"/>
  <c r="I1674" i="109"/>
  <c r="K1673" i="109"/>
  <c r="J1673" i="109"/>
  <c r="I1673" i="109"/>
  <c r="K1672" i="109"/>
  <c r="J1672" i="109"/>
  <c r="I1672" i="109"/>
  <c r="K1671" i="109"/>
  <c r="J1671" i="109"/>
  <c r="I1671" i="109"/>
  <c r="K1670" i="109"/>
  <c r="J1670" i="109"/>
  <c r="I1670" i="109"/>
  <c r="K1669" i="109"/>
  <c r="J1669" i="109"/>
  <c r="I1669" i="109"/>
  <c r="K1668" i="109"/>
  <c r="J1668" i="109"/>
  <c r="I1668" i="109"/>
  <c r="K1667" i="109"/>
  <c r="J1667" i="109"/>
  <c r="I1667" i="109"/>
  <c r="K1666" i="109"/>
  <c r="J1666" i="109"/>
  <c r="I1666" i="109"/>
  <c r="K1665" i="109"/>
  <c r="J1665" i="109"/>
  <c r="I1665" i="109"/>
  <c r="K1664" i="109"/>
  <c r="J1664" i="109"/>
  <c r="I1664" i="109"/>
  <c r="K1663" i="109"/>
  <c r="J1663" i="109"/>
  <c r="I1663" i="109"/>
  <c r="K1662" i="109"/>
  <c r="J1662" i="109"/>
  <c r="I1662" i="109"/>
  <c r="K1661" i="109"/>
  <c r="J1661" i="109"/>
  <c r="I1661" i="109"/>
  <c r="K1660" i="109"/>
  <c r="J1660" i="109"/>
  <c r="I1660" i="109"/>
  <c r="K1659" i="109"/>
  <c r="J1659" i="109"/>
  <c r="I1659" i="109"/>
  <c r="K1658" i="109"/>
  <c r="J1658" i="109"/>
  <c r="I1658" i="109"/>
  <c r="K1657" i="109"/>
  <c r="J1657" i="109"/>
  <c r="I1657" i="109"/>
  <c r="K1656" i="109"/>
  <c r="J1656" i="109"/>
  <c r="I1656" i="109"/>
  <c r="K1655" i="109"/>
  <c r="J1655" i="109"/>
  <c r="I1655" i="109"/>
  <c r="K1654" i="109"/>
  <c r="J1654" i="109"/>
  <c r="I1654" i="109"/>
  <c r="K1653" i="109"/>
  <c r="J1653" i="109"/>
  <c r="I1653" i="109"/>
  <c r="K1652" i="109"/>
  <c r="J1652" i="109"/>
  <c r="I1652" i="109"/>
  <c r="K1651" i="109"/>
  <c r="J1651" i="109"/>
  <c r="I1651" i="109"/>
  <c r="K1650" i="109"/>
  <c r="J1650" i="109"/>
  <c r="I1650" i="109"/>
  <c r="K1649" i="109"/>
  <c r="J1649" i="109"/>
  <c r="I1649" i="109"/>
  <c r="K1648" i="109"/>
  <c r="J1648" i="109"/>
  <c r="I1648" i="109"/>
  <c r="K1647" i="109"/>
  <c r="J1647" i="109"/>
  <c r="I1647" i="109"/>
  <c r="K1646" i="109"/>
  <c r="J1646" i="109"/>
  <c r="I1646" i="109"/>
  <c r="K1645" i="109"/>
  <c r="J1645" i="109"/>
  <c r="K1644" i="109"/>
  <c r="J1644" i="109"/>
  <c r="I1644" i="109"/>
  <c r="K1643" i="109"/>
  <c r="J1643" i="109"/>
  <c r="I1643" i="109"/>
  <c r="K1642" i="109"/>
  <c r="J1642" i="109"/>
  <c r="I1642" i="109"/>
  <c r="K1641" i="109"/>
  <c r="J1641" i="109"/>
  <c r="I1641" i="109"/>
  <c r="K1640" i="109"/>
  <c r="J1640" i="109"/>
  <c r="I1640" i="109"/>
  <c r="K1639" i="109"/>
  <c r="J1639" i="109"/>
  <c r="I1639" i="109"/>
  <c r="K1638" i="109"/>
  <c r="J1638" i="109"/>
  <c r="K1637" i="109"/>
  <c r="J1637" i="109"/>
  <c r="I1637" i="109"/>
  <c r="K1636" i="109"/>
  <c r="J1636" i="109"/>
  <c r="I1636" i="109"/>
  <c r="K1635" i="109"/>
  <c r="J1635" i="109"/>
  <c r="I1635" i="109"/>
  <c r="K1634" i="109"/>
  <c r="J1634" i="109"/>
  <c r="I1634" i="109"/>
  <c r="K1633" i="109"/>
  <c r="J1633" i="109"/>
  <c r="I1633" i="109"/>
  <c r="K1632" i="109"/>
  <c r="J1632" i="109"/>
  <c r="I1632" i="109"/>
  <c r="K1631" i="109"/>
  <c r="J1631" i="109"/>
  <c r="I1631" i="109"/>
  <c r="K1630" i="109"/>
  <c r="J1630" i="109"/>
  <c r="I1630" i="109"/>
  <c r="K1629" i="109"/>
  <c r="J1629" i="109"/>
  <c r="I1629" i="109"/>
  <c r="K1628" i="109"/>
  <c r="J1628" i="109"/>
  <c r="I1628" i="109"/>
  <c r="K1627" i="109"/>
  <c r="J1627" i="109"/>
  <c r="I1627" i="109"/>
  <c r="K1626" i="109"/>
  <c r="J1626" i="109"/>
  <c r="I1626" i="109"/>
  <c r="K1625" i="109"/>
  <c r="J1625" i="109"/>
  <c r="I1625" i="109"/>
  <c r="K1624" i="109"/>
  <c r="J1624" i="109"/>
  <c r="K1623" i="109"/>
  <c r="J1623" i="109"/>
  <c r="I1623" i="109"/>
  <c r="K1622" i="109"/>
  <c r="J1622" i="109"/>
  <c r="I1622" i="109"/>
  <c r="K1621" i="109"/>
  <c r="J1621" i="109"/>
  <c r="I1621" i="109"/>
  <c r="K1620" i="109"/>
  <c r="J1620" i="109"/>
  <c r="K1619" i="109"/>
  <c r="J1619" i="109"/>
  <c r="I1619" i="109"/>
  <c r="K1618" i="109"/>
  <c r="J1618" i="109"/>
  <c r="I1618" i="109"/>
  <c r="K1617" i="109"/>
  <c r="J1617" i="109"/>
  <c r="I1617" i="109"/>
  <c r="K1616" i="109"/>
  <c r="J1616" i="109"/>
  <c r="I1616" i="109"/>
  <c r="K1615" i="109"/>
  <c r="J1615" i="109"/>
  <c r="I1615" i="109"/>
  <c r="K1614" i="109"/>
  <c r="J1614" i="109"/>
  <c r="I1614" i="109"/>
  <c r="K1613" i="109"/>
  <c r="J1613" i="109"/>
  <c r="I1613" i="109"/>
  <c r="K1612" i="109"/>
  <c r="J1612" i="109"/>
  <c r="K1611" i="109"/>
  <c r="J1611" i="109"/>
  <c r="I1611" i="109"/>
  <c r="K1610" i="109"/>
  <c r="J1610" i="109"/>
  <c r="I1610" i="109"/>
  <c r="K1609" i="109"/>
  <c r="J1609" i="109"/>
  <c r="I1609" i="109"/>
  <c r="K1608" i="109"/>
  <c r="J1608" i="109"/>
  <c r="I1608" i="109"/>
  <c r="K1607" i="109"/>
  <c r="J1607" i="109"/>
  <c r="I1607" i="109"/>
  <c r="K1606" i="109"/>
  <c r="J1606" i="109"/>
  <c r="K1605" i="109"/>
  <c r="J1605" i="109"/>
  <c r="I1605" i="109"/>
  <c r="K1604" i="109"/>
  <c r="J1604" i="109"/>
  <c r="I1604" i="109"/>
  <c r="K1603" i="109"/>
  <c r="J1603" i="109"/>
  <c r="I1603" i="109"/>
  <c r="K1602" i="109"/>
  <c r="J1602" i="109"/>
  <c r="I1602" i="109"/>
  <c r="K1601" i="109"/>
  <c r="J1601" i="109"/>
  <c r="I1601" i="109"/>
  <c r="K1600" i="109"/>
  <c r="J1600" i="109"/>
  <c r="I1600" i="109"/>
  <c r="K1599" i="109"/>
  <c r="J1599" i="109"/>
  <c r="I1599" i="109"/>
  <c r="K1598" i="109"/>
  <c r="J1598" i="109"/>
  <c r="I1598" i="109"/>
  <c r="K1597" i="109"/>
  <c r="J1597" i="109"/>
  <c r="I1597" i="109"/>
  <c r="K1596" i="109"/>
  <c r="J1596" i="109"/>
  <c r="I1596" i="109"/>
  <c r="K1595" i="109"/>
  <c r="J1595" i="109"/>
  <c r="I1595" i="109"/>
  <c r="K1594" i="109"/>
  <c r="J1594" i="109"/>
  <c r="I1594" i="109"/>
  <c r="K1593" i="109"/>
  <c r="J1593" i="109"/>
  <c r="I1593" i="109"/>
  <c r="K1592" i="109"/>
  <c r="J1592" i="109"/>
  <c r="I1592" i="109"/>
  <c r="K1591" i="109"/>
  <c r="J1591" i="109"/>
  <c r="I1591" i="109"/>
  <c r="K1590" i="109"/>
  <c r="J1590" i="109"/>
  <c r="I1590" i="109"/>
  <c r="K1589" i="109"/>
  <c r="J1589" i="109"/>
  <c r="I1589" i="109"/>
  <c r="K1588" i="109"/>
  <c r="J1588" i="109"/>
  <c r="I1588" i="109"/>
  <c r="K1587" i="109"/>
  <c r="J1587" i="109"/>
  <c r="I1587" i="109"/>
  <c r="K1586" i="109"/>
  <c r="J1586" i="109"/>
  <c r="K1585" i="109"/>
  <c r="J1585" i="109"/>
  <c r="K1584" i="109"/>
  <c r="J1584" i="109"/>
  <c r="I1584" i="109"/>
  <c r="K1583" i="109"/>
  <c r="J1583" i="109"/>
  <c r="I1583" i="109"/>
  <c r="K1582" i="109"/>
  <c r="J1582" i="109"/>
  <c r="I1582" i="109"/>
  <c r="K1581" i="109"/>
  <c r="J1581" i="109"/>
  <c r="I1581" i="109"/>
  <c r="K1580" i="109"/>
  <c r="J1580" i="109"/>
  <c r="I1580" i="109"/>
  <c r="K1579" i="109"/>
  <c r="J1579" i="109"/>
  <c r="I1579" i="109"/>
  <c r="K1578" i="109"/>
  <c r="J1578" i="109"/>
  <c r="I1578" i="109"/>
  <c r="K1577" i="109"/>
  <c r="J1577" i="109"/>
  <c r="I1577" i="109"/>
  <c r="K1576" i="109"/>
  <c r="J1576" i="109"/>
  <c r="I1576" i="109"/>
  <c r="K1575" i="109"/>
  <c r="J1575" i="109"/>
  <c r="I1575" i="109"/>
  <c r="K1574" i="109"/>
  <c r="J1574" i="109"/>
  <c r="I1574" i="109"/>
  <c r="K1573" i="109"/>
  <c r="J1573" i="109"/>
  <c r="I1573" i="109"/>
  <c r="K1572" i="109"/>
  <c r="J1572" i="109"/>
  <c r="I1572" i="109"/>
  <c r="K1571" i="109"/>
  <c r="J1571" i="109"/>
  <c r="I1571" i="109"/>
  <c r="K1570" i="109"/>
  <c r="J1570" i="109"/>
  <c r="I1570" i="109"/>
  <c r="K1569" i="109"/>
  <c r="J1569" i="109"/>
  <c r="I1569" i="109"/>
  <c r="K1568" i="109"/>
  <c r="J1568" i="109"/>
  <c r="I1568" i="109"/>
  <c r="K1567" i="109"/>
  <c r="J1567" i="109"/>
  <c r="I1567" i="109"/>
  <c r="K1566" i="109"/>
  <c r="J1566" i="109"/>
  <c r="I1566" i="109"/>
  <c r="K1565" i="109"/>
  <c r="J1565" i="109"/>
  <c r="I1565" i="109"/>
  <c r="K1564" i="109"/>
  <c r="J1564" i="109"/>
  <c r="I1564" i="109"/>
  <c r="K1563" i="109"/>
  <c r="J1563" i="109"/>
  <c r="I1563" i="109"/>
  <c r="K1562" i="109"/>
  <c r="J1562" i="109"/>
  <c r="I1562" i="109"/>
  <c r="K1561" i="109"/>
  <c r="J1561" i="109"/>
  <c r="I1561" i="109"/>
  <c r="K1560" i="109"/>
  <c r="J1560" i="109"/>
  <c r="I1560" i="109"/>
  <c r="K1559" i="109"/>
  <c r="J1559" i="109"/>
  <c r="I1559" i="109"/>
  <c r="K1558" i="109"/>
  <c r="J1558" i="109"/>
  <c r="I1558" i="109"/>
  <c r="K1557" i="109"/>
  <c r="J1557" i="109"/>
  <c r="I1557" i="109"/>
  <c r="K1556" i="109"/>
  <c r="J1556" i="109"/>
  <c r="I1556" i="109"/>
  <c r="K1555" i="109"/>
  <c r="J1555" i="109"/>
  <c r="I1555" i="109"/>
  <c r="K1554" i="109"/>
  <c r="J1554" i="109"/>
  <c r="K1553" i="109"/>
  <c r="J1553" i="109"/>
  <c r="I1553" i="109"/>
  <c r="K1552" i="109"/>
  <c r="J1552" i="109"/>
  <c r="I1552" i="109"/>
  <c r="K1551" i="109"/>
  <c r="J1551" i="109"/>
  <c r="I1551" i="109"/>
  <c r="K1550" i="109"/>
  <c r="J1550" i="109"/>
  <c r="I1550" i="109"/>
  <c r="K1549" i="109"/>
  <c r="J1549" i="109"/>
  <c r="I1549" i="109"/>
  <c r="K1548" i="109"/>
  <c r="J1548" i="109"/>
  <c r="I1548" i="109"/>
  <c r="K1547" i="109"/>
  <c r="J1547" i="109"/>
  <c r="I1547" i="109"/>
  <c r="K1546" i="109"/>
  <c r="J1546" i="109"/>
  <c r="K1545" i="109"/>
  <c r="J1545" i="109"/>
  <c r="I1545" i="109"/>
  <c r="K1544" i="109"/>
  <c r="J1544" i="109"/>
  <c r="I1544" i="109"/>
  <c r="K1543" i="109"/>
  <c r="J1543" i="109"/>
  <c r="I1543" i="109"/>
  <c r="K1542" i="109"/>
  <c r="J1542" i="109"/>
  <c r="I1542" i="109"/>
  <c r="K1541" i="109"/>
  <c r="J1541" i="109"/>
  <c r="I1541" i="109"/>
  <c r="K1540" i="109"/>
  <c r="J1540" i="109"/>
  <c r="I1540" i="109"/>
  <c r="K1539" i="109"/>
  <c r="J1539" i="109"/>
  <c r="I1539" i="109"/>
  <c r="K1538" i="109"/>
  <c r="J1538" i="109"/>
  <c r="I1538" i="109"/>
  <c r="K1537" i="109"/>
  <c r="J1537" i="109"/>
  <c r="I1537" i="109"/>
  <c r="K1536" i="109"/>
  <c r="J1536" i="109"/>
  <c r="I1536" i="109"/>
  <c r="K1535" i="109"/>
  <c r="J1535" i="109"/>
  <c r="I1535" i="109"/>
  <c r="K1534" i="109"/>
  <c r="J1534" i="109"/>
  <c r="I1534" i="109"/>
  <c r="K1533" i="109"/>
  <c r="J1533" i="109"/>
  <c r="I1533" i="109"/>
  <c r="K1532" i="109"/>
  <c r="J1532" i="109"/>
  <c r="I1532" i="109"/>
  <c r="K1531" i="109"/>
  <c r="J1531" i="109"/>
  <c r="I1531" i="109"/>
  <c r="K1530" i="109"/>
  <c r="J1530" i="109"/>
  <c r="I1530" i="109"/>
  <c r="K1529" i="109"/>
  <c r="J1529" i="109"/>
  <c r="I1529" i="109"/>
  <c r="K1528" i="109"/>
  <c r="J1528" i="109"/>
  <c r="I1528" i="109"/>
  <c r="K1527" i="109"/>
  <c r="J1527" i="109"/>
  <c r="I1527" i="109"/>
  <c r="K1526" i="109"/>
  <c r="J1526" i="109"/>
  <c r="I1526" i="109"/>
  <c r="K1525" i="109"/>
  <c r="J1525" i="109"/>
  <c r="I1525" i="109"/>
  <c r="K1524" i="109"/>
  <c r="J1524" i="109"/>
  <c r="I1524" i="109"/>
  <c r="K1523" i="109"/>
  <c r="J1523" i="109"/>
  <c r="I1523" i="109"/>
  <c r="K1522" i="109"/>
  <c r="J1522" i="109"/>
  <c r="I1522" i="109"/>
  <c r="K1521" i="109"/>
  <c r="J1521" i="109"/>
  <c r="I1521" i="109"/>
  <c r="K1520" i="109"/>
  <c r="J1520" i="109"/>
  <c r="I1520" i="109"/>
  <c r="K1519" i="109"/>
  <c r="J1519" i="109"/>
  <c r="K1518" i="109"/>
  <c r="J1518" i="109"/>
  <c r="I1518" i="109"/>
  <c r="K1517" i="109"/>
  <c r="J1517" i="109"/>
  <c r="I1517" i="109"/>
  <c r="K1516" i="109"/>
  <c r="J1516" i="109"/>
  <c r="I1516" i="109"/>
  <c r="K1515" i="109"/>
  <c r="J1515" i="109"/>
  <c r="I1515" i="109"/>
  <c r="K1514" i="109"/>
  <c r="J1514" i="109"/>
  <c r="I1514" i="109"/>
  <c r="K1513" i="109"/>
  <c r="J1513" i="109"/>
  <c r="I1513" i="109"/>
  <c r="K1512" i="109"/>
  <c r="J1512" i="109"/>
  <c r="I1512" i="109"/>
  <c r="K1511" i="109"/>
  <c r="J1511" i="109"/>
  <c r="I1511" i="109"/>
  <c r="K1510" i="109"/>
  <c r="J1510" i="109"/>
  <c r="K1509" i="109"/>
  <c r="J1509" i="109"/>
  <c r="I1509" i="109"/>
  <c r="K1508" i="109"/>
  <c r="J1508" i="109"/>
  <c r="I1508" i="109"/>
  <c r="K1507" i="109"/>
  <c r="J1507" i="109"/>
  <c r="I1507" i="109"/>
  <c r="K1506" i="109"/>
  <c r="J1506" i="109"/>
  <c r="I1506" i="109"/>
  <c r="K1505" i="109"/>
  <c r="J1505" i="109"/>
  <c r="I1505" i="109"/>
  <c r="K1504" i="109"/>
  <c r="J1504" i="109"/>
  <c r="I1504" i="109"/>
  <c r="K1503" i="109"/>
  <c r="J1503" i="109"/>
  <c r="K1502" i="109"/>
  <c r="J1502" i="109"/>
  <c r="I1502" i="109"/>
  <c r="K1501" i="109"/>
  <c r="J1501" i="109"/>
  <c r="I1501" i="109"/>
  <c r="K1500" i="109"/>
  <c r="J1500" i="109"/>
  <c r="I1500" i="109"/>
  <c r="K1499" i="109"/>
  <c r="J1499" i="109"/>
  <c r="I1499" i="109"/>
  <c r="K1498" i="109"/>
  <c r="J1498" i="109"/>
  <c r="I1498" i="109"/>
  <c r="K1497" i="109"/>
  <c r="J1497" i="109"/>
  <c r="I1497" i="109"/>
  <c r="K1496" i="109"/>
  <c r="J1496" i="109"/>
  <c r="I1496" i="109"/>
  <c r="K1495" i="109"/>
  <c r="J1495" i="109"/>
  <c r="I1495" i="109"/>
  <c r="K1494" i="109"/>
  <c r="J1494" i="109"/>
  <c r="I1494" i="109"/>
  <c r="K1493" i="109"/>
  <c r="J1493" i="109"/>
  <c r="I1493" i="109"/>
  <c r="K1492" i="109"/>
  <c r="J1492" i="109"/>
  <c r="I1492" i="109"/>
  <c r="K1491" i="109"/>
  <c r="J1491" i="109"/>
  <c r="I1491" i="109"/>
  <c r="K1490" i="109"/>
  <c r="J1490" i="109"/>
  <c r="I1490" i="109"/>
  <c r="K1489" i="109"/>
  <c r="J1489" i="109"/>
  <c r="I1489" i="109"/>
  <c r="K1488" i="109"/>
  <c r="J1488" i="109"/>
  <c r="I1488" i="109"/>
  <c r="K1487" i="109"/>
  <c r="J1487" i="109"/>
  <c r="I1487" i="109"/>
  <c r="K1486" i="109"/>
  <c r="J1486" i="109"/>
  <c r="K1485" i="109"/>
  <c r="J1485" i="109"/>
  <c r="I1485" i="109"/>
  <c r="K1484" i="109"/>
  <c r="J1484" i="109"/>
  <c r="I1484" i="109"/>
  <c r="K1483" i="109"/>
  <c r="J1483" i="109"/>
  <c r="I1483" i="109"/>
  <c r="K1482" i="109"/>
  <c r="J1482" i="109"/>
  <c r="I1482" i="109"/>
  <c r="K1481" i="109"/>
  <c r="J1481" i="109"/>
  <c r="I1481" i="109"/>
  <c r="K1480" i="109"/>
  <c r="J1480" i="109"/>
  <c r="I1480" i="109"/>
  <c r="K1479" i="109"/>
  <c r="J1479" i="109"/>
  <c r="I1479" i="109"/>
  <c r="K1478" i="109"/>
  <c r="J1478" i="109"/>
  <c r="I1478" i="109"/>
  <c r="K1477" i="109"/>
  <c r="J1477" i="109"/>
  <c r="I1477" i="109"/>
  <c r="K1476" i="109"/>
  <c r="J1476" i="109"/>
  <c r="I1476" i="109"/>
  <c r="K1475" i="109"/>
  <c r="J1475" i="109"/>
  <c r="I1475" i="109"/>
  <c r="K1474" i="109"/>
  <c r="J1474" i="109"/>
  <c r="I1474" i="109"/>
  <c r="K1473" i="109"/>
  <c r="J1473" i="109"/>
  <c r="I1473" i="109"/>
  <c r="K1472" i="109"/>
  <c r="J1472" i="109"/>
  <c r="I1472" i="109"/>
  <c r="K1471" i="109"/>
  <c r="J1471" i="109"/>
  <c r="I1471" i="109"/>
  <c r="K1470" i="109"/>
  <c r="J1470" i="109"/>
  <c r="I1470" i="109"/>
  <c r="K1469" i="109"/>
  <c r="J1469" i="109"/>
  <c r="I1469" i="109"/>
  <c r="K1468" i="109"/>
  <c r="J1468" i="109"/>
  <c r="I1468" i="109"/>
  <c r="K1467" i="109"/>
  <c r="J1467" i="109"/>
  <c r="I1467" i="109"/>
  <c r="K1466" i="109"/>
  <c r="J1466" i="109"/>
  <c r="I1466" i="109"/>
  <c r="K1465" i="109"/>
  <c r="J1465" i="109"/>
  <c r="I1465" i="109"/>
  <c r="K1464" i="109"/>
  <c r="J1464" i="109"/>
  <c r="I1464" i="109"/>
  <c r="K1463" i="109"/>
  <c r="J1463" i="109"/>
  <c r="I1463" i="109"/>
  <c r="K1462" i="109"/>
  <c r="J1462" i="109"/>
  <c r="I1462" i="109"/>
  <c r="K1461" i="109"/>
  <c r="J1461" i="109"/>
  <c r="I1461" i="109"/>
  <c r="K1460" i="109"/>
  <c r="J1460" i="109"/>
  <c r="I1460" i="109"/>
  <c r="K1459" i="109"/>
  <c r="J1459" i="109"/>
  <c r="I1459" i="109"/>
  <c r="K1458" i="109"/>
  <c r="J1458" i="109"/>
  <c r="I1458" i="109"/>
  <c r="K1457" i="109"/>
  <c r="J1457" i="109"/>
  <c r="I1457" i="109"/>
  <c r="K1456" i="109"/>
  <c r="J1456" i="109"/>
  <c r="I1456" i="109"/>
  <c r="K1455" i="109"/>
  <c r="J1455" i="109"/>
  <c r="I1455" i="109"/>
  <c r="K1454" i="109"/>
  <c r="J1454" i="109"/>
  <c r="I1454" i="109"/>
  <c r="K1453" i="109"/>
  <c r="J1453" i="109"/>
  <c r="I1453" i="109"/>
  <c r="K1452" i="109"/>
  <c r="J1452" i="109"/>
  <c r="I1452" i="109"/>
  <c r="K1451" i="109"/>
  <c r="J1451" i="109"/>
  <c r="K1450" i="109"/>
  <c r="J1450" i="109"/>
  <c r="I1450" i="109"/>
  <c r="K1449" i="109"/>
  <c r="J1449" i="109"/>
  <c r="I1449" i="109"/>
  <c r="K1448" i="109"/>
  <c r="J1448" i="109"/>
  <c r="I1448" i="109"/>
  <c r="K1447" i="109"/>
  <c r="J1447" i="109"/>
  <c r="I1447" i="109"/>
  <c r="K1446" i="109"/>
  <c r="J1446" i="109"/>
  <c r="I1446" i="109"/>
  <c r="K1445" i="109"/>
  <c r="J1445" i="109"/>
  <c r="I1445" i="109"/>
  <c r="K1444" i="109"/>
  <c r="J1444" i="109"/>
  <c r="I1444" i="109"/>
  <c r="K1443" i="109"/>
  <c r="J1443" i="109"/>
  <c r="K1442" i="109"/>
  <c r="J1442" i="109"/>
  <c r="I1442" i="109"/>
  <c r="K1441" i="109"/>
  <c r="J1441" i="109"/>
  <c r="I1441" i="109"/>
  <c r="K1440" i="109"/>
  <c r="J1440" i="109"/>
  <c r="I1440" i="109"/>
  <c r="K1439" i="109"/>
  <c r="J1439" i="109"/>
  <c r="I1439" i="109"/>
  <c r="K1438" i="109"/>
  <c r="J1438" i="109"/>
  <c r="I1438" i="109"/>
  <c r="K1437" i="109"/>
  <c r="J1437" i="109"/>
  <c r="I1437" i="109"/>
  <c r="K1436" i="109"/>
  <c r="J1436" i="109"/>
  <c r="I1436" i="109"/>
  <c r="K1435" i="109"/>
  <c r="J1435" i="109"/>
  <c r="I1435" i="109"/>
  <c r="K1434" i="109"/>
  <c r="J1434" i="109"/>
  <c r="I1434" i="109"/>
  <c r="K1433" i="109"/>
  <c r="J1433" i="109"/>
  <c r="I1433" i="109"/>
  <c r="K1432" i="109"/>
  <c r="J1432" i="109"/>
  <c r="I1432" i="109"/>
  <c r="K1431" i="109"/>
  <c r="J1431" i="109"/>
  <c r="I1431" i="109"/>
  <c r="K1430" i="109"/>
  <c r="J1430" i="109"/>
  <c r="I1430" i="109"/>
  <c r="K1429" i="109"/>
  <c r="J1429" i="109"/>
  <c r="I1429" i="109"/>
  <c r="K1428" i="109"/>
  <c r="J1428" i="109"/>
  <c r="K1427" i="109"/>
  <c r="J1427" i="109"/>
  <c r="I1427" i="109"/>
  <c r="K1426" i="109"/>
  <c r="J1426" i="109"/>
  <c r="I1426" i="109"/>
  <c r="K1425" i="109"/>
  <c r="J1425" i="109"/>
  <c r="I1425" i="109"/>
  <c r="K1424" i="109"/>
  <c r="J1424" i="109"/>
  <c r="I1424" i="109"/>
  <c r="K1423" i="109"/>
  <c r="J1423" i="109"/>
  <c r="I1423" i="109"/>
  <c r="K1422" i="109"/>
  <c r="J1422" i="109"/>
  <c r="I1422" i="109"/>
  <c r="K1421" i="109"/>
  <c r="J1421" i="109"/>
  <c r="I1421" i="109"/>
  <c r="K1420" i="109"/>
  <c r="J1420" i="109"/>
  <c r="K1419" i="109"/>
  <c r="J1419" i="109"/>
  <c r="I1419" i="109"/>
  <c r="K1418" i="109"/>
  <c r="J1418" i="109"/>
  <c r="I1418" i="109"/>
  <c r="K1417" i="109"/>
  <c r="J1417" i="109"/>
  <c r="I1417" i="109"/>
  <c r="K1416" i="109"/>
  <c r="J1416" i="109"/>
  <c r="I1416" i="109"/>
  <c r="K1415" i="109"/>
  <c r="J1415" i="109"/>
  <c r="I1415" i="109"/>
  <c r="K1414" i="109"/>
  <c r="J1414" i="109"/>
  <c r="I1414" i="109"/>
  <c r="K1413" i="109"/>
  <c r="J1413" i="109"/>
  <c r="I1413" i="109"/>
  <c r="K1412" i="109"/>
  <c r="J1412" i="109"/>
  <c r="I1412" i="109"/>
  <c r="K1411" i="109"/>
  <c r="J1411" i="109"/>
  <c r="I1411" i="109"/>
  <c r="K1410" i="109"/>
  <c r="J1410" i="109"/>
  <c r="I1410" i="109"/>
  <c r="K1409" i="109"/>
  <c r="J1409" i="109"/>
  <c r="I1409" i="109"/>
  <c r="K1408" i="109"/>
  <c r="J1408" i="109"/>
  <c r="I1408" i="109"/>
  <c r="K1407" i="109"/>
  <c r="J1407" i="109"/>
  <c r="I1407" i="109"/>
  <c r="K1406" i="109"/>
  <c r="J1406" i="109"/>
  <c r="I1406" i="109"/>
  <c r="K1405" i="109"/>
  <c r="J1405" i="109"/>
  <c r="I1405" i="109"/>
  <c r="K1404" i="109"/>
  <c r="J1404" i="109"/>
  <c r="I1404" i="109"/>
  <c r="K1403" i="109"/>
  <c r="J1403" i="109"/>
  <c r="I1403" i="109"/>
  <c r="K1402" i="109"/>
  <c r="J1402" i="109"/>
  <c r="I1402" i="109"/>
  <c r="K1401" i="109"/>
  <c r="J1401" i="109"/>
  <c r="I1401" i="109"/>
  <c r="K1400" i="109"/>
  <c r="J1400" i="109"/>
  <c r="I1400" i="109"/>
  <c r="K1399" i="109"/>
  <c r="J1399" i="109"/>
  <c r="I1399" i="109"/>
  <c r="K1398" i="109"/>
  <c r="J1398" i="109"/>
  <c r="I1398" i="109"/>
  <c r="K1397" i="109"/>
  <c r="J1397" i="109"/>
  <c r="I1397" i="109"/>
  <c r="K1396" i="109"/>
  <c r="J1396" i="109"/>
  <c r="K1395" i="109"/>
  <c r="J1395" i="109"/>
  <c r="I1395" i="109"/>
  <c r="K1394" i="109"/>
  <c r="J1394" i="109"/>
  <c r="I1394" i="109"/>
  <c r="K1393" i="109"/>
  <c r="J1393" i="109"/>
  <c r="I1393" i="109"/>
  <c r="K1392" i="109"/>
  <c r="J1392" i="109"/>
  <c r="I1392" i="109"/>
  <c r="K1391" i="109"/>
  <c r="J1391" i="109"/>
  <c r="I1391" i="109"/>
  <c r="K1390" i="109"/>
  <c r="J1390" i="109"/>
  <c r="I1390" i="109"/>
  <c r="K1389" i="109"/>
  <c r="J1389" i="109"/>
  <c r="I1389" i="109"/>
  <c r="K1388" i="109"/>
  <c r="J1388" i="109"/>
  <c r="I1388" i="109"/>
  <c r="K1387" i="109"/>
  <c r="J1387" i="109"/>
  <c r="I1387" i="109"/>
  <c r="K1386" i="109"/>
  <c r="J1386" i="109"/>
  <c r="K1385" i="109"/>
  <c r="J1385" i="109"/>
  <c r="I1385" i="109"/>
  <c r="K1384" i="109"/>
  <c r="J1384" i="109"/>
  <c r="I1384" i="109"/>
  <c r="K1383" i="109"/>
  <c r="J1383" i="109"/>
  <c r="I1383" i="109"/>
  <c r="K1382" i="109"/>
  <c r="J1382" i="109"/>
  <c r="I1382" i="109"/>
  <c r="K1381" i="109"/>
  <c r="J1381" i="109"/>
  <c r="I1381" i="109"/>
  <c r="K1380" i="109"/>
  <c r="J1380" i="109"/>
  <c r="I1380" i="109"/>
  <c r="K1379" i="109"/>
  <c r="J1379" i="109"/>
  <c r="I1379" i="109"/>
  <c r="K1378" i="109"/>
  <c r="J1378" i="109"/>
  <c r="I1378" i="109"/>
  <c r="K1377" i="109"/>
  <c r="J1377" i="109"/>
  <c r="I1377" i="109"/>
  <c r="K1376" i="109"/>
  <c r="J1376" i="109"/>
  <c r="I1376" i="109"/>
  <c r="K1375" i="109"/>
  <c r="J1375" i="109"/>
  <c r="I1375" i="109"/>
  <c r="K1374" i="109"/>
  <c r="J1374" i="109"/>
  <c r="I1374" i="109"/>
  <c r="K1373" i="109"/>
  <c r="J1373" i="109"/>
  <c r="I1373" i="109"/>
  <c r="K1372" i="109"/>
  <c r="J1372" i="109"/>
  <c r="I1372" i="109"/>
  <c r="K1371" i="109"/>
  <c r="J1371" i="109"/>
  <c r="I1371" i="109"/>
  <c r="K1370" i="109"/>
  <c r="J1370" i="109"/>
  <c r="I1370" i="109"/>
  <c r="K1369" i="109"/>
  <c r="J1369" i="109"/>
  <c r="I1369" i="109"/>
  <c r="K1368" i="109"/>
  <c r="J1368" i="109"/>
  <c r="I1368" i="109"/>
  <c r="K1367" i="109"/>
  <c r="J1367" i="109"/>
  <c r="I1367" i="109"/>
  <c r="K1366" i="109"/>
  <c r="J1366" i="109"/>
  <c r="I1366" i="109"/>
  <c r="K1365" i="109"/>
  <c r="J1365" i="109"/>
  <c r="I1365" i="109"/>
  <c r="K1364" i="109"/>
  <c r="J1364" i="109"/>
  <c r="I1364" i="109"/>
  <c r="K1363" i="109"/>
  <c r="J1363" i="109"/>
  <c r="I1363" i="109"/>
  <c r="K1362" i="109"/>
  <c r="J1362" i="109"/>
  <c r="I1362" i="109"/>
  <c r="K1361" i="109"/>
  <c r="J1361" i="109"/>
  <c r="I1361" i="109"/>
  <c r="K1360" i="109"/>
  <c r="J1360" i="109"/>
  <c r="I1360" i="109"/>
  <c r="K1359" i="109"/>
  <c r="J1359" i="109"/>
  <c r="I1359" i="109"/>
  <c r="K1358" i="109"/>
  <c r="J1358" i="109"/>
  <c r="I1358" i="109"/>
  <c r="K1357" i="109"/>
  <c r="J1357" i="109"/>
  <c r="I1357" i="109"/>
  <c r="K1356" i="109"/>
  <c r="J1356" i="109"/>
  <c r="I1356" i="109"/>
  <c r="K1355" i="109"/>
  <c r="J1355" i="109"/>
  <c r="K1354" i="109"/>
  <c r="J1354" i="109"/>
  <c r="I1354" i="109"/>
  <c r="K1353" i="109"/>
  <c r="J1353" i="109"/>
  <c r="I1353" i="109"/>
  <c r="K1352" i="109"/>
  <c r="J1352" i="109"/>
  <c r="I1352" i="109"/>
  <c r="K1351" i="109"/>
  <c r="J1351" i="109"/>
  <c r="I1351" i="109"/>
  <c r="K1350" i="109"/>
  <c r="J1350" i="109"/>
  <c r="I1350" i="109"/>
  <c r="K1349" i="109"/>
  <c r="J1349" i="109"/>
  <c r="I1349" i="109"/>
  <c r="K1348" i="109"/>
  <c r="J1348" i="109"/>
  <c r="I1348" i="109"/>
  <c r="K1347" i="109"/>
  <c r="J1347" i="109"/>
  <c r="I1347" i="109"/>
  <c r="K1346" i="109"/>
  <c r="J1346" i="109"/>
  <c r="I1346" i="109"/>
  <c r="K1345" i="109"/>
  <c r="J1345" i="109"/>
  <c r="I1345" i="109"/>
  <c r="K1344" i="109"/>
  <c r="J1344" i="109"/>
  <c r="I1344" i="109"/>
  <c r="K1343" i="109"/>
  <c r="J1343" i="109"/>
  <c r="I1343" i="109"/>
  <c r="K1342" i="109"/>
  <c r="J1342" i="109"/>
  <c r="I1342" i="109"/>
  <c r="K1341" i="109"/>
  <c r="J1341" i="109"/>
  <c r="I1341" i="109"/>
  <c r="K1340" i="109"/>
  <c r="J1340" i="109"/>
  <c r="I1340" i="109"/>
  <c r="K1339" i="109"/>
  <c r="J1339" i="109"/>
  <c r="K1338" i="109"/>
  <c r="J1338" i="109"/>
  <c r="I1338" i="109"/>
  <c r="K1337" i="109"/>
  <c r="J1337" i="109"/>
  <c r="I1337" i="109"/>
  <c r="K1336" i="109"/>
  <c r="J1336" i="109"/>
  <c r="I1336" i="109"/>
  <c r="K1335" i="109"/>
  <c r="J1335" i="109"/>
  <c r="I1335" i="109"/>
  <c r="K1334" i="109"/>
  <c r="J1334" i="109"/>
  <c r="I1334" i="109"/>
  <c r="K1333" i="109"/>
  <c r="J1333" i="109"/>
  <c r="I1333" i="109"/>
  <c r="K1332" i="109"/>
  <c r="J1332" i="109"/>
  <c r="I1332" i="109"/>
  <c r="K1331" i="109"/>
  <c r="J1331" i="109"/>
  <c r="I1331" i="109"/>
  <c r="K1330" i="109"/>
  <c r="J1330" i="109"/>
  <c r="I1330" i="109"/>
  <c r="K1329" i="109"/>
  <c r="J1329" i="109"/>
  <c r="I1329" i="109"/>
  <c r="K1328" i="109"/>
  <c r="J1328" i="109"/>
  <c r="I1328" i="109"/>
  <c r="K1327" i="109"/>
  <c r="J1327" i="109"/>
  <c r="K1326" i="109"/>
  <c r="J1326" i="109"/>
  <c r="I1326" i="109"/>
  <c r="K1325" i="109"/>
  <c r="J1325" i="109"/>
  <c r="K1324" i="109"/>
  <c r="J1324" i="109"/>
  <c r="I1324" i="109"/>
  <c r="K1323" i="109"/>
  <c r="J1323" i="109"/>
  <c r="I1323" i="109"/>
  <c r="K1322" i="109"/>
  <c r="J1322" i="109"/>
  <c r="K1321" i="109"/>
  <c r="J1321" i="109"/>
  <c r="I1321" i="109"/>
  <c r="K1320" i="109"/>
  <c r="J1320" i="109"/>
  <c r="I1320" i="109"/>
  <c r="K1319" i="109"/>
  <c r="J1319" i="109"/>
  <c r="I1319" i="109"/>
  <c r="K1318" i="109"/>
  <c r="J1318" i="109"/>
  <c r="I1318" i="109"/>
  <c r="K1317" i="109"/>
  <c r="J1317" i="109"/>
  <c r="I1317" i="109"/>
  <c r="K1316" i="109"/>
  <c r="J1316" i="109"/>
  <c r="I1316" i="109"/>
  <c r="K1315" i="109"/>
  <c r="J1315" i="109"/>
  <c r="I1315" i="109"/>
  <c r="K1314" i="109"/>
  <c r="J1314" i="109"/>
  <c r="I1314" i="109"/>
  <c r="K1313" i="109"/>
  <c r="J1313" i="109"/>
  <c r="K1312" i="109"/>
  <c r="J1312" i="109"/>
  <c r="I1312" i="109"/>
  <c r="K1311" i="109"/>
  <c r="J1311" i="109"/>
  <c r="K1310" i="109"/>
  <c r="J1310" i="109"/>
  <c r="I1310" i="109"/>
  <c r="K1309" i="109"/>
  <c r="J1309" i="109"/>
  <c r="I1309" i="109"/>
  <c r="K1308" i="109"/>
  <c r="J1308" i="109"/>
  <c r="I1308" i="109"/>
  <c r="K1307" i="109"/>
  <c r="J1307" i="109"/>
  <c r="I1307" i="109"/>
  <c r="K1306" i="109"/>
  <c r="J1306" i="109"/>
  <c r="K1305" i="109"/>
  <c r="J1305" i="109"/>
  <c r="I1305" i="109"/>
  <c r="K1304" i="109"/>
  <c r="J1304" i="109"/>
  <c r="I1304" i="109"/>
  <c r="K1303" i="109"/>
  <c r="J1303" i="109"/>
  <c r="I1303" i="109"/>
  <c r="K1302" i="109"/>
  <c r="J1302" i="109"/>
  <c r="I1302" i="109"/>
  <c r="K1301" i="109"/>
  <c r="J1301" i="109"/>
  <c r="I1301" i="109"/>
  <c r="K1300" i="109"/>
  <c r="J1300" i="109"/>
  <c r="I1300" i="109"/>
  <c r="K1299" i="109"/>
  <c r="J1299" i="109"/>
  <c r="I1299" i="109"/>
  <c r="K1298" i="109"/>
  <c r="J1298" i="109"/>
  <c r="I1298" i="109"/>
  <c r="K1297" i="109"/>
  <c r="J1297" i="109"/>
  <c r="I1297" i="109"/>
  <c r="K1296" i="109"/>
  <c r="J1296" i="109"/>
  <c r="I1296" i="109"/>
  <c r="K1295" i="109"/>
  <c r="J1295" i="109"/>
  <c r="I1295" i="109"/>
  <c r="K1294" i="109"/>
  <c r="J1294" i="109"/>
  <c r="I1294" i="109"/>
  <c r="K1293" i="109"/>
  <c r="J1293" i="109"/>
  <c r="I1293" i="109"/>
  <c r="K1292" i="109"/>
  <c r="J1292" i="109"/>
  <c r="I1292" i="109"/>
  <c r="K1291" i="109"/>
  <c r="J1291" i="109"/>
  <c r="I1291" i="109"/>
  <c r="K1290" i="109"/>
  <c r="J1290" i="109"/>
  <c r="I1290" i="109"/>
  <c r="K1289" i="109"/>
  <c r="J1289" i="109"/>
  <c r="I1289" i="109"/>
  <c r="K1288" i="109"/>
  <c r="J1288" i="109"/>
  <c r="I1288" i="109"/>
  <c r="K1287" i="109"/>
  <c r="J1287" i="109"/>
  <c r="I1287" i="109"/>
  <c r="K1286" i="109"/>
  <c r="J1286" i="109"/>
  <c r="K1285" i="109"/>
  <c r="J1285" i="109"/>
  <c r="K1284" i="109"/>
  <c r="J1284" i="109"/>
  <c r="I1284" i="109"/>
  <c r="K1283" i="109"/>
  <c r="J1283" i="109"/>
  <c r="I1283" i="109"/>
  <c r="K1282" i="109"/>
  <c r="J1282" i="109"/>
  <c r="I1282" i="109"/>
  <c r="K1281" i="109"/>
  <c r="J1281" i="109"/>
  <c r="I1281" i="109"/>
  <c r="K1280" i="109"/>
  <c r="J1280" i="109"/>
  <c r="I1280" i="109"/>
  <c r="K1279" i="109"/>
  <c r="J1279" i="109"/>
  <c r="I1279" i="109"/>
  <c r="K1278" i="109"/>
  <c r="J1278" i="109"/>
  <c r="I1278" i="109"/>
  <c r="K1277" i="109"/>
  <c r="J1277" i="109"/>
  <c r="I1277" i="109"/>
  <c r="K1276" i="109"/>
  <c r="J1276" i="109"/>
  <c r="I1276" i="109"/>
  <c r="K1275" i="109"/>
  <c r="J1275" i="109"/>
  <c r="I1275" i="109"/>
  <c r="K1274" i="109"/>
  <c r="J1274" i="109"/>
  <c r="I1274" i="109"/>
  <c r="K1273" i="109"/>
  <c r="J1273" i="109"/>
  <c r="I1273" i="109"/>
  <c r="K1272" i="109"/>
  <c r="J1272" i="109"/>
  <c r="I1272" i="109"/>
  <c r="K1271" i="109"/>
  <c r="J1271" i="109"/>
  <c r="I1271" i="109"/>
  <c r="K1270" i="109"/>
  <c r="J1270" i="109"/>
  <c r="I1270" i="109"/>
  <c r="K1269" i="109"/>
  <c r="J1269" i="109"/>
  <c r="K1268" i="109"/>
  <c r="J1268" i="109"/>
  <c r="I1268" i="109"/>
  <c r="K1267" i="109"/>
  <c r="J1267" i="109"/>
  <c r="I1267" i="109"/>
  <c r="K1266" i="109"/>
  <c r="J1266" i="109"/>
  <c r="I1266" i="109"/>
  <c r="K1265" i="109"/>
  <c r="J1265" i="109"/>
  <c r="I1265" i="109"/>
  <c r="K1264" i="109"/>
  <c r="J1264" i="109"/>
  <c r="I1264" i="109"/>
  <c r="K1263" i="109"/>
  <c r="J1263" i="109"/>
  <c r="K1262" i="109"/>
  <c r="J1262" i="109"/>
  <c r="I1262" i="109"/>
  <c r="K1261" i="109"/>
  <c r="J1261" i="109"/>
  <c r="I1261" i="109"/>
  <c r="K1260" i="109"/>
  <c r="J1260" i="109"/>
  <c r="I1260" i="109"/>
  <c r="K1259" i="109"/>
  <c r="J1259" i="109"/>
  <c r="I1259" i="109"/>
  <c r="K1258" i="109"/>
  <c r="J1258" i="109"/>
  <c r="I1258" i="109"/>
  <c r="K1257" i="109"/>
  <c r="J1257" i="109"/>
  <c r="I1257" i="109"/>
  <c r="K1256" i="109"/>
  <c r="J1256" i="109"/>
  <c r="I1256" i="109"/>
  <c r="K1255" i="109"/>
  <c r="J1255" i="109"/>
  <c r="I1255" i="109"/>
  <c r="K1254" i="109"/>
  <c r="J1254" i="109"/>
  <c r="I1254" i="109"/>
  <c r="K1253" i="109"/>
  <c r="J1253" i="109"/>
  <c r="K1252" i="109"/>
  <c r="J1252" i="109"/>
  <c r="K1251" i="109"/>
  <c r="J1251" i="109"/>
  <c r="I1251" i="109"/>
  <c r="K1250" i="109"/>
  <c r="J1250" i="109"/>
  <c r="I1250" i="109"/>
  <c r="K1249" i="109"/>
  <c r="J1249" i="109"/>
  <c r="I1249" i="109"/>
  <c r="K1248" i="109"/>
  <c r="J1248" i="109"/>
  <c r="I1248" i="109"/>
  <c r="K1247" i="109"/>
  <c r="J1247" i="109"/>
  <c r="I1247" i="109"/>
  <c r="K1246" i="109"/>
  <c r="J1246" i="109"/>
  <c r="I1246" i="109"/>
  <c r="K1245" i="109"/>
  <c r="J1245" i="109"/>
  <c r="I1245" i="109"/>
  <c r="K1244" i="109"/>
  <c r="J1244" i="109"/>
  <c r="I1244" i="109"/>
  <c r="K1243" i="109"/>
  <c r="J1243" i="109"/>
  <c r="I1243" i="109"/>
  <c r="K1242" i="109"/>
  <c r="J1242" i="109"/>
  <c r="K1241" i="109"/>
  <c r="J1241" i="109"/>
  <c r="I1241" i="109"/>
  <c r="K1240" i="109"/>
  <c r="J1240" i="109"/>
  <c r="I1240" i="109"/>
  <c r="K1239" i="109"/>
  <c r="J1239" i="109"/>
  <c r="I1239" i="109"/>
  <c r="K1238" i="109"/>
  <c r="J1238" i="109"/>
  <c r="I1238" i="109"/>
  <c r="K1237" i="109"/>
  <c r="J1237" i="109"/>
  <c r="I1237" i="109"/>
  <c r="K1236" i="109"/>
  <c r="J1236" i="109"/>
  <c r="I1236" i="109"/>
  <c r="K1235" i="109"/>
  <c r="J1235" i="109"/>
  <c r="I1235" i="109"/>
  <c r="K1234" i="109"/>
  <c r="J1234" i="109"/>
  <c r="I1234" i="109"/>
  <c r="K1233" i="109"/>
  <c r="J1233" i="109"/>
  <c r="I1233" i="109"/>
  <c r="K1232" i="109"/>
  <c r="J1232" i="109"/>
  <c r="I1232" i="109"/>
  <c r="K1231" i="109"/>
  <c r="J1231" i="109"/>
  <c r="I1231" i="109"/>
  <c r="K1230" i="109"/>
  <c r="J1230" i="109"/>
  <c r="I1230" i="109"/>
  <c r="K1229" i="109"/>
  <c r="J1229" i="109"/>
  <c r="I1229" i="109"/>
  <c r="K1228" i="109"/>
  <c r="J1228" i="109"/>
  <c r="K1227" i="109"/>
  <c r="J1227" i="109"/>
  <c r="I1227" i="109"/>
  <c r="K1226" i="109"/>
  <c r="J1226" i="109"/>
  <c r="I1226" i="109"/>
  <c r="K1225" i="109"/>
  <c r="J1225" i="109"/>
  <c r="I1225" i="109"/>
  <c r="K1224" i="109"/>
  <c r="J1224" i="109"/>
  <c r="I1224" i="109"/>
  <c r="K1223" i="109"/>
  <c r="J1223" i="109"/>
  <c r="I1223" i="109"/>
  <c r="K1222" i="109"/>
  <c r="J1222" i="109"/>
  <c r="I1222" i="109"/>
  <c r="K1221" i="109"/>
  <c r="J1221" i="109"/>
  <c r="I1221" i="109"/>
  <c r="K1220" i="109"/>
  <c r="J1220" i="109"/>
  <c r="I1220" i="109"/>
  <c r="K1219" i="109"/>
  <c r="J1219" i="109"/>
  <c r="I1219" i="109"/>
  <c r="K1218" i="109"/>
  <c r="J1218" i="109"/>
  <c r="I1218" i="109"/>
  <c r="K1217" i="109"/>
  <c r="J1217" i="109"/>
  <c r="I1217" i="109"/>
  <c r="K1216" i="109"/>
  <c r="J1216" i="109"/>
  <c r="I1216" i="109"/>
  <c r="K1215" i="109"/>
  <c r="J1215" i="109"/>
  <c r="I1215" i="109"/>
  <c r="K1214" i="109"/>
  <c r="J1214" i="109"/>
  <c r="I1214" i="109"/>
  <c r="K1213" i="109"/>
  <c r="J1213" i="109"/>
  <c r="I1213" i="109"/>
  <c r="K1212" i="109"/>
  <c r="J1212" i="109"/>
  <c r="I1212" i="109"/>
  <c r="K1211" i="109"/>
  <c r="J1211" i="109"/>
  <c r="I1211" i="109"/>
  <c r="K1210" i="109"/>
  <c r="J1210" i="109"/>
  <c r="I1210" i="109"/>
  <c r="K1209" i="109"/>
  <c r="J1209" i="109"/>
  <c r="I1209" i="109"/>
  <c r="K1208" i="109"/>
  <c r="J1208" i="109"/>
  <c r="I1208" i="109"/>
  <c r="K1207" i="109"/>
  <c r="J1207" i="109"/>
  <c r="I1207" i="109"/>
  <c r="K1206" i="109"/>
  <c r="J1206" i="109"/>
  <c r="I1206" i="109"/>
  <c r="K1205" i="109"/>
  <c r="J1205" i="109"/>
  <c r="I1205" i="109"/>
  <c r="K1204" i="109"/>
  <c r="J1204" i="109"/>
  <c r="I1204" i="109"/>
  <c r="K1203" i="109"/>
  <c r="J1203" i="109"/>
  <c r="I1203" i="109"/>
  <c r="K1202" i="109"/>
  <c r="J1202" i="109"/>
  <c r="I1202" i="109"/>
  <c r="K1201" i="109"/>
  <c r="J1201" i="109"/>
  <c r="I1201" i="109"/>
  <c r="K1200" i="109"/>
  <c r="J1200" i="109"/>
  <c r="K1199" i="109"/>
  <c r="J1199" i="109"/>
  <c r="I1199" i="109"/>
  <c r="K1198" i="109"/>
  <c r="J1198" i="109"/>
  <c r="I1198" i="109"/>
  <c r="K1197" i="109"/>
  <c r="J1197" i="109"/>
  <c r="I1197" i="109"/>
  <c r="K1196" i="109"/>
  <c r="J1196" i="109"/>
  <c r="I1196" i="109"/>
  <c r="K1195" i="109"/>
  <c r="J1195" i="109"/>
  <c r="I1195" i="109"/>
  <c r="K1194" i="109"/>
  <c r="J1194" i="109"/>
  <c r="I1194" i="109"/>
  <c r="K1193" i="109"/>
  <c r="J1193" i="109"/>
  <c r="I1193" i="109"/>
  <c r="K1192" i="109"/>
  <c r="J1192" i="109"/>
  <c r="I1192" i="109"/>
  <c r="K1191" i="109"/>
  <c r="J1191" i="109"/>
  <c r="I1191" i="109"/>
  <c r="K1190" i="109"/>
  <c r="J1190" i="109"/>
  <c r="I1190" i="109"/>
  <c r="K1189" i="109"/>
  <c r="J1189" i="109"/>
  <c r="I1189" i="109"/>
  <c r="K1188" i="109"/>
  <c r="J1188" i="109"/>
  <c r="I1188" i="109"/>
  <c r="K1187" i="109"/>
  <c r="J1187" i="109"/>
  <c r="I1187" i="109"/>
  <c r="K1186" i="109"/>
  <c r="J1186" i="109"/>
  <c r="I1186" i="109"/>
  <c r="K1185" i="109"/>
  <c r="J1185" i="109"/>
  <c r="I1185" i="109"/>
  <c r="K1184" i="109"/>
  <c r="J1184" i="109"/>
  <c r="I1184" i="109"/>
  <c r="K1183" i="109"/>
  <c r="J1183" i="109"/>
  <c r="I1183" i="109"/>
  <c r="K1182" i="109"/>
  <c r="J1182" i="109"/>
  <c r="K1181" i="109"/>
  <c r="J1181" i="109"/>
  <c r="I1181" i="109"/>
  <c r="K1180" i="109"/>
  <c r="J1180" i="109"/>
  <c r="I1180" i="109"/>
  <c r="K1179" i="109"/>
  <c r="J1179" i="109"/>
  <c r="I1179" i="109"/>
  <c r="K1178" i="109"/>
  <c r="J1178" i="109"/>
  <c r="I1178" i="109"/>
  <c r="K1177" i="109"/>
  <c r="J1177" i="109"/>
  <c r="I1177" i="109"/>
  <c r="K1176" i="109"/>
  <c r="J1176" i="109"/>
  <c r="I1176" i="109"/>
  <c r="K1175" i="109"/>
  <c r="J1175" i="109"/>
  <c r="I1175" i="109"/>
  <c r="K1174" i="109"/>
  <c r="J1174" i="109"/>
  <c r="K1173" i="109"/>
  <c r="J1173" i="109"/>
  <c r="I1173" i="109"/>
  <c r="K1172" i="109"/>
  <c r="J1172" i="109"/>
  <c r="I1172" i="109"/>
  <c r="K1171" i="109"/>
  <c r="J1171" i="109"/>
  <c r="I1171" i="109"/>
  <c r="K1170" i="109"/>
  <c r="J1170" i="109"/>
  <c r="I1170" i="109"/>
  <c r="K1169" i="109"/>
  <c r="J1169" i="109"/>
  <c r="I1169" i="109"/>
  <c r="K1168" i="109"/>
  <c r="J1168" i="109"/>
  <c r="I1168" i="109"/>
  <c r="K1167" i="109"/>
  <c r="J1167" i="109"/>
  <c r="I1167" i="109"/>
  <c r="K1166" i="109"/>
  <c r="J1166" i="109"/>
  <c r="I1166" i="109"/>
  <c r="K1165" i="109"/>
  <c r="J1165" i="109"/>
  <c r="I1165" i="109"/>
  <c r="K1164" i="109"/>
  <c r="J1164" i="109"/>
  <c r="K1163" i="109"/>
  <c r="J1163" i="109"/>
  <c r="I1163" i="109"/>
  <c r="K1162" i="109"/>
  <c r="J1162" i="109"/>
  <c r="I1162" i="109"/>
  <c r="K1161" i="109"/>
  <c r="J1161" i="109"/>
  <c r="I1161" i="109"/>
  <c r="K1160" i="109"/>
  <c r="J1160" i="109"/>
  <c r="I1160" i="109"/>
  <c r="K1159" i="109"/>
  <c r="J1159" i="109"/>
  <c r="I1159" i="109"/>
  <c r="K1158" i="109"/>
  <c r="J1158" i="109"/>
  <c r="I1158" i="109"/>
  <c r="K1157" i="109"/>
  <c r="J1157" i="109"/>
  <c r="I1157" i="109"/>
  <c r="K1156" i="109"/>
  <c r="J1156" i="109"/>
  <c r="I1156" i="109"/>
  <c r="K1155" i="109"/>
  <c r="J1155" i="109"/>
  <c r="I1155" i="109"/>
  <c r="K1154" i="109"/>
  <c r="J1154" i="109"/>
  <c r="I1154" i="109"/>
  <c r="K1153" i="109"/>
  <c r="J1153" i="109"/>
  <c r="I1153" i="109"/>
  <c r="K1152" i="109"/>
  <c r="J1152" i="109"/>
  <c r="I1152" i="109"/>
  <c r="K1151" i="109"/>
  <c r="J1151" i="109"/>
  <c r="I1151" i="109"/>
  <c r="K1150" i="109"/>
  <c r="J1150" i="109"/>
  <c r="I1150" i="109"/>
  <c r="K1149" i="109"/>
  <c r="J1149" i="109"/>
  <c r="I1149" i="109"/>
  <c r="K1148" i="109"/>
  <c r="J1148" i="109"/>
  <c r="I1148" i="109"/>
  <c r="K1147" i="109"/>
  <c r="J1147" i="109"/>
  <c r="I1147" i="109"/>
  <c r="K1146" i="109"/>
  <c r="J1146" i="109"/>
  <c r="I1146" i="109"/>
  <c r="K1145" i="109"/>
  <c r="J1145" i="109"/>
  <c r="I1145" i="109"/>
  <c r="K1144" i="109"/>
  <c r="J1144" i="109"/>
  <c r="I1144" i="109"/>
  <c r="K1143" i="109"/>
  <c r="J1143" i="109"/>
  <c r="I1143" i="109"/>
  <c r="K1142" i="109"/>
  <c r="J1142" i="109"/>
  <c r="I1142" i="109"/>
  <c r="K1141" i="109"/>
  <c r="J1141" i="109"/>
  <c r="I1141" i="109"/>
  <c r="K1140" i="109"/>
  <c r="J1140" i="109"/>
  <c r="I1140" i="109"/>
  <c r="K1139" i="109"/>
  <c r="J1139" i="109"/>
  <c r="I1139" i="109"/>
  <c r="K1138" i="109"/>
  <c r="J1138" i="109"/>
  <c r="I1138" i="109"/>
  <c r="K1137" i="109"/>
  <c r="J1137" i="109"/>
  <c r="I1137" i="109"/>
  <c r="K1136" i="109"/>
  <c r="J1136" i="109"/>
  <c r="K1135" i="109"/>
  <c r="J1135" i="109"/>
  <c r="I1135" i="109"/>
  <c r="K1134" i="109"/>
  <c r="J1134" i="109"/>
  <c r="I1134" i="109"/>
  <c r="K1133" i="109"/>
  <c r="J1133" i="109"/>
  <c r="I1133" i="109"/>
  <c r="K1132" i="109"/>
  <c r="J1132" i="109"/>
  <c r="I1132" i="109"/>
  <c r="K1131" i="109"/>
  <c r="J1131" i="109"/>
  <c r="I1131" i="109"/>
  <c r="K1130" i="109"/>
  <c r="J1130" i="109"/>
  <c r="I1130" i="109"/>
  <c r="K1129" i="109"/>
  <c r="J1129" i="109"/>
  <c r="I1129" i="109"/>
  <c r="K1128" i="109"/>
  <c r="J1128" i="109"/>
  <c r="I1128" i="109"/>
  <c r="K1127" i="109"/>
  <c r="J1127" i="109"/>
  <c r="I1127" i="109"/>
  <c r="K1126" i="109"/>
  <c r="J1126" i="109"/>
  <c r="I1126" i="109"/>
  <c r="K1125" i="109"/>
  <c r="J1125" i="109"/>
  <c r="I1125" i="109"/>
  <c r="K1124" i="109"/>
  <c r="J1124" i="109"/>
  <c r="I1124" i="109"/>
  <c r="K1123" i="109"/>
  <c r="J1123" i="109"/>
  <c r="I1123" i="109"/>
  <c r="K1122" i="109"/>
  <c r="J1122" i="109"/>
  <c r="I1122" i="109"/>
  <c r="K1121" i="109"/>
  <c r="J1121" i="109"/>
  <c r="I1121" i="109"/>
  <c r="K1120" i="109"/>
  <c r="J1120" i="109"/>
  <c r="I1120" i="109"/>
  <c r="K1119" i="109"/>
  <c r="J1119" i="109"/>
  <c r="I1119" i="109"/>
  <c r="K1118" i="109"/>
  <c r="J1118" i="109"/>
  <c r="I1118" i="109"/>
  <c r="K1117" i="109"/>
  <c r="J1117" i="109"/>
  <c r="I1117" i="109"/>
  <c r="K1116" i="109"/>
  <c r="J1116" i="109"/>
  <c r="I1116" i="109"/>
  <c r="K1115" i="109"/>
  <c r="J1115" i="109"/>
  <c r="I1115" i="109"/>
  <c r="K1114" i="109"/>
  <c r="J1114" i="109"/>
  <c r="I1114" i="109"/>
  <c r="K1113" i="109"/>
  <c r="J1113" i="109"/>
  <c r="I1113" i="109"/>
  <c r="K1112" i="109"/>
  <c r="J1112" i="109"/>
  <c r="K1111" i="109"/>
  <c r="J1111" i="109"/>
  <c r="I1111" i="109"/>
  <c r="K1110" i="109"/>
  <c r="J1110" i="109"/>
  <c r="I1110" i="109"/>
  <c r="K1109" i="109"/>
  <c r="J1109" i="109"/>
  <c r="I1109" i="109"/>
  <c r="K1108" i="109"/>
  <c r="J1108" i="109"/>
  <c r="I1108" i="109"/>
  <c r="K1107" i="109"/>
  <c r="J1107" i="109"/>
  <c r="I1107" i="109"/>
  <c r="K1106" i="109"/>
  <c r="J1106" i="109"/>
  <c r="I1106" i="109"/>
  <c r="K1105" i="109"/>
  <c r="J1105" i="109"/>
  <c r="I1105" i="109"/>
  <c r="K1104" i="109"/>
  <c r="J1104" i="109"/>
  <c r="I1104" i="109"/>
  <c r="K1103" i="109"/>
  <c r="J1103" i="109"/>
  <c r="I1103" i="109"/>
  <c r="K1102" i="109"/>
  <c r="J1102" i="109"/>
  <c r="I1102" i="109"/>
  <c r="K1101" i="109"/>
  <c r="J1101" i="109"/>
  <c r="I1101" i="109"/>
  <c r="K1100" i="109"/>
  <c r="J1100" i="109"/>
  <c r="I1100" i="109"/>
  <c r="K1099" i="109"/>
  <c r="J1099" i="109"/>
  <c r="I1099" i="109"/>
  <c r="K1098" i="109"/>
  <c r="J1098" i="109"/>
  <c r="I1098" i="109"/>
  <c r="K1097" i="109"/>
  <c r="J1097" i="109"/>
  <c r="I1097" i="109"/>
  <c r="K1096" i="109"/>
  <c r="J1096" i="109"/>
  <c r="I1096" i="109"/>
  <c r="K1095" i="109"/>
  <c r="J1095" i="109"/>
  <c r="I1095" i="109"/>
  <c r="K1094" i="109"/>
  <c r="J1094" i="109"/>
  <c r="I1094" i="109"/>
  <c r="K1093" i="109"/>
  <c r="J1093" i="109"/>
  <c r="I1093" i="109"/>
  <c r="K1092" i="109"/>
  <c r="J1092" i="109"/>
  <c r="I1092" i="109"/>
  <c r="K1091" i="109"/>
  <c r="J1091" i="109"/>
  <c r="I1091" i="109"/>
  <c r="K1090" i="109"/>
  <c r="J1090" i="109"/>
  <c r="I1090" i="109"/>
  <c r="K1089" i="109"/>
  <c r="J1089" i="109"/>
  <c r="I1089" i="109"/>
  <c r="K1088" i="109"/>
  <c r="J1088" i="109"/>
  <c r="I1088" i="109"/>
  <c r="K1087" i="109"/>
  <c r="J1087" i="109"/>
  <c r="I1087" i="109"/>
  <c r="K1086" i="109"/>
  <c r="J1086" i="109"/>
  <c r="I1086" i="109"/>
  <c r="K1085" i="109"/>
  <c r="J1085" i="109"/>
  <c r="I1085" i="109"/>
  <c r="K1084" i="109"/>
  <c r="J1084" i="109"/>
  <c r="I1084" i="109"/>
  <c r="K1083" i="109"/>
  <c r="J1083" i="109"/>
  <c r="I1083" i="109"/>
  <c r="K1082" i="109"/>
  <c r="J1082" i="109"/>
  <c r="I1082" i="109"/>
  <c r="K1081" i="109"/>
  <c r="J1081" i="109"/>
  <c r="I1081" i="109"/>
  <c r="K1080" i="109"/>
  <c r="J1080" i="109"/>
  <c r="I1080" i="109"/>
  <c r="K1079" i="109"/>
  <c r="J1079" i="109"/>
  <c r="I1079" i="109"/>
  <c r="K1078" i="109"/>
  <c r="J1078" i="109"/>
  <c r="I1078" i="109"/>
  <c r="K1077" i="109"/>
  <c r="J1077" i="109"/>
  <c r="I1077" i="109"/>
  <c r="K1076" i="109"/>
  <c r="J1076" i="109"/>
  <c r="I1076" i="109"/>
  <c r="K1075" i="109"/>
  <c r="J1075" i="109"/>
  <c r="I1075" i="109"/>
  <c r="K1074" i="109"/>
  <c r="J1074" i="109"/>
  <c r="I1074" i="109"/>
  <c r="K1073" i="109"/>
  <c r="J1073" i="109"/>
  <c r="I1073" i="109"/>
  <c r="K1072" i="109"/>
  <c r="J1072" i="109"/>
  <c r="I1072" i="109"/>
  <c r="K1071" i="109"/>
  <c r="J1071" i="109"/>
  <c r="I1071" i="109"/>
  <c r="K1070" i="109"/>
  <c r="J1070" i="109"/>
  <c r="K1069" i="109"/>
  <c r="J1069" i="109"/>
  <c r="I1069" i="109"/>
  <c r="K1068" i="109"/>
  <c r="J1068" i="109"/>
  <c r="I1068" i="109"/>
  <c r="K1067" i="109"/>
  <c r="J1067" i="109"/>
  <c r="I1067" i="109"/>
  <c r="K1066" i="109"/>
  <c r="J1066" i="109"/>
  <c r="I1066" i="109"/>
  <c r="K1065" i="109"/>
  <c r="J1065" i="109"/>
  <c r="I1065" i="109"/>
  <c r="K1064" i="109"/>
  <c r="J1064" i="109"/>
  <c r="I1064" i="109"/>
  <c r="K1063" i="109"/>
  <c r="J1063" i="109"/>
  <c r="I1063" i="109"/>
  <c r="K1062" i="109"/>
  <c r="J1062" i="109"/>
  <c r="K1061" i="109"/>
  <c r="J1061" i="109"/>
  <c r="I1061" i="109"/>
  <c r="K1060" i="109"/>
  <c r="J1060" i="109"/>
  <c r="I1060" i="109"/>
  <c r="K1059" i="109"/>
  <c r="J1059" i="109"/>
  <c r="I1059" i="109"/>
  <c r="K1058" i="109"/>
  <c r="J1058" i="109"/>
  <c r="I1058" i="109"/>
  <c r="K1057" i="109"/>
  <c r="J1057" i="109"/>
  <c r="I1057" i="109"/>
  <c r="K1056" i="109"/>
  <c r="J1056" i="109"/>
  <c r="I1056" i="109"/>
  <c r="K1055" i="109"/>
  <c r="J1055" i="109"/>
  <c r="I1055" i="109"/>
  <c r="K1054" i="109"/>
  <c r="J1054" i="109"/>
  <c r="I1054" i="109"/>
  <c r="K1053" i="109"/>
  <c r="J1053" i="109"/>
  <c r="I1053" i="109"/>
  <c r="K1052" i="109"/>
  <c r="J1052" i="109"/>
  <c r="I1052" i="109"/>
  <c r="K1051" i="109"/>
  <c r="J1051" i="109"/>
  <c r="I1051" i="109"/>
  <c r="K1050" i="109"/>
  <c r="J1050" i="109"/>
  <c r="I1050" i="109"/>
  <c r="K1049" i="109"/>
  <c r="J1049" i="109"/>
  <c r="I1049" i="109"/>
  <c r="K1048" i="109"/>
  <c r="J1048" i="109"/>
  <c r="I1048" i="109"/>
  <c r="K1047" i="109"/>
  <c r="J1047" i="109"/>
  <c r="K1046" i="109"/>
  <c r="J1046" i="109"/>
  <c r="I1046" i="109"/>
  <c r="K1045" i="109"/>
  <c r="J1045" i="109"/>
  <c r="I1045" i="109"/>
  <c r="K1044" i="109"/>
  <c r="J1044" i="109"/>
  <c r="K1043" i="109"/>
  <c r="J1043" i="109"/>
  <c r="I1043" i="109"/>
  <c r="K1042" i="109"/>
  <c r="J1042" i="109"/>
  <c r="I1042" i="109"/>
  <c r="K1041" i="109"/>
  <c r="J1041" i="109"/>
  <c r="I1041" i="109"/>
  <c r="K1040" i="109"/>
  <c r="J1040" i="109"/>
  <c r="I1040" i="109"/>
  <c r="K1039" i="109"/>
  <c r="J1039" i="109"/>
  <c r="I1039" i="109"/>
  <c r="K1038" i="109"/>
  <c r="J1038" i="109"/>
  <c r="I1038" i="109"/>
  <c r="K1037" i="109"/>
  <c r="J1037" i="109"/>
  <c r="I1037" i="109"/>
  <c r="K1036" i="109"/>
  <c r="J1036" i="109"/>
  <c r="I1036" i="109"/>
  <c r="K1035" i="109"/>
  <c r="J1035" i="109"/>
  <c r="I1035" i="109"/>
  <c r="K1034" i="109"/>
  <c r="J1034" i="109"/>
  <c r="I1034" i="109"/>
  <c r="K1033" i="109"/>
  <c r="J1033" i="109"/>
  <c r="K1032" i="109"/>
  <c r="J1032" i="109"/>
  <c r="I1032" i="109"/>
  <c r="K1031" i="109"/>
  <c r="J1031" i="109"/>
  <c r="I1031" i="109"/>
  <c r="K1030" i="109"/>
  <c r="J1030" i="109"/>
  <c r="I1030" i="109"/>
  <c r="K1029" i="109"/>
  <c r="J1029" i="109"/>
  <c r="I1029" i="109"/>
  <c r="K1028" i="109"/>
  <c r="J1028" i="109"/>
  <c r="I1028" i="109"/>
  <c r="K1027" i="109"/>
  <c r="J1027" i="109"/>
  <c r="I1027" i="109"/>
  <c r="K1026" i="109"/>
  <c r="J1026" i="109"/>
  <c r="I1026" i="109"/>
  <c r="K1025" i="109"/>
  <c r="J1025" i="109"/>
  <c r="I1025" i="109"/>
  <c r="K1024" i="109"/>
  <c r="J1024" i="109"/>
  <c r="K1023" i="109"/>
  <c r="J1023" i="109"/>
  <c r="K1022" i="109"/>
  <c r="J1022" i="109"/>
  <c r="I1022" i="109"/>
  <c r="K1021" i="109"/>
  <c r="J1021" i="109"/>
  <c r="I1021" i="109"/>
  <c r="K1020" i="109"/>
  <c r="J1020" i="109"/>
  <c r="I1020" i="109"/>
  <c r="K1019" i="109"/>
  <c r="J1019" i="109"/>
  <c r="I1019" i="109"/>
  <c r="K1018" i="109"/>
  <c r="J1018" i="109"/>
  <c r="I1018" i="109"/>
  <c r="K1017" i="109"/>
  <c r="J1017" i="109"/>
  <c r="I1017" i="109"/>
  <c r="K1016" i="109"/>
  <c r="J1016" i="109"/>
  <c r="I1016" i="109"/>
  <c r="K1015" i="109"/>
  <c r="J1015" i="109"/>
  <c r="I1015" i="109"/>
  <c r="K1014" i="109"/>
  <c r="J1014" i="109"/>
  <c r="I1014" i="109"/>
  <c r="K1013" i="109"/>
  <c r="J1013" i="109"/>
  <c r="I1013" i="109"/>
  <c r="K1012" i="109"/>
  <c r="J1012" i="109"/>
  <c r="I1012" i="109"/>
  <c r="K1011" i="109"/>
  <c r="J1011" i="109"/>
  <c r="I1011" i="109"/>
  <c r="K1010" i="109"/>
  <c r="J1010" i="109"/>
  <c r="I1010" i="109"/>
  <c r="K1009" i="109"/>
  <c r="J1009" i="109"/>
  <c r="I1009" i="109"/>
  <c r="K1008" i="109"/>
  <c r="J1008" i="109"/>
  <c r="I1008" i="109"/>
  <c r="K1007" i="109"/>
  <c r="J1007" i="109"/>
  <c r="I1007" i="109"/>
  <c r="K1006" i="109"/>
  <c r="J1006" i="109"/>
  <c r="I1006" i="109"/>
  <c r="K1005" i="109"/>
  <c r="J1005" i="109"/>
  <c r="I1005" i="109"/>
  <c r="K1004" i="109"/>
  <c r="J1004" i="109"/>
  <c r="I1004" i="109"/>
  <c r="K1003" i="109"/>
  <c r="J1003" i="109"/>
  <c r="I1003" i="109"/>
  <c r="K1002" i="109"/>
  <c r="J1002" i="109"/>
  <c r="I1002" i="109"/>
  <c r="K1001" i="109"/>
  <c r="J1001" i="109"/>
  <c r="I1001" i="109"/>
  <c r="K1000" i="109"/>
  <c r="J1000" i="109"/>
  <c r="I1000" i="109"/>
  <c r="K999" i="109"/>
  <c r="J999" i="109"/>
  <c r="I999" i="109"/>
  <c r="K998" i="109"/>
  <c r="J998" i="109"/>
  <c r="I998" i="109"/>
  <c r="K997" i="109"/>
  <c r="J997" i="109"/>
  <c r="I997" i="109"/>
  <c r="K996" i="109"/>
  <c r="J996" i="109"/>
  <c r="I996" i="109"/>
  <c r="K995" i="109"/>
  <c r="J995" i="109"/>
  <c r="I995" i="109"/>
  <c r="K994" i="109"/>
  <c r="J994" i="109"/>
  <c r="I994" i="109"/>
  <c r="K993" i="109"/>
  <c r="J993" i="109"/>
  <c r="I993" i="109"/>
  <c r="K992" i="109"/>
  <c r="J992" i="109"/>
  <c r="K991" i="109"/>
  <c r="J991" i="109"/>
  <c r="I991" i="109"/>
  <c r="K990" i="109"/>
  <c r="J990" i="109"/>
  <c r="I990" i="109"/>
  <c r="K989" i="109"/>
  <c r="J989" i="109"/>
  <c r="I989" i="109"/>
  <c r="K988" i="109"/>
  <c r="J988" i="109"/>
  <c r="I988" i="109"/>
  <c r="K987" i="109"/>
  <c r="J987" i="109"/>
  <c r="I987" i="109"/>
  <c r="K986" i="109"/>
  <c r="J986" i="109"/>
  <c r="I986" i="109"/>
  <c r="K985" i="109"/>
  <c r="J985" i="109"/>
  <c r="I985" i="109"/>
  <c r="K984" i="109"/>
  <c r="J984" i="109"/>
  <c r="I984" i="109"/>
  <c r="K983" i="109"/>
  <c r="J983" i="109"/>
  <c r="I983" i="109"/>
  <c r="K982" i="109"/>
  <c r="J982" i="109"/>
  <c r="I982" i="109"/>
  <c r="K981" i="109"/>
  <c r="J981" i="109"/>
  <c r="I981" i="109"/>
  <c r="K980" i="109"/>
  <c r="J980" i="109"/>
  <c r="I980" i="109"/>
  <c r="K979" i="109"/>
  <c r="J979" i="109"/>
  <c r="I979" i="109"/>
  <c r="K978" i="109"/>
  <c r="J978" i="109"/>
  <c r="I978" i="109"/>
  <c r="K977" i="109"/>
  <c r="J977" i="109"/>
  <c r="K976" i="109"/>
  <c r="J976" i="109"/>
  <c r="I976" i="109"/>
  <c r="K975" i="109"/>
  <c r="J975" i="109"/>
  <c r="I975" i="109"/>
  <c r="K974" i="109"/>
  <c r="J974" i="109"/>
  <c r="I974" i="109"/>
  <c r="K973" i="109"/>
  <c r="J973" i="109"/>
  <c r="I973" i="109"/>
  <c r="K972" i="109"/>
  <c r="J972" i="109"/>
  <c r="K971" i="109"/>
  <c r="J971" i="109"/>
  <c r="I971" i="109"/>
  <c r="K970" i="109"/>
  <c r="J970" i="109"/>
  <c r="I970" i="109"/>
  <c r="K969" i="109"/>
  <c r="J969" i="109"/>
  <c r="I969" i="109"/>
  <c r="K968" i="109"/>
  <c r="J968" i="109"/>
  <c r="I968" i="109"/>
  <c r="K967" i="109"/>
  <c r="J967" i="109"/>
  <c r="I967" i="109"/>
  <c r="K966" i="109"/>
  <c r="J966" i="109"/>
  <c r="I966" i="109"/>
  <c r="K965" i="109"/>
  <c r="J965" i="109"/>
  <c r="I965" i="109"/>
  <c r="K964" i="109"/>
  <c r="J964" i="109"/>
  <c r="I964" i="109"/>
  <c r="K963" i="109"/>
  <c r="J963" i="109"/>
  <c r="I963" i="109"/>
  <c r="K962" i="109"/>
  <c r="J962" i="109"/>
  <c r="I962" i="109"/>
  <c r="K961" i="109"/>
  <c r="J961" i="109"/>
  <c r="I961" i="109"/>
  <c r="K960" i="109"/>
  <c r="J960" i="109"/>
  <c r="I960" i="109"/>
  <c r="K959" i="109"/>
  <c r="J959" i="109"/>
  <c r="I959" i="109"/>
  <c r="K958" i="109"/>
  <c r="J958" i="109"/>
  <c r="I958" i="109"/>
  <c r="K957" i="109"/>
  <c r="J957" i="109"/>
  <c r="I957" i="109"/>
  <c r="K956" i="109"/>
  <c r="J956" i="109"/>
  <c r="I956" i="109"/>
  <c r="K955" i="109"/>
  <c r="J955" i="109"/>
  <c r="I955" i="109"/>
  <c r="K954" i="109"/>
  <c r="J954" i="109"/>
  <c r="I954" i="109"/>
  <c r="K953" i="109"/>
  <c r="J953" i="109"/>
  <c r="I953" i="109"/>
  <c r="K952" i="109"/>
  <c r="J952" i="109"/>
  <c r="I952" i="109"/>
  <c r="K951" i="109"/>
  <c r="J951" i="109"/>
  <c r="I951" i="109"/>
  <c r="K950" i="109"/>
  <c r="J950" i="109"/>
  <c r="I950" i="109"/>
  <c r="K949" i="109"/>
  <c r="J949" i="109"/>
  <c r="K948" i="109"/>
  <c r="J948" i="109"/>
  <c r="I948" i="109"/>
  <c r="K947" i="109"/>
  <c r="J947" i="109"/>
  <c r="I947" i="109"/>
  <c r="K946" i="109"/>
  <c r="J946" i="109"/>
  <c r="I946" i="109"/>
  <c r="K945" i="109"/>
  <c r="J945" i="109"/>
  <c r="I945" i="109"/>
  <c r="K944" i="109"/>
  <c r="J944" i="109"/>
  <c r="I944" i="109"/>
  <c r="K943" i="109"/>
  <c r="J943" i="109"/>
  <c r="I943" i="109"/>
  <c r="K942" i="109"/>
  <c r="J942" i="109"/>
  <c r="I942" i="109"/>
  <c r="K941" i="109"/>
  <c r="J941" i="109"/>
  <c r="I941" i="109"/>
  <c r="K940" i="109"/>
  <c r="J940" i="109"/>
  <c r="I940" i="109"/>
  <c r="K939" i="109"/>
  <c r="J939" i="109"/>
  <c r="I939" i="109"/>
  <c r="K938" i="109"/>
  <c r="J938" i="109"/>
  <c r="I938" i="109"/>
  <c r="K937" i="109"/>
  <c r="J937" i="109"/>
  <c r="I937" i="109"/>
  <c r="K936" i="109"/>
  <c r="J936" i="109"/>
  <c r="I936" i="109"/>
  <c r="K935" i="109"/>
  <c r="J935" i="109"/>
  <c r="I935" i="109"/>
  <c r="K934" i="109"/>
  <c r="J934" i="109"/>
  <c r="I934" i="109"/>
  <c r="K933" i="109"/>
  <c r="J933" i="109"/>
  <c r="I933" i="109"/>
  <c r="K932" i="109"/>
  <c r="J932" i="109"/>
  <c r="I932" i="109"/>
  <c r="K931" i="109"/>
  <c r="J931" i="109"/>
  <c r="I931" i="109"/>
  <c r="K930" i="109"/>
  <c r="J930" i="109"/>
  <c r="I930" i="109"/>
  <c r="K929" i="109"/>
  <c r="J929" i="109"/>
  <c r="I929" i="109"/>
  <c r="K928" i="109"/>
  <c r="J928" i="109"/>
  <c r="I928" i="109"/>
  <c r="K927" i="109"/>
  <c r="J927" i="109"/>
  <c r="I927" i="109"/>
  <c r="K926" i="109"/>
  <c r="J926" i="109"/>
  <c r="I926" i="109"/>
  <c r="K925" i="109"/>
  <c r="J925" i="109"/>
  <c r="I925" i="109"/>
  <c r="K924" i="109"/>
  <c r="J924" i="109"/>
  <c r="I924" i="109"/>
  <c r="K923" i="109"/>
  <c r="J923" i="109"/>
  <c r="I923" i="109"/>
  <c r="K922" i="109"/>
  <c r="J922" i="109"/>
  <c r="K921" i="109"/>
  <c r="J921" i="109"/>
  <c r="I921" i="109"/>
  <c r="K920" i="109"/>
  <c r="J920" i="109"/>
  <c r="I920" i="109"/>
  <c r="K919" i="109"/>
  <c r="J919" i="109"/>
  <c r="I919" i="109"/>
  <c r="K918" i="109"/>
  <c r="J918" i="109"/>
  <c r="I918" i="109"/>
  <c r="K917" i="109"/>
  <c r="J917" i="109"/>
  <c r="I917" i="109"/>
  <c r="K916" i="109"/>
  <c r="J916" i="109"/>
  <c r="I916" i="109"/>
  <c r="K915" i="109"/>
  <c r="J915" i="109"/>
  <c r="I915" i="109"/>
  <c r="K914" i="109"/>
  <c r="J914" i="109"/>
  <c r="I914" i="109"/>
  <c r="K913" i="109"/>
  <c r="J913" i="109"/>
  <c r="I913" i="109"/>
  <c r="K912" i="109"/>
  <c r="J912" i="109"/>
  <c r="I912" i="109"/>
  <c r="K911" i="109"/>
  <c r="J911" i="109"/>
  <c r="I911" i="109"/>
  <c r="K910" i="109"/>
  <c r="J910" i="109"/>
  <c r="I910" i="109"/>
  <c r="K909" i="109"/>
  <c r="J909" i="109"/>
  <c r="I909" i="109"/>
  <c r="K908" i="109"/>
  <c r="J908" i="109"/>
  <c r="I908" i="109"/>
  <c r="K907" i="109"/>
  <c r="J907" i="109"/>
  <c r="I907" i="109"/>
  <c r="K906" i="109"/>
  <c r="J906" i="109"/>
  <c r="K905" i="109"/>
  <c r="J905" i="109"/>
  <c r="I905" i="109"/>
  <c r="K904" i="109"/>
  <c r="J904" i="109"/>
  <c r="I904" i="109"/>
  <c r="K903" i="109"/>
  <c r="J903" i="109"/>
  <c r="I903" i="109"/>
  <c r="K902" i="109"/>
  <c r="J902" i="109"/>
  <c r="I902" i="109"/>
  <c r="K901" i="109"/>
  <c r="J901" i="109"/>
  <c r="I901" i="109"/>
  <c r="K900" i="109"/>
  <c r="J900" i="109"/>
  <c r="I900" i="109"/>
  <c r="K899" i="109"/>
  <c r="J899" i="109"/>
  <c r="K898" i="109"/>
  <c r="J898" i="109"/>
  <c r="I898" i="109"/>
  <c r="K897" i="109"/>
  <c r="J897" i="109"/>
  <c r="I897" i="109"/>
  <c r="K896" i="109"/>
  <c r="J896" i="109"/>
  <c r="I896" i="109"/>
  <c r="K895" i="109"/>
  <c r="J895" i="109"/>
  <c r="I895" i="109"/>
  <c r="K894" i="109"/>
  <c r="J894" i="109"/>
  <c r="I894" i="109"/>
  <c r="K893" i="109"/>
  <c r="J893" i="109"/>
  <c r="I893" i="109"/>
  <c r="K892" i="109"/>
  <c r="J892" i="109"/>
  <c r="K891" i="109"/>
  <c r="J891" i="109"/>
  <c r="I891" i="109"/>
  <c r="K890" i="109"/>
  <c r="J890" i="109"/>
  <c r="I890" i="109"/>
  <c r="K889" i="109"/>
  <c r="J889" i="109"/>
  <c r="I889" i="109"/>
  <c r="K888" i="109"/>
  <c r="J888" i="109"/>
  <c r="I888" i="109"/>
  <c r="K887" i="109"/>
  <c r="J887" i="109"/>
  <c r="I887" i="109"/>
  <c r="K886" i="109"/>
  <c r="J886" i="109"/>
  <c r="I886" i="109"/>
  <c r="K885" i="109"/>
  <c r="J885" i="109"/>
  <c r="I885" i="109"/>
  <c r="K884" i="109"/>
  <c r="J884" i="109"/>
  <c r="I884" i="109"/>
  <c r="K883" i="109"/>
  <c r="J883" i="109"/>
  <c r="I883" i="109"/>
  <c r="K882" i="109"/>
  <c r="J882" i="109"/>
  <c r="I882" i="109"/>
  <c r="K881" i="109"/>
  <c r="J881" i="109"/>
  <c r="I881" i="109"/>
  <c r="K880" i="109"/>
  <c r="J880" i="109"/>
  <c r="I880" i="109"/>
  <c r="K879" i="109"/>
  <c r="J879" i="109"/>
  <c r="I879" i="109"/>
  <c r="K878" i="109"/>
  <c r="J878" i="109"/>
  <c r="I878" i="109"/>
  <c r="K877" i="109"/>
  <c r="J877" i="109"/>
  <c r="I877" i="109"/>
  <c r="K876" i="109"/>
  <c r="J876" i="109"/>
  <c r="I876" i="109"/>
  <c r="K875" i="109"/>
  <c r="J875" i="109"/>
  <c r="I875" i="109"/>
  <c r="K874" i="109"/>
  <c r="J874" i="109"/>
  <c r="I874" i="109"/>
  <c r="K873" i="109"/>
  <c r="J873" i="109"/>
  <c r="I873" i="109"/>
  <c r="K872" i="109"/>
  <c r="J872" i="109"/>
  <c r="I872" i="109"/>
  <c r="K871" i="109"/>
  <c r="J871" i="109"/>
  <c r="I871" i="109"/>
  <c r="K870" i="109"/>
  <c r="J870" i="109"/>
  <c r="I870" i="109"/>
  <c r="K869" i="109"/>
  <c r="J869" i="109"/>
  <c r="I869" i="109"/>
  <c r="K868" i="109"/>
  <c r="J868" i="109"/>
  <c r="K867" i="109"/>
  <c r="J867" i="109"/>
  <c r="I867" i="109"/>
  <c r="K866" i="109"/>
  <c r="J866" i="109"/>
  <c r="I866" i="109"/>
  <c r="K865" i="109"/>
  <c r="J865" i="109"/>
  <c r="I865" i="109"/>
  <c r="K864" i="109"/>
  <c r="J864" i="109"/>
  <c r="I864" i="109"/>
  <c r="K863" i="109"/>
  <c r="J863" i="109"/>
  <c r="I863" i="109"/>
  <c r="K862" i="109"/>
  <c r="J862" i="109"/>
  <c r="I862" i="109"/>
  <c r="K861" i="109"/>
  <c r="J861" i="109"/>
  <c r="I861" i="109"/>
  <c r="K860" i="109"/>
  <c r="J860" i="109"/>
  <c r="I860" i="109"/>
  <c r="K859" i="109"/>
  <c r="J859" i="109"/>
  <c r="I859" i="109"/>
  <c r="K858" i="109"/>
  <c r="J858" i="109"/>
  <c r="I858" i="109"/>
  <c r="K857" i="109"/>
  <c r="J857" i="109"/>
  <c r="I857" i="109"/>
  <c r="K856" i="109"/>
  <c r="J856" i="109"/>
  <c r="I856" i="109"/>
  <c r="K855" i="109"/>
  <c r="J855" i="109"/>
  <c r="I855" i="109"/>
  <c r="K854" i="109"/>
  <c r="J854" i="109"/>
  <c r="I854" i="109"/>
  <c r="K853" i="109"/>
  <c r="J853" i="109"/>
  <c r="I853" i="109"/>
  <c r="K852" i="109"/>
  <c r="J852" i="109"/>
  <c r="I852" i="109"/>
  <c r="K851" i="109"/>
  <c r="J851" i="109"/>
  <c r="I851" i="109"/>
  <c r="K850" i="109"/>
  <c r="J850" i="109"/>
  <c r="K849" i="109"/>
  <c r="J849" i="109"/>
  <c r="K848" i="109"/>
  <c r="J848" i="109"/>
  <c r="I848" i="109"/>
  <c r="K847" i="109"/>
  <c r="J847" i="109"/>
  <c r="I847" i="109"/>
  <c r="K846" i="109"/>
  <c r="J846" i="109"/>
  <c r="I846" i="109"/>
  <c r="K845" i="109"/>
  <c r="J845" i="109"/>
  <c r="I845" i="109"/>
  <c r="K844" i="109"/>
  <c r="J844" i="109"/>
  <c r="K843" i="109"/>
  <c r="J843" i="109"/>
  <c r="K842" i="109"/>
  <c r="J842" i="109"/>
  <c r="I842" i="109"/>
  <c r="K841" i="109"/>
  <c r="J841" i="109"/>
  <c r="I841" i="109"/>
  <c r="K840" i="109"/>
  <c r="J840" i="109"/>
  <c r="I840" i="109"/>
  <c r="K839" i="109"/>
  <c r="J839" i="109"/>
  <c r="I839" i="109"/>
  <c r="K838" i="109"/>
  <c r="J838" i="109"/>
  <c r="K837" i="109"/>
  <c r="J837" i="109"/>
  <c r="I837" i="109"/>
  <c r="K836" i="109"/>
  <c r="J836" i="109"/>
  <c r="I836" i="109"/>
  <c r="K835" i="109"/>
  <c r="J835" i="109"/>
  <c r="I835" i="109"/>
  <c r="K834" i="109"/>
  <c r="J834" i="109"/>
  <c r="I834" i="109"/>
  <c r="K833" i="109"/>
  <c r="J833" i="109"/>
  <c r="I833" i="109"/>
  <c r="K832" i="109"/>
  <c r="J832" i="109"/>
  <c r="I832" i="109"/>
  <c r="K831" i="109"/>
  <c r="J831" i="109"/>
  <c r="I831" i="109"/>
  <c r="K830" i="109"/>
  <c r="J830" i="109"/>
  <c r="I830" i="109"/>
  <c r="K829" i="109"/>
  <c r="J829" i="109"/>
  <c r="I829" i="109"/>
  <c r="K828" i="109"/>
  <c r="J828" i="109"/>
  <c r="K827" i="109"/>
  <c r="J827" i="109"/>
  <c r="I827" i="109"/>
  <c r="K826" i="109"/>
  <c r="J826" i="109"/>
  <c r="I826" i="109"/>
  <c r="K825" i="109"/>
  <c r="J825" i="109"/>
  <c r="I825" i="109"/>
  <c r="K824" i="109"/>
  <c r="J824" i="109"/>
  <c r="I824" i="109"/>
  <c r="K823" i="109"/>
  <c r="J823" i="109"/>
  <c r="I823" i="109"/>
  <c r="K822" i="109"/>
  <c r="J822" i="109"/>
  <c r="K821" i="109"/>
  <c r="J821" i="109"/>
  <c r="I821" i="109"/>
  <c r="K820" i="109"/>
  <c r="J820" i="109"/>
  <c r="I820" i="109"/>
  <c r="K819" i="109"/>
  <c r="J819" i="109"/>
  <c r="I819" i="109"/>
  <c r="K818" i="109"/>
  <c r="J818" i="109"/>
  <c r="I818" i="109"/>
  <c r="K817" i="109"/>
  <c r="J817" i="109"/>
  <c r="I817" i="109"/>
  <c r="K816" i="109"/>
  <c r="J816" i="109"/>
  <c r="I816" i="109"/>
  <c r="K815" i="109"/>
  <c r="J815" i="109"/>
  <c r="I815" i="109"/>
  <c r="K814" i="109"/>
  <c r="J814" i="109"/>
  <c r="K813" i="109"/>
  <c r="J813" i="109"/>
  <c r="I813" i="109"/>
  <c r="K812" i="109"/>
  <c r="J812" i="109"/>
  <c r="I812" i="109"/>
  <c r="K811" i="109"/>
  <c r="J811" i="109"/>
  <c r="I811" i="109"/>
  <c r="K810" i="109"/>
  <c r="J810" i="109"/>
  <c r="I810" i="109"/>
  <c r="K809" i="109"/>
  <c r="J809" i="109"/>
  <c r="I809" i="109"/>
  <c r="K808" i="109"/>
  <c r="J808" i="109"/>
  <c r="K807" i="109"/>
  <c r="J807" i="109"/>
  <c r="I807" i="109"/>
  <c r="K806" i="109"/>
  <c r="J806" i="109"/>
  <c r="I806" i="109"/>
  <c r="K805" i="109"/>
  <c r="J805" i="109"/>
  <c r="I805" i="109"/>
  <c r="K804" i="109"/>
  <c r="J804" i="109"/>
  <c r="I804" i="109"/>
  <c r="K803" i="109"/>
  <c r="J803" i="109"/>
  <c r="I803" i="109"/>
  <c r="K802" i="109"/>
  <c r="J802" i="109"/>
  <c r="I802" i="109"/>
  <c r="K801" i="109"/>
  <c r="J801" i="109"/>
  <c r="I801" i="109"/>
  <c r="K800" i="109"/>
  <c r="J800" i="109"/>
  <c r="I800" i="109"/>
  <c r="K799" i="109"/>
  <c r="J799" i="109"/>
  <c r="I799" i="109"/>
  <c r="K798" i="109"/>
  <c r="J798" i="109"/>
  <c r="I798" i="109"/>
  <c r="K797" i="109"/>
  <c r="J797" i="109"/>
  <c r="I797" i="109"/>
  <c r="K796" i="109"/>
  <c r="J796" i="109"/>
  <c r="I796" i="109"/>
  <c r="K795" i="109"/>
  <c r="J795" i="109"/>
  <c r="I795" i="109"/>
  <c r="K794" i="109"/>
  <c r="J794" i="109"/>
  <c r="I794" i="109"/>
  <c r="K793" i="109"/>
  <c r="J793" i="109"/>
  <c r="I793" i="109"/>
  <c r="K792" i="109"/>
  <c r="J792" i="109"/>
  <c r="I792" i="109"/>
  <c r="K791" i="109"/>
  <c r="J791" i="109"/>
  <c r="I791" i="109"/>
  <c r="K790" i="109"/>
  <c r="J790" i="109"/>
  <c r="I790" i="109"/>
  <c r="K789" i="109"/>
  <c r="J789" i="109"/>
  <c r="I789" i="109"/>
  <c r="K788" i="109"/>
  <c r="J788" i="109"/>
  <c r="I788" i="109"/>
  <c r="K787" i="109"/>
  <c r="J787" i="109"/>
  <c r="I787" i="109"/>
  <c r="K786" i="109"/>
  <c r="J786" i="109"/>
  <c r="I786" i="109"/>
  <c r="K785" i="109"/>
  <c r="J785" i="109"/>
  <c r="I785" i="109"/>
  <c r="K784" i="109"/>
  <c r="J784" i="109"/>
  <c r="I784" i="109"/>
  <c r="K783" i="109"/>
  <c r="J783" i="109"/>
  <c r="I783" i="109"/>
  <c r="K782" i="109"/>
  <c r="J782" i="109"/>
  <c r="I782" i="109"/>
  <c r="K781" i="109"/>
  <c r="J781" i="109"/>
  <c r="I781" i="109"/>
  <c r="K780" i="109"/>
  <c r="J780" i="109"/>
  <c r="I780" i="109"/>
  <c r="K779" i="109"/>
  <c r="J779" i="109"/>
  <c r="I779" i="109"/>
  <c r="K778" i="109"/>
  <c r="J778" i="109"/>
  <c r="I778" i="109"/>
  <c r="K777" i="109"/>
  <c r="J777" i="109"/>
  <c r="I777" i="109"/>
  <c r="K776" i="109"/>
  <c r="J776" i="109"/>
  <c r="I776" i="109"/>
  <c r="K775" i="109"/>
  <c r="J775" i="109"/>
  <c r="I775" i="109"/>
  <c r="K774" i="109"/>
  <c r="J774" i="109"/>
  <c r="I774" i="109"/>
  <c r="K773" i="109"/>
  <c r="J773" i="109"/>
  <c r="K772" i="109"/>
  <c r="J772" i="109"/>
  <c r="I772" i="109"/>
  <c r="K771" i="109"/>
  <c r="J771" i="109"/>
  <c r="I771" i="109"/>
  <c r="K770" i="109"/>
  <c r="J770" i="109"/>
  <c r="I770" i="109"/>
  <c r="K769" i="109"/>
  <c r="J769" i="109"/>
  <c r="I769" i="109"/>
  <c r="K768" i="109"/>
  <c r="J768" i="109"/>
  <c r="I768" i="109"/>
  <c r="K767" i="109"/>
  <c r="J767" i="109"/>
  <c r="I767" i="109"/>
  <c r="K766" i="109"/>
  <c r="J766" i="109"/>
  <c r="I766" i="109"/>
  <c r="K765" i="109"/>
  <c r="J765" i="109"/>
  <c r="I765" i="109"/>
  <c r="K764" i="109"/>
  <c r="J764" i="109"/>
  <c r="I764" i="109"/>
  <c r="K763" i="109"/>
  <c r="J763" i="109"/>
  <c r="I763" i="109"/>
  <c r="K762" i="109"/>
  <c r="J762" i="109"/>
  <c r="I762" i="109"/>
  <c r="K761" i="109"/>
  <c r="J761" i="109"/>
  <c r="I761" i="109"/>
  <c r="K760" i="109"/>
  <c r="J760" i="109"/>
  <c r="K759" i="109"/>
  <c r="J759" i="109"/>
  <c r="I759" i="109"/>
  <c r="K758" i="109"/>
  <c r="J758" i="109"/>
  <c r="K757" i="109"/>
  <c r="J757" i="109"/>
  <c r="I757" i="109"/>
  <c r="K756" i="109"/>
  <c r="J756" i="109"/>
  <c r="I756" i="109"/>
  <c r="K755" i="109"/>
  <c r="J755" i="109"/>
  <c r="K754" i="109"/>
  <c r="J754" i="109"/>
  <c r="I754" i="109"/>
  <c r="K753" i="109"/>
  <c r="J753" i="109"/>
  <c r="I753" i="109"/>
  <c r="K752" i="109"/>
  <c r="J752" i="109"/>
  <c r="I752" i="109"/>
  <c r="K751" i="109"/>
  <c r="J751" i="109"/>
  <c r="I751" i="109"/>
  <c r="K750" i="109"/>
  <c r="J750" i="109"/>
  <c r="I750" i="109"/>
  <c r="K749" i="109"/>
  <c r="J749" i="109"/>
  <c r="I749" i="109"/>
  <c r="K748" i="109"/>
  <c r="J748" i="109"/>
  <c r="I748" i="109"/>
  <c r="K747" i="109"/>
  <c r="J747" i="109"/>
  <c r="I747" i="109"/>
  <c r="K746" i="109"/>
  <c r="J746" i="109"/>
  <c r="I746" i="109"/>
  <c r="K745" i="109"/>
  <c r="J745" i="109"/>
  <c r="I745" i="109"/>
  <c r="K744" i="109"/>
  <c r="J744" i="109"/>
  <c r="I744" i="109"/>
  <c r="K743" i="109"/>
  <c r="J743" i="109"/>
  <c r="I743" i="109"/>
  <c r="K742" i="109"/>
  <c r="J742" i="109"/>
  <c r="I742" i="109"/>
  <c r="K741" i="109"/>
  <c r="J741" i="109"/>
  <c r="I741" i="109"/>
  <c r="K740" i="109"/>
  <c r="J740" i="109"/>
  <c r="I740" i="109"/>
  <c r="K739" i="109"/>
  <c r="J739" i="109"/>
  <c r="I739" i="109"/>
  <c r="K738" i="109"/>
  <c r="J738" i="109"/>
  <c r="I738" i="109"/>
  <c r="K737" i="109"/>
  <c r="J737" i="109"/>
  <c r="I737" i="109"/>
  <c r="K736" i="109"/>
  <c r="J736" i="109"/>
  <c r="I736" i="109"/>
  <c r="K735" i="109"/>
  <c r="J735" i="109"/>
  <c r="I735" i="109"/>
  <c r="K734" i="109"/>
  <c r="J734" i="109"/>
  <c r="I734" i="109"/>
  <c r="K733" i="109"/>
  <c r="J733" i="109"/>
  <c r="K732" i="109"/>
  <c r="J732" i="109"/>
  <c r="I732" i="109"/>
  <c r="K731" i="109"/>
  <c r="J731" i="109"/>
  <c r="I731" i="109"/>
  <c r="K730" i="109"/>
  <c r="J730" i="109"/>
  <c r="I730" i="109"/>
  <c r="K729" i="109"/>
  <c r="J729" i="109"/>
  <c r="I729" i="109"/>
  <c r="K728" i="109"/>
  <c r="J728" i="109"/>
  <c r="K727" i="109"/>
  <c r="J727" i="109"/>
  <c r="I727" i="109"/>
  <c r="K726" i="109"/>
  <c r="J726" i="109"/>
  <c r="I726" i="109"/>
  <c r="K725" i="109"/>
  <c r="J725" i="109"/>
  <c r="I725" i="109"/>
  <c r="K724" i="109"/>
  <c r="J724" i="109"/>
  <c r="I724" i="109"/>
  <c r="K723" i="109"/>
  <c r="J723" i="109"/>
  <c r="I723" i="109"/>
  <c r="K722" i="109"/>
  <c r="J722" i="109"/>
  <c r="I722" i="109"/>
  <c r="K721" i="109"/>
  <c r="J721" i="109"/>
  <c r="I721" i="109"/>
  <c r="K720" i="109"/>
  <c r="J720" i="109"/>
  <c r="I720" i="109"/>
  <c r="K719" i="109"/>
  <c r="J719" i="109"/>
  <c r="I719" i="109"/>
  <c r="K718" i="109"/>
  <c r="J718" i="109"/>
  <c r="K717" i="109"/>
  <c r="J717" i="109"/>
  <c r="I717" i="109"/>
  <c r="K716" i="109"/>
  <c r="J716" i="109"/>
  <c r="I716" i="109"/>
  <c r="K715" i="109"/>
  <c r="J715" i="109"/>
  <c r="I715" i="109"/>
  <c r="K714" i="109"/>
  <c r="J714" i="109"/>
  <c r="I714" i="109"/>
  <c r="K713" i="109"/>
  <c r="J713" i="109"/>
  <c r="I713" i="109"/>
  <c r="K712" i="109"/>
  <c r="J712" i="109"/>
  <c r="I712" i="109"/>
  <c r="K711" i="109"/>
  <c r="J711" i="109"/>
  <c r="K710" i="109"/>
  <c r="J710" i="109"/>
  <c r="I710" i="109"/>
  <c r="K709" i="109"/>
  <c r="J709" i="109"/>
  <c r="I709" i="109"/>
  <c r="K708" i="109"/>
  <c r="J708" i="109"/>
  <c r="I708" i="109"/>
  <c r="K707" i="109"/>
  <c r="J707" i="109"/>
  <c r="I707" i="109"/>
  <c r="K706" i="109"/>
  <c r="J706" i="109"/>
  <c r="I706" i="109"/>
  <c r="K705" i="109"/>
  <c r="J705" i="109"/>
  <c r="I705" i="109"/>
  <c r="K704" i="109"/>
  <c r="J704" i="109"/>
  <c r="I704" i="109"/>
  <c r="K703" i="109"/>
  <c r="J703" i="109"/>
  <c r="I703" i="109"/>
  <c r="K702" i="109"/>
  <c r="J702" i="109"/>
  <c r="I702" i="109"/>
  <c r="K701" i="109"/>
  <c r="J701" i="109"/>
  <c r="I701" i="109"/>
  <c r="K700" i="109"/>
  <c r="J700" i="109"/>
  <c r="I700" i="109"/>
  <c r="K699" i="109"/>
  <c r="J699" i="109"/>
  <c r="I699" i="109"/>
  <c r="K698" i="109"/>
  <c r="J698" i="109"/>
  <c r="I698" i="109"/>
  <c r="K697" i="109"/>
  <c r="J697" i="109"/>
  <c r="I697" i="109"/>
  <c r="K696" i="109"/>
  <c r="J696" i="109"/>
  <c r="I696" i="109"/>
  <c r="K695" i="109"/>
  <c r="J695" i="109"/>
  <c r="I695" i="109"/>
  <c r="K694" i="109"/>
  <c r="J694" i="109"/>
  <c r="I694" i="109"/>
  <c r="K693" i="109"/>
  <c r="J693" i="109"/>
  <c r="I693" i="109"/>
  <c r="K692" i="109"/>
  <c r="J692" i="109"/>
  <c r="I692" i="109"/>
  <c r="K691" i="109"/>
  <c r="J691" i="109"/>
  <c r="I691" i="109"/>
  <c r="K690" i="109"/>
  <c r="J690" i="109"/>
  <c r="I690" i="109"/>
  <c r="K689" i="109"/>
  <c r="J689" i="109"/>
  <c r="I689" i="109"/>
  <c r="K688" i="109"/>
  <c r="J688" i="109"/>
  <c r="I688" i="109"/>
  <c r="K687" i="109"/>
  <c r="J687" i="109"/>
  <c r="I687" i="109"/>
  <c r="K686" i="109"/>
  <c r="J686" i="109"/>
  <c r="I686" i="109"/>
  <c r="K685" i="109"/>
  <c r="J685" i="109"/>
  <c r="I685" i="109"/>
  <c r="K684" i="109"/>
  <c r="J684" i="109"/>
  <c r="I684" i="109"/>
  <c r="K683" i="109"/>
  <c r="J683" i="109"/>
  <c r="K682" i="109"/>
  <c r="J682" i="109"/>
  <c r="I682" i="109"/>
  <c r="K681" i="109"/>
  <c r="J681" i="109"/>
  <c r="I681" i="109"/>
  <c r="K680" i="109"/>
  <c r="J680" i="109"/>
  <c r="I680" i="109"/>
  <c r="K679" i="109"/>
  <c r="J679" i="109"/>
  <c r="I679" i="109"/>
  <c r="K678" i="109"/>
  <c r="J678" i="109"/>
  <c r="I678" i="109"/>
  <c r="K677" i="109"/>
  <c r="J677" i="109"/>
  <c r="I677" i="109"/>
  <c r="K676" i="109"/>
  <c r="J676" i="109"/>
  <c r="I676" i="109"/>
  <c r="K675" i="109"/>
  <c r="J675" i="109"/>
  <c r="K674" i="109"/>
  <c r="J674" i="109"/>
  <c r="I674" i="109"/>
  <c r="K673" i="109"/>
  <c r="J673" i="109"/>
  <c r="I673" i="109"/>
  <c r="K672" i="109"/>
  <c r="J672" i="109"/>
  <c r="I672" i="109"/>
  <c r="K671" i="109"/>
  <c r="J671" i="109"/>
  <c r="I671" i="109"/>
  <c r="K670" i="109"/>
  <c r="J670" i="109"/>
  <c r="I670" i="109"/>
  <c r="K669" i="109"/>
  <c r="J669" i="109"/>
  <c r="I669" i="109"/>
  <c r="K668" i="109"/>
  <c r="J668" i="109"/>
  <c r="K667" i="109"/>
  <c r="J667" i="109"/>
  <c r="I667" i="109"/>
  <c r="K666" i="109"/>
  <c r="J666" i="109"/>
  <c r="I666" i="109"/>
  <c r="K665" i="109"/>
  <c r="J665" i="109"/>
  <c r="I665" i="109"/>
  <c r="K664" i="109"/>
  <c r="J664" i="109"/>
  <c r="I664" i="109"/>
  <c r="K663" i="109"/>
  <c r="J663" i="109"/>
  <c r="I663" i="109"/>
  <c r="K662" i="109"/>
  <c r="J662" i="109"/>
  <c r="I662" i="109"/>
  <c r="K661" i="109"/>
  <c r="J661" i="109"/>
  <c r="I661" i="109"/>
  <c r="K660" i="109"/>
  <c r="J660" i="109"/>
  <c r="I660" i="109"/>
  <c r="K659" i="109"/>
  <c r="J659" i="109"/>
  <c r="I659" i="109"/>
  <c r="K658" i="109"/>
  <c r="J658" i="109"/>
  <c r="I658" i="109"/>
  <c r="K657" i="109"/>
  <c r="J657" i="109"/>
  <c r="I657" i="109"/>
  <c r="K656" i="109"/>
  <c r="J656" i="109"/>
  <c r="I656" i="109"/>
  <c r="K655" i="109"/>
  <c r="J655" i="109"/>
  <c r="I655" i="109"/>
  <c r="K654" i="109"/>
  <c r="J654" i="109"/>
  <c r="I654" i="109"/>
  <c r="K653" i="109"/>
  <c r="J653" i="109"/>
  <c r="K652" i="109"/>
  <c r="J652" i="109"/>
  <c r="I652" i="109"/>
  <c r="K651" i="109"/>
  <c r="J651" i="109"/>
  <c r="I651" i="109"/>
  <c r="K650" i="109"/>
  <c r="J650" i="109"/>
  <c r="I650" i="109"/>
  <c r="K649" i="109"/>
  <c r="J649" i="109"/>
  <c r="I649" i="109"/>
  <c r="K648" i="109"/>
  <c r="J648" i="109"/>
  <c r="I648" i="109"/>
  <c r="K647" i="109"/>
  <c r="J647" i="109"/>
  <c r="I647" i="109"/>
  <c r="K646" i="109"/>
  <c r="J646" i="109"/>
  <c r="I646" i="109"/>
  <c r="K645" i="109"/>
  <c r="J645" i="109"/>
  <c r="I645" i="109"/>
  <c r="K644" i="109"/>
  <c r="J644" i="109"/>
  <c r="I644" i="109"/>
  <c r="K643" i="109"/>
  <c r="J643" i="109"/>
  <c r="I643" i="109"/>
  <c r="K642" i="109"/>
  <c r="J642" i="109"/>
  <c r="I642" i="109"/>
  <c r="K641" i="109"/>
  <c r="J641" i="109"/>
  <c r="K640" i="109"/>
  <c r="J640" i="109"/>
  <c r="I640" i="109"/>
  <c r="K639" i="109"/>
  <c r="J639" i="109"/>
  <c r="K638" i="109"/>
  <c r="J638" i="109"/>
  <c r="I638" i="109"/>
  <c r="K637" i="109"/>
  <c r="J637" i="109"/>
  <c r="I637" i="109"/>
  <c r="K636" i="109"/>
  <c r="J636" i="109"/>
  <c r="I636" i="109"/>
  <c r="K635" i="109"/>
  <c r="J635" i="109"/>
  <c r="I635" i="109"/>
  <c r="K634" i="109"/>
  <c r="J634" i="109"/>
  <c r="I634" i="109"/>
  <c r="K633" i="109"/>
  <c r="J633" i="109"/>
  <c r="I633" i="109"/>
  <c r="K632" i="109"/>
  <c r="J632" i="109"/>
  <c r="I632" i="109"/>
  <c r="K631" i="109"/>
  <c r="J631" i="109"/>
  <c r="I631" i="109"/>
  <c r="K630" i="109"/>
  <c r="J630" i="109"/>
  <c r="I630" i="109"/>
  <c r="K629" i="109"/>
  <c r="J629" i="109"/>
  <c r="I629" i="109"/>
  <c r="K628" i="109"/>
  <c r="J628" i="109"/>
  <c r="I628" i="109"/>
  <c r="K627" i="109"/>
  <c r="J627" i="109"/>
  <c r="I627" i="109"/>
  <c r="K626" i="109"/>
  <c r="J626" i="109"/>
  <c r="I626" i="109"/>
  <c r="K625" i="109"/>
  <c r="J625" i="109"/>
  <c r="I625" i="109"/>
  <c r="K624" i="109"/>
  <c r="J624" i="109"/>
  <c r="I624" i="109"/>
  <c r="K623" i="109"/>
  <c r="J623" i="109"/>
  <c r="I623" i="109"/>
  <c r="K622" i="109"/>
  <c r="J622" i="109"/>
  <c r="I622" i="109"/>
  <c r="K621" i="109"/>
  <c r="J621" i="109"/>
  <c r="I621" i="109"/>
  <c r="K620" i="109"/>
  <c r="J620" i="109"/>
  <c r="I620" i="109"/>
  <c r="K619" i="109"/>
  <c r="J619" i="109"/>
  <c r="I619" i="109"/>
  <c r="K618" i="109"/>
  <c r="J618" i="109"/>
  <c r="I618" i="109"/>
  <c r="K617" i="109"/>
  <c r="J617" i="109"/>
  <c r="I617" i="109"/>
  <c r="K616" i="109"/>
  <c r="J616" i="109"/>
  <c r="I616" i="109"/>
  <c r="K615" i="109"/>
  <c r="J615" i="109"/>
  <c r="I615" i="109"/>
  <c r="K614" i="109"/>
  <c r="J614" i="109"/>
  <c r="I614" i="109"/>
  <c r="K613" i="109"/>
  <c r="J613" i="109"/>
  <c r="I613" i="109"/>
  <c r="K612" i="109"/>
  <c r="J612" i="109"/>
  <c r="K611" i="109"/>
  <c r="J611" i="109"/>
  <c r="I611" i="109"/>
  <c r="K610" i="109"/>
  <c r="J610" i="109"/>
  <c r="I610" i="109"/>
  <c r="K609" i="109"/>
  <c r="J609" i="109"/>
  <c r="I609" i="109"/>
  <c r="K608" i="109"/>
  <c r="J608" i="109"/>
  <c r="I608" i="109"/>
  <c r="K607" i="109"/>
  <c r="J607" i="109"/>
  <c r="I607" i="109"/>
  <c r="K606" i="109"/>
  <c r="J606" i="109"/>
  <c r="I606" i="109"/>
  <c r="K605" i="109"/>
  <c r="J605" i="109"/>
  <c r="K604" i="109"/>
  <c r="J604" i="109"/>
  <c r="K603" i="109"/>
  <c r="J603" i="109"/>
  <c r="I603" i="109"/>
  <c r="K602" i="109"/>
  <c r="J602" i="109"/>
  <c r="I602" i="109"/>
  <c r="K601" i="109"/>
  <c r="J601" i="109"/>
  <c r="I601" i="109"/>
  <c r="K600" i="109"/>
  <c r="J600" i="109"/>
  <c r="I600" i="109"/>
  <c r="K599" i="109"/>
  <c r="J599" i="109"/>
  <c r="I599" i="109"/>
  <c r="K598" i="109"/>
  <c r="J598" i="109"/>
  <c r="I598" i="109"/>
  <c r="K597" i="109"/>
  <c r="J597" i="109"/>
  <c r="K596" i="109"/>
  <c r="J596" i="109"/>
  <c r="I596" i="109"/>
  <c r="K595" i="109"/>
  <c r="J595" i="109"/>
  <c r="I595" i="109"/>
  <c r="K594" i="109"/>
  <c r="J594" i="109"/>
  <c r="I594" i="109"/>
  <c r="K593" i="109"/>
  <c r="J593" i="109"/>
  <c r="I593" i="109"/>
  <c r="K592" i="109"/>
  <c r="J592" i="109"/>
  <c r="I592" i="109"/>
  <c r="K591" i="109"/>
  <c r="J591" i="109"/>
  <c r="I591" i="109"/>
  <c r="K590" i="109"/>
  <c r="J590" i="109"/>
  <c r="I590" i="109"/>
  <c r="K589" i="109"/>
  <c r="J589" i="109"/>
  <c r="I589" i="109"/>
  <c r="K588" i="109"/>
  <c r="J588" i="109"/>
  <c r="I588" i="109"/>
  <c r="K587" i="109"/>
  <c r="J587" i="109"/>
  <c r="I587" i="109"/>
  <c r="K586" i="109"/>
  <c r="J586" i="109"/>
  <c r="I586" i="109"/>
  <c r="K585" i="109"/>
  <c r="J585" i="109"/>
  <c r="I585" i="109"/>
  <c r="K584" i="109"/>
  <c r="J584" i="109"/>
  <c r="I584" i="109"/>
  <c r="K583" i="109"/>
  <c r="J583" i="109"/>
  <c r="I583" i="109"/>
  <c r="K582" i="109"/>
  <c r="J582" i="109"/>
  <c r="K581" i="109"/>
  <c r="J581" i="109"/>
  <c r="I581" i="109"/>
  <c r="K580" i="109"/>
  <c r="J580" i="109"/>
  <c r="I580" i="109"/>
  <c r="K579" i="109"/>
  <c r="J579" i="109"/>
  <c r="I579" i="109"/>
  <c r="K578" i="109"/>
  <c r="J578" i="109"/>
  <c r="I578" i="109"/>
  <c r="K577" i="109"/>
  <c r="J577" i="109"/>
  <c r="I577" i="109"/>
  <c r="K576" i="109"/>
  <c r="J576" i="109"/>
  <c r="I576" i="109"/>
  <c r="K575" i="109"/>
  <c r="J575" i="109"/>
  <c r="I575" i="109"/>
  <c r="K574" i="109"/>
  <c r="J574" i="109"/>
  <c r="I574" i="109"/>
  <c r="K573" i="109"/>
  <c r="J573" i="109"/>
  <c r="I573" i="109"/>
  <c r="K572" i="109"/>
  <c r="J572" i="109"/>
  <c r="K571" i="109"/>
  <c r="J571" i="109"/>
  <c r="I571" i="109"/>
  <c r="K570" i="109"/>
  <c r="J570" i="109"/>
  <c r="I570" i="109"/>
  <c r="K569" i="109"/>
  <c r="J569" i="109"/>
  <c r="I569" i="109"/>
  <c r="K568" i="109"/>
  <c r="J568" i="109"/>
  <c r="I568" i="109"/>
  <c r="K567" i="109"/>
  <c r="J567" i="109"/>
  <c r="K566" i="109"/>
  <c r="J566" i="109"/>
  <c r="I566" i="109"/>
  <c r="K565" i="109"/>
  <c r="J565" i="109"/>
  <c r="I565" i="109"/>
  <c r="K564" i="109"/>
  <c r="J564" i="109"/>
  <c r="I564" i="109"/>
  <c r="K563" i="109"/>
  <c r="J563" i="109"/>
  <c r="I563" i="109"/>
  <c r="K562" i="109"/>
  <c r="J562" i="109"/>
  <c r="I562" i="109"/>
  <c r="K561" i="109"/>
  <c r="J561" i="109"/>
  <c r="I561" i="109"/>
  <c r="K560" i="109"/>
  <c r="J560" i="109"/>
  <c r="I560" i="109"/>
  <c r="K559" i="109"/>
  <c r="J559" i="109"/>
  <c r="I559" i="109"/>
  <c r="K558" i="109"/>
  <c r="J558" i="109"/>
  <c r="I558" i="109"/>
  <c r="K557" i="109"/>
  <c r="J557" i="109"/>
  <c r="I557" i="109"/>
  <c r="K556" i="109"/>
  <c r="J556" i="109"/>
  <c r="I556" i="109"/>
  <c r="K555" i="109"/>
  <c r="J555" i="109"/>
  <c r="I555" i="109"/>
  <c r="K554" i="109"/>
  <c r="J554" i="109"/>
  <c r="K553" i="109"/>
  <c r="J553" i="109"/>
  <c r="I553" i="109"/>
  <c r="K552" i="109"/>
  <c r="J552" i="109"/>
  <c r="I552" i="109"/>
  <c r="K551" i="109"/>
  <c r="J551" i="109"/>
  <c r="I551" i="109"/>
  <c r="K550" i="109"/>
  <c r="J550" i="109"/>
  <c r="K549" i="109"/>
  <c r="J549" i="109"/>
  <c r="I549" i="109"/>
  <c r="K548" i="109"/>
  <c r="J548" i="109"/>
  <c r="I548" i="109"/>
  <c r="K547" i="109"/>
  <c r="J547" i="109"/>
  <c r="I547" i="109"/>
  <c r="K546" i="109"/>
  <c r="J546" i="109"/>
  <c r="I546" i="109"/>
  <c r="K545" i="109"/>
  <c r="J545" i="109"/>
  <c r="I545" i="109"/>
  <c r="K544" i="109"/>
  <c r="J544" i="109"/>
  <c r="K543" i="109"/>
  <c r="J543" i="109"/>
  <c r="I543" i="109"/>
  <c r="K542" i="109"/>
  <c r="J542" i="109"/>
  <c r="I542" i="109"/>
  <c r="K541" i="109"/>
  <c r="J541" i="109"/>
  <c r="I541" i="109"/>
  <c r="K540" i="109"/>
  <c r="J540" i="109"/>
  <c r="I540" i="109"/>
  <c r="K539" i="109"/>
  <c r="J539" i="109"/>
  <c r="I539" i="109"/>
  <c r="K538" i="109"/>
  <c r="J538" i="109"/>
  <c r="I538" i="109"/>
  <c r="K537" i="109"/>
  <c r="J537" i="109"/>
  <c r="I537" i="109"/>
  <c r="K536" i="109"/>
  <c r="J536" i="109"/>
  <c r="K535" i="109"/>
  <c r="J535" i="109"/>
  <c r="I535" i="109"/>
  <c r="K534" i="109"/>
  <c r="J534" i="109"/>
  <c r="I534" i="109"/>
  <c r="K533" i="109"/>
  <c r="J533" i="109"/>
  <c r="I533" i="109"/>
  <c r="K532" i="109"/>
  <c r="J532" i="109"/>
  <c r="I532" i="109"/>
  <c r="K531" i="109"/>
  <c r="J531" i="109"/>
  <c r="I531" i="109"/>
  <c r="K530" i="109"/>
  <c r="J530" i="109"/>
  <c r="K529" i="109"/>
  <c r="J529" i="109"/>
  <c r="I529" i="109"/>
  <c r="K528" i="109"/>
  <c r="J528" i="109"/>
  <c r="K527" i="109"/>
  <c r="J527" i="109"/>
  <c r="I527" i="109"/>
  <c r="K526" i="109"/>
  <c r="J526" i="109"/>
  <c r="I526" i="109"/>
  <c r="K525" i="109"/>
  <c r="J525" i="109"/>
  <c r="I525" i="109"/>
  <c r="K524" i="109"/>
  <c r="J524" i="109"/>
  <c r="I524" i="109"/>
  <c r="K523" i="109"/>
  <c r="J523" i="109"/>
  <c r="I523" i="109"/>
  <c r="K522" i="109"/>
  <c r="J522" i="109"/>
  <c r="I522" i="109"/>
  <c r="K521" i="109"/>
  <c r="J521" i="109"/>
  <c r="I521" i="109"/>
  <c r="K520" i="109"/>
  <c r="J520" i="109"/>
  <c r="I520" i="109"/>
  <c r="K519" i="109"/>
  <c r="J519" i="109"/>
  <c r="I519" i="109"/>
  <c r="K518" i="109"/>
  <c r="J518" i="109"/>
  <c r="I518" i="109"/>
  <c r="K517" i="109"/>
  <c r="J517" i="109"/>
  <c r="I517" i="109"/>
  <c r="K516" i="109"/>
  <c r="J516" i="109"/>
  <c r="I516" i="109"/>
  <c r="K515" i="109"/>
  <c r="J515" i="109"/>
  <c r="I515" i="109"/>
  <c r="K514" i="109"/>
  <c r="J514" i="109"/>
  <c r="I514" i="109"/>
  <c r="K513" i="109"/>
  <c r="J513" i="109"/>
  <c r="K512" i="109"/>
  <c r="J512" i="109"/>
  <c r="I512" i="109"/>
  <c r="K511" i="109"/>
  <c r="J511" i="109"/>
  <c r="I511" i="109"/>
  <c r="K510" i="109"/>
  <c r="J510" i="109"/>
  <c r="I510" i="109"/>
  <c r="K509" i="109"/>
  <c r="J509" i="109"/>
  <c r="I509" i="109"/>
  <c r="K508" i="109"/>
  <c r="J508" i="109"/>
  <c r="I508" i="109"/>
  <c r="K507" i="109"/>
  <c r="J507" i="109"/>
  <c r="I507" i="109"/>
  <c r="K506" i="109"/>
  <c r="J506" i="109"/>
  <c r="I506" i="109"/>
  <c r="K505" i="109"/>
  <c r="J505" i="109"/>
  <c r="I505" i="109"/>
  <c r="K504" i="109"/>
  <c r="J504" i="109"/>
  <c r="I504" i="109"/>
  <c r="K503" i="109"/>
  <c r="J503" i="109"/>
  <c r="I503" i="109"/>
  <c r="K502" i="109"/>
  <c r="J502" i="109"/>
  <c r="I502" i="109"/>
  <c r="K501" i="109"/>
  <c r="J501" i="109"/>
  <c r="I501" i="109"/>
  <c r="K500" i="109"/>
  <c r="J500" i="109"/>
  <c r="I500" i="109"/>
  <c r="K499" i="109"/>
  <c r="J499" i="109"/>
  <c r="I499" i="109"/>
  <c r="K498" i="109"/>
  <c r="J498" i="109"/>
  <c r="I498" i="109"/>
  <c r="K497" i="109"/>
  <c r="J497" i="109"/>
  <c r="I497" i="109"/>
  <c r="K496" i="109"/>
  <c r="J496" i="109"/>
  <c r="I496" i="109"/>
  <c r="K495" i="109"/>
  <c r="J495" i="109"/>
  <c r="I495" i="109"/>
  <c r="K494" i="109"/>
  <c r="J494" i="109"/>
  <c r="I494" i="109"/>
  <c r="K493" i="109"/>
  <c r="J493" i="109"/>
  <c r="I493" i="109"/>
  <c r="K492" i="109"/>
  <c r="J492" i="109"/>
  <c r="I492" i="109"/>
  <c r="K491" i="109"/>
  <c r="J491" i="109"/>
  <c r="I491" i="109"/>
  <c r="K490" i="109"/>
  <c r="J490" i="109"/>
  <c r="I490" i="109"/>
  <c r="K489" i="109"/>
  <c r="J489" i="109"/>
  <c r="K488" i="109"/>
  <c r="J488" i="109"/>
  <c r="I488" i="109"/>
  <c r="K487" i="109"/>
  <c r="J487" i="109"/>
  <c r="I487" i="109"/>
  <c r="K486" i="109"/>
  <c r="J486" i="109"/>
  <c r="I486" i="109"/>
  <c r="K485" i="109"/>
  <c r="J485" i="109"/>
  <c r="I485" i="109"/>
  <c r="K484" i="109"/>
  <c r="J484" i="109"/>
  <c r="I484" i="109"/>
  <c r="K483" i="109"/>
  <c r="J483" i="109"/>
  <c r="I483" i="109"/>
  <c r="K482" i="109"/>
  <c r="J482" i="109"/>
  <c r="I482" i="109"/>
  <c r="K481" i="109"/>
  <c r="J481" i="109"/>
  <c r="I481" i="109"/>
  <c r="K480" i="109"/>
  <c r="J480" i="109"/>
  <c r="I480" i="109"/>
  <c r="K479" i="109"/>
  <c r="J479" i="109"/>
  <c r="I479" i="109"/>
  <c r="K478" i="109"/>
  <c r="J478" i="109"/>
  <c r="I478" i="109"/>
  <c r="K477" i="109"/>
  <c r="J477" i="109"/>
  <c r="I477" i="109"/>
  <c r="K476" i="109"/>
  <c r="J476" i="109"/>
  <c r="I476" i="109"/>
  <c r="K475" i="109"/>
  <c r="J475" i="109"/>
  <c r="K474" i="109"/>
  <c r="J474" i="109"/>
  <c r="I474" i="109"/>
  <c r="K473" i="109"/>
  <c r="J473" i="109"/>
  <c r="K472" i="109"/>
  <c r="J472" i="109"/>
  <c r="I472" i="109"/>
  <c r="K471" i="109"/>
  <c r="J471" i="109"/>
  <c r="I471" i="109"/>
  <c r="K470" i="109"/>
  <c r="J470" i="109"/>
  <c r="I470" i="109"/>
  <c r="K469" i="109"/>
  <c r="J469" i="109"/>
  <c r="I469" i="109"/>
  <c r="K468" i="109"/>
  <c r="J468" i="109"/>
  <c r="I468" i="109"/>
  <c r="K467" i="109"/>
  <c r="J467" i="109"/>
  <c r="I467" i="109"/>
  <c r="K466" i="109"/>
  <c r="J466" i="109"/>
  <c r="I466" i="109"/>
  <c r="K465" i="109"/>
  <c r="J465" i="109"/>
  <c r="I465" i="109"/>
  <c r="K464" i="109"/>
  <c r="J464" i="109"/>
  <c r="I464" i="109"/>
  <c r="K463" i="109"/>
  <c r="J463" i="109"/>
  <c r="I463" i="109"/>
  <c r="K462" i="109"/>
  <c r="J462" i="109"/>
  <c r="I462" i="109"/>
  <c r="K461" i="109"/>
  <c r="J461" i="109"/>
  <c r="K460" i="109"/>
  <c r="J460" i="109"/>
  <c r="I460" i="109"/>
  <c r="K459" i="109"/>
  <c r="J459" i="109"/>
  <c r="I459" i="109"/>
  <c r="K458" i="109"/>
  <c r="J458" i="109"/>
  <c r="I458" i="109"/>
  <c r="K457" i="109"/>
  <c r="J457" i="109"/>
  <c r="I457" i="109"/>
  <c r="K456" i="109"/>
  <c r="J456" i="109"/>
  <c r="I456" i="109"/>
  <c r="K455" i="109"/>
  <c r="J455" i="109"/>
  <c r="K454" i="109"/>
  <c r="J454" i="109"/>
  <c r="I454" i="109"/>
  <c r="K453" i="109"/>
  <c r="J453" i="109"/>
  <c r="I453" i="109"/>
  <c r="K452" i="109"/>
  <c r="J452" i="109"/>
  <c r="I452" i="109"/>
  <c r="K451" i="109"/>
  <c r="J451" i="109"/>
  <c r="I451" i="109"/>
  <c r="K450" i="109"/>
  <c r="J450" i="109"/>
  <c r="K449" i="109"/>
  <c r="J449" i="109"/>
  <c r="K448" i="109"/>
  <c r="J448" i="109"/>
  <c r="I448" i="109"/>
  <c r="K447" i="109"/>
  <c r="J447" i="109"/>
  <c r="I447" i="109"/>
  <c r="K446" i="109"/>
  <c r="J446" i="109"/>
  <c r="I446" i="109"/>
  <c r="K445" i="109"/>
  <c r="J445" i="109"/>
  <c r="I445" i="109"/>
  <c r="K444" i="109"/>
  <c r="J444" i="109"/>
  <c r="I444" i="109"/>
  <c r="K443" i="109"/>
  <c r="J443" i="109"/>
  <c r="I443" i="109"/>
  <c r="K442" i="109"/>
  <c r="J442" i="109"/>
  <c r="I442" i="109"/>
  <c r="K441" i="109"/>
  <c r="J441" i="109"/>
  <c r="I441" i="109"/>
  <c r="K440" i="109"/>
  <c r="J440" i="109"/>
  <c r="I440" i="109"/>
  <c r="K439" i="109"/>
  <c r="J439" i="109"/>
  <c r="I439" i="109"/>
  <c r="K438" i="109"/>
  <c r="J438" i="109"/>
  <c r="I438" i="109"/>
  <c r="K437" i="109"/>
  <c r="J437" i="109"/>
  <c r="I437" i="109"/>
  <c r="K436" i="109"/>
  <c r="J436" i="109"/>
  <c r="I436" i="109"/>
  <c r="K435" i="109"/>
  <c r="J435" i="109"/>
  <c r="I435" i="109"/>
  <c r="K434" i="109"/>
  <c r="J434" i="109"/>
  <c r="K433" i="109"/>
  <c r="J433" i="109"/>
  <c r="I433" i="109"/>
  <c r="K432" i="109"/>
  <c r="J432" i="109"/>
  <c r="I432" i="109"/>
  <c r="K431" i="109"/>
  <c r="J431" i="109"/>
  <c r="I431" i="109"/>
  <c r="K430" i="109"/>
  <c r="J430" i="109"/>
  <c r="I430" i="109"/>
  <c r="K429" i="109"/>
  <c r="J429" i="109"/>
  <c r="I429" i="109"/>
  <c r="K428" i="109"/>
  <c r="J428" i="109"/>
  <c r="I428" i="109"/>
  <c r="K427" i="109"/>
  <c r="J427" i="109"/>
  <c r="K426" i="109"/>
  <c r="J426" i="109"/>
  <c r="I426" i="109"/>
  <c r="K425" i="109"/>
  <c r="J425" i="109"/>
  <c r="I425" i="109"/>
  <c r="K424" i="109"/>
  <c r="J424" i="109"/>
  <c r="I424" i="109"/>
  <c r="K423" i="109"/>
  <c r="J423" i="109"/>
  <c r="I423" i="109"/>
  <c r="K422" i="109"/>
  <c r="J422" i="109"/>
  <c r="I422" i="109"/>
  <c r="K421" i="109"/>
  <c r="J421" i="109"/>
  <c r="I421" i="109"/>
  <c r="K420" i="109"/>
  <c r="J420" i="109"/>
  <c r="I420" i="109"/>
  <c r="K419" i="109"/>
  <c r="J419" i="109"/>
  <c r="I419" i="109"/>
  <c r="K418" i="109"/>
  <c r="J418" i="109"/>
  <c r="I418" i="109"/>
  <c r="K417" i="109"/>
  <c r="J417" i="109"/>
  <c r="I417" i="109"/>
  <c r="K416" i="109"/>
  <c r="J416" i="109"/>
  <c r="I416" i="109"/>
  <c r="K415" i="109"/>
  <c r="J415" i="109"/>
  <c r="I415" i="109"/>
  <c r="K414" i="109"/>
  <c r="J414" i="109"/>
  <c r="I414" i="109"/>
  <c r="K413" i="109"/>
  <c r="J413" i="109"/>
  <c r="I413" i="109"/>
  <c r="K412" i="109"/>
  <c r="J412" i="109"/>
  <c r="I412" i="109"/>
  <c r="K411" i="109"/>
  <c r="J411" i="109"/>
  <c r="I411" i="109"/>
  <c r="K410" i="109"/>
  <c r="J410" i="109"/>
  <c r="I410" i="109"/>
  <c r="K409" i="109"/>
  <c r="J409" i="109"/>
  <c r="I409" i="109"/>
  <c r="K408" i="109"/>
  <c r="J408" i="109"/>
  <c r="I408" i="109"/>
  <c r="K407" i="109"/>
  <c r="J407" i="109"/>
  <c r="I407" i="109"/>
  <c r="K406" i="109"/>
  <c r="J406" i="109"/>
  <c r="I406" i="109"/>
  <c r="K405" i="109"/>
  <c r="J405" i="109"/>
  <c r="I405" i="109"/>
  <c r="K404" i="109"/>
  <c r="J404" i="109"/>
  <c r="K403" i="109"/>
  <c r="J403" i="109"/>
  <c r="I403" i="109"/>
  <c r="K402" i="109"/>
  <c r="J402" i="109"/>
  <c r="I402" i="109"/>
  <c r="K401" i="109"/>
  <c r="J401" i="109"/>
  <c r="I401" i="109"/>
  <c r="K400" i="109"/>
  <c r="J400" i="109"/>
  <c r="I400" i="109"/>
  <c r="K399" i="109"/>
  <c r="J399" i="109"/>
  <c r="I399" i="109"/>
  <c r="K398" i="109"/>
  <c r="J398" i="109"/>
  <c r="I398" i="109"/>
  <c r="K397" i="109"/>
  <c r="J397" i="109"/>
  <c r="I397" i="109"/>
  <c r="K396" i="109"/>
  <c r="J396" i="109"/>
  <c r="I396" i="109"/>
  <c r="K395" i="109"/>
  <c r="J395" i="109"/>
  <c r="I395" i="109"/>
  <c r="K394" i="109"/>
  <c r="J394" i="109"/>
  <c r="K393" i="109"/>
  <c r="J393" i="109"/>
  <c r="I393" i="109"/>
  <c r="K392" i="109"/>
  <c r="J392" i="109"/>
  <c r="I392" i="109"/>
  <c r="K391" i="109"/>
  <c r="J391" i="109"/>
  <c r="I391" i="109"/>
  <c r="K390" i="109"/>
  <c r="J390" i="109"/>
  <c r="I390" i="109"/>
  <c r="K389" i="109"/>
  <c r="J389" i="109"/>
  <c r="I389" i="109"/>
  <c r="K388" i="109"/>
  <c r="J388" i="109"/>
  <c r="I388" i="109"/>
  <c r="K387" i="109"/>
  <c r="J387" i="109"/>
  <c r="I387" i="109"/>
  <c r="K386" i="109"/>
  <c r="J386" i="109"/>
  <c r="I386" i="109"/>
  <c r="K385" i="109"/>
  <c r="J385" i="109"/>
  <c r="I385" i="109"/>
  <c r="K384" i="109"/>
  <c r="J384" i="109"/>
  <c r="I384" i="109"/>
  <c r="K383" i="109"/>
  <c r="J383" i="109"/>
  <c r="I383" i="109"/>
  <c r="K382" i="109"/>
  <c r="J382" i="109"/>
  <c r="I382" i="109"/>
  <c r="K381" i="109"/>
  <c r="J381" i="109"/>
  <c r="I381" i="109"/>
  <c r="K380" i="109"/>
  <c r="J380" i="109"/>
  <c r="I380" i="109"/>
  <c r="K379" i="109"/>
  <c r="J379" i="109"/>
  <c r="I379" i="109"/>
  <c r="K378" i="109"/>
  <c r="J378" i="109"/>
  <c r="I378" i="109"/>
  <c r="K377" i="109"/>
  <c r="J377" i="109"/>
  <c r="I377" i="109"/>
  <c r="K376" i="109"/>
  <c r="J376" i="109"/>
  <c r="K375" i="109"/>
  <c r="J375" i="109"/>
  <c r="K374" i="109"/>
  <c r="J374" i="109"/>
  <c r="I374" i="109"/>
  <c r="K373" i="109"/>
  <c r="J373" i="109"/>
  <c r="I373" i="109"/>
  <c r="K372" i="109"/>
  <c r="J372" i="109"/>
  <c r="I372" i="109"/>
  <c r="K371" i="109"/>
  <c r="J371" i="109"/>
  <c r="I371" i="109"/>
  <c r="K370" i="109"/>
  <c r="J370" i="109"/>
  <c r="I370" i="109"/>
  <c r="K369" i="109"/>
  <c r="J369" i="109"/>
  <c r="I369" i="109"/>
  <c r="K368" i="109"/>
  <c r="J368" i="109"/>
  <c r="I368" i="109"/>
  <c r="K367" i="109"/>
  <c r="J367" i="109"/>
  <c r="I367" i="109"/>
  <c r="K366" i="109"/>
  <c r="J366" i="109"/>
  <c r="I366" i="109"/>
  <c r="K365" i="109"/>
  <c r="J365" i="109"/>
  <c r="I365" i="109"/>
  <c r="K364" i="109"/>
  <c r="J364" i="109"/>
  <c r="I364" i="109"/>
  <c r="K363" i="109"/>
  <c r="J363" i="109"/>
  <c r="I363" i="109"/>
  <c r="K362" i="109"/>
  <c r="J362" i="109"/>
  <c r="I362" i="109"/>
  <c r="K361" i="109"/>
  <c r="J361" i="109"/>
  <c r="I361" i="109"/>
  <c r="K360" i="109"/>
  <c r="J360" i="109"/>
  <c r="I360" i="109"/>
  <c r="K359" i="109"/>
  <c r="J359" i="109"/>
  <c r="I359" i="109"/>
  <c r="K358" i="109"/>
  <c r="J358" i="109"/>
  <c r="I358" i="109"/>
  <c r="K357" i="109"/>
  <c r="J357" i="109"/>
  <c r="I357" i="109"/>
  <c r="K356" i="109"/>
  <c r="J356" i="109"/>
  <c r="I356" i="109"/>
  <c r="K355" i="109"/>
  <c r="J355" i="109"/>
  <c r="I355" i="109"/>
  <c r="K354" i="109"/>
  <c r="J354" i="109"/>
  <c r="I354" i="109"/>
  <c r="K353" i="109"/>
  <c r="J353" i="109"/>
  <c r="I353" i="109"/>
  <c r="K352" i="109"/>
  <c r="J352" i="109"/>
  <c r="K351" i="109"/>
  <c r="J351" i="109"/>
  <c r="I351" i="109"/>
  <c r="K350" i="109"/>
  <c r="J350" i="109"/>
  <c r="I350" i="109"/>
  <c r="K349" i="109"/>
  <c r="J349" i="109"/>
  <c r="I349" i="109"/>
  <c r="K348" i="109"/>
  <c r="J348" i="109"/>
  <c r="K347" i="109"/>
  <c r="J347" i="109"/>
  <c r="I347" i="109"/>
  <c r="K346" i="109"/>
  <c r="J346" i="109"/>
  <c r="I346" i="109"/>
  <c r="K345" i="109"/>
  <c r="J345" i="109"/>
  <c r="I345" i="109"/>
  <c r="K344" i="109"/>
  <c r="J344" i="109"/>
  <c r="I344" i="109"/>
  <c r="K343" i="109"/>
  <c r="J343" i="109"/>
  <c r="I343" i="109"/>
  <c r="K342" i="109"/>
  <c r="J342" i="109"/>
  <c r="I342" i="109"/>
  <c r="K341" i="109"/>
  <c r="J341" i="109"/>
  <c r="I341" i="109"/>
  <c r="K340" i="109"/>
  <c r="J340" i="109"/>
  <c r="I340" i="109"/>
  <c r="K339" i="109"/>
  <c r="J339" i="109"/>
  <c r="I339" i="109"/>
  <c r="K338" i="109"/>
  <c r="J338" i="109"/>
  <c r="I338" i="109"/>
  <c r="K337" i="109"/>
  <c r="J337" i="109"/>
  <c r="I337" i="109"/>
  <c r="K336" i="109"/>
  <c r="J336" i="109"/>
  <c r="I336" i="109"/>
  <c r="K335" i="109"/>
  <c r="J335" i="109"/>
  <c r="I335" i="109"/>
  <c r="K334" i="109"/>
  <c r="J334" i="109"/>
  <c r="I334" i="109"/>
  <c r="K333" i="109"/>
  <c r="J333" i="109"/>
  <c r="K332" i="109"/>
  <c r="J332" i="109"/>
  <c r="I332" i="109"/>
  <c r="K331" i="109"/>
  <c r="J331" i="109"/>
  <c r="I331" i="109"/>
  <c r="K330" i="109"/>
  <c r="J330" i="109"/>
  <c r="I330" i="109"/>
  <c r="K329" i="109"/>
  <c r="J329" i="109"/>
  <c r="I329" i="109"/>
  <c r="K328" i="109"/>
  <c r="J328" i="109"/>
  <c r="I328" i="109"/>
  <c r="K327" i="109"/>
  <c r="J327" i="109"/>
  <c r="I327" i="109"/>
  <c r="K326" i="109"/>
  <c r="J326" i="109"/>
  <c r="I326" i="109"/>
  <c r="K325" i="109"/>
  <c r="J325" i="109"/>
  <c r="I325" i="109"/>
  <c r="K324" i="109"/>
  <c r="J324" i="109"/>
  <c r="I324" i="109"/>
  <c r="K323" i="109"/>
  <c r="J323" i="109"/>
  <c r="I323" i="109"/>
  <c r="K322" i="109"/>
  <c r="J322" i="109"/>
  <c r="I322" i="109"/>
  <c r="K321" i="109"/>
  <c r="J321" i="109"/>
  <c r="I321" i="109"/>
  <c r="K320" i="109"/>
  <c r="J320" i="109"/>
  <c r="I320" i="109"/>
  <c r="K319" i="109"/>
  <c r="J319" i="109"/>
  <c r="I319" i="109"/>
  <c r="K318" i="109"/>
  <c r="J318" i="109"/>
  <c r="I318" i="109"/>
  <c r="K317" i="109"/>
  <c r="J317" i="109"/>
  <c r="I317" i="109"/>
  <c r="K316" i="109"/>
  <c r="J316" i="109"/>
  <c r="I316" i="109"/>
  <c r="K315" i="109"/>
  <c r="J315" i="109"/>
  <c r="K314" i="109"/>
  <c r="J314" i="109"/>
  <c r="I314" i="109"/>
  <c r="K313" i="109"/>
  <c r="J313" i="109"/>
  <c r="I313" i="109"/>
  <c r="K312" i="109"/>
  <c r="J312" i="109"/>
  <c r="I312" i="109"/>
  <c r="K311" i="109"/>
  <c r="J311" i="109"/>
  <c r="I311" i="109"/>
  <c r="K310" i="109"/>
  <c r="J310" i="109"/>
  <c r="I310" i="109"/>
  <c r="K309" i="109"/>
  <c r="J309" i="109"/>
  <c r="I309" i="109"/>
  <c r="K308" i="109"/>
  <c r="J308" i="109"/>
  <c r="I308" i="109"/>
  <c r="K307" i="109"/>
  <c r="J307" i="109"/>
  <c r="I307" i="109"/>
  <c r="K306" i="109"/>
  <c r="J306" i="109"/>
  <c r="I306" i="109"/>
  <c r="K305" i="109"/>
  <c r="J305" i="109"/>
  <c r="I305" i="109"/>
  <c r="K304" i="109"/>
  <c r="J304" i="109"/>
  <c r="I304" i="109"/>
  <c r="K303" i="109"/>
  <c r="J303" i="109"/>
  <c r="I303" i="109"/>
  <c r="K302" i="109"/>
  <c r="J302" i="109"/>
  <c r="K301" i="109"/>
  <c r="J301" i="109"/>
  <c r="K300" i="109"/>
  <c r="J300" i="109"/>
  <c r="I300" i="109"/>
  <c r="K299" i="109"/>
  <c r="J299" i="109"/>
  <c r="I299" i="109"/>
  <c r="K298" i="109"/>
  <c r="J298" i="109"/>
  <c r="I298" i="109"/>
  <c r="K297" i="109"/>
  <c r="J297" i="109"/>
  <c r="I297" i="109"/>
  <c r="K296" i="109"/>
  <c r="J296" i="109"/>
  <c r="I296" i="109"/>
  <c r="K295" i="109"/>
  <c r="J295" i="109"/>
  <c r="I295" i="109"/>
  <c r="K294" i="109"/>
  <c r="J294" i="109"/>
  <c r="K293" i="109"/>
  <c r="J293" i="109"/>
  <c r="I293" i="109"/>
  <c r="K292" i="109"/>
  <c r="J292" i="109"/>
  <c r="K291" i="109"/>
  <c r="J291" i="109"/>
  <c r="I291" i="109"/>
  <c r="K290" i="109"/>
  <c r="J290" i="109"/>
  <c r="I290" i="109"/>
  <c r="K289" i="109"/>
  <c r="J289" i="109"/>
  <c r="I289" i="109"/>
  <c r="K288" i="109"/>
  <c r="J288" i="109"/>
  <c r="I288" i="109"/>
  <c r="K287" i="109"/>
  <c r="J287" i="109"/>
  <c r="I287" i="109"/>
  <c r="K286" i="109"/>
  <c r="J286" i="109"/>
  <c r="I286" i="109"/>
  <c r="K285" i="109"/>
  <c r="J285" i="109"/>
  <c r="I285" i="109"/>
  <c r="K284" i="109"/>
  <c r="J284" i="109"/>
  <c r="I284" i="109"/>
  <c r="K283" i="109"/>
  <c r="J283" i="109"/>
  <c r="I283" i="109"/>
  <c r="K282" i="109"/>
  <c r="J282" i="109"/>
  <c r="I282" i="109"/>
  <c r="K281" i="109"/>
  <c r="J281" i="109"/>
  <c r="I281" i="109"/>
  <c r="K280" i="109"/>
  <c r="J280" i="109"/>
  <c r="I280" i="109"/>
  <c r="K279" i="109"/>
  <c r="J279" i="109"/>
  <c r="I279" i="109"/>
  <c r="K278" i="109"/>
  <c r="J278" i="109"/>
  <c r="I278" i="109"/>
  <c r="K277" i="109"/>
  <c r="J277" i="109"/>
  <c r="I277" i="109"/>
  <c r="K276" i="109"/>
  <c r="J276" i="109"/>
  <c r="I276" i="109"/>
  <c r="K275" i="109"/>
  <c r="J275" i="109"/>
  <c r="I275" i="109"/>
  <c r="K274" i="109"/>
  <c r="J274" i="109"/>
  <c r="I274" i="109"/>
  <c r="K273" i="109"/>
  <c r="J273" i="109"/>
  <c r="I273" i="109"/>
  <c r="K272" i="109"/>
  <c r="J272" i="109"/>
  <c r="I272" i="109"/>
  <c r="K271" i="109"/>
  <c r="J271" i="109"/>
  <c r="I271" i="109"/>
  <c r="K270" i="109"/>
  <c r="J270" i="109"/>
  <c r="I270" i="109"/>
  <c r="K269" i="109"/>
  <c r="J269" i="109"/>
  <c r="K268" i="109"/>
  <c r="J268" i="109"/>
  <c r="I268" i="109"/>
  <c r="K267" i="109"/>
  <c r="J267" i="109"/>
  <c r="I267" i="109"/>
  <c r="K266" i="109"/>
  <c r="J266" i="109"/>
  <c r="I266" i="109"/>
  <c r="K265" i="109"/>
  <c r="J265" i="109"/>
  <c r="I265" i="109"/>
  <c r="K264" i="109"/>
  <c r="J264" i="109"/>
  <c r="I264" i="109"/>
  <c r="K263" i="109"/>
  <c r="J263" i="109"/>
  <c r="I263" i="109"/>
  <c r="K262" i="109"/>
  <c r="J262" i="109"/>
  <c r="I262" i="109"/>
  <c r="K261" i="109"/>
  <c r="J261" i="109"/>
  <c r="I261" i="109"/>
  <c r="K260" i="109"/>
  <c r="J260" i="109"/>
  <c r="I260" i="109"/>
  <c r="K259" i="109"/>
  <c r="J259" i="109"/>
  <c r="I259" i="109"/>
  <c r="K258" i="109"/>
  <c r="J258" i="109"/>
  <c r="I258" i="109"/>
  <c r="K257" i="109"/>
  <c r="J257" i="109"/>
  <c r="K256" i="109"/>
  <c r="J256" i="109"/>
  <c r="I256" i="109"/>
  <c r="K255" i="109"/>
  <c r="J255" i="109"/>
  <c r="I255" i="109"/>
  <c r="K254" i="109"/>
  <c r="J254" i="109"/>
  <c r="I254" i="109"/>
  <c r="K253" i="109"/>
  <c r="J253" i="109"/>
  <c r="I253" i="109"/>
  <c r="K252" i="109"/>
  <c r="J252" i="109"/>
  <c r="K251" i="109"/>
  <c r="J251" i="109"/>
  <c r="I251" i="109"/>
  <c r="K250" i="109"/>
  <c r="J250" i="109"/>
  <c r="I250" i="109"/>
  <c r="K249" i="109"/>
  <c r="J249" i="109"/>
  <c r="I249" i="109"/>
  <c r="K248" i="109"/>
  <c r="J248" i="109"/>
  <c r="K247" i="109"/>
  <c r="J247" i="109"/>
  <c r="I247" i="109"/>
  <c r="K246" i="109"/>
  <c r="J246" i="109"/>
  <c r="I246" i="109"/>
  <c r="K245" i="109"/>
  <c r="J245" i="109"/>
  <c r="K244" i="109"/>
  <c r="J244" i="109"/>
  <c r="I244" i="109"/>
  <c r="K243" i="109"/>
  <c r="J243" i="109"/>
  <c r="I243" i="109"/>
  <c r="K242" i="109"/>
  <c r="J242" i="109"/>
  <c r="I242" i="109"/>
  <c r="K241" i="109"/>
  <c r="J241" i="109"/>
  <c r="I241" i="109"/>
  <c r="K240" i="109"/>
  <c r="J240" i="109"/>
  <c r="I240" i="109"/>
  <c r="K239" i="109"/>
  <c r="J239" i="109"/>
  <c r="I239" i="109"/>
  <c r="K238" i="109"/>
  <c r="J238" i="109"/>
  <c r="I238" i="109"/>
  <c r="K237" i="109"/>
  <c r="J237" i="109"/>
  <c r="I237" i="109"/>
  <c r="K236" i="109"/>
  <c r="J236" i="109"/>
  <c r="I236" i="109"/>
  <c r="K235" i="109"/>
  <c r="J235" i="109"/>
  <c r="K234" i="109"/>
  <c r="J234" i="109"/>
  <c r="I234" i="109"/>
  <c r="K233" i="109"/>
  <c r="J233" i="109"/>
  <c r="I233" i="109"/>
  <c r="K232" i="109"/>
  <c r="J232" i="109"/>
  <c r="I232" i="109"/>
  <c r="K231" i="109"/>
  <c r="J231" i="109"/>
  <c r="I231" i="109"/>
  <c r="K230" i="109"/>
  <c r="J230" i="109"/>
  <c r="I230" i="109"/>
  <c r="K229" i="109"/>
  <c r="J229" i="109"/>
  <c r="I229" i="109"/>
  <c r="K228" i="109"/>
  <c r="J228" i="109"/>
  <c r="I228" i="109"/>
  <c r="K227" i="109"/>
  <c r="J227" i="109"/>
  <c r="I227" i="109"/>
  <c r="K226" i="109"/>
  <c r="J226" i="109"/>
  <c r="I226" i="109"/>
  <c r="K225" i="109"/>
  <c r="J225" i="109"/>
  <c r="I225" i="109"/>
  <c r="K224" i="109"/>
  <c r="J224" i="109"/>
  <c r="I224" i="109"/>
  <c r="K223" i="109"/>
  <c r="J223" i="109"/>
  <c r="I223" i="109"/>
  <c r="K222" i="109"/>
  <c r="J222" i="109"/>
  <c r="I222" i="109"/>
  <c r="K221" i="109"/>
  <c r="J221" i="109"/>
  <c r="I221" i="109"/>
  <c r="K220" i="109"/>
  <c r="J220" i="109"/>
  <c r="I220" i="109"/>
  <c r="K219" i="109"/>
  <c r="J219" i="109"/>
  <c r="I219" i="109"/>
  <c r="K218" i="109"/>
  <c r="J218" i="109"/>
  <c r="I218" i="109"/>
  <c r="K217" i="109"/>
  <c r="J217" i="109"/>
  <c r="I217" i="109"/>
  <c r="K216" i="109"/>
  <c r="J216" i="109"/>
  <c r="I216" i="109"/>
  <c r="K215" i="109"/>
  <c r="J215" i="109"/>
  <c r="I215" i="109"/>
  <c r="K214" i="109"/>
  <c r="J214" i="109"/>
  <c r="I214" i="109"/>
  <c r="K213" i="109"/>
  <c r="J213" i="109"/>
  <c r="I213" i="109"/>
  <c r="K212" i="109"/>
  <c r="J212" i="109"/>
  <c r="I212" i="109"/>
  <c r="K211" i="109"/>
  <c r="J211" i="109"/>
  <c r="I211" i="109"/>
  <c r="K210" i="109"/>
  <c r="J210" i="109"/>
  <c r="K209" i="109"/>
  <c r="J209" i="109"/>
  <c r="I209" i="109"/>
  <c r="K208" i="109"/>
  <c r="J208" i="109"/>
  <c r="I208" i="109"/>
  <c r="K207" i="109"/>
  <c r="J207" i="109"/>
  <c r="I207" i="109"/>
  <c r="K206" i="109"/>
  <c r="J206" i="109"/>
  <c r="I206" i="109"/>
  <c r="K205" i="109"/>
  <c r="J205" i="109"/>
  <c r="I205" i="109"/>
  <c r="K204" i="109"/>
  <c r="J204" i="109"/>
  <c r="I204" i="109"/>
  <c r="K203" i="109"/>
  <c r="J203" i="109"/>
  <c r="I203" i="109"/>
  <c r="K202" i="109"/>
  <c r="J202" i="109"/>
  <c r="I202" i="109"/>
  <c r="K201" i="109"/>
  <c r="J201" i="109"/>
  <c r="I201" i="109"/>
  <c r="K200" i="109"/>
  <c r="J200" i="109"/>
  <c r="I200" i="109"/>
  <c r="K199" i="109"/>
  <c r="J199" i="109"/>
  <c r="I199" i="109"/>
  <c r="K198" i="109"/>
  <c r="J198" i="109"/>
  <c r="I198" i="109"/>
  <c r="K197" i="109"/>
  <c r="J197" i="109"/>
  <c r="I197" i="109"/>
  <c r="K196" i="109"/>
  <c r="J196" i="109"/>
  <c r="I196" i="109"/>
  <c r="K195" i="109"/>
  <c r="J195" i="109"/>
  <c r="I195" i="109"/>
  <c r="K194" i="109"/>
  <c r="J194" i="109"/>
  <c r="I194" i="109"/>
  <c r="K193" i="109"/>
  <c r="J193" i="109"/>
  <c r="I193" i="109"/>
  <c r="K192" i="109"/>
  <c r="J192" i="109"/>
  <c r="I192" i="109"/>
  <c r="K191" i="109"/>
  <c r="J191" i="109"/>
  <c r="I191" i="109"/>
  <c r="K190" i="109"/>
  <c r="J190" i="109"/>
  <c r="I190" i="109"/>
  <c r="K189" i="109"/>
  <c r="J189" i="109"/>
  <c r="I189" i="109"/>
  <c r="K188" i="109"/>
  <c r="J188" i="109"/>
  <c r="I188" i="109"/>
  <c r="K187" i="109"/>
  <c r="J187" i="109"/>
  <c r="I187" i="109"/>
  <c r="K186" i="109"/>
  <c r="J186" i="109"/>
  <c r="I186" i="109"/>
  <c r="K185" i="109"/>
  <c r="J185" i="109"/>
  <c r="I185" i="109"/>
  <c r="K184" i="109"/>
  <c r="J184" i="109"/>
  <c r="I184" i="109"/>
  <c r="K183" i="109"/>
  <c r="J183" i="109"/>
  <c r="I183" i="109"/>
  <c r="K182" i="109"/>
  <c r="J182" i="109"/>
  <c r="I182" i="109"/>
  <c r="K181" i="109"/>
  <c r="J181" i="109"/>
  <c r="I181" i="109"/>
  <c r="K180" i="109"/>
  <c r="J180" i="109"/>
  <c r="I180" i="109"/>
  <c r="K179" i="109"/>
  <c r="J179" i="109"/>
  <c r="I179" i="109"/>
  <c r="K178" i="109"/>
  <c r="J178" i="109"/>
  <c r="I178" i="109"/>
  <c r="K177" i="109"/>
  <c r="J177" i="109"/>
  <c r="I177" i="109"/>
  <c r="K176" i="109"/>
  <c r="J176" i="109"/>
  <c r="I176" i="109"/>
  <c r="K175" i="109"/>
  <c r="J175" i="109"/>
  <c r="I175" i="109"/>
  <c r="K174" i="109"/>
  <c r="J174" i="109"/>
  <c r="I174" i="109"/>
  <c r="K173" i="109"/>
  <c r="J173" i="109"/>
  <c r="I173" i="109"/>
  <c r="K172" i="109"/>
  <c r="J172" i="109"/>
  <c r="I172" i="109"/>
  <c r="K171" i="109"/>
  <c r="J171" i="109"/>
  <c r="I171" i="109"/>
  <c r="K170" i="109"/>
  <c r="J170" i="109"/>
  <c r="I170" i="109"/>
  <c r="K169" i="109"/>
  <c r="J169" i="109"/>
  <c r="I169" i="109"/>
  <c r="K168" i="109"/>
  <c r="J168" i="109"/>
  <c r="I168" i="109"/>
  <c r="K167" i="109"/>
  <c r="J167" i="109"/>
  <c r="I167" i="109"/>
  <c r="K166" i="109"/>
  <c r="J166" i="109"/>
  <c r="I166" i="109"/>
  <c r="K165" i="109"/>
  <c r="J165" i="109"/>
  <c r="I165" i="109"/>
  <c r="K164" i="109"/>
  <c r="J164" i="109"/>
  <c r="I164" i="109"/>
  <c r="K163" i="109"/>
  <c r="J163" i="109"/>
  <c r="I163" i="109"/>
  <c r="K162" i="109"/>
  <c r="J162" i="109"/>
  <c r="I162" i="109"/>
  <c r="K161" i="109"/>
  <c r="J161" i="109"/>
  <c r="I161" i="109"/>
  <c r="K160" i="109"/>
  <c r="J160" i="109"/>
  <c r="I160" i="109"/>
  <c r="K159" i="109"/>
  <c r="J159" i="109"/>
  <c r="I159" i="109"/>
  <c r="K158" i="109"/>
  <c r="J158" i="109"/>
  <c r="K157" i="109"/>
  <c r="J157" i="109"/>
  <c r="I157" i="109"/>
  <c r="K156" i="109"/>
  <c r="J156" i="109"/>
  <c r="I156" i="109"/>
  <c r="K155" i="109"/>
  <c r="J155" i="109"/>
  <c r="I155" i="109"/>
  <c r="K154" i="109"/>
  <c r="J154" i="109"/>
  <c r="I154" i="109"/>
  <c r="K153" i="109"/>
  <c r="J153" i="109"/>
  <c r="I153" i="109"/>
  <c r="K152" i="109"/>
  <c r="J152" i="109"/>
  <c r="I152" i="109"/>
  <c r="K151" i="109"/>
  <c r="J151" i="109"/>
  <c r="I151" i="109"/>
  <c r="K150" i="109"/>
  <c r="J150" i="109"/>
  <c r="I150" i="109"/>
  <c r="K149" i="109"/>
  <c r="J149" i="109"/>
  <c r="I149" i="109"/>
  <c r="K148" i="109"/>
  <c r="J148" i="109"/>
  <c r="K147" i="109"/>
  <c r="J147" i="109"/>
  <c r="I147" i="109"/>
  <c r="K146" i="109"/>
  <c r="J146" i="109"/>
  <c r="I146" i="109"/>
  <c r="K145" i="109"/>
  <c r="J145" i="109"/>
  <c r="I145" i="109"/>
  <c r="K144" i="109"/>
  <c r="J144" i="109"/>
  <c r="I144" i="109"/>
  <c r="K143" i="109"/>
  <c r="J143" i="109"/>
  <c r="I143" i="109"/>
  <c r="K142" i="109"/>
  <c r="J142" i="109"/>
  <c r="K141" i="109"/>
  <c r="J141" i="109"/>
  <c r="I141" i="109"/>
  <c r="K140" i="109"/>
  <c r="J140" i="109"/>
  <c r="I140" i="109"/>
  <c r="K139" i="109"/>
  <c r="J139" i="109"/>
  <c r="K138" i="109"/>
  <c r="J138" i="109"/>
  <c r="I138" i="109"/>
  <c r="K137" i="109"/>
  <c r="J137" i="109"/>
  <c r="I137" i="109"/>
  <c r="K136" i="109"/>
  <c r="J136" i="109"/>
  <c r="I136" i="109"/>
  <c r="K135" i="109"/>
  <c r="J135" i="109"/>
  <c r="I135" i="109"/>
  <c r="K134" i="109"/>
  <c r="J134" i="109"/>
  <c r="I134" i="109"/>
  <c r="K133" i="109"/>
  <c r="J133" i="109"/>
  <c r="I133" i="109"/>
  <c r="K132" i="109"/>
  <c r="J132" i="109"/>
  <c r="I132" i="109"/>
  <c r="K131" i="109"/>
  <c r="J131" i="109"/>
  <c r="I131" i="109"/>
  <c r="K130" i="109"/>
  <c r="J130" i="109"/>
  <c r="I130" i="109"/>
  <c r="K129" i="109"/>
  <c r="J129" i="109"/>
  <c r="I129" i="109"/>
  <c r="K128" i="109"/>
  <c r="J128" i="109"/>
  <c r="I128" i="109"/>
  <c r="K127" i="109"/>
  <c r="J127" i="109"/>
  <c r="I127" i="109"/>
  <c r="K126" i="109"/>
  <c r="J126" i="109"/>
  <c r="I126" i="109"/>
  <c r="K125" i="109"/>
  <c r="J125" i="109"/>
  <c r="I125" i="109"/>
  <c r="K124" i="109"/>
  <c r="J124" i="109"/>
  <c r="I124" i="109"/>
  <c r="K123" i="109"/>
  <c r="J123" i="109"/>
  <c r="I123" i="109"/>
  <c r="K122" i="109"/>
  <c r="J122" i="109"/>
  <c r="I122" i="109"/>
  <c r="K121" i="109"/>
  <c r="J121" i="109"/>
  <c r="I121" i="109"/>
  <c r="K120" i="109"/>
  <c r="J120" i="109"/>
  <c r="I120" i="109"/>
  <c r="K119" i="109"/>
  <c r="J119" i="109"/>
  <c r="K118" i="109"/>
  <c r="J118" i="109"/>
  <c r="K117" i="109"/>
  <c r="J117" i="109"/>
  <c r="K116" i="109"/>
  <c r="J116" i="109"/>
  <c r="I116" i="109"/>
  <c r="K115" i="109"/>
  <c r="J115" i="109"/>
  <c r="I115" i="109"/>
  <c r="K114" i="109"/>
  <c r="J114" i="109"/>
  <c r="I114" i="109"/>
  <c r="K113" i="109"/>
  <c r="J113" i="109"/>
  <c r="I113" i="109"/>
  <c r="K112" i="109"/>
  <c r="J112" i="109"/>
  <c r="I112" i="109"/>
  <c r="K111" i="109"/>
  <c r="J111" i="109"/>
  <c r="I111" i="109"/>
  <c r="K110" i="109"/>
  <c r="J110" i="109"/>
  <c r="I110" i="109"/>
  <c r="K109" i="109"/>
  <c r="J109" i="109"/>
  <c r="I109" i="109"/>
  <c r="K108" i="109"/>
  <c r="J108" i="109"/>
  <c r="I108" i="109"/>
  <c r="K107" i="109"/>
  <c r="J107" i="109"/>
  <c r="K106" i="109"/>
  <c r="J106" i="109"/>
  <c r="I106" i="109"/>
  <c r="K105" i="109"/>
  <c r="J105" i="109"/>
  <c r="I105" i="109"/>
  <c r="K104" i="109"/>
  <c r="J104" i="109"/>
  <c r="I104" i="109"/>
  <c r="K103" i="109"/>
  <c r="J103" i="109"/>
  <c r="I103" i="109"/>
  <c r="K102" i="109"/>
  <c r="J102" i="109"/>
  <c r="I102" i="109"/>
  <c r="K101" i="109"/>
  <c r="J101" i="109"/>
  <c r="I101" i="109"/>
  <c r="K100" i="109"/>
  <c r="J100" i="109"/>
  <c r="I100" i="109"/>
  <c r="K99" i="109"/>
  <c r="J99" i="109"/>
  <c r="K98" i="109"/>
  <c r="J98" i="109"/>
  <c r="I98" i="109"/>
  <c r="K97" i="109"/>
  <c r="J97" i="109"/>
  <c r="I97" i="109"/>
  <c r="K96" i="109"/>
  <c r="J96" i="109"/>
  <c r="K95" i="109"/>
  <c r="J95" i="109"/>
  <c r="I95" i="109"/>
  <c r="K94" i="109"/>
  <c r="J94" i="109"/>
  <c r="I94" i="109"/>
  <c r="K93" i="109"/>
  <c r="J93" i="109"/>
  <c r="I93" i="109"/>
  <c r="K92" i="109"/>
  <c r="J92" i="109"/>
  <c r="I92" i="109"/>
  <c r="K91" i="109"/>
  <c r="J91" i="109"/>
  <c r="I91" i="109"/>
  <c r="K90" i="109"/>
  <c r="J90" i="109"/>
  <c r="I90" i="109"/>
  <c r="K89" i="109"/>
  <c r="J89" i="109"/>
  <c r="I89" i="109"/>
  <c r="K88" i="109"/>
  <c r="J88" i="109"/>
  <c r="I88" i="109"/>
  <c r="K87" i="109"/>
  <c r="J87" i="109"/>
  <c r="K86" i="109"/>
  <c r="J86" i="109"/>
  <c r="I86" i="109"/>
  <c r="K85" i="109"/>
  <c r="J85" i="109"/>
  <c r="I85" i="109"/>
  <c r="K84" i="109"/>
  <c r="J84" i="109"/>
  <c r="I84" i="109"/>
  <c r="K83" i="109"/>
  <c r="J83" i="109"/>
  <c r="I83" i="109"/>
  <c r="K82" i="109"/>
  <c r="J82" i="109"/>
  <c r="I82" i="109"/>
  <c r="K81" i="109"/>
  <c r="J81" i="109"/>
  <c r="K80" i="109"/>
  <c r="J80" i="109"/>
  <c r="K79" i="109"/>
  <c r="J79" i="109"/>
  <c r="I79" i="109"/>
  <c r="K78" i="109"/>
  <c r="J78" i="109"/>
  <c r="I78" i="109"/>
  <c r="K77" i="109"/>
  <c r="J77" i="109"/>
  <c r="I77" i="109"/>
  <c r="K76" i="109"/>
  <c r="J76" i="109"/>
  <c r="I76" i="109"/>
  <c r="K75" i="109"/>
  <c r="J75" i="109"/>
  <c r="I75" i="109"/>
  <c r="K74" i="109"/>
  <c r="J74" i="109"/>
  <c r="I74" i="109"/>
  <c r="K73" i="109"/>
  <c r="J73" i="109"/>
  <c r="I73" i="109"/>
  <c r="K72" i="109"/>
  <c r="J72" i="109"/>
  <c r="K71" i="109"/>
  <c r="J71" i="109"/>
  <c r="I71" i="109"/>
  <c r="K70" i="109"/>
  <c r="J70" i="109"/>
  <c r="I70" i="109"/>
  <c r="K69" i="109"/>
  <c r="J69" i="109"/>
  <c r="I69" i="109"/>
  <c r="K68" i="109"/>
  <c r="J68" i="109"/>
  <c r="I68" i="109"/>
  <c r="K67" i="109"/>
  <c r="J67" i="109"/>
  <c r="I67" i="109"/>
  <c r="K66" i="109"/>
  <c r="J66" i="109"/>
  <c r="I66" i="109"/>
  <c r="K65" i="109"/>
  <c r="J65" i="109"/>
  <c r="I65" i="109"/>
  <c r="K64" i="109"/>
  <c r="J64" i="109"/>
  <c r="I64" i="109"/>
  <c r="K63" i="109"/>
  <c r="J63" i="109"/>
  <c r="I63" i="109"/>
  <c r="K62" i="109"/>
  <c r="J62" i="109"/>
  <c r="K61" i="109"/>
  <c r="J61" i="109"/>
  <c r="I61" i="109"/>
  <c r="K60" i="109"/>
  <c r="J60" i="109"/>
  <c r="I60" i="109"/>
  <c r="K59" i="109"/>
  <c r="J59" i="109"/>
  <c r="I59" i="109"/>
  <c r="K58" i="109"/>
  <c r="J58" i="109"/>
  <c r="I58" i="109"/>
  <c r="K57" i="109"/>
  <c r="J57" i="109"/>
  <c r="I57" i="109"/>
  <c r="K56" i="109"/>
  <c r="J56" i="109"/>
  <c r="I56" i="109"/>
  <c r="K55" i="109"/>
  <c r="J55" i="109"/>
  <c r="I55" i="109"/>
  <c r="K54" i="109"/>
  <c r="J54" i="109"/>
  <c r="K53" i="109"/>
  <c r="J53" i="109"/>
  <c r="I53" i="109"/>
  <c r="K52" i="109"/>
  <c r="J52" i="109"/>
  <c r="I52" i="109"/>
  <c r="K51" i="109"/>
  <c r="J51" i="109"/>
  <c r="I51" i="109"/>
  <c r="K50" i="109"/>
  <c r="J50" i="109"/>
  <c r="I50" i="109"/>
  <c r="K49" i="109"/>
  <c r="J49" i="109"/>
  <c r="I49" i="109"/>
  <c r="K48" i="109"/>
  <c r="J48" i="109"/>
  <c r="I48" i="109"/>
  <c r="K47" i="109"/>
  <c r="J47" i="109"/>
  <c r="I47" i="109"/>
  <c r="K46" i="109"/>
  <c r="J46" i="109"/>
  <c r="I46" i="109"/>
  <c r="K45" i="109"/>
  <c r="J45" i="109"/>
  <c r="I45" i="109"/>
  <c r="K44" i="109"/>
  <c r="J44" i="109"/>
  <c r="I44" i="109"/>
  <c r="K43" i="109"/>
  <c r="J43" i="109"/>
  <c r="I43" i="109"/>
  <c r="K42" i="109"/>
  <c r="J42" i="109"/>
  <c r="K41" i="109"/>
  <c r="J41" i="109"/>
  <c r="I41" i="109"/>
  <c r="K40" i="109"/>
  <c r="J40" i="109"/>
  <c r="I40" i="109"/>
  <c r="K39" i="109"/>
  <c r="J39" i="109"/>
  <c r="I39" i="109"/>
  <c r="K38" i="109"/>
  <c r="J38" i="109"/>
  <c r="I38" i="109"/>
  <c r="K37" i="109"/>
  <c r="J37" i="109"/>
  <c r="I37" i="109"/>
  <c r="K36" i="109"/>
  <c r="J36" i="109"/>
  <c r="I36" i="109"/>
  <c r="K35" i="109"/>
  <c r="J35" i="109"/>
  <c r="I35" i="109"/>
  <c r="K34" i="109"/>
  <c r="J34" i="109"/>
  <c r="I34" i="109"/>
  <c r="K33" i="109"/>
  <c r="J33" i="109"/>
  <c r="I33" i="109"/>
  <c r="K32" i="109"/>
  <c r="J32" i="109"/>
  <c r="I32" i="109"/>
  <c r="K31" i="109"/>
  <c r="J31" i="109"/>
  <c r="I31" i="109"/>
  <c r="K30" i="109"/>
  <c r="J30" i="109"/>
  <c r="I30" i="109"/>
  <c r="K29" i="109"/>
  <c r="J29" i="109"/>
  <c r="I29" i="109"/>
  <c r="K28" i="109"/>
  <c r="J28" i="109"/>
  <c r="I28" i="109"/>
  <c r="K27" i="109"/>
  <c r="J27" i="109"/>
  <c r="I27" i="109"/>
  <c r="K26" i="109"/>
  <c r="J26" i="109"/>
  <c r="K25" i="109"/>
  <c r="J25" i="109"/>
  <c r="I25" i="109"/>
  <c r="K24" i="109"/>
  <c r="J24" i="109"/>
  <c r="I24" i="109"/>
  <c r="K23" i="109"/>
  <c r="J23" i="109"/>
  <c r="I23" i="109"/>
  <c r="K22" i="109"/>
  <c r="J22" i="109"/>
  <c r="I22" i="109"/>
  <c r="K21" i="109"/>
  <c r="J21" i="109"/>
  <c r="I21" i="109"/>
  <c r="K20" i="109"/>
  <c r="J20" i="109"/>
  <c r="I20" i="109"/>
  <c r="K19" i="109"/>
  <c r="J19" i="109"/>
  <c r="K18" i="109"/>
  <c r="J18" i="109"/>
  <c r="I18" i="109"/>
  <c r="K17" i="109"/>
  <c r="J17" i="109"/>
  <c r="I17" i="109"/>
  <c r="K16" i="109"/>
  <c r="J16" i="109"/>
  <c r="I16" i="109"/>
  <c r="K15" i="109"/>
  <c r="J15" i="109"/>
  <c r="I15" i="109"/>
  <c r="K14" i="109"/>
  <c r="J14" i="109"/>
  <c r="I14" i="109"/>
  <c r="G12" i="109"/>
  <c r="F10" i="109"/>
  <c r="E10" i="109"/>
  <c r="G1" i="109"/>
  <c r="F1" i="109"/>
  <c r="E1" i="109"/>
  <c r="H5" i="67" l="1"/>
  <c r="I5" i="67" l="1"/>
  <c r="G5" i="67"/>
  <c r="J5" i="67"/>
  <c r="K5" i="67" l="1"/>
  <c r="L5" i="67"/>
  <c r="B5" i="60"/>
  <c r="N5" i="60"/>
  <c r="M5" i="60" s="1"/>
  <c r="H5" i="60"/>
  <c r="I5" i="60" l="1"/>
  <c r="G5" i="60"/>
  <c r="D5" i="60"/>
  <c r="A5" i="60"/>
  <c r="C5" i="60"/>
  <c r="O5" i="60"/>
  <c r="E5" i="60" l="1"/>
  <c r="F5" i="60"/>
  <c r="J5" i="60"/>
  <c r="K5" i="60" s="1"/>
  <c r="P5" i="60"/>
  <c r="Q5" i="60" s="1"/>
  <c r="L5" i="60" l="1"/>
  <c r="R5" i="60"/>
  <c r="N5" i="81" l="1"/>
  <c r="M5" i="81" s="1"/>
  <c r="H5" i="53"/>
  <c r="G5" i="53" s="1"/>
  <c r="B3" i="102" l="1"/>
  <c r="N5" i="102" l="1"/>
  <c r="M5" i="102" s="1"/>
  <c r="B5" i="102" l="1"/>
  <c r="A5" i="102" s="1"/>
  <c r="C5" i="102" l="1"/>
  <c r="D5" i="102"/>
  <c r="E5" i="102" l="1"/>
  <c r="F5" i="102"/>
  <c r="B5" i="67" l="1"/>
  <c r="C5" i="67" l="1"/>
  <c r="A5" i="67"/>
  <c r="D5" i="67"/>
  <c r="O5" i="102"/>
  <c r="H5" i="102"/>
  <c r="D4" i="102"/>
  <c r="J4" i="102" s="1"/>
  <c r="C4" i="102"/>
  <c r="O4" i="102" s="1"/>
  <c r="N3" i="102"/>
  <c r="H3" i="102"/>
  <c r="F5" i="67" l="1"/>
  <c r="I5" i="102"/>
  <c r="G5" i="102"/>
  <c r="J5" i="102"/>
  <c r="I4" i="102"/>
  <c r="E5" i="67"/>
  <c r="P5" i="102"/>
  <c r="R5" i="102" s="1"/>
  <c r="P4" i="102"/>
  <c r="K5" i="102" l="1"/>
  <c r="L5" i="102"/>
  <c r="Q5" i="102"/>
  <c r="B5" i="81" l="1"/>
  <c r="A5" i="81" s="1"/>
  <c r="N5" i="95" l="1"/>
  <c r="H5" i="95"/>
  <c r="B5" i="95"/>
  <c r="D4" i="95"/>
  <c r="P4" i="95" s="1"/>
  <c r="C4" i="95"/>
  <c r="O4" i="95" s="1"/>
  <c r="N3" i="95"/>
  <c r="H3" i="95"/>
  <c r="B3" i="95"/>
  <c r="P5" i="95" l="1"/>
  <c r="M5" i="95"/>
  <c r="J5" i="95"/>
  <c r="G5" i="95"/>
  <c r="C5" i="95"/>
  <c r="A5" i="95"/>
  <c r="D5" i="95"/>
  <c r="J4" i="95"/>
  <c r="I4" i="95"/>
  <c r="I5" i="95"/>
  <c r="O5" i="95"/>
  <c r="E5" i="95" l="1"/>
  <c r="F5" i="95"/>
  <c r="K5" i="95"/>
  <c r="L5" i="95"/>
  <c r="Q5" i="95"/>
  <c r="R5" i="95"/>
  <c r="D4" i="67" l="1"/>
  <c r="C4" i="67"/>
  <c r="D4" i="60"/>
  <c r="C4" i="60"/>
  <c r="D4" i="53"/>
  <c r="C4" i="53"/>
  <c r="D4" i="38"/>
  <c r="C4" i="38"/>
  <c r="D4" i="81"/>
  <c r="C4" i="81"/>
  <c r="P4" i="81" l="1"/>
  <c r="J4" i="81"/>
  <c r="P4" i="67"/>
  <c r="J4" i="67"/>
  <c r="P4" i="53"/>
  <c r="J4" i="53"/>
  <c r="J4" i="38"/>
  <c r="P4" i="38"/>
  <c r="P4" i="60"/>
  <c r="J4" i="60"/>
  <c r="O4" i="53"/>
  <c r="I4" i="53"/>
  <c r="O4" i="38"/>
  <c r="I4" i="38"/>
  <c r="O4" i="81"/>
  <c r="I4" i="81"/>
  <c r="O4" i="60"/>
  <c r="I4" i="60"/>
  <c r="O4" i="67"/>
  <c r="I4" i="67"/>
  <c r="D4" i="88"/>
  <c r="C4" i="88"/>
  <c r="I4" i="88" s="1"/>
  <c r="J4" i="88" l="1"/>
  <c r="P4" i="88"/>
  <c r="N5" i="88"/>
  <c r="H5" i="88"/>
  <c r="B5" i="88"/>
  <c r="O4" i="88"/>
  <c r="N3" i="88"/>
  <c r="H3" i="88"/>
  <c r="B3" i="88"/>
  <c r="O5" i="81"/>
  <c r="H5" i="81"/>
  <c r="G5" i="81" s="1"/>
  <c r="N3" i="81"/>
  <c r="H3" i="81"/>
  <c r="B3" i="81"/>
  <c r="N5" i="67"/>
  <c r="N3" i="67"/>
  <c r="H3" i="67"/>
  <c r="B3" i="67"/>
  <c r="N3" i="60"/>
  <c r="H3" i="60"/>
  <c r="B3" i="60"/>
  <c r="N3" i="53"/>
  <c r="H3" i="53"/>
  <c r="B3" i="53"/>
  <c r="N5" i="53"/>
  <c r="J5" i="53"/>
  <c r="B5" i="53"/>
  <c r="O5" i="53" l="1"/>
  <c r="M5" i="53"/>
  <c r="C5" i="53"/>
  <c r="A5" i="53"/>
  <c r="O5" i="67"/>
  <c r="M5" i="67"/>
  <c r="P5" i="88"/>
  <c r="M5" i="88"/>
  <c r="J5" i="88"/>
  <c r="G5" i="88"/>
  <c r="D5" i="88"/>
  <c r="A5" i="88"/>
  <c r="D5" i="53"/>
  <c r="D5" i="81"/>
  <c r="C5" i="81"/>
  <c r="P5" i="53"/>
  <c r="I5" i="53"/>
  <c r="L5" i="53" s="1"/>
  <c r="C5" i="88"/>
  <c r="I5" i="88"/>
  <c r="O5" i="88"/>
  <c r="J5" i="81"/>
  <c r="I5" i="81"/>
  <c r="P5" i="81"/>
  <c r="P5" i="67"/>
  <c r="R5" i="67" l="1"/>
  <c r="R5" i="53"/>
  <c r="F5" i="53"/>
  <c r="F5" i="88"/>
  <c r="Q5" i="53"/>
  <c r="K5" i="53"/>
  <c r="E5" i="81"/>
  <c r="E5" i="53"/>
  <c r="F5" i="81"/>
  <c r="E5" i="88"/>
  <c r="Q5" i="88"/>
  <c r="R5" i="88"/>
  <c r="L5" i="88"/>
  <c r="K5" i="88"/>
  <c r="Q5" i="81"/>
  <c r="R5" i="81"/>
  <c r="K5" i="81"/>
  <c r="L5" i="81"/>
  <c r="Q5" i="67"/>
  <c r="N5" i="38" l="1"/>
  <c r="M5" i="38" s="1"/>
  <c r="H5" i="38"/>
  <c r="G5" i="38" s="1"/>
  <c r="B5" i="38"/>
  <c r="A5" i="38" s="1"/>
  <c r="P5" i="38" l="1"/>
  <c r="O5" i="38"/>
  <c r="J5" i="38"/>
  <c r="I5" i="38"/>
  <c r="D5" i="38"/>
  <c r="C5" i="38"/>
  <c r="R5" i="38" l="1"/>
  <c r="L5" i="38"/>
  <c r="F5" i="38"/>
  <c r="E5" i="38"/>
  <c r="K5" i="38"/>
  <c r="Q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3733CB73-FBCA-4D8D-92D3-6E9E424121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E1BD9F98-B575-47B1-9E2C-FFD4C9C3542C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1743F29F-0B97-4C29-BC87-AC1E3E803039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26D53A4-4D38-498A-8A73-3EF3E816CAB7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AFC980E7-DEDA-4B09-A68D-6B4518BC88D5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414B6777-259F-4AE4-AEA7-02117697629B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51C831B5-0E9E-4FCC-A5FA-0A6D0EAFD132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E10" authorId="0" shapeId="0" xr:uid="{EAF12235-2694-4EF5-B660-CEEDE3E303A6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F10" authorId="0" shapeId="0" xr:uid="{8B40FA8F-3BFA-44C8-8321-6C9C96430E6B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C11" authorId="0" shapeId="0" xr:uid="{995A9303-B989-4DE0-B409-0A5C3AE601C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  <comment ref="G12" authorId="0" shapeId="0" xr:uid="{AAA21327-73F2-4F7E-865C-2DFA63DC68A1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09A68F4-C554-4874-BC29-B6909DA67AF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B0C8511-6A31-424B-B7B6-3472CD7C529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8796DEC-08DB-4534-8BF3-0A0CA09579C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881EEE4-3355-425F-90AB-A9A3FC5BDCA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BC245A1-2772-4FEF-B2D4-282F5BB0FC7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3C09DFA-7B24-4997-89B9-A60FDB66AFB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52FD42C-AEEF-4555-BBF6-CD37903093D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E995E41-FA2A-492D-8417-65ADAB1AC8F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41CC24E-16CC-4FA1-A604-B6CAE8E5CBA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69FB146-9CF1-4962-8AD7-BF13B582F64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58D4671-B0E0-4619-A29A-F35416FC693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289A383-A44A-47DE-831A-66BFD48A044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D1DE916-E26B-4E9E-9A39-7BE9F8F0A72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80A2AFF-6641-4392-98F2-7F54B7CD724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AA499DA-C0B7-4560-8889-3DF9FD88AE9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F83CB50-FE8E-4207-BD30-3876C62A402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55724C8-C63A-45A0-983A-5FB9FB4E266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A487844-EB31-4093-919D-3F04087A75B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A8BF42A-6CF8-4E15-A4CE-D074CBC8229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42DF4B8-909F-43EA-9F00-4BD365AC68C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3531324-CA71-4C6C-806D-0440EB4F79D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0BB4F52-D645-4CB4-9C12-377D95F9C3F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DAE3CC7-FD9B-400C-B571-CA0D121125A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8C4CFBD-2B65-4598-BD7B-3E4BCA6E39C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0BED51B-F211-4B32-981A-27092A856E4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AA13ABE-60AE-4EDB-A35D-4A941C34312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592C423-C8BE-492C-8540-4D372E92FDB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60D1EC8-C1D9-455F-B01B-F88178299AA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B6B9D44-AEB2-4018-BFA3-7C8EF2702F0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CDD686C-DDF2-4D4D-9BE3-330941A8F32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9F88ED5-2FE8-4C8B-B491-73E4089277E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56BA809-2F14-47DF-9B4D-4CB4CE6C273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D002EE2-1017-4A0F-AC0D-C0A16E997BA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AE282CC-8B8D-446F-8BD9-BC63F65186A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606A98C-E666-4C62-AA68-5ECD0CD6534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E6ECC5A-CA7D-4E6D-81D2-29F30BDF4BF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06FFCD5-820A-4638-A922-95B90A1923E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DB5184E-C7B5-4389-AE5A-0080E9BA913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B87ECED-AEF2-42BC-8839-E4DCCD8DC38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CABF466-B1AE-458D-B06C-DB4A9BD46C5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1D7C1A8-D80F-4EFE-9D89-F915931599C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21F1EA6-9BCD-4432-92D8-4B3642627D1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A26EC5F-244D-4736-9F1D-69D54C5C09C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CC31EDB-4ECC-44EF-A79A-4267F85CDDD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594936D-85C2-4A03-910F-95E1E18D689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472563B-9639-4A4A-A4F0-FA52F0AE4D0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0C41C3D-A2BE-4571-B98B-A68979BE5E0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0E9AFA5-7AFD-4DC6-AC3B-E9A311AACED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8D100A5-3661-43EF-8784-2429398838C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31CB907-03CB-4299-8720-9779AAD00D6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17FFA59-C4DC-47E5-ADA6-2A238189ECF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F7E8212-E931-4A15-80DA-920C8E8B591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F5B723D-CCA8-497A-B0D2-34EA6B0CBA2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03F3572-04E2-43F6-8A7F-E63FED54A16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38C27C5-E0C1-4C0E-8A38-D678240F496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996C533-BC49-4409-90AE-9D4CAE6890F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8094E4A-BD7D-486D-9B79-E1FA9E5D224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916391F-2518-4D2D-A5D9-AF8A3802179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B172458-9E2C-4A1F-A90B-6CE9B3DC39C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F17E2A4-39C6-4025-91F4-00C7E08F7B8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997A35E-72C9-453B-8FD1-386CB231EB2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9E1CB92-D1C6-491B-AEE8-429A535B94F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8082AC2-86DA-4C6B-8307-7428194AD61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0A115C0-9008-49C0-A976-3BFC4483982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E040B10-102C-423B-85F6-7F5EE5C598A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EDFD68B-5F12-4379-9C81-6A1FDCA1439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3A0620D-F6D9-4951-B8F3-34BFEE19B6A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1EEBC89-B36F-4D20-B4E2-0367DD8182D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2F97780-BE46-4A89-AED5-67589AC5399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A416BF8-F916-4E05-9400-9F143FF68BB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7D3D32D-26B5-44A9-880E-3A0145AF413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08A1283-9773-46CB-B57B-E1015C21D3F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5D4ABDA-471D-4090-9050-E95B1D45079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3043917-3533-447C-B420-0E4312AB779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B8B7A70-CAC9-4020-A7BE-75C1D5DCB42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39CBB08-9CF0-4873-AA2F-B85909702A1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4C9708F-27F1-4C6D-9F62-B432324544C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05B438B-2F4E-41DE-8473-55844C51CFC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7047896-32B8-419A-B85A-2BF9646599E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79929E9-26C9-444E-A16D-60BFE937986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BEB1A0B-AFF9-45BD-9C51-A7E0143E723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F856A62-D037-42A5-9CC2-836EF174C26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CDC81C4-6671-47A2-AADC-EB1A2C46147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D9CB0AE-77C3-4E2F-9673-5B8C5F83273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D22F2FC-826D-4455-8788-BE353C2EA48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964C480-1000-4BC9-AAC7-AAD49207B4B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BBAF77A-B2F8-409C-A4B4-6D37B6B5778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BD9DE08-F73C-4752-89A3-68C6780D053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C5FAC3D-CE96-45EF-9692-5F0799F9D4E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9608CAA-784B-4EAB-BE48-129C0A4C8F1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D621DFF-49BC-4728-BF1E-6F5655ED645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24C7FAD-07D1-4B6D-B0DE-45300720F2C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A5A2EE2-93C8-47CC-8EC1-F8F9C04C98D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D96E406-25AF-4EF9-90B9-C506D6A7938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A456EEE-5AB6-4BF4-B364-4D4E280882A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44B406F-54DB-4A8F-A45A-A04ED950F25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B912162-01CD-4D18-9747-3D8576A5E8A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2F01F4D-3F75-4091-9A8C-03A8376E360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0210064-279A-476B-8AEB-BB8FC5E02FD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7945F09-48B9-4DCD-8A1E-899C7921711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3E1E972-2F04-4F99-8A33-9A354265AEA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A5B5AD5-7875-4BE6-AF4A-FF426CC52D2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D25F201-B034-4913-8059-3640D756ADD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B1119FC-2897-4C74-BCA4-A3ED2367191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61F3D69-775C-4771-B1F7-2F67B5BE1CC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3ED4221-4CF6-4272-AD09-D4C13797502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0CCF228-BD3E-4FC2-A83F-27466C59174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5C7EF05-30C4-40B9-B714-E8E78DA0D60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B921299-CBE9-4988-8632-BD05DFB0F52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9E79799-83B9-478C-8074-34A1327B5B9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B50095C-7271-4E67-B207-550842F08A1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EC58BE5-8C70-4F77-AE32-C71E45362F2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D14A98B-FCD1-44C2-97A1-7289672FE2A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791F8B1-9068-4B34-9DFA-28C3881A6E4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67D1FC3-7BE7-45AD-922E-431F2C8B2E6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0165F45-6F9D-4BE4-8C29-7016F661E01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46B4354-3887-4834-A2B7-CEB5889B6D9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51898CC-83C2-4C0C-9206-99202DBAED0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EAB4866-D669-460F-B2FD-A5F9B1442CB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6FAC90C-D138-4E08-94EF-389FB2F8DAD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CFE15B7-455A-4D4B-8FA3-5EE69FEA284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7B9D9E2-8838-4B9E-A0E8-0A4ED9AD906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889E579-71EC-470E-93F8-4CA387FA0BE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21859C8-1E9B-4CAF-96BB-5D0CEB351F3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83A8898-155F-45A6-B7A9-0EEDB09211D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4F21E1F-5C32-46AD-AEA4-89A83FC0C90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BFAA989-6D08-487B-A555-6C8D0F86F36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3242D54-F10B-4F99-ACF3-90593FCE762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5C870F6-F8DD-486A-96BC-B5699AB6882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8D6A216-C652-4F84-AB40-A72DBBE41E3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ED6E92C-919A-44E3-A3B2-39343EB8A6A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DF33BB8-3512-4E71-8ADE-040DCDE3C68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83EEC45-DFA4-408B-A939-B16EE37CE0D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01EB816-4A0C-4FB1-BE47-691FB850B7F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27499C4-167E-4180-8761-629E50C9D08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B76B144-E55E-4B89-A9B3-080E83E7804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910981D-1A4A-4FC3-B579-F7FA69426D7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C8A469F0-D4AA-4979-B8B0-17E33E06052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C9933CD-02B9-4518-9194-CE0A7F8B09C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5F854B7-A38D-4702-BE5F-370E38E5AF1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2B54D968-5BAD-4023-A143-D7FB2A2E366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A0F9D69-73AF-4430-948F-4B7A55A4A8D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B942C16-8761-4FE3-94B2-6C7D0E602C2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BFFC3F7-B3B0-4022-82E6-BF912D652CD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ED26EAD-0A98-471E-B8FD-DF373472F82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AD014CC-84F1-4EE7-892B-A6FCE50D510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27FDAB0-BDF1-4CE3-8D39-2963A39B098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8B71070-63BA-4860-A430-8927A0D1612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2386E2E-2D05-417B-B31F-1F9C47B62EC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96BEA94-CB41-4288-8B16-71AC80B0D64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E4B4CE4-83BB-489F-A1DD-3F191766E22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666543B-48CD-45D7-A3A4-EB28A9CC698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5C066DD-4A29-430E-BD6F-FB0AA22CF5E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2FC09FC-B45A-44EB-9C9D-68608D52B94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18A7DD5-6B66-4F02-925B-72084ED9762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9B417D8-3C6C-48EA-944C-5783AE917B1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A23330D-6380-442F-8787-21D62781960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87FE15D-6E91-432B-ABE1-DAA54CFE833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EBB8820-86E3-49C2-B9E7-828BE561E0E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6E607FD-9673-407A-A796-C2F1DAD0D88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2F745BC-9FD0-4DB8-88CC-253C7E884D0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B92BA9F-1FE5-4B1C-9778-3D3C47CDBA7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5D1466E-8D0D-4F78-82DE-C4953B2C320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2B6D494-44D4-4DAE-877B-C059D428626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F5EF7CC-991E-49BD-9775-B0D11DCC6B9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FBB7C13-A477-4DEA-B6AA-4E835686784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97BD216-AD51-4001-82D6-29A52ED73FB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8B0A728-EB02-4398-9F61-5BC046896F1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D4C4FBB-371F-4804-9C71-F6090824664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8867182-EE7A-4251-B588-4CF2C12A4A3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66886A3-3225-4C90-8DBB-CB2D8F0D73D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6CF92DC-17E5-41B9-8B05-C42B7A44763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52BD9A7-AE5D-4326-A917-3160D0D6CE2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36B8DD8-E96A-451A-AE35-C72149096CA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C83704E-A76A-4D4D-A9F6-3171008B641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7E6B084-8801-46C2-BE64-DCEF90CF50B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07BCFD3-0C51-4381-9B29-D2F15FBBA92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82585CB-09DD-47CF-8B62-3D492E5938C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D87F53D-4C4C-4BD4-9F2E-6F187831B83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14FC2C7-6AC3-41FD-B29A-89DBBCCAEFF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085274F-21F0-4580-A921-D82AA33BF20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8319FE7-D92B-4DFA-B147-FA45CB934AC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4A22B6D-E8C8-400F-A326-00005DAA758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5D687D4-3763-4EBE-A2E6-07F2F29CFC7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1FDFC1A-A671-4728-AB4D-343B733293E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40CC061-8ED9-4BD9-A408-2DBE561924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CF30FB5-EAD1-4FB6-BBAE-BF49D81E134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A3561F0-EFDD-48C9-95BB-548C1F55AE4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E92F875-A4D3-4C50-A762-ECD3D9DB469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A7D2712-98F5-4EAF-8C69-663347CD89F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96D4E5A-1903-4A1E-A07C-8690244A340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695F524-0213-4B5B-A660-396200DB305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5F834B1-BBB9-4F8A-A742-111E13109D0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ED78014-340E-478B-8134-597788289B7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71199FA-26AF-47AA-8A39-410B091BB32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3991BDE-02E6-4660-90D9-9E727E022C2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AA47F59-AE7E-4C0D-B235-17B63674937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D061260-CC22-4BD2-949C-C6A4B756B76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304CD6E-09D1-40FC-B2AA-F6BB13180EA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4AA0231-7ACA-4B88-9CD5-DBA02ECA8B2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72849BE-B714-4C2E-8CEA-5FBAE515F73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B9B695B-662A-4851-9C9E-25D6B429ABD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8FD5C0E-FF6C-4CFA-92DB-A6E5FB74364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21B8ABD-25E7-47DE-9359-C12E5686ECD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6984E90-7F1D-4705-9DD7-EC40DCDFF0E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419DBCB-435C-4B94-966E-824C9E5EDCE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96E6305-47A6-468E-93AB-E57F9D0A388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3552FBA7-20AD-4BD1-8431-B345764DB69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FD901A9-A165-4C98-8B71-2FDAE0C8CBC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8243FC9-A876-4281-8B81-C4F44E04A9B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7C3CC6A-5D73-4A07-AAD9-503FA55201D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F2D39EE-7867-431F-BE53-006499294B6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195A613-3AC7-4F98-BF25-38727B7147D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6CC9F8B-3C7A-4E5B-B0C5-30B03C2965E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857738D-0424-44C2-8FA5-6A5A45586336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367A122-FFD2-4494-B800-7BB21394B99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sharedStrings.xml><?xml version="1.0" encoding="utf-8"?>
<sst xmlns="http://schemas.openxmlformats.org/spreadsheetml/2006/main" count="13361" uniqueCount="5274">
  <si>
    <t xml:space="preserve">     Refresh     </t>
  </si>
  <si>
    <t>Korean</t>
  </si>
  <si>
    <t>A|B|C|D|</t>
  </si>
  <si>
    <t>D</t>
  </si>
  <si>
    <t>Descending</t>
  </si>
  <si>
    <t>코드</t>
  </si>
  <si>
    <t>구성종목</t>
  </si>
  <si>
    <t>주식수(계약수)</t>
  </si>
  <si>
    <t>금액</t>
  </si>
  <si>
    <t>금액기준 구성비중(%)</t>
  </si>
  <si>
    <t>원화현금</t>
  </si>
  <si>
    <t>A298040</t>
  </si>
  <si>
    <t>효성중공업</t>
  </si>
  <si>
    <t>A000660</t>
  </si>
  <si>
    <t>SK하이닉스</t>
  </si>
  <si>
    <t>A267260</t>
  </si>
  <si>
    <t>HD현대일렉트릭</t>
  </si>
  <si>
    <t>A034020</t>
  </si>
  <si>
    <t>두산에너빌리티</t>
  </si>
  <si>
    <t>A010120</t>
  </si>
  <si>
    <t>LS ELECTRIC</t>
  </si>
  <si>
    <t>A000720</t>
  </si>
  <si>
    <t>현대건설</t>
  </si>
  <si>
    <t>A051600</t>
  </si>
  <si>
    <t>한전KPS</t>
  </si>
  <si>
    <t>A052690</t>
  </si>
  <si>
    <t>한전기술</t>
  </si>
  <si>
    <t>A083650</t>
  </si>
  <si>
    <t>비에이치아이</t>
  </si>
  <si>
    <t>A463050</t>
    <phoneticPr fontId="2" type="noConversion"/>
  </si>
  <si>
    <t>TIMEFOLIO K바이오액티브</t>
    <phoneticPr fontId="2" type="noConversion"/>
  </si>
  <si>
    <t>A196170</t>
  </si>
  <si>
    <t>알테오젠</t>
  </si>
  <si>
    <t>A068270</t>
  </si>
  <si>
    <t>셀트리온</t>
  </si>
  <si>
    <t>A141080</t>
  </si>
  <si>
    <t>리가켐바이오</t>
  </si>
  <si>
    <t>A347850</t>
  </si>
  <si>
    <t>디앤디파마텍</t>
  </si>
  <si>
    <t>A310210</t>
  </si>
  <si>
    <t>보로노이</t>
  </si>
  <si>
    <t>A298380</t>
  </si>
  <si>
    <t>에이비엘바이오</t>
  </si>
  <si>
    <t>A326030</t>
  </si>
  <si>
    <t>SK바이오팜</t>
  </si>
  <si>
    <t>A226950</t>
  </si>
  <si>
    <t>올릭스</t>
  </si>
  <si>
    <t>A098460</t>
  </si>
  <si>
    <t>고영</t>
  </si>
  <si>
    <t>A237690</t>
  </si>
  <si>
    <t>에스티팜</t>
  </si>
  <si>
    <t>A397030</t>
  </si>
  <si>
    <t>에이프릴바이오</t>
  </si>
  <si>
    <t>A128940</t>
  </si>
  <si>
    <t>한미약품</t>
  </si>
  <si>
    <t>A145020</t>
  </si>
  <si>
    <t>휴젤</t>
  </si>
  <si>
    <t>A039200</t>
  </si>
  <si>
    <t>오스코텍</t>
  </si>
  <si>
    <t>A249420</t>
  </si>
  <si>
    <t>일동제약</t>
  </si>
  <si>
    <t>A214450</t>
  </si>
  <si>
    <t>파마리서치</t>
  </si>
  <si>
    <t>A278470</t>
  </si>
  <si>
    <t>에이피알</t>
  </si>
  <si>
    <t>A462900</t>
    <phoneticPr fontId="2" type="noConversion"/>
  </si>
  <si>
    <t>KoAct 바이오헬스케어액티브</t>
  </si>
  <si>
    <t>A389650</t>
  </si>
  <si>
    <t>넥스트바이오메디컬</t>
  </si>
  <si>
    <t>A000250</t>
  </si>
  <si>
    <t>삼천당제약</t>
  </si>
  <si>
    <t>A0000z0</t>
    <phoneticPr fontId="2" type="noConversion"/>
  </si>
  <si>
    <t>RISE 바이오TOP10액티브</t>
  </si>
  <si>
    <t>A012450</t>
  </si>
  <si>
    <t>한화에어로스페이스</t>
  </si>
  <si>
    <t>종목명</t>
    <phoneticPr fontId="2" type="noConversion"/>
  </si>
  <si>
    <t>비중차이</t>
    <phoneticPr fontId="2" type="noConversion"/>
  </si>
  <si>
    <t>증가율</t>
    <phoneticPr fontId="2" type="noConversion"/>
  </si>
  <si>
    <t>A003230</t>
  </si>
  <si>
    <t>삼양식품</t>
  </si>
  <si>
    <t>A005930</t>
  </si>
  <si>
    <t>삼성전자</t>
  </si>
  <si>
    <t>A039490</t>
  </si>
  <si>
    <t>키움증권</t>
  </si>
  <si>
    <t>A006800</t>
  </si>
  <si>
    <t>미래에셋증권</t>
  </si>
  <si>
    <t>A003530</t>
  </si>
  <si>
    <t>한화투자증권</t>
  </si>
  <si>
    <t>A064350</t>
  </si>
  <si>
    <t>현대로템</t>
  </si>
  <si>
    <t>A030200</t>
  </si>
  <si>
    <t>KT</t>
  </si>
  <si>
    <t>A000150</t>
  </si>
  <si>
    <t>두산</t>
  </si>
  <si>
    <t>A015760</t>
  </si>
  <si>
    <t>한국전력</t>
  </si>
  <si>
    <t>A016360</t>
  </si>
  <si>
    <t>삼성증권</t>
  </si>
  <si>
    <t>A035420</t>
  </si>
  <si>
    <t>NAVER</t>
  </si>
  <si>
    <t>A005940</t>
  </si>
  <si>
    <t>NH투자증권</t>
  </si>
  <si>
    <t>A105560</t>
  </si>
  <si>
    <t>KB금융</t>
  </si>
  <si>
    <t>A000810</t>
  </si>
  <si>
    <t>삼성화재</t>
  </si>
  <si>
    <t>A138040</t>
  </si>
  <si>
    <t>메리츠금융지주</t>
  </si>
  <si>
    <t>A032830</t>
  </si>
  <si>
    <t>삼성생명</t>
  </si>
  <si>
    <t>A005387</t>
  </si>
  <si>
    <t>현대차2우B</t>
  </si>
  <si>
    <t>A086790</t>
  </si>
  <si>
    <t>하나금융지주</t>
  </si>
  <si>
    <t>A055550</t>
  </si>
  <si>
    <t>신한지주</t>
  </si>
  <si>
    <t>A010950</t>
  </si>
  <si>
    <t>S-Oil</t>
  </si>
  <si>
    <t>A071050</t>
  </si>
  <si>
    <t>한국금융지주</t>
  </si>
  <si>
    <t>A005490</t>
  </si>
  <si>
    <t>POSCO홀딩스</t>
  </si>
  <si>
    <t>A079550</t>
  </si>
  <si>
    <t>A175330</t>
  </si>
  <si>
    <t>JB금융지주</t>
  </si>
  <si>
    <t>A138930</t>
  </si>
  <si>
    <t>BNK금융지주</t>
  </si>
  <si>
    <t>A000270</t>
  </si>
  <si>
    <t>기아</t>
  </si>
  <si>
    <t>A316140</t>
  </si>
  <si>
    <t>우리금융지주</t>
  </si>
  <si>
    <t>A024110</t>
  </si>
  <si>
    <t>기업은행</t>
  </si>
  <si>
    <t>A033780</t>
  </si>
  <si>
    <t>KT&amp;G</t>
  </si>
  <si>
    <t>A028260</t>
  </si>
  <si>
    <t>삼성물산</t>
  </si>
  <si>
    <t>A441800</t>
    <phoneticPr fontId="2" type="noConversion"/>
  </si>
  <si>
    <t>A010140</t>
  </si>
  <si>
    <t>삼성중공업</t>
  </si>
  <si>
    <t>A005380</t>
  </si>
  <si>
    <t>현대차</t>
  </si>
  <si>
    <t>A001040</t>
  </si>
  <si>
    <t>CJ</t>
  </si>
  <si>
    <t>A021240</t>
  </si>
  <si>
    <t>코웨이</t>
  </si>
  <si>
    <t>A259960</t>
  </si>
  <si>
    <t>크래프톤</t>
  </si>
  <si>
    <t>A006260</t>
  </si>
  <si>
    <t>LS</t>
  </si>
  <si>
    <t>A017800</t>
  </si>
  <si>
    <t>현대엘리베이터</t>
  </si>
  <si>
    <t>A014680</t>
  </si>
  <si>
    <t>한솔케미칼</t>
  </si>
  <si>
    <t>A383220</t>
  </si>
  <si>
    <t>F&amp;F</t>
  </si>
  <si>
    <t>A145720</t>
  </si>
  <si>
    <t>덴티움</t>
  </si>
  <si>
    <t>A058470</t>
  </si>
  <si>
    <t>리노공업</t>
  </si>
  <si>
    <t>A011200</t>
  </si>
  <si>
    <t>HMM</t>
  </si>
  <si>
    <t>A005290</t>
  </si>
  <si>
    <t>동진쎄미켐</t>
  </si>
  <si>
    <t>A215200</t>
  </si>
  <si>
    <t>메가스터디교육</t>
  </si>
  <si>
    <t>A267250</t>
  </si>
  <si>
    <t>HD현대</t>
  </si>
  <si>
    <t>A035250</t>
  </si>
  <si>
    <t>강원랜드</t>
  </si>
  <si>
    <t>A029780</t>
  </si>
  <si>
    <t>삼성카드</t>
  </si>
  <si>
    <t>A012330</t>
  </si>
  <si>
    <t>현대모비스</t>
  </si>
  <si>
    <t>A005830</t>
  </si>
  <si>
    <t>DB손해보험</t>
  </si>
  <si>
    <t>A057050</t>
  </si>
  <si>
    <t>현대홈쇼핑</t>
  </si>
  <si>
    <t>A086280</t>
  </si>
  <si>
    <t>현대글로비스</t>
  </si>
  <si>
    <t>A240810</t>
  </si>
  <si>
    <t>원익IPS</t>
  </si>
  <si>
    <t>A047050</t>
  </si>
  <si>
    <t>포스코인터내셔널</t>
  </si>
  <si>
    <t>A002380</t>
  </si>
  <si>
    <t>KCC</t>
  </si>
  <si>
    <t>A051910</t>
  </si>
  <si>
    <t>LG화학</t>
  </si>
  <si>
    <t>A402340</t>
  </si>
  <si>
    <t>SK스퀘어</t>
  </si>
  <si>
    <t>A032640</t>
  </si>
  <si>
    <t>LG유플러스</t>
  </si>
  <si>
    <t>A011780</t>
  </si>
  <si>
    <t>금호석유화학</t>
  </si>
  <si>
    <t>A214320</t>
  </si>
  <si>
    <t>이노션</t>
  </si>
  <si>
    <t>A285130</t>
  </si>
  <si>
    <t>SK케미칼</t>
  </si>
  <si>
    <t>A139480</t>
  </si>
  <si>
    <t>이마트</t>
  </si>
  <si>
    <t>A093050</t>
  </si>
  <si>
    <t>LF</t>
  </si>
  <si>
    <t>A041830</t>
  </si>
  <si>
    <t>인바디</t>
  </si>
  <si>
    <t>A000120</t>
  </si>
  <si>
    <t>CJ대한통운</t>
  </si>
  <si>
    <t>A003240</t>
  </si>
  <si>
    <t>태광산업</t>
  </si>
  <si>
    <t>A005300</t>
  </si>
  <si>
    <t>롯데칠성</t>
  </si>
  <si>
    <t>A007070</t>
  </si>
  <si>
    <t>GS리테일</t>
  </si>
  <si>
    <t>A000990</t>
  </si>
  <si>
    <t>DB하이텍</t>
  </si>
  <si>
    <t>A0074K0</t>
    <phoneticPr fontId="2" type="noConversion"/>
  </si>
  <si>
    <t>A035900</t>
  </si>
  <si>
    <t>JYP Ent.</t>
  </si>
  <si>
    <t>A329180</t>
  </si>
  <si>
    <t>HD현대중공업</t>
  </si>
  <si>
    <t>A017960</t>
  </si>
  <si>
    <t>한국카본</t>
  </si>
  <si>
    <t>A122870</t>
  </si>
  <si>
    <t>와이지엔터테인먼트</t>
  </si>
  <si>
    <t>A044490</t>
  </si>
  <si>
    <t>태웅</t>
  </si>
  <si>
    <t>A251270</t>
  </si>
  <si>
    <t>넷마블</t>
  </si>
  <si>
    <t>A090430</t>
  </si>
  <si>
    <t>아모레퍼시픽</t>
  </si>
  <si>
    <t>A352820</t>
  </si>
  <si>
    <t>하이브</t>
  </si>
  <si>
    <t>A445290</t>
    <phoneticPr fontId="2" type="noConversion"/>
  </si>
  <si>
    <t>A108490</t>
  </si>
  <si>
    <t>로보티즈</t>
  </si>
  <si>
    <t>A035720</t>
  </si>
  <si>
    <t>카카오</t>
  </si>
  <si>
    <t>A277810</t>
  </si>
  <si>
    <t>레인보우로보틱스</t>
  </si>
  <si>
    <t>A018260</t>
  </si>
  <si>
    <t>삼성에스디에스</t>
  </si>
  <si>
    <t>A454910</t>
  </si>
  <si>
    <t>두산로보틱스</t>
  </si>
  <si>
    <t>A066570</t>
  </si>
  <si>
    <t>LG전자</t>
  </si>
  <si>
    <t>A307950</t>
  </si>
  <si>
    <t>현대오토에버</t>
  </si>
  <si>
    <t>A348340</t>
  </si>
  <si>
    <t>뉴로메카</t>
  </si>
  <si>
    <t>A388720</t>
  </si>
  <si>
    <t>유일로보틱스</t>
  </si>
  <si>
    <t>A060280</t>
  </si>
  <si>
    <t>큐렉소</t>
  </si>
  <si>
    <t>A058610</t>
  </si>
  <si>
    <t>에스피지</t>
  </si>
  <si>
    <t>A056080</t>
  </si>
  <si>
    <t>유진로봇</t>
  </si>
  <si>
    <t>A466100</t>
  </si>
  <si>
    <t>클로봇</t>
  </si>
  <si>
    <t>A054950</t>
  </si>
  <si>
    <t>제이브이엠</t>
  </si>
  <si>
    <t>A030530</t>
  </si>
  <si>
    <t>원익홀딩스</t>
  </si>
  <si>
    <t>A402030</t>
  </si>
  <si>
    <t>코난테크놀로지</t>
  </si>
  <si>
    <t>A455900</t>
  </si>
  <si>
    <t>엔젤로보틱스</t>
  </si>
  <si>
    <t>A160190</t>
  </si>
  <si>
    <t>하이젠알앤엠</t>
  </si>
  <si>
    <t>A464080</t>
  </si>
  <si>
    <t>에스오에스랩</t>
  </si>
  <si>
    <t>A410870</t>
    <phoneticPr fontId="2" type="noConversion"/>
  </si>
  <si>
    <t>A499790</t>
  </si>
  <si>
    <t>GS피앤엘</t>
  </si>
  <si>
    <t>A041510</t>
  </si>
  <si>
    <t>에스엠</t>
  </si>
  <si>
    <t>A253450</t>
  </si>
  <si>
    <t>스튜디오드래곤</t>
  </si>
  <si>
    <t>A035760</t>
  </si>
  <si>
    <t>CJ ENM</t>
  </si>
  <si>
    <t>A006730</t>
  </si>
  <si>
    <t>서부T&amp;D</t>
  </si>
  <si>
    <t>A034230</t>
  </si>
  <si>
    <t>파라다이스</t>
  </si>
  <si>
    <t>A008770</t>
  </si>
  <si>
    <t>호텔신라</t>
  </si>
  <si>
    <t>A385720</t>
  </si>
  <si>
    <t>A385720</t>
    <phoneticPr fontId="2" type="noConversion"/>
  </si>
  <si>
    <t>A373220</t>
  </si>
  <si>
    <t>LG에너지솔루션</t>
  </si>
  <si>
    <t>A009540</t>
  </si>
  <si>
    <t>HD한국조선해양</t>
  </si>
  <si>
    <t>A009830</t>
  </si>
  <si>
    <t>한화솔루션</t>
  </si>
  <si>
    <t>A443060</t>
  </si>
  <si>
    <t>HD현대마린솔루션</t>
  </si>
  <si>
    <t>A064400</t>
  </si>
  <si>
    <t>LG씨엔에스</t>
  </si>
  <si>
    <t>A096770</t>
  </si>
  <si>
    <t>SK이노베이션</t>
  </si>
  <si>
    <t>A006400</t>
  </si>
  <si>
    <t>삼성SDI</t>
  </si>
  <si>
    <t>A042660</t>
  </si>
  <si>
    <t>한화오션</t>
  </si>
  <si>
    <t>A034730</t>
  </si>
  <si>
    <t>SK</t>
  </si>
  <si>
    <t>A010130</t>
  </si>
  <si>
    <t>고려아연</t>
  </si>
  <si>
    <t>A003670</t>
  </si>
  <si>
    <t>포스코퓨처엠</t>
  </si>
  <si>
    <t>A272210</t>
  </si>
  <si>
    <t>한화시스템</t>
  </si>
  <si>
    <t>A000880</t>
  </si>
  <si>
    <t>한화</t>
  </si>
  <si>
    <t>A036570</t>
  </si>
  <si>
    <t>A028050</t>
  </si>
  <si>
    <t>삼성E&amp;A</t>
  </si>
  <si>
    <t>A078930</t>
  </si>
  <si>
    <t>GS</t>
  </si>
  <si>
    <t>A011790</t>
  </si>
  <si>
    <t>SKC</t>
  </si>
  <si>
    <t>A001440</t>
  </si>
  <si>
    <t>대한전선</t>
  </si>
  <si>
    <t>A112610</t>
  </si>
  <si>
    <t>씨에스윈드</t>
  </si>
  <si>
    <t>A010060</t>
  </si>
  <si>
    <t>OCI홀딩스</t>
  </si>
  <si>
    <t>A066970</t>
  </si>
  <si>
    <t>엘앤에프</t>
  </si>
  <si>
    <t>A023530</t>
  </si>
  <si>
    <t>롯데쇼핑</t>
  </si>
  <si>
    <t>A004170</t>
  </si>
  <si>
    <t>신세계</t>
  </si>
  <si>
    <t>A450080</t>
  </si>
  <si>
    <t>에코프로머티</t>
  </si>
  <si>
    <t>A022100</t>
  </si>
  <si>
    <t>포스코DX</t>
  </si>
  <si>
    <t>A028670</t>
  </si>
  <si>
    <t>팬오션</t>
  </si>
  <si>
    <t>A018880</t>
  </si>
  <si>
    <t>한온시스템</t>
  </si>
  <si>
    <t>A047040</t>
  </si>
  <si>
    <t>대우건설</t>
  </si>
  <si>
    <t>A004000</t>
  </si>
  <si>
    <t>롯데정밀화학</t>
  </si>
  <si>
    <t>A003030</t>
  </si>
  <si>
    <t>세아제강지주</t>
  </si>
  <si>
    <t>A471780</t>
    <phoneticPr fontId="2" type="noConversion"/>
  </si>
  <si>
    <t>A007660</t>
  </si>
  <si>
    <t>이수페타시스</t>
  </si>
  <si>
    <t>A039030</t>
  </si>
  <si>
    <t>이오테크닉스</t>
  </si>
  <si>
    <t>A095340</t>
  </si>
  <si>
    <t>ISC</t>
  </si>
  <si>
    <t>A247540</t>
  </si>
  <si>
    <t>에코프로비엠</t>
  </si>
  <si>
    <t>A353200</t>
  </si>
  <si>
    <t>대덕전자</t>
  </si>
  <si>
    <t>A089030</t>
  </si>
  <si>
    <t>테크윙</t>
  </si>
  <si>
    <t>A357780</t>
  </si>
  <si>
    <t>솔브레인</t>
  </si>
  <si>
    <t>A425420</t>
  </si>
  <si>
    <t>티에프이</t>
  </si>
  <si>
    <t>A445150</t>
    <phoneticPr fontId="2" type="noConversion"/>
  </si>
  <si>
    <t>A071970</t>
  </si>
  <si>
    <t>HD현대마린엔진</t>
  </si>
  <si>
    <t>A082740</t>
  </si>
  <si>
    <t>한화엔진</t>
  </si>
  <si>
    <t>A033500</t>
  </si>
  <si>
    <t>동성화인텍</t>
  </si>
  <si>
    <t>A014620</t>
  </si>
  <si>
    <t>성광벤드</t>
  </si>
  <si>
    <t>A077970</t>
  </si>
  <si>
    <t>STX엔진</t>
  </si>
  <si>
    <t>A005880</t>
  </si>
  <si>
    <t>대한해운</t>
  </si>
  <si>
    <t>A100090</t>
  </si>
  <si>
    <t>SK오션플랜트</t>
  </si>
  <si>
    <t>A044450</t>
  </si>
  <si>
    <t>KSS해운</t>
  </si>
  <si>
    <t>A385710</t>
    <phoneticPr fontId="2" type="noConversion"/>
  </si>
  <si>
    <t>A487130</t>
    <phoneticPr fontId="2" type="noConversion"/>
  </si>
  <si>
    <t>A012510</t>
  </si>
  <si>
    <t>더존비즈온</t>
  </si>
  <si>
    <t>A119850</t>
  </si>
  <si>
    <t>지엔씨에너지</t>
  </si>
  <si>
    <t>A336260</t>
  </si>
  <si>
    <t>두산퓨얼셀</t>
  </si>
  <si>
    <t>A020150</t>
  </si>
  <si>
    <t>롯데에너지머티리얼즈</t>
  </si>
  <si>
    <t>A100840</t>
  </si>
  <si>
    <t>SNT에너지</t>
  </si>
  <si>
    <t>A062040</t>
  </si>
  <si>
    <t>산일전기</t>
  </si>
  <si>
    <t>A475150</t>
  </si>
  <si>
    <t>SK이터닉스</t>
  </si>
  <si>
    <t>A422420</t>
    <phoneticPr fontId="2" type="noConversion"/>
  </si>
  <si>
    <t>A086520</t>
  </si>
  <si>
    <t>에코프로</t>
  </si>
  <si>
    <t>A005070</t>
  </si>
  <si>
    <t>코스모신소재</t>
  </si>
  <si>
    <t>A107640</t>
  </si>
  <si>
    <t>한중엔시에스</t>
  </si>
  <si>
    <t>A422260</t>
    <phoneticPr fontId="2" type="noConversion"/>
  </si>
  <si>
    <t>A260970</t>
  </si>
  <si>
    <t>에스앤디</t>
  </si>
  <si>
    <t>A422260</t>
    <phoneticPr fontId="2" type="noConversion"/>
  </si>
  <si>
    <t>A385510</t>
    <phoneticPr fontId="2" type="noConversion"/>
  </si>
  <si>
    <t>A103590</t>
  </si>
  <si>
    <t>일진전기</t>
  </si>
  <si>
    <t>A322000</t>
  </si>
  <si>
    <t>HD현대에너지솔루션</t>
  </si>
  <si>
    <t>A059090</t>
  </si>
  <si>
    <t>미코</t>
  </si>
  <si>
    <t>A006340</t>
  </si>
  <si>
    <t>대원전선</t>
  </si>
  <si>
    <t>A098070</t>
  </si>
  <si>
    <t>한텍</t>
  </si>
  <si>
    <t>A199820</t>
  </si>
  <si>
    <t>제일일렉트릭</t>
  </si>
  <si>
    <t>A213420</t>
  </si>
  <si>
    <t>덕산네오룩스</t>
  </si>
  <si>
    <t>A126340</t>
  </si>
  <si>
    <t>비나텍</t>
  </si>
  <si>
    <t>A075580</t>
  </si>
  <si>
    <t>세진중공업</t>
  </si>
  <si>
    <t>A297090</t>
  </si>
  <si>
    <t>씨에스베어링</t>
  </si>
  <si>
    <t>A018000</t>
  </si>
  <si>
    <t>유니슨</t>
  </si>
  <si>
    <t>A101970</t>
  </si>
  <si>
    <t>우양에이치씨</t>
  </si>
  <si>
    <t>A163280</t>
  </si>
  <si>
    <t>에어레인</t>
  </si>
  <si>
    <t>A178320</t>
  </si>
  <si>
    <t>서진시스템</t>
  </si>
  <si>
    <t>A229640</t>
  </si>
  <si>
    <t>LS에코에너지</t>
  </si>
  <si>
    <t>A306200</t>
  </si>
  <si>
    <t>세아제강</t>
  </si>
  <si>
    <t>A005010</t>
  </si>
  <si>
    <t>휴스틸</t>
  </si>
  <si>
    <t>A092790</t>
  </si>
  <si>
    <t>넥스틸</t>
  </si>
  <si>
    <t>A404120</t>
    <phoneticPr fontId="2" type="noConversion"/>
  </si>
  <si>
    <t>A495060</t>
    <phoneticPr fontId="2" type="noConversion"/>
  </si>
  <si>
    <t>A183300</t>
  </si>
  <si>
    <t>코미코</t>
  </si>
  <si>
    <t>비중차</t>
    <phoneticPr fontId="2" type="noConversion"/>
  </si>
  <si>
    <t>A281820</t>
  </si>
  <si>
    <t>케이씨텍</t>
  </si>
  <si>
    <t>A011070</t>
  </si>
  <si>
    <t>LG이노텍</t>
  </si>
  <si>
    <t>A009150</t>
  </si>
  <si>
    <t>삼성전기</t>
  </si>
  <si>
    <t>A069960</t>
  </si>
  <si>
    <t>현대백화점</t>
  </si>
  <si>
    <t>A476850</t>
    <phoneticPr fontId="2" type="noConversion"/>
  </si>
  <si>
    <t>A005935</t>
  </si>
  <si>
    <t>삼성전자우</t>
  </si>
  <si>
    <t>A012630</t>
  </si>
  <si>
    <t>HDC</t>
  </si>
  <si>
    <t>A016610</t>
  </si>
  <si>
    <t>DB증권</t>
  </si>
  <si>
    <t>A476850</t>
    <phoneticPr fontId="2" type="noConversion"/>
  </si>
  <si>
    <t>A441800</t>
    <phoneticPr fontId="2" type="noConversion"/>
  </si>
  <si>
    <t>A003540</t>
  </si>
  <si>
    <t>대신증권</t>
  </si>
  <si>
    <t>A403870</t>
  </si>
  <si>
    <t>HPSP</t>
  </si>
  <si>
    <t>A458870</t>
  </si>
  <si>
    <t>A319660</t>
  </si>
  <si>
    <t>피에스케이</t>
  </si>
  <si>
    <t>A194370</t>
  </si>
  <si>
    <t>제이에스코퍼레이션</t>
  </si>
  <si>
    <t>A067310</t>
  </si>
  <si>
    <t>하나마이크론</t>
  </si>
  <si>
    <t>A357580</t>
  </si>
  <si>
    <t>아모센스</t>
  </si>
  <si>
    <t>A031980</t>
  </si>
  <si>
    <t>피에스케이홀딩스</t>
  </si>
  <si>
    <t>A474590</t>
    <phoneticPr fontId="2" type="noConversion"/>
  </si>
  <si>
    <t>A084370</t>
  </si>
  <si>
    <t>유진테크</t>
  </si>
  <si>
    <t>A089970</t>
  </si>
  <si>
    <t>브이엠</t>
  </si>
  <si>
    <t>A140860</t>
  </si>
  <si>
    <t>파크시스템스</t>
  </si>
  <si>
    <t>A222800</t>
  </si>
  <si>
    <t>심텍</t>
  </si>
  <si>
    <t>원화예금</t>
  </si>
  <si>
    <t>A036810</t>
  </si>
  <si>
    <t>에프에스티</t>
  </si>
  <si>
    <t>A036930</t>
  </si>
  <si>
    <t>주성엔지니어링</t>
  </si>
  <si>
    <t>A064760</t>
  </si>
  <si>
    <t>티씨케이</t>
  </si>
  <si>
    <t>A232140</t>
  </si>
  <si>
    <t>와이씨</t>
  </si>
  <si>
    <t>A388420</t>
    <phoneticPr fontId="2" type="noConversion"/>
  </si>
  <si>
    <t>A376900</t>
  </si>
  <si>
    <t>로킷헬스케어</t>
  </si>
  <si>
    <t>A097230</t>
  </si>
  <si>
    <t>HJ중공업</t>
  </si>
  <si>
    <t>A468530</t>
  </si>
  <si>
    <t>프로티나</t>
  </si>
  <si>
    <t>A252990</t>
  </si>
  <si>
    <t>샘씨엔에스</t>
  </si>
  <si>
    <t>A138610</t>
  </si>
  <si>
    <t>나이벡</t>
  </si>
  <si>
    <t>A042520</t>
  </si>
  <si>
    <t>한스바이오메드</t>
  </si>
  <si>
    <t>A124500</t>
  </si>
  <si>
    <t>아이티센글로벌</t>
  </si>
  <si>
    <t>A071320</t>
  </si>
  <si>
    <t>지역난방공사</t>
  </si>
  <si>
    <t>A052400</t>
  </si>
  <si>
    <t>코나아이</t>
  </si>
  <si>
    <t>Date</t>
    <phoneticPr fontId="2" type="noConversion"/>
  </si>
  <si>
    <t>BaseOrder</t>
    <phoneticPr fontId="2" type="noConversion"/>
  </si>
  <si>
    <t>코드|구성종목|주식수(계약수)|금액|금액기준 구성비중(%)|</t>
    <phoneticPr fontId="2" type="noConversion"/>
  </si>
  <si>
    <t>ETP Components per CU</t>
    <phoneticPr fontId="2" type="noConversion"/>
  </si>
  <si>
    <t>WON 반도체밸류체인액티브</t>
    <phoneticPr fontId="2" type="noConversion"/>
  </si>
  <si>
    <t>RISE 비메모리반도체액티브</t>
    <phoneticPr fontId="2" type="noConversion"/>
  </si>
  <si>
    <t>KoAct 배당성장액티브</t>
    <phoneticPr fontId="2" type="noConversion"/>
  </si>
  <si>
    <t>KODEX 신재생에너지액티브</t>
    <phoneticPr fontId="2" type="noConversion"/>
  </si>
  <si>
    <t>RISE 2차전지액티브</t>
    <phoneticPr fontId="2" type="noConversion"/>
  </si>
  <si>
    <t>VITA MZ소비액티브</t>
    <phoneticPr fontId="2" type="noConversion"/>
  </si>
  <si>
    <t>KoAct AI인프라액티브</t>
    <phoneticPr fontId="2" type="noConversion"/>
  </si>
  <si>
    <t>KODEX 친환경조선해운액티브</t>
    <phoneticPr fontId="2" type="noConversion"/>
  </si>
  <si>
    <t>TIGER 코리아테크액티브</t>
    <phoneticPr fontId="2" type="noConversion"/>
  </si>
  <si>
    <t>KoAct K수출핵심기업TOP30액티브</t>
    <phoneticPr fontId="2" type="noConversion"/>
  </si>
  <si>
    <t>KODEX 로봇액티브</t>
    <phoneticPr fontId="2" type="noConversion"/>
  </si>
  <si>
    <t>KoAct 바이오헬스케어액티브</t>
    <phoneticPr fontId="2" type="noConversion"/>
  </si>
  <si>
    <t>RISE 바이오TOP10액티브</t>
    <phoneticPr fontId="2" type="noConversion"/>
  </si>
  <si>
    <t>A290650</t>
  </si>
  <si>
    <t>엘앤씨바이오</t>
  </si>
  <si>
    <t>A475830</t>
  </si>
  <si>
    <t>오름테라퓨틱</t>
  </si>
  <si>
    <t>A195870</t>
  </si>
  <si>
    <t>해성디에스</t>
  </si>
  <si>
    <t>A380550</t>
  </si>
  <si>
    <t>뉴로핏</t>
  </si>
  <si>
    <t>D</t>
    <phoneticPr fontId="2" type="noConversion"/>
  </si>
  <si>
    <t>A267270</t>
  </si>
  <si>
    <t>A089890</t>
  </si>
  <si>
    <t>코세스</t>
  </si>
  <si>
    <t>A389470</t>
  </si>
  <si>
    <t>인벤티지랩</t>
  </si>
  <si>
    <t>A003160</t>
  </si>
  <si>
    <t>디아이</t>
  </si>
  <si>
    <t>A257720</t>
  </si>
  <si>
    <t>실리콘투</t>
  </si>
  <si>
    <t>A047810</t>
  </si>
  <si>
    <t>한국항공우주</t>
  </si>
  <si>
    <t>A388210</t>
  </si>
  <si>
    <t>씨엠티엑스</t>
  </si>
  <si>
    <t>A078350</t>
  </si>
  <si>
    <t>한양디지텍</t>
  </si>
  <si>
    <t>A207940</t>
  </si>
  <si>
    <t>삼성바이오로직스</t>
  </si>
  <si>
    <t>A0126Z0</t>
  </si>
  <si>
    <t>삼성에피스홀딩스</t>
  </si>
  <si>
    <t>A174900</t>
  </si>
  <si>
    <t>앱클론</t>
  </si>
  <si>
    <t>A0120G0</t>
  </si>
  <si>
    <t>삼양바이오팜</t>
  </si>
  <si>
    <t>A005850</t>
  </si>
  <si>
    <t>에스엘</t>
  </si>
  <si>
    <t>A131290</t>
  </si>
  <si>
    <t>티에스이</t>
  </si>
  <si>
    <t>A204320</t>
  </si>
  <si>
    <t>HL만도</t>
  </si>
  <si>
    <t>A494220</t>
    <phoneticPr fontId="2" type="noConversion"/>
  </si>
  <si>
    <t>UNICORN SK하이닉스밸류체인액티브</t>
    <phoneticPr fontId="2" type="noConversion"/>
  </si>
  <si>
    <t>A083450</t>
  </si>
  <si>
    <t>GST</t>
  </si>
  <si>
    <t>A102710</t>
  </si>
  <si>
    <t>이엔에프테크놀로지</t>
  </si>
  <si>
    <t>A039440</t>
  </si>
  <si>
    <t>에스티아이</t>
  </si>
  <si>
    <t>A192820</t>
  </si>
  <si>
    <t>코스맥스</t>
  </si>
  <si>
    <t>A483650</t>
  </si>
  <si>
    <t>달바글로벌</t>
  </si>
  <si>
    <t>A322310</t>
  </si>
  <si>
    <t>오로스테크놀로지</t>
  </si>
  <si>
    <t>A006360</t>
  </si>
  <si>
    <t>GS건설</t>
  </si>
  <si>
    <t>A187790</t>
  </si>
  <si>
    <t>나노</t>
  </si>
  <si>
    <t>A001430</t>
  </si>
  <si>
    <t>세아베스틸지주</t>
  </si>
  <si>
    <t>A347700</t>
  </si>
  <si>
    <t>스피어</t>
  </si>
  <si>
    <t>A111770</t>
  </si>
  <si>
    <t>영원무역</t>
  </si>
  <si>
    <t>A006280</t>
  </si>
  <si>
    <t>녹십자</t>
  </si>
  <si>
    <t>A180640</t>
  </si>
  <si>
    <t>한진칼</t>
  </si>
  <si>
    <t>A140410</t>
  </si>
  <si>
    <t>메지온</t>
  </si>
  <si>
    <t>A100790</t>
  </si>
  <si>
    <t>미래에셋벤처투자</t>
  </si>
  <si>
    <t>A462350</t>
  </si>
  <si>
    <t>이노스페이스</t>
  </si>
  <si>
    <t>A476830</t>
  </si>
  <si>
    <t>알지노믹스</t>
  </si>
  <si>
    <t>A489790</t>
  </si>
  <si>
    <t>한화비전</t>
  </si>
  <si>
    <t>A003490</t>
  </si>
  <si>
    <t>대한항공</t>
  </si>
  <si>
    <t>A437730</t>
  </si>
  <si>
    <t>삼현</t>
  </si>
  <si>
    <t>A068760</t>
  </si>
  <si>
    <t>셀트리온제약</t>
  </si>
  <si>
    <t>A241560</t>
  </si>
  <si>
    <t>두산밥캣</t>
  </si>
  <si>
    <t>A491000</t>
  </si>
  <si>
    <t>리브스메드</t>
  </si>
  <si>
    <t>A200710</t>
  </si>
  <si>
    <t>에이디테크놀로지</t>
  </si>
  <si>
    <t>A452430</t>
  </si>
  <si>
    <t>사피엔반도체</t>
  </si>
  <si>
    <t>A399720</t>
  </si>
  <si>
    <t>가온칩스</t>
  </si>
  <si>
    <t>A403850</t>
  </si>
  <si>
    <t>더핑크퐁컴퍼니</t>
  </si>
  <si>
    <t>A389500</t>
  </si>
  <si>
    <t>에스비비테크</t>
  </si>
  <si>
    <t>A189300</t>
  </si>
  <si>
    <t>인텔리안테크</t>
  </si>
  <si>
    <t>A085910</t>
  </si>
  <si>
    <t>네오티스</t>
  </si>
  <si>
    <t>A272290</t>
  </si>
  <si>
    <t>이녹스첨단소재</t>
  </si>
  <si>
    <t>A456160</t>
  </si>
  <si>
    <t>지투지바이오</t>
  </si>
  <si>
    <t>A081660</t>
  </si>
  <si>
    <t>미스토홀딩스</t>
  </si>
  <si>
    <t>A001800</t>
  </si>
  <si>
    <t>오리온홀딩스</t>
  </si>
  <si>
    <t>A420770</t>
  </si>
  <si>
    <t>기가비스</t>
  </si>
  <si>
    <t>A459510</t>
  </si>
  <si>
    <t>나우로보틱스</t>
  </si>
  <si>
    <t>A009420</t>
  </si>
  <si>
    <t>한올바이오파마</t>
  </si>
  <si>
    <t>A299170</t>
  </si>
  <si>
    <t>더블유에스아이</t>
  </si>
  <si>
    <t>A457190</t>
  </si>
  <si>
    <t>이수스페셜티케미컬</t>
  </si>
  <si>
    <t>A017670</t>
  </si>
  <si>
    <t>SK텔레콤</t>
  </si>
  <si>
    <t>A014820</t>
  </si>
  <si>
    <t>동원시스템즈</t>
  </si>
  <si>
    <t>TIME Korea플러스배당액티브</t>
    <phoneticPr fontId="2" type="noConversion"/>
  </si>
  <si>
    <t>TIME K신재생에너지액티브</t>
    <phoneticPr fontId="2" type="noConversion"/>
  </si>
  <si>
    <t>TIME K이노베이션액티브</t>
    <phoneticPr fontId="2" type="noConversion"/>
  </si>
  <si>
    <t>TIME 코스피액티브</t>
    <phoneticPr fontId="2" type="noConversion"/>
  </si>
  <si>
    <t>TIME K컬처액티브</t>
    <phoneticPr fontId="2" type="noConversion"/>
  </si>
  <si>
    <t>TIME 코리아밸류업액티브</t>
    <phoneticPr fontId="2" type="noConversion"/>
  </si>
  <si>
    <t>TIME K바이오액티브</t>
    <phoneticPr fontId="2" type="noConversion"/>
  </si>
  <si>
    <t>A028300</t>
  </si>
  <si>
    <t>HLB</t>
  </si>
  <si>
    <t>A064290</t>
  </si>
  <si>
    <t>인텍플러스</t>
  </si>
  <si>
    <t>HD건설기계</t>
  </si>
  <si>
    <t>A064260</t>
  </si>
  <si>
    <t>다날</t>
  </si>
  <si>
    <t>A281740</t>
  </si>
  <si>
    <t>레이크머티리얼즈</t>
  </si>
  <si>
    <t>A263750</t>
  </si>
  <si>
    <t>펄어비스</t>
  </si>
  <si>
    <t>A214150</t>
  </si>
  <si>
    <t>클래시스</t>
  </si>
  <si>
    <t>A298020</t>
  </si>
  <si>
    <t>효성티앤씨</t>
  </si>
  <si>
    <t>A131970</t>
  </si>
  <si>
    <t>두산테스나</t>
  </si>
  <si>
    <t>A087010</t>
  </si>
  <si>
    <t>펩트론</t>
  </si>
  <si>
    <t>A950160</t>
  </si>
  <si>
    <t>코오롱티슈진</t>
  </si>
  <si>
    <t>A318060</t>
  </si>
  <si>
    <t>그래피</t>
  </si>
  <si>
    <t>A214370</t>
  </si>
  <si>
    <t>케어젠</t>
  </si>
  <si>
    <t>A0009K0</t>
  </si>
  <si>
    <t>에임드바이오</t>
  </si>
  <si>
    <t>A024850</t>
  </si>
  <si>
    <t>HLB이노베이션</t>
  </si>
  <si>
    <t>A078160</t>
  </si>
  <si>
    <t>메디포스트</t>
  </si>
  <si>
    <t>A304360</t>
  </si>
  <si>
    <t>에스바이오메딕스</t>
  </si>
  <si>
    <t>A241710</t>
  </si>
  <si>
    <t>코스메카코리아</t>
  </si>
  <si>
    <t>A042700</t>
  </si>
  <si>
    <t>한미반도체</t>
  </si>
  <si>
    <t>A036830</t>
  </si>
  <si>
    <t>솔브레인홀딩스</t>
  </si>
  <si>
    <t>A003380</t>
  </si>
  <si>
    <t>하림지주</t>
  </si>
  <si>
    <t>A336570</t>
  </si>
  <si>
    <t>원텍</t>
  </si>
  <si>
    <t>A348370</t>
  </si>
  <si>
    <t>엔켐</t>
  </si>
  <si>
    <t>A195940</t>
  </si>
  <si>
    <t>HK이노엔</t>
  </si>
  <si>
    <t>A007390</t>
  </si>
  <si>
    <t>네이처셀</t>
  </si>
  <si>
    <t>A085660</t>
  </si>
  <si>
    <t>차바이오텍</t>
  </si>
  <si>
    <t>A192650</t>
  </si>
  <si>
    <t>드림텍</t>
  </si>
  <si>
    <t>A080580</t>
  </si>
  <si>
    <t>오킨스전자</t>
  </si>
  <si>
    <t>A077360</t>
  </si>
  <si>
    <t>덕산하이메탈</t>
  </si>
  <si>
    <t>A440110</t>
  </si>
  <si>
    <t>파두</t>
  </si>
  <si>
    <t>A099320</t>
  </si>
  <si>
    <t>쎄트렉아이</t>
  </si>
  <si>
    <t>A001060</t>
  </si>
  <si>
    <t>JW중외제약</t>
  </si>
  <si>
    <t>A126720</t>
  </si>
  <si>
    <t>수산인더스트리</t>
  </si>
  <si>
    <t>A034830</t>
  </si>
  <si>
    <t>한국토지신탁</t>
  </si>
  <si>
    <t>A011930</t>
  </si>
  <si>
    <t>신성이엔지</t>
  </si>
  <si>
    <t>A171090</t>
  </si>
  <si>
    <t>선익시스템</t>
  </si>
  <si>
    <t>A123330</t>
  </si>
  <si>
    <t>제닉</t>
  </si>
  <si>
    <t>A078600</t>
  </si>
  <si>
    <t>대주전자재료</t>
  </si>
  <si>
    <t>A126700</t>
  </si>
  <si>
    <t>하이비젼시스템</t>
  </si>
  <si>
    <t>A114810</t>
  </si>
  <si>
    <t>한솔아이원스</t>
  </si>
  <si>
    <t>A475960</t>
  </si>
  <si>
    <t>토모큐브</t>
  </si>
  <si>
    <t>A052710</t>
  </si>
  <si>
    <t>아모텍</t>
  </si>
  <si>
    <t>A053610</t>
  </si>
  <si>
    <t>프로텍</t>
  </si>
  <si>
    <t>A444200</t>
    <phoneticPr fontId="2" type="noConversion"/>
  </si>
  <si>
    <t>SOL 코리아메가테크액티브</t>
    <phoneticPr fontId="2" type="noConversion"/>
  </si>
  <si>
    <t>A000100</t>
  </si>
  <si>
    <t>유한양행</t>
  </si>
  <si>
    <t>A488900</t>
  </si>
  <si>
    <t>비츠로넥스텍</t>
  </si>
  <si>
    <t>A005690</t>
  </si>
  <si>
    <t>파미셀</t>
  </si>
  <si>
    <t>A095610</t>
  </si>
  <si>
    <t>테스</t>
  </si>
  <si>
    <t>A032190</t>
  </si>
  <si>
    <t>다우데이타</t>
  </si>
  <si>
    <t>A080220</t>
  </si>
  <si>
    <t>제주반도체</t>
  </si>
  <si>
    <t>A494120</t>
  </si>
  <si>
    <t>큐리오시스</t>
  </si>
  <si>
    <t>A005090</t>
  </si>
  <si>
    <t>SGC에너지</t>
  </si>
  <si>
    <t>A110990</t>
  </si>
  <si>
    <t>디아이티</t>
  </si>
  <si>
    <t>A007810</t>
  </si>
  <si>
    <t>코리아써키트</t>
  </si>
  <si>
    <t>A290740</t>
  </si>
  <si>
    <t>액트로</t>
  </si>
  <si>
    <t>A082640</t>
  </si>
  <si>
    <t>동양생명</t>
  </si>
  <si>
    <t>A112290</t>
  </si>
  <si>
    <t>와이씨켐</t>
  </si>
  <si>
    <t>Peer Analysis (In Sector) 전체기업</t>
    <phoneticPr fontId="18" type="noConversion"/>
  </si>
  <si>
    <t>Sector</t>
    <phoneticPr fontId="18" type="noConversion"/>
  </si>
  <si>
    <t>W00</t>
    <phoneticPr fontId="18" type="noConversion"/>
  </si>
  <si>
    <t>Account Type</t>
    <phoneticPr fontId="18" type="noConversion"/>
  </si>
  <si>
    <t>All Listed</t>
  </si>
  <si>
    <t>Co</t>
    <phoneticPr fontId="21" type="noConversion"/>
  </si>
  <si>
    <t>Composition Date</t>
    <phoneticPr fontId="18" type="noConversion"/>
  </si>
  <si>
    <t>COM</t>
    <phoneticPr fontId="18" type="noConversion"/>
  </si>
  <si>
    <t>Account</t>
    <phoneticPr fontId="18" type="noConversion"/>
  </si>
  <si>
    <t>R100100</t>
    <phoneticPr fontId="18" type="noConversion"/>
  </si>
  <si>
    <t>S102100</t>
  </si>
  <si>
    <t>S107810</t>
  </si>
  <si>
    <t>E610550.M</t>
  </si>
  <si>
    <t>Period</t>
    <phoneticPr fontId="18" type="noConversion"/>
  </si>
  <si>
    <t>Unit</t>
    <phoneticPr fontId="18" type="noConversion"/>
  </si>
  <si>
    <t>Txt</t>
  </si>
  <si>
    <t>KRW BIL</t>
    <phoneticPr fontId="18" type="noConversion"/>
  </si>
  <si>
    <t>KRW BIL</t>
  </si>
  <si>
    <t>#</t>
  </si>
  <si>
    <t>Base Date</t>
    <phoneticPr fontId="18" type="noConversion"/>
  </si>
  <si>
    <t>Code</t>
    <phoneticPr fontId="18" type="noConversion"/>
  </si>
  <si>
    <t>Name</t>
    <phoneticPr fontId="18" type="noConversion"/>
  </si>
  <si>
    <t>시장구분</t>
    <phoneticPr fontId="18" type="noConversion"/>
  </si>
  <si>
    <t>시가총액</t>
    <phoneticPr fontId="18" type="noConversion"/>
  </si>
  <si>
    <t>120일평균거래대금</t>
    <phoneticPr fontId="18" type="noConversion"/>
  </si>
  <si>
    <t>EPS참여증권사(지배)</t>
    <phoneticPr fontId="18" type="noConversion"/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</si>
  <si>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</si>
  <si>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</si>
  <si>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</si>
  <si>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</si>
  <si>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</si>
  <si>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</si>
  <si>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</si>
  <si>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</si>
  <si>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</si>
  <si>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</si>
  <si>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</si>
  <si>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A000140</t>
  </si>
  <si>
    <t>하이트진로홀딩스</t>
  </si>
  <si>
    <t>A000180</t>
  </si>
  <si>
    <t>성창기업지주</t>
  </si>
  <si>
    <t>A0001A0</t>
  </si>
  <si>
    <t>덕양에너젠</t>
  </si>
  <si>
    <t>KQ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</si>
  <si>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</si>
  <si>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</si>
  <si>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</si>
  <si>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</si>
  <si>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</si>
  <si>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</si>
  <si>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</si>
  <si>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</si>
  <si>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A000300</t>
  </si>
  <si>
    <t>DH오토넥스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</si>
  <si>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</si>
  <si>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</si>
  <si>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</si>
  <si>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</si>
  <si>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</si>
  <si>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</si>
  <si>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</si>
  <si>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</si>
  <si>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</si>
  <si>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</si>
  <si>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</si>
  <si>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</si>
  <si>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</si>
  <si>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</si>
  <si>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</si>
  <si>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</si>
  <si>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</si>
  <si>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</si>
  <si>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</si>
  <si>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</si>
  <si>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</si>
  <si>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</si>
  <si>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</si>
  <si>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</si>
  <si>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</si>
  <si>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</si>
  <si>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</si>
  <si>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</si>
  <si>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</si>
  <si>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A000670</t>
  </si>
  <si>
    <t>영풍</t>
  </si>
  <si>
    <t>A000680</t>
  </si>
  <si>
    <t>LS네트웍스</t>
  </si>
  <si>
    <t>A000700</t>
  </si>
  <si>
    <t>유수홀딩스</t>
  </si>
  <si>
    <t>A000760</t>
  </si>
  <si>
    <t>이화산업</t>
  </si>
  <si>
    <t>A0007C0</t>
  </si>
  <si>
    <t>아크릴</t>
  </si>
  <si>
    <t>A000850</t>
  </si>
  <si>
    <t>화천기공</t>
  </si>
  <si>
    <t>A000860</t>
  </si>
  <si>
    <t>강남제비스코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</si>
  <si>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</si>
  <si>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</si>
  <si>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</si>
  <si>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</si>
  <si>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</si>
  <si>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</si>
  <si>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</si>
  <si>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</si>
  <si>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</si>
  <si>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</si>
  <si>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A001000</t>
  </si>
  <si>
    <t>신라섬유</t>
  </si>
  <si>
    <t>A001020</t>
  </si>
  <si>
    <t>페이퍼코리아</t>
  </si>
  <si>
    <t>A001070</t>
  </si>
  <si>
    <t>대한방직</t>
  </si>
  <si>
    <t>A001080</t>
  </si>
  <si>
    <t>만호제강</t>
  </si>
  <si>
    <t>A0010V0</t>
  </si>
  <si>
    <t>제이피아이헬스케어</t>
  </si>
  <si>
    <t>A001120</t>
  </si>
  <si>
    <t>LX인터내셔널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</si>
  <si>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</si>
  <si>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</si>
  <si>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</si>
  <si>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</si>
  <si>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</si>
  <si>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</si>
  <si>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</si>
  <si>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</si>
  <si>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</si>
  <si>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</si>
  <si>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</si>
  <si>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</si>
  <si>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</si>
  <si>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</si>
  <si>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</si>
  <si>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</si>
  <si>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</si>
  <si>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</si>
  <si>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</si>
  <si>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</si>
  <si>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</si>
  <si>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</si>
  <si>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</si>
  <si>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</si>
  <si>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</si>
  <si>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</si>
  <si>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</si>
  <si>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</si>
  <si>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</si>
  <si>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</si>
  <si>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</si>
  <si>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</si>
  <si>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</si>
  <si>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</si>
  <si>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</si>
  <si>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</si>
  <si>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</si>
  <si>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</si>
  <si>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</si>
  <si>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</si>
  <si>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</si>
  <si>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</si>
  <si>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</si>
  <si>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</si>
  <si>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</si>
  <si>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</si>
  <si>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</si>
  <si>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</si>
  <si>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</si>
  <si>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</si>
  <si>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</si>
  <si>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</si>
  <si>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</si>
  <si>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</si>
  <si>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</si>
  <si>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</si>
  <si>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</si>
  <si>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</si>
  <si>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</si>
  <si>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</si>
  <si>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</si>
  <si>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</si>
  <si>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</si>
  <si>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</si>
  <si>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</si>
  <si>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</si>
  <si>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</si>
  <si>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</si>
  <si>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</si>
  <si>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</si>
  <si>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</si>
  <si>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</si>
  <si>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</si>
  <si>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</si>
  <si>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</si>
  <si>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</si>
  <si>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</si>
  <si>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</si>
  <si>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</si>
  <si>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</si>
  <si>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</si>
  <si>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</si>
  <si>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</si>
  <si>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</si>
  <si>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</si>
  <si>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</si>
  <si>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</si>
  <si>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</si>
  <si>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</si>
  <si>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</si>
  <si>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</si>
  <si>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</si>
  <si>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</si>
  <si>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</si>
  <si>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</si>
  <si>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</si>
  <si>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</si>
  <si>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</si>
  <si>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</si>
  <si>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</si>
  <si>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</si>
  <si>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</si>
  <si>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</si>
  <si>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</si>
  <si>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</si>
  <si>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</si>
  <si>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</si>
  <si>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</si>
  <si>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</si>
  <si>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</si>
  <si>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</si>
  <si>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</si>
  <si>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</si>
  <si>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</si>
  <si>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</si>
  <si>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</si>
  <si>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</si>
  <si>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</si>
  <si>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</si>
  <si>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</si>
  <si>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</si>
  <si>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</si>
  <si>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</si>
  <si>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</si>
  <si>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</si>
  <si>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</si>
  <si>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</si>
  <si>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</si>
  <si>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</si>
  <si>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</si>
  <si>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</si>
  <si>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</si>
  <si>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</si>
  <si>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</si>
  <si>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</si>
  <si>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</si>
  <si>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</si>
  <si>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</si>
  <si>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</si>
  <si>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</si>
  <si>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</si>
  <si>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</si>
  <si>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</si>
  <si>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</si>
  <si>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</si>
  <si>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</si>
  <si>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</si>
  <si>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</si>
  <si>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</si>
  <si>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</si>
  <si>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</si>
  <si>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</si>
  <si>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</si>
  <si>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</si>
  <si>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</si>
  <si>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</si>
  <si>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</si>
  <si>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</si>
  <si>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</si>
  <si>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</si>
  <si>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</si>
  <si>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</si>
  <si>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</si>
  <si>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</si>
  <si>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</si>
  <si>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</si>
  <si>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</si>
  <si>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</si>
  <si>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</si>
  <si>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</si>
  <si>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</si>
  <si>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</si>
  <si>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</si>
  <si>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</si>
  <si>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</si>
  <si>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</si>
  <si>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</si>
  <si>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</si>
  <si>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</si>
  <si>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</si>
  <si>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</si>
  <si>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</si>
  <si>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A003200</t>
  </si>
  <si>
    <t>일신방직</t>
  </si>
  <si>
    <t>A003220</t>
  </si>
  <si>
    <t>대원제약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</si>
  <si>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</si>
  <si>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</si>
  <si>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</si>
  <si>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</si>
  <si>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</si>
  <si>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</si>
  <si>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</si>
  <si>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</si>
  <si>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</si>
  <si>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</si>
  <si>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</si>
  <si>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유안타증권</t>
  </si>
  <si>
    <t>A003480</t>
  </si>
  <si>
    <t>한진중공업홀딩스</t>
  </si>
  <si>
    <t>A003520</t>
  </si>
  <si>
    <t>영진약품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</si>
  <si>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</si>
  <si>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</si>
  <si>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</si>
  <si>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</si>
  <si>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</si>
  <si>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</si>
  <si>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</si>
  <si>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</si>
  <si>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</si>
  <si>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</si>
  <si>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</si>
  <si>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</si>
  <si>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</si>
  <si>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</si>
  <si>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</si>
  <si>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</si>
  <si>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</si>
  <si>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</si>
  <si>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</si>
  <si>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</si>
  <si>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</si>
  <si>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</si>
  <si>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</si>
  <si>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</si>
  <si>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</si>
  <si>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</si>
  <si>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</si>
  <si>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</si>
  <si>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</si>
  <si>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</si>
  <si>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</si>
  <si>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</si>
  <si>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</si>
  <si>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</si>
  <si>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</si>
  <si>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</si>
  <si>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</si>
  <si>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</si>
  <si>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</si>
  <si>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</si>
  <si>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</si>
  <si>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</si>
  <si>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</si>
  <si>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</si>
  <si>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</si>
  <si>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</si>
  <si>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</si>
  <si>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</si>
  <si>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</si>
  <si>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</si>
  <si>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</si>
  <si>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</si>
  <si>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</si>
  <si>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</si>
  <si>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</si>
  <si>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</si>
  <si>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</si>
  <si>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</si>
  <si>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</si>
  <si>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</si>
  <si>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</si>
  <si>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</si>
  <si>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</si>
  <si>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</si>
  <si>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</si>
  <si>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</si>
  <si>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</si>
  <si>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</si>
  <si>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</si>
  <si>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</si>
  <si>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</si>
  <si>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</si>
  <si>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</si>
  <si>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</si>
  <si>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</si>
  <si>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</si>
  <si>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</si>
  <si>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</si>
  <si>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</si>
  <si>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</si>
  <si>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</si>
  <si>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</si>
  <si>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</si>
  <si>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</si>
  <si>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</si>
  <si>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</si>
  <si>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</si>
  <si>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</si>
  <si>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</si>
  <si>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</si>
  <si>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</si>
  <si>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</si>
  <si>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</si>
  <si>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</si>
  <si>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</si>
  <si>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</si>
  <si>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</si>
  <si>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</si>
  <si>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</si>
  <si>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</si>
  <si>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</si>
  <si>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</si>
  <si>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</si>
  <si>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</si>
  <si>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</si>
  <si>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</si>
  <si>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</si>
  <si>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</si>
  <si>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A005030</t>
  </si>
  <si>
    <t>부산주공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</si>
  <si>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</si>
  <si>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</si>
  <si>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</si>
  <si>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</si>
  <si>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</si>
  <si>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</si>
  <si>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</si>
  <si>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</si>
  <si>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A005320</t>
  </si>
  <si>
    <t>온타이드</t>
  </si>
  <si>
    <t>A005360</t>
  </si>
  <si>
    <t>모나미</t>
  </si>
  <si>
    <t>A005420</t>
  </si>
  <si>
    <t>코스모화학</t>
  </si>
  <si>
    <t>A005430</t>
  </si>
  <si>
    <t>한국공항</t>
  </si>
  <si>
    <t>A005440</t>
  </si>
  <si>
    <t>현대지에프홀딩스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</si>
  <si>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</si>
  <si>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</si>
  <si>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</si>
  <si>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</si>
  <si>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</si>
  <si>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</si>
  <si>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</si>
  <si>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</si>
  <si>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</si>
  <si>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</si>
  <si>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</si>
  <si>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</si>
  <si>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</si>
  <si>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</si>
  <si>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</si>
  <si>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</si>
  <si>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</si>
  <si>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</si>
  <si>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</si>
  <si>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</si>
  <si>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</si>
  <si>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A005860</t>
  </si>
  <si>
    <t>한일사료</t>
  </si>
  <si>
    <t>A005870</t>
  </si>
  <si>
    <t>휴니드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</si>
  <si>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</si>
  <si>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</si>
  <si>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</si>
  <si>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</si>
  <si>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</si>
  <si>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</si>
  <si>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</si>
  <si>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</si>
  <si>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</si>
  <si>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</si>
  <si>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</si>
  <si>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</si>
  <si>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</si>
  <si>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</si>
  <si>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</si>
  <si>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</si>
  <si>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</si>
  <si>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</si>
  <si>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</si>
  <si>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</si>
  <si>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</si>
  <si>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</si>
  <si>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</si>
  <si>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</si>
  <si>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A006370</t>
  </si>
  <si>
    <t>대구백화점</t>
  </si>
  <si>
    <t>A006380</t>
  </si>
  <si>
    <t>카프로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</si>
  <si>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</si>
  <si>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</si>
  <si>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</si>
  <si>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</si>
  <si>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</si>
  <si>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</si>
  <si>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</si>
  <si>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</si>
  <si>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</si>
  <si>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</si>
  <si>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A006740</t>
  </si>
  <si>
    <t>블루산업개발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</si>
  <si>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</si>
  <si>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</si>
  <si>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</si>
  <si>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</si>
  <si>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</si>
  <si>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</si>
  <si>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</si>
  <si>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</si>
  <si>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</si>
  <si>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</si>
  <si>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</si>
  <si>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</si>
  <si>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</si>
  <si>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</si>
  <si>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</si>
  <si>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</si>
  <si>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</si>
  <si>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</si>
  <si>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</si>
  <si>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</si>
  <si>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</si>
  <si>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</si>
  <si>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</si>
  <si>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</si>
  <si>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</si>
  <si>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</si>
  <si>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</si>
  <si>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</si>
  <si>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</si>
  <si>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</si>
  <si>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</si>
  <si>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</si>
  <si>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</si>
  <si>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</si>
  <si>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</si>
  <si>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</si>
  <si>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</si>
  <si>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</si>
  <si>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</si>
  <si>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</si>
  <si>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</si>
  <si>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</si>
  <si>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</si>
  <si>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</si>
  <si>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</si>
  <si>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</si>
  <si>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</si>
  <si>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</si>
  <si>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</si>
  <si>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</si>
  <si>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</si>
  <si>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</si>
  <si>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A007820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</si>
  <si>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</si>
  <si>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</si>
  <si>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</si>
  <si>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</si>
  <si>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</si>
  <si>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</si>
  <si>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</si>
  <si>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</si>
  <si>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</si>
  <si>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</si>
  <si>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</si>
  <si>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</si>
  <si>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</si>
  <si>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</si>
  <si>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</si>
  <si>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</si>
  <si>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</si>
  <si>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</si>
  <si>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</si>
  <si>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</si>
  <si>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</si>
  <si>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</si>
  <si>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</si>
  <si>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</si>
  <si>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</si>
  <si>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</si>
  <si>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</si>
  <si>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</si>
  <si>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</si>
  <si>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</si>
  <si>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</si>
  <si>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</si>
  <si>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</si>
  <si>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</si>
  <si>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</si>
  <si>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</si>
  <si>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</si>
  <si>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</si>
  <si>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</si>
  <si>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</si>
  <si>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</si>
  <si>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</si>
  <si>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</si>
  <si>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</si>
  <si>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</si>
  <si>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</si>
  <si>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</si>
  <si>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</si>
  <si>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</si>
  <si>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</si>
  <si>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</si>
  <si>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</si>
  <si>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</si>
  <si>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</si>
  <si>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</si>
  <si>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</si>
  <si>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</si>
  <si>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</si>
  <si>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</si>
  <si>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</si>
  <si>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</si>
  <si>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</si>
  <si>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</si>
  <si>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</si>
  <si>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</si>
  <si>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</si>
  <si>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</si>
  <si>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</si>
  <si>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</si>
  <si>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</si>
  <si>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</si>
  <si>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</si>
  <si>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</si>
  <si>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</si>
  <si>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</si>
  <si>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</si>
  <si>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</si>
  <si>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</si>
  <si>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</si>
  <si>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</si>
  <si>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</si>
  <si>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</si>
  <si>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</si>
  <si>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</si>
  <si>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</si>
  <si>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</si>
  <si>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</si>
  <si>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</si>
  <si>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</si>
  <si>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</si>
  <si>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</si>
  <si>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</si>
  <si>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A009900</t>
  </si>
  <si>
    <t>명신산업</t>
  </si>
  <si>
    <t>A009970</t>
  </si>
  <si>
    <t>영원무역홀딩스</t>
  </si>
  <si>
    <t>A010040</t>
  </si>
  <si>
    <t>한국내화</t>
  </si>
  <si>
    <t>A010100</t>
  </si>
  <si>
    <t>한국무브넥스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</si>
  <si>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</si>
  <si>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</si>
  <si>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</si>
  <si>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</si>
  <si>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</si>
  <si>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</si>
  <si>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</si>
  <si>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</si>
  <si>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</si>
  <si>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</si>
  <si>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</si>
  <si>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</si>
  <si>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</si>
  <si>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</si>
  <si>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</si>
  <si>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</si>
  <si>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</si>
  <si>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</si>
  <si>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</si>
  <si>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</si>
  <si>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</si>
  <si>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</si>
  <si>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</si>
  <si>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</si>
  <si>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A010960</t>
  </si>
  <si>
    <t>삼호개발</t>
  </si>
  <si>
    <t>A011000</t>
  </si>
  <si>
    <t>진원생명과학</t>
  </si>
  <si>
    <t>A011040</t>
  </si>
  <si>
    <t>경동제약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</si>
  <si>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</si>
  <si>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</si>
  <si>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</si>
  <si>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</si>
  <si>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</si>
  <si>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</si>
  <si>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</si>
  <si>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</si>
  <si>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</si>
  <si>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</si>
  <si>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</si>
  <si>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</si>
  <si>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</si>
  <si>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</si>
  <si>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</si>
  <si>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</si>
  <si>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</si>
  <si>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</si>
  <si>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</si>
  <si>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</si>
  <si>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</si>
  <si>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</si>
  <si>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</si>
  <si>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</si>
  <si>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</si>
  <si>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</si>
  <si>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</si>
  <si>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</si>
  <si>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</si>
  <si>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</si>
  <si>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</si>
  <si>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</si>
  <si>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</si>
  <si>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</si>
  <si>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</si>
  <si>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A011810</t>
  </si>
  <si>
    <t>STX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</si>
  <si>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</si>
  <si>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</si>
  <si>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</si>
  <si>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</si>
  <si>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</si>
  <si>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</si>
  <si>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</si>
  <si>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</si>
  <si>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</si>
  <si>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</si>
  <si>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</si>
  <si>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</si>
  <si>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</si>
  <si>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</si>
  <si>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A012340</t>
  </si>
  <si>
    <t>뉴인텍</t>
  </si>
  <si>
    <t>A012610</t>
  </si>
  <si>
    <t>경인양행</t>
  </si>
  <si>
    <t>A012620</t>
  </si>
  <si>
    <t>원일특강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</si>
  <si>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</si>
  <si>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</si>
  <si>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</si>
  <si>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</si>
  <si>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</si>
  <si>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</si>
  <si>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</si>
  <si>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</si>
  <si>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</si>
  <si>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</si>
  <si>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</si>
  <si>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</si>
  <si>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</si>
  <si>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</si>
  <si>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</si>
  <si>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</si>
  <si>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</si>
  <si>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</si>
  <si>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</si>
  <si>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</si>
  <si>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</si>
  <si>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</si>
  <si>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</si>
  <si>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</si>
  <si>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</si>
  <si>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</si>
  <si>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</si>
  <si>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</si>
  <si>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</si>
  <si>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</si>
  <si>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</si>
  <si>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THE CUBE&amp;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</si>
  <si>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</si>
  <si>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</si>
  <si>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</si>
  <si>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</si>
  <si>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</si>
  <si>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</si>
  <si>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</si>
  <si>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</si>
  <si>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</si>
  <si>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</si>
  <si>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</si>
  <si>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</si>
  <si>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</si>
  <si>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</si>
  <si>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</si>
  <si>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</si>
  <si>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</si>
  <si>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</si>
  <si>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</si>
  <si>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</si>
  <si>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</si>
  <si>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</si>
  <si>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</si>
  <si>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</si>
  <si>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</si>
  <si>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</si>
  <si>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</si>
  <si>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</si>
  <si>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A014710</t>
  </si>
  <si>
    <t>사조씨푸드</t>
  </si>
  <si>
    <t>A014790</t>
  </si>
  <si>
    <t>HL D&amp;I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</si>
  <si>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</si>
  <si>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</si>
  <si>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</si>
  <si>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</si>
  <si>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</si>
  <si>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</si>
  <si>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</si>
  <si>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</si>
  <si>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</si>
  <si>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</si>
  <si>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</si>
  <si>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</si>
  <si>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</si>
  <si>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</si>
  <si>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</si>
  <si>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</si>
  <si>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</si>
  <si>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</si>
  <si>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</si>
  <si>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</si>
  <si>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</si>
  <si>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</si>
  <si>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</si>
  <si>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</si>
  <si>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</si>
  <si>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</si>
  <si>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</si>
  <si>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</si>
  <si>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</si>
  <si>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</si>
  <si>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</si>
  <si>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</si>
  <si>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</si>
  <si>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</si>
  <si>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</si>
  <si>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</si>
  <si>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</si>
  <si>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</si>
  <si>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</si>
  <si>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</si>
  <si>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</si>
  <si>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</si>
  <si>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</si>
  <si>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</si>
  <si>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</si>
  <si>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</si>
  <si>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</si>
  <si>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</si>
  <si>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</si>
  <si>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</si>
  <si>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</si>
  <si>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</si>
  <si>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</si>
  <si>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</si>
  <si>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</si>
  <si>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</si>
  <si>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</si>
  <si>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</si>
  <si>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</si>
  <si>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</si>
  <si>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</si>
  <si>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</si>
  <si>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</si>
  <si>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</si>
  <si>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</si>
  <si>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</si>
  <si>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</si>
  <si>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</si>
  <si>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</si>
  <si>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</si>
  <si>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</si>
  <si>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</si>
  <si>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</si>
  <si>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</si>
  <si>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</si>
  <si>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</si>
  <si>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</si>
  <si>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</si>
  <si>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</si>
  <si>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</si>
  <si>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</si>
  <si>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</si>
  <si>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</si>
  <si>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</si>
  <si>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</si>
  <si>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</si>
  <si>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</si>
  <si>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</si>
  <si>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</si>
  <si>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</si>
  <si>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A018120</t>
  </si>
  <si>
    <t>진로발효</t>
  </si>
  <si>
    <t>A018250</t>
  </si>
  <si>
    <t>애경산업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</si>
  <si>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</si>
  <si>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</si>
  <si>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</si>
  <si>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</si>
  <si>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</si>
  <si>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</si>
  <si>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</si>
  <si>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</si>
  <si>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</si>
  <si>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</si>
  <si>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</si>
  <si>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</si>
  <si>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</si>
  <si>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</si>
  <si>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</si>
  <si>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</si>
  <si>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</si>
  <si>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</si>
  <si>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</si>
  <si>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</si>
  <si>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</si>
  <si>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</si>
  <si>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</si>
  <si>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</si>
  <si>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</si>
  <si>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</si>
  <si>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</si>
  <si>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</si>
  <si>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</si>
  <si>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</si>
  <si>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</si>
  <si>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</si>
  <si>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</si>
  <si>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</si>
  <si>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</si>
  <si>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</si>
  <si>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</si>
  <si>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</si>
  <si>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</si>
  <si>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</si>
  <si>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</si>
  <si>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</si>
  <si>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</si>
  <si>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</si>
  <si>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</si>
  <si>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</si>
  <si>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</si>
  <si>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</si>
  <si>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</si>
  <si>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</si>
  <si>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</si>
  <si>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</si>
  <si>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</si>
  <si>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</si>
  <si>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</si>
  <si>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</si>
  <si>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</si>
  <si>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</si>
  <si>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</si>
  <si>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</si>
  <si>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</si>
  <si>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</si>
  <si>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</si>
  <si>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</si>
  <si>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</si>
  <si>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</si>
  <si>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</si>
  <si>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</si>
  <si>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</si>
  <si>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</si>
  <si>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</si>
  <si>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</si>
  <si>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</si>
  <si>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</si>
  <si>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</si>
  <si>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</si>
  <si>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</si>
  <si>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</si>
  <si>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</si>
  <si>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</si>
  <si>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</si>
  <si>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</si>
  <si>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</si>
  <si>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</si>
  <si>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</si>
  <si>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</si>
  <si>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</si>
  <si>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</si>
  <si>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</si>
  <si>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</si>
  <si>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</si>
  <si>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</si>
  <si>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</si>
  <si>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</si>
  <si>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</si>
  <si>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</si>
  <si>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</si>
  <si>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</si>
  <si>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</si>
  <si>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</si>
  <si>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</si>
  <si>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</si>
  <si>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</si>
  <si>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</si>
  <si>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</si>
  <si>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</si>
  <si>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</si>
  <si>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</si>
  <si>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</si>
  <si>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</si>
  <si>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</si>
  <si>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</si>
  <si>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</si>
  <si>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</si>
  <si>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</si>
  <si>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</si>
  <si>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</si>
  <si>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</si>
  <si>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</si>
  <si>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</si>
  <si>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</si>
  <si>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</si>
  <si>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</si>
  <si>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</si>
  <si>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</si>
  <si>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</si>
  <si>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</si>
  <si>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</si>
  <si>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</si>
  <si>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</si>
  <si>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</si>
  <si>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</si>
  <si>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</si>
  <si>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</si>
  <si>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</si>
  <si>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</si>
  <si>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</si>
  <si>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</si>
  <si>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</si>
  <si>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</si>
  <si>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</si>
  <si>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</si>
  <si>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</si>
  <si>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</si>
  <si>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</si>
  <si>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</si>
  <si>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</si>
  <si>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</si>
  <si>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</si>
  <si>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</si>
  <si>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</si>
  <si>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</si>
  <si>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</si>
  <si>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</si>
  <si>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</si>
  <si>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</si>
  <si>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</si>
  <si>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</si>
  <si>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</si>
  <si>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</si>
  <si>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</si>
  <si>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</si>
  <si>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</si>
  <si>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</si>
  <si>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</si>
  <si>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</si>
  <si>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</si>
  <si>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</si>
  <si>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</si>
  <si>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</si>
  <si>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</si>
  <si>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</si>
  <si>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</si>
  <si>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</si>
  <si>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</si>
  <si>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</si>
  <si>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</si>
  <si>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</si>
  <si>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</si>
  <si>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</si>
  <si>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</si>
  <si>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</si>
  <si>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</si>
  <si>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</si>
  <si>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</si>
  <si>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</si>
  <si>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</si>
  <si>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</si>
  <si>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</si>
  <si>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</si>
  <si>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</si>
  <si>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</si>
  <si>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</si>
  <si>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</si>
  <si>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</si>
  <si>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</si>
  <si>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</si>
  <si>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</si>
  <si>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</si>
  <si>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A028080</t>
  </si>
  <si>
    <t>휴맥스홀딩스</t>
  </si>
  <si>
    <t>A028100</t>
  </si>
  <si>
    <t>동아지질</t>
  </si>
  <si>
    <t>A029460</t>
  </si>
  <si>
    <t>케이씨</t>
  </si>
  <si>
    <t>A029480</t>
  </si>
  <si>
    <t>광무</t>
  </si>
  <si>
    <t>A029530</t>
  </si>
  <si>
    <t>신도리코</t>
  </si>
  <si>
    <t>A030000</t>
  </si>
  <si>
    <t>제일기획</t>
  </si>
  <si>
    <t>A030190</t>
  </si>
  <si>
    <t>NICE평가정보</t>
  </si>
  <si>
    <t>A030210</t>
  </si>
  <si>
    <t>다올투자증권</t>
  </si>
  <si>
    <t>A030350</t>
  </si>
  <si>
    <t>드래곤플라이</t>
  </si>
  <si>
    <t>A030520</t>
  </si>
  <si>
    <t>한글과컴퓨터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</si>
  <si>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</si>
  <si>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</si>
  <si>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</si>
  <si>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</si>
  <si>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</si>
  <si>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</si>
  <si>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</si>
  <si>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</si>
  <si>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</si>
  <si>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</si>
  <si>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</si>
  <si>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</si>
  <si>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</si>
  <si>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</si>
  <si>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</si>
  <si>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</si>
  <si>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</si>
  <si>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</si>
  <si>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</si>
  <si>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</si>
  <si>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</si>
  <si>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</si>
  <si>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A032080</t>
  </si>
  <si>
    <t>아즈텍WB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</si>
  <si>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</si>
  <si>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</si>
  <si>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</si>
  <si>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</si>
  <si>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</si>
  <si>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</si>
  <si>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</si>
  <si>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</si>
  <si>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</si>
  <si>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</si>
  <si>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</si>
  <si>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</si>
  <si>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</si>
  <si>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</si>
  <si>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</si>
  <si>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</si>
  <si>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</si>
  <si>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</si>
  <si>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</si>
  <si>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</si>
  <si>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</si>
  <si>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</si>
  <si>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</si>
  <si>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</si>
  <si>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</si>
  <si>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</si>
  <si>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</si>
  <si>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</si>
  <si>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</si>
  <si>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</si>
  <si>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</si>
  <si>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</si>
  <si>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</si>
  <si>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</si>
  <si>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</si>
  <si>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</si>
  <si>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</si>
  <si>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</si>
  <si>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</si>
  <si>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</si>
  <si>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</si>
  <si>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</si>
  <si>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</si>
  <si>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</si>
  <si>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</si>
  <si>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</si>
  <si>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</si>
  <si>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</si>
  <si>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</si>
  <si>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</si>
  <si>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</si>
  <si>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</si>
  <si>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</si>
  <si>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</si>
  <si>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</si>
  <si>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</si>
  <si>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</si>
  <si>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</si>
  <si>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</si>
  <si>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</si>
  <si>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</si>
  <si>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</si>
  <si>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</si>
  <si>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</si>
  <si>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</si>
  <si>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</si>
  <si>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</si>
  <si>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</si>
  <si>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</si>
  <si>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</si>
  <si>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</si>
  <si>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A033790</t>
  </si>
  <si>
    <t>피노</t>
  </si>
  <si>
    <t>A033830</t>
  </si>
  <si>
    <t>티비씨</t>
  </si>
  <si>
    <t>A033920</t>
  </si>
  <si>
    <t>무학</t>
  </si>
  <si>
    <t>A034120</t>
  </si>
  <si>
    <t>SBS</t>
  </si>
  <si>
    <t>A034220</t>
  </si>
  <si>
    <t>LG디스플레이</t>
  </si>
  <si>
    <t>A034310</t>
  </si>
  <si>
    <t>NICE</t>
  </si>
  <si>
    <t>A034590</t>
  </si>
  <si>
    <t>인천도시가스</t>
  </si>
  <si>
    <t>A034810</t>
  </si>
  <si>
    <t>해성산업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</si>
  <si>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</si>
  <si>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</si>
  <si>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</si>
  <si>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</si>
  <si>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</si>
  <si>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</si>
  <si>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</si>
  <si>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</si>
  <si>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</si>
  <si>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</si>
  <si>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</si>
  <si>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</si>
  <si>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A035290</t>
  </si>
  <si>
    <t>골드앤에스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</si>
  <si>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</si>
  <si>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</si>
  <si>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</si>
  <si>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</si>
  <si>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</si>
  <si>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</si>
  <si>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</si>
  <si>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</si>
  <si>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</si>
  <si>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</si>
  <si>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A035810</t>
  </si>
  <si>
    <t>이지홀딩스</t>
  </si>
  <si>
    <t>A035890</t>
  </si>
  <si>
    <t>서희건설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</si>
  <si>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</si>
  <si>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</si>
  <si>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</si>
  <si>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</si>
  <si>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</si>
  <si>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</si>
  <si>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</si>
  <si>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</si>
  <si>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</si>
  <si>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</si>
  <si>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</si>
  <si>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</si>
  <si>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A036180</t>
  </si>
  <si>
    <t>지더블유바이텍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</si>
  <si>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</si>
  <si>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</si>
  <si>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</si>
  <si>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</si>
  <si>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</si>
  <si>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</si>
  <si>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</si>
  <si>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</si>
  <si>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</si>
  <si>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</si>
  <si>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</si>
  <si>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</si>
  <si>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</si>
  <si>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</si>
  <si>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</si>
  <si>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</si>
  <si>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</si>
  <si>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</si>
  <si>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</si>
  <si>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</si>
  <si>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</si>
  <si>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</si>
  <si>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</si>
  <si>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</si>
  <si>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</si>
  <si>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</si>
  <si>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</si>
  <si>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</si>
  <si>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</si>
  <si>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</si>
  <si>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</si>
  <si>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</si>
  <si>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</si>
  <si>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</si>
  <si>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A036890</t>
  </si>
  <si>
    <t>진성티이씨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</si>
  <si>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</si>
  <si>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</si>
  <si>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</si>
  <si>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</si>
  <si>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</si>
  <si>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</si>
  <si>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</si>
  <si>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</si>
  <si>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</si>
  <si>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</si>
  <si>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</si>
  <si>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</si>
  <si>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</si>
  <si>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</si>
  <si>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</si>
  <si>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</si>
  <si>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</si>
  <si>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</si>
  <si>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</si>
  <si>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</si>
  <si>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</si>
  <si>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</si>
  <si>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</si>
  <si>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</si>
  <si>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</si>
  <si>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</si>
  <si>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</si>
  <si>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</si>
  <si>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</si>
  <si>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</si>
  <si>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</si>
  <si>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</si>
  <si>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</si>
  <si>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</si>
  <si>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</si>
  <si>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</si>
  <si>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</si>
  <si>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</si>
  <si>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</si>
  <si>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</si>
  <si>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</si>
  <si>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</si>
  <si>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</si>
  <si>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</si>
  <si>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</si>
  <si>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</si>
  <si>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</si>
  <si>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</si>
  <si>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</si>
  <si>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</si>
  <si>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</si>
  <si>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</si>
  <si>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</si>
  <si>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</si>
  <si>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</si>
  <si>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</si>
  <si>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</si>
  <si>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</si>
  <si>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</si>
  <si>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</si>
  <si>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A039130</t>
  </si>
  <si>
    <t>하나투어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</si>
  <si>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</si>
  <si>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</si>
  <si>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</si>
  <si>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</si>
  <si>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</si>
  <si>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</si>
  <si>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</si>
  <si>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</si>
  <si>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</si>
  <si>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</si>
  <si>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</si>
  <si>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</si>
  <si>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</si>
  <si>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</si>
  <si>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</si>
  <si>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</si>
  <si>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</si>
  <si>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</si>
  <si>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</si>
  <si>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</si>
  <si>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</si>
  <si>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</si>
  <si>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</si>
  <si>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</si>
  <si>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</si>
  <si>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</si>
  <si>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</si>
  <si>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</si>
  <si>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</si>
  <si>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</si>
  <si>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</si>
  <si>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</si>
  <si>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</si>
  <si>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</si>
  <si>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</si>
  <si>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</si>
  <si>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</si>
  <si>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</si>
  <si>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</si>
  <si>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</si>
  <si>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</si>
  <si>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</si>
  <si>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</si>
  <si>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</si>
  <si>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</si>
  <si>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</si>
  <si>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A041520</t>
  </si>
  <si>
    <t>이엘씨</t>
  </si>
  <si>
    <t>A041590</t>
  </si>
  <si>
    <t>플래스크</t>
  </si>
  <si>
    <t>A041650</t>
  </si>
  <si>
    <t>상신브레이크</t>
  </si>
  <si>
    <t>A041910</t>
  </si>
  <si>
    <t>폴라리스AI파마</t>
  </si>
  <si>
    <t>A041920</t>
  </si>
  <si>
    <t>메디아나</t>
  </si>
  <si>
    <t>A041930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</si>
  <si>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</si>
  <si>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</si>
  <si>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</si>
  <si>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</si>
  <si>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</si>
  <si>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</si>
  <si>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</si>
  <si>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</si>
  <si>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</si>
  <si>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</si>
  <si>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</si>
  <si>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</si>
  <si>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</si>
  <si>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</si>
  <si>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</si>
  <si>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</si>
  <si>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A042600</t>
  </si>
  <si>
    <t>새로닉스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</si>
  <si>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</si>
  <si>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</si>
  <si>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</si>
  <si>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</si>
  <si>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</si>
  <si>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</si>
  <si>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</si>
  <si>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</si>
  <si>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</si>
  <si>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</si>
  <si>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</si>
  <si>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</si>
  <si>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</si>
  <si>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</si>
  <si>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</si>
  <si>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</si>
  <si>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</si>
  <si>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</si>
  <si>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</si>
  <si>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</si>
  <si>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</si>
  <si>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</si>
  <si>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</si>
  <si>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</si>
  <si>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</si>
  <si>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</si>
  <si>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</si>
  <si>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</si>
  <si>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</si>
  <si>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</si>
  <si>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</si>
  <si>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</si>
  <si>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</si>
  <si>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</si>
  <si>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</si>
  <si>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A044480</t>
  </si>
  <si>
    <t>빌리언스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</si>
  <si>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</si>
  <si>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</si>
  <si>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</si>
  <si>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</si>
  <si>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</si>
  <si>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</si>
  <si>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</si>
  <si>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</si>
  <si>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</si>
  <si>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</si>
  <si>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</si>
  <si>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</si>
  <si>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</si>
  <si>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</si>
  <si>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</si>
  <si>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</si>
  <si>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</si>
  <si>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</si>
  <si>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</si>
  <si>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</si>
  <si>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</si>
  <si>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</si>
  <si>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</si>
  <si>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</si>
  <si>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</si>
  <si>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</si>
  <si>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</si>
  <si>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</si>
  <si>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</si>
  <si>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</si>
  <si>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</si>
  <si>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</si>
  <si>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</si>
  <si>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</si>
  <si>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</si>
  <si>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</si>
  <si>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</si>
  <si>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</si>
  <si>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</si>
  <si>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</si>
  <si>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</si>
  <si>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</si>
  <si>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우리로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</si>
  <si>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</si>
  <si>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</si>
  <si>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</si>
  <si>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</si>
  <si>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</si>
  <si>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</si>
  <si>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</si>
  <si>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</si>
  <si>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</si>
  <si>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</si>
  <si>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</si>
  <si>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</si>
  <si>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</si>
  <si>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</si>
  <si>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</si>
  <si>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</si>
  <si>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</si>
  <si>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</si>
  <si>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</si>
  <si>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</si>
  <si>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</si>
  <si>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</si>
  <si>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</si>
  <si>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</si>
  <si>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</si>
  <si>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</si>
  <si>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</si>
  <si>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</si>
  <si>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</si>
  <si>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</si>
  <si>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</si>
  <si>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</si>
  <si>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</si>
  <si>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</si>
  <si>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</si>
  <si>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</si>
  <si>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</si>
  <si>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</si>
  <si>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</si>
  <si>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</si>
  <si>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</si>
  <si>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</si>
  <si>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</si>
  <si>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</si>
  <si>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</si>
  <si>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</si>
  <si>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</si>
  <si>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</si>
  <si>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</si>
  <si>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</si>
  <si>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</si>
  <si>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</si>
  <si>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</si>
  <si>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</si>
  <si>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</si>
  <si>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</si>
  <si>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</si>
  <si>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</si>
  <si>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</si>
  <si>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</si>
  <si>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</si>
  <si>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</si>
  <si>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</si>
  <si>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</si>
  <si>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</si>
  <si>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</si>
  <si>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</si>
  <si>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</si>
  <si>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</si>
  <si>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</si>
  <si>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</si>
  <si>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</si>
  <si>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</si>
  <si>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</si>
  <si>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</si>
  <si>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</si>
  <si>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</si>
  <si>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</si>
  <si>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</si>
  <si>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</si>
  <si>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</si>
  <si>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</si>
  <si>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</si>
  <si>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</si>
  <si>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</si>
  <si>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</si>
  <si>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</si>
  <si>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</si>
  <si>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</si>
  <si>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A051630</t>
  </si>
  <si>
    <t>진양화학</t>
  </si>
  <si>
    <t>A051780</t>
  </si>
  <si>
    <t>큐로홀딩스</t>
  </si>
  <si>
    <t>A051900</t>
  </si>
  <si>
    <t>LG생활건강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</si>
  <si>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</si>
  <si>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</si>
  <si>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</si>
  <si>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</si>
  <si>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</si>
  <si>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</si>
  <si>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</si>
  <si>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</si>
  <si>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</si>
  <si>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</si>
  <si>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</si>
  <si>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</si>
  <si>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A052420</t>
  </si>
  <si>
    <t>오성첨단소재</t>
  </si>
  <si>
    <t>A052460</t>
  </si>
  <si>
    <t>아이크래프트</t>
  </si>
  <si>
    <t>A052600</t>
  </si>
  <si>
    <t>한네트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</si>
  <si>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</si>
  <si>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</si>
  <si>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</si>
  <si>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</si>
  <si>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</si>
  <si>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</si>
  <si>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</si>
  <si>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</si>
  <si>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</si>
  <si>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</si>
  <si>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</si>
  <si>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</si>
  <si>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</si>
  <si>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</si>
  <si>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</si>
  <si>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</si>
  <si>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</si>
  <si>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</si>
  <si>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</si>
  <si>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</si>
  <si>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</si>
  <si>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</si>
  <si>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</si>
  <si>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</si>
  <si>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</si>
  <si>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</si>
  <si>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</si>
  <si>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</si>
  <si>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</si>
  <si>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</si>
  <si>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</si>
  <si>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</si>
  <si>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</si>
  <si>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</si>
  <si>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</si>
  <si>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</si>
  <si>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</si>
  <si>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</si>
  <si>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</si>
  <si>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</si>
  <si>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</si>
  <si>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</si>
  <si>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</si>
  <si>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</si>
  <si>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</si>
  <si>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</si>
  <si>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</si>
  <si>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</si>
  <si>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</si>
  <si>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</si>
  <si>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</si>
  <si>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</si>
  <si>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</si>
  <si>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</si>
  <si>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</si>
  <si>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</si>
  <si>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</si>
  <si>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</si>
  <si>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</si>
  <si>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</si>
  <si>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</si>
  <si>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</si>
  <si>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</si>
  <si>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</si>
  <si>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</si>
  <si>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</si>
  <si>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</si>
  <si>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</si>
  <si>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</si>
  <si>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</si>
  <si>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</si>
  <si>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</si>
  <si>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</si>
  <si>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</si>
  <si>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</si>
  <si>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</si>
  <si>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</si>
  <si>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</si>
  <si>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</si>
  <si>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</si>
  <si>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</si>
  <si>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A055490</t>
  </si>
  <si>
    <t>테이팩스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</si>
  <si>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</si>
  <si>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</si>
  <si>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</si>
  <si>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</si>
  <si>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</si>
  <si>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</si>
  <si>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</si>
  <si>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</si>
  <si>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</si>
  <si>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</si>
  <si>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</si>
  <si>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</si>
  <si>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</si>
  <si>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</si>
  <si>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</si>
  <si>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</si>
  <si>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</si>
  <si>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</si>
  <si>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</si>
  <si>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</si>
  <si>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</si>
  <si>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</si>
  <si>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</si>
  <si>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</si>
  <si>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</si>
  <si>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</si>
  <si>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</si>
  <si>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</si>
  <si>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</si>
  <si>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</si>
  <si>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</si>
  <si>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</si>
  <si>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</si>
  <si>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</si>
  <si>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</si>
  <si>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</si>
  <si>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</si>
  <si>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</si>
  <si>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</si>
  <si>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</si>
  <si>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</si>
  <si>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</si>
  <si>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</si>
  <si>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</si>
  <si>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</si>
  <si>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</si>
  <si>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</si>
  <si>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</si>
  <si>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</si>
  <si>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</si>
  <si>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</si>
  <si>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</si>
  <si>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</si>
  <si>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</si>
  <si>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</si>
  <si>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</si>
  <si>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</si>
  <si>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</si>
  <si>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</si>
  <si>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</si>
  <si>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</si>
  <si>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</si>
  <si>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</si>
  <si>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</si>
  <si>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</si>
  <si>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</si>
  <si>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</si>
  <si>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</si>
  <si>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</si>
  <si>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</si>
  <si>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</si>
  <si>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</si>
  <si>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</si>
  <si>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</si>
  <si>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</si>
  <si>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</si>
  <si>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</si>
  <si>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</si>
  <si>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</si>
  <si>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</si>
  <si>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</si>
  <si>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</si>
  <si>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</si>
  <si>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</si>
  <si>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</si>
  <si>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</si>
  <si>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</si>
  <si>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</si>
  <si>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</si>
  <si>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</si>
  <si>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</si>
  <si>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</si>
  <si>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</si>
  <si>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</si>
  <si>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</si>
  <si>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</si>
  <si>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</si>
  <si>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</si>
  <si>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</si>
  <si>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</si>
  <si>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</si>
  <si>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</si>
  <si>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</si>
  <si>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</si>
  <si>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</si>
  <si>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</si>
  <si>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A064480</t>
  </si>
  <si>
    <t>브리지텍</t>
  </si>
  <si>
    <t>A064520</t>
  </si>
  <si>
    <t>테크엘</t>
  </si>
  <si>
    <t>A064550</t>
  </si>
  <si>
    <t>바이오니아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</si>
  <si>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</si>
  <si>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</si>
  <si>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</si>
  <si>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</si>
  <si>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</si>
  <si>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</si>
  <si>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</si>
  <si>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</si>
  <si>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</si>
  <si>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</si>
  <si>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</si>
  <si>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</si>
  <si>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</si>
  <si>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</si>
  <si>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</si>
  <si>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</si>
  <si>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</si>
  <si>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</si>
  <si>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</si>
  <si>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</si>
  <si>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</si>
  <si>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</si>
  <si>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</si>
  <si>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</si>
  <si>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</si>
  <si>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</si>
  <si>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</si>
  <si>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</si>
  <si>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</si>
  <si>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</si>
  <si>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</si>
  <si>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</si>
  <si>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</si>
  <si>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</si>
  <si>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</si>
  <si>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</si>
  <si>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</si>
  <si>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</si>
  <si>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</si>
  <si>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</si>
  <si>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</si>
  <si>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</si>
  <si>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</si>
  <si>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</si>
  <si>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</si>
  <si>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</si>
  <si>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</si>
  <si>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</si>
  <si>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</si>
  <si>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</si>
  <si>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</si>
  <si>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</si>
  <si>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</si>
  <si>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</si>
  <si>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</si>
  <si>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</si>
  <si>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</si>
  <si>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</si>
  <si>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A066590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</si>
  <si>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</si>
  <si>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</si>
  <si>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</si>
  <si>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</si>
  <si>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</si>
  <si>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</si>
  <si>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</si>
  <si>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</si>
  <si>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</si>
  <si>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</si>
  <si>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</si>
  <si>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</si>
  <si>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</si>
  <si>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</si>
  <si>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</si>
  <si>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</si>
  <si>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</si>
  <si>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</si>
  <si>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</si>
  <si>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</si>
  <si>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</si>
  <si>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</si>
  <si>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</si>
  <si>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</si>
  <si>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</si>
  <si>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</si>
  <si>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</si>
  <si>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</si>
  <si>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</si>
  <si>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</si>
  <si>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</si>
  <si>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</si>
  <si>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</si>
  <si>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</si>
  <si>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</si>
  <si>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</si>
  <si>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</si>
  <si>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</si>
  <si>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</si>
  <si>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</si>
  <si>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</si>
  <si>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</si>
  <si>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</si>
  <si>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</si>
  <si>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</si>
  <si>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</si>
  <si>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</si>
  <si>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</si>
  <si>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</si>
  <si>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</si>
  <si>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</si>
  <si>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</si>
  <si>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</si>
  <si>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</si>
  <si>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A068290</t>
  </si>
  <si>
    <t>삼성출판사</t>
  </si>
  <si>
    <t>A068330</t>
  </si>
  <si>
    <t>일신바이오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</si>
  <si>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</si>
  <si>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</si>
  <si>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</si>
  <si>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</si>
  <si>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</si>
  <si>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</si>
  <si>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</si>
  <si>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</si>
  <si>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</si>
  <si>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</si>
  <si>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</si>
  <si>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</si>
  <si>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</si>
  <si>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</si>
  <si>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</si>
  <si>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</si>
  <si>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</si>
  <si>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</si>
  <si>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</si>
  <si>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</si>
  <si>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</si>
  <si>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</si>
  <si>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</si>
  <si>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</si>
  <si>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</si>
  <si>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</si>
  <si>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</si>
  <si>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</si>
  <si>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</si>
  <si>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</si>
  <si>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A070300</t>
  </si>
  <si>
    <t>엑스큐어</t>
  </si>
  <si>
    <t>A070590</t>
  </si>
  <si>
    <t>A070960</t>
  </si>
  <si>
    <t>모나용평</t>
  </si>
  <si>
    <t>A071090</t>
  </si>
  <si>
    <t>하이스틸</t>
  </si>
  <si>
    <t>A071200</t>
  </si>
  <si>
    <t>인피니트헬스케어</t>
  </si>
  <si>
    <t>A071280</t>
  </si>
  <si>
    <t>로체시스템즈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</si>
  <si>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</si>
  <si>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</si>
  <si>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</si>
  <si>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</si>
  <si>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</si>
  <si>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</si>
  <si>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</si>
  <si>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</si>
  <si>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</si>
  <si>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</si>
  <si>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</si>
  <si>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</si>
  <si>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</si>
  <si>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</si>
  <si>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</si>
  <si>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</si>
  <si>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</si>
  <si>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</si>
  <si>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</si>
  <si>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</si>
  <si>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</si>
  <si>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</si>
  <si>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</si>
  <si>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</si>
  <si>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</si>
  <si>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</si>
  <si>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</si>
  <si>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</si>
  <si>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</si>
  <si>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</si>
  <si>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</si>
  <si>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</si>
  <si>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</si>
  <si>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</si>
  <si>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</si>
  <si>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</si>
  <si>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</si>
  <si>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</si>
  <si>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</si>
  <si>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</si>
  <si>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</si>
  <si>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</si>
  <si>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</si>
  <si>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</si>
  <si>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</si>
  <si>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</si>
  <si>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</si>
  <si>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</si>
  <si>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</si>
  <si>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</si>
  <si>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</si>
  <si>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</si>
  <si>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</si>
  <si>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</si>
  <si>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</si>
  <si>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</si>
  <si>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</si>
  <si>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A077500</t>
  </si>
  <si>
    <t>유니퀘스트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</si>
  <si>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</si>
  <si>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</si>
  <si>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</si>
  <si>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</si>
  <si>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</si>
  <si>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</si>
  <si>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</si>
  <si>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</si>
  <si>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</si>
  <si>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</si>
  <si>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</si>
  <si>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</si>
  <si>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A078340</t>
  </si>
  <si>
    <t>컴투스</t>
  </si>
  <si>
    <t>A078520</t>
  </si>
  <si>
    <t>에이블씨엔씨</t>
  </si>
  <si>
    <t>A078590</t>
  </si>
  <si>
    <t>휴림에이텍</t>
  </si>
  <si>
    <t>A078860</t>
  </si>
  <si>
    <t>A078890</t>
  </si>
  <si>
    <t>가온그룹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</si>
  <si>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</si>
  <si>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</si>
  <si>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</si>
  <si>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</si>
  <si>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</si>
  <si>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</si>
  <si>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</si>
  <si>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</si>
  <si>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</si>
  <si>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</si>
  <si>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</si>
  <si>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</si>
  <si>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A079650</t>
  </si>
  <si>
    <t>서산</t>
  </si>
  <si>
    <t>A079810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</si>
  <si>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</si>
  <si>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</si>
  <si>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</si>
  <si>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</si>
  <si>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</si>
  <si>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</si>
  <si>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</si>
  <si>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</si>
  <si>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</si>
  <si>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</si>
  <si>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</si>
  <si>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</si>
  <si>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</si>
  <si>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</si>
  <si>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</si>
  <si>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</si>
  <si>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</si>
  <si>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</si>
  <si>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</si>
  <si>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</si>
  <si>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</si>
  <si>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</si>
  <si>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</si>
  <si>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</si>
  <si>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</si>
  <si>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</si>
  <si>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</si>
  <si>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</si>
  <si>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</si>
  <si>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</si>
  <si>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</si>
  <si>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</si>
  <si>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</si>
  <si>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</si>
  <si>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A082210</t>
  </si>
  <si>
    <t>옵트론텍</t>
  </si>
  <si>
    <t>A082270</t>
  </si>
  <si>
    <t>젬백스</t>
  </si>
  <si>
    <t>A082660</t>
  </si>
  <si>
    <t>코스나인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</si>
  <si>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</si>
  <si>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</si>
  <si>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</si>
  <si>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</si>
  <si>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</si>
  <si>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</si>
  <si>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</si>
  <si>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</si>
  <si>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</si>
  <si>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</si>
  <si>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</si>
  <si>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</si>
  <si>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</si>
  <si>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</si>
  <si>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</si>
  <si>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</si>
  <si>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</si>
  <si>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</si>
  <si>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</si>
  <si>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</si>
  <si>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</si>
  <si>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</si>
  <si>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</si>
  <si>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</si>
  <si>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</si>
  <si>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</si>
  <si>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</si>
  <si>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</si>
  <si>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</si>
  <si>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</si>
  <si>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</si>
  <si>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</si>
  <si>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</si>
  <si>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</si>
  <si>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</si>
  <si>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</si>
  <si>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</si>
  <si>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</si>
  <si>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</si>
  <si>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</si>
  <si>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</si>
  <si>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</si>
  <si>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</si>
  <si>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</si>
  <si>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</si>
  <si>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</si>
  <si>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</si>
  <si>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</si>
  <si>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</si>
  <si>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</si>
  <si>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</si>
  <si>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</si>
  <si>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A085670</t>
  </si>
  <si>
    <t>뉴프렉스</t>
  </si>
  <si>
    <t>A085810</t>
  </si>
  <si>
    <t>알티캐스트</t>
  </si>
  <si>
    <t>A086040</t>
  </si>
  <si>
    <t>바이오톡스텍</t>
  </si>
  <si>
    <t>A086060</t>
  </si>
  <si>
    <t>진바이오텍</t>
  </si>
  <si>
    <t>A086390</t>
  </si>
  <si>
    <t>유니테스트</t>
  </si>
  <si>
    <t>A086450</t>
  </si>
  <si>
    <t>동국제약</t>
  </si>
  <si>
    <t>A086670</t>
  </si>
  <si>
    <t>비엠티</t>
  </si>
  <si>
    <t>A086710</t>
  </si>
  <si>
    <t>선진뷰티사이언스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</si>
  <si>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</si>
  <si>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</si>
  <si>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</si>
  <si>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</si>
  <si>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</si>
  <si>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</si>
  <si>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</si>
  <si>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</si>
  <si>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</si>
  <si>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</si>
  <si>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</si>
  <si>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</si>
  <si>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</si>
  <si>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</si>
  <si>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</si>
  <si>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</si>
  <si>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</si>
  <si>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</si>
  <si>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</si>
  <si>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</si>
  <si>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</si>
  <si>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</si>
  <si>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</si>
  <si>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</si>
  <si>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</si>
  <si>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</si>
  <si>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</si>
  <si>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</si>
  <si>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</si>
  <si>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</si>
  <si>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</si>
  <si>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</si>
  <si>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</si>
  <si>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</si>
  <si>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</si>
  <si>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</si>
  <si>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</si>
  <si>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</si>
  <si>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</si>
  <si>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</si>
  <si>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</si>
  <si>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</si>
  <si>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</si>
  <si>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</si>
  <si>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</si>
  <si>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</si>
  <si>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</si>
  <si>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</si>
  <si>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</si>
  <si>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</si>
  <si>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</si>
  <si>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</si>
  <si>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</si>
  <si>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</si>
  <si>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</si>
  <si>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</si>
  <si>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</si>
  <si>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</si>
  <si>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</si>
  <si>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</si>
  <si>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</si>
  <si>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</si>
  <si>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</si>
  <si>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</si>
  <si>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</si>
  <si>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</si>
  <si>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A090460</t>
  </si>
  <si>
    <t>비에이치</t>
  </si>
  <si>
    <t>A090470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</si>
  <si>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</si>
  <si>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</si>
  <si>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</si>
  <si>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</si>
  <si>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</si>
  <si>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</si>
  <si>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</si>
  <si>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</si>
  <si>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</si>
  <si>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</si>
  <si>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</si>
  <si>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</si>
  <si>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</si>
  <si>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</si>
  <si>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</si>
  <si>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</si>
  <si>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</si>
  <si>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</si>
  <si>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</si>
  <si>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</si>
  <si>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</si>
  <si>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</si>
  <si>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</si>
  <si>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</si>
  <si>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</si>
  <si>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</si>
  <si>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</si>
  <si>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</si>
  <si>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</si>
  <si>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</si>
  <si>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</si>
  <si>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</si>
  <si>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</si>
  <si>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</si>
  <si>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</si>
  <si>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</si>
  <si>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</si>
  <si>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</si>
  <si>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</si>
  <si>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</si>
  <si>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</si>
  <si>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</si>
  <si>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</si>
  <si>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</si>
  <si>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</si>
  <si>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A092870</t>
  </si>
  <si>
    <t>엑시콘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</si>
  <si>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</si>
  <si>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</si>
  <si>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</si>
  <si>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</si>
  <si>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</si>
  <si>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</si>
  <si>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</si>
  <si>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</si>
  <si>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</si>
  <si>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</si>
  <si>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</si>
  <si>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</si>
  <si>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</si>
  <si>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</si>
  <si>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</si>
  <si>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</si>
  <si>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</si>
  <si>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</si>
  <si>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</si>
  <si>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</si>
  <si>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</si>
  <si>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</si>
  <si>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</si>
  <si>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</si>
  <si>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</si>
  <si>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</si>
  <si>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</si>
  <si>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</si>
  <si>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</si>
  <si>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</si>
  <si>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</si>
  <si>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</si>
  <si>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</si>
  <si>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</si>
  <si>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</si>
  <si>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</si>
  <si>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</si>
  <si>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A095270</t>
  </si>
  <si>
    <t>웨이브일렉트로</t>
  </si>
  <si>
    <t>A095500</t>
  </si>
  <si>
    <t>미래나노텍</t>
  </si>
  <si>
    <t>A095570</t>
  </si>
  <si>
    <t>AJ네트웍스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</si>
  <si>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</si>
  <si>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</si>
  <si>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</si>
  <si>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</si>
  <si>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</si>
  <si>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</si>
  <si>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</si>
  <si>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</si>
  <si>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</si>
  <si>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</si>
  <si>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</si>
  <si>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</si>
  <si>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</si>
  <si>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</si>
  <si>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</si>
  <si>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</si>
  <si>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</si>
  <si>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</si>
  <si>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</si>
  <si>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</si>
  <si>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</si>
  <si>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</si>
  <si>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</si>
  <si>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</si>
  <si>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A096870</t>
  </si>
  <si>
    <t>엘디티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</si>
  <si>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</si>
  <si>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</si>
  <si>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</si>
  <si>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</si>
  <si>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</si>
  <si>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</si>
  <si>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</si>
  <si>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</si>
  <si>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</si>
  <si>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</si>
  <si>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</si>
  <si>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</si>
  <si>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A098660</t>
  </si>
  <si>
    <t>에스티오</t>
  </si>
  <si>
    <t>A099190</t>
  </si>
  <si>
    <t>아이센스</t>
  </si>
  <si>
    <t>A099220</t>
  </si>
  <si>
    <t>SDN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</si>
  <si>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</si>
  <si>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</si>
  <si>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</si>
  <si>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</si>
  <si>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</si>
  <si>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</si>
  <si>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</si>
  <si>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</si>
  <si>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</si>
  <si>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</si>
  <si>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</si>
  <si>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</si>
  <si>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</si>
  <si>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</si>
  <si>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</si>
  <si>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</si>
  <si>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</si>
  <si>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</si>
  <si>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</si>
  <si>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</si>
  <si>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</si>
  <si>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</si>
  <si>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</si>
  <si>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</si>
  <si>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</si>
  <si>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</si>
  <si>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</si>
  <si>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</si>
  <si>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</si>
  <si>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</si>
  <si>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</si>
  <si>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</si>
  <si>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</si>
  <si>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</si>
  <si>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</si>
  <si>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</si>
  <si>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</si>
  <si>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</si>
  <si>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</si>
  <si>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</si>
  <si>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</si>
  <si>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</si>
  <si>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</si>
  <si>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</si>
  <si>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</si>
  <si>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</si>
  <si>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</si>
  <si>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</si>
  <si>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</si>
  <si>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</si>
  <si>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</si>
  <si>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</si>
  <si>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</si>
  <si>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</si>
  <si>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</si>
  <si>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</si>
  <si>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</si>
  <si>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</si>
  <si>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</si>
  <si>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</si>
  <si>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</si>
  <si>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</si>
  <si>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</si>
  <si>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</si>
  <si>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</si>
  <si>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</si>
  <si>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A102940</t>
  </si>
  <si>
    <t>코오롱생명과학</t>
  </si>
  <si>
    <t>A103140</t>
  </si>
  <si>
    <t>풍산</t>
  </si>
  <si>
    <t>A103230</t>
  </si>
  <si>
    <t>에스앤더블류</t>
  </si>
  <si>
    <t>A103840</t>
  </si>
  <si>
    <t>우양</t>
  </si>
  <si>
    <t>A104040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</si>
  <si>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</si>
  <si>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</si>
  <si>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</si>
  <si>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</si>
  <si>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</si>
  <si>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</si>
  <si>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</si>
  <si>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</si>
  <si>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</si>
  <si>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</si>
  <si>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</si>
  <si>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</si>
  <si>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</si>
  <si>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</si>
  <si>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</si>
  <si>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</si>
  <si>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</si>
  <si>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</si>
  <si>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</si>
  <si>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</si>
  <si>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</si>
  <si>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</si>
  <si>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</si>
  <si>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</si>
  <si>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</si>
  <si>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</si>
  <si>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</si>
  <si>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</si>
  <si>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</si>
  <si>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</si>
  <si>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</si>
  <si>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</si>
  <si>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</si>
  <si>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</si>
  <si>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</si>
  <si>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</si>
  <si>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</si>
  <si>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</si>
  <si>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A108230</t>
  </si>
  <si>
    <t>톱텍</t>
  </si>
  <si>
    <t>A108320</t>
  </si>
  <si>
    <t>LX세미콘</t>
  </si>
  <si>
    <t>A108380</t>
  </si>
  <si>
    <t>대양전기공업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</si>
  <si>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</si>
  <si>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</si>
  <si>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</si>
  <si>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</si>
  <si>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</si>
  <si>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</si>
  <si>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</si>
  <si>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</si>
  <si>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</si>
  <si>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</si>
  <si>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</si>
  <si>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</si>
  <si>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</si>
  <si>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</si>
  <si>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</si>
  <si>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</si>
  <si>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</si>
  <si>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</si>
  <si>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</si>
  <si>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</si>
  <si>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</si>
  <si>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</si>
  <si>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</si>
  <si>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</si>
  <si>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A111110</t>
  </si>
  <si>
    <t>호전실업</t>
  </si>
  <si>
    <t>A111380</t>
  </si>
  <si>
    <t>동인기연</t>
  </si>
  <si>
    <t>A111710</t>
  </si>
  <si>
    <t>남화산업</t>
  </si>
  <si>
    <t>A112040</t>
  </si>
  <si>
    <t>위메이드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</si>
  <si>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</si>
  <si>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</si>
  <si>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</si>
  <si>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</si>
  <si>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</si>
  <si>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</si>
  <si>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</si>
  <si>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</si>
  <si>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</si>
  <si>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</si>
  <si>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</si>
  <si>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</si>
  <si>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</si>
  <si>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</si>
  <si>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</si>
  <si>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</si>
  <si>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</si>
  <si>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</si>
  <si>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</si>
  <si>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</si>
  <si>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</si>
  <si>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</si>
  <si>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</si>
  <si>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</si>
  <si>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</si>
  <si>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</si>
  <si>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</si>
  <si>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</si>
  <si>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</si>
  <si>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</si>
  <si>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</si>
  <si>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</si>
  <si>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</si>
  <si>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</si>
  <si>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</si>
  <si>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</si>
  <si>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</si>
  <si>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</si>
  <si>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</si>
  <si>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</si>
  <si>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</si>
  <si>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</si>
  <si>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</si>
  <si>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</si>
  <si>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</si>
  <si>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</si>
  <si>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</si>
  <si>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</si>
  <si>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</si>
  <si>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</si>
  <si>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</si>
  <si>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</si>
  <si>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</si>
  <si>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</si>
  <si>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</si>
  <si>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</si>
  <si>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</si>
  <si>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</si>
  <si>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</si>
  <si>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</si>
  <si>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</si>
  <si>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</si>
  <si>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</si>
  <si>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</si>
  <si>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</si>
  <si>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</si>
  <si>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</si>
  <si>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</si>
  <si>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</si>
  <si>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</si>
  <si>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</si>
  <si>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</si>
  <si>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</si>
  <si>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</si>
  <si>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</si>
  <si>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</si>
  <si>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</si>
  <si>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</si>
  <si>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</si>
  <si>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</si>
  <si>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</si>
  <si>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</si>
  <si>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</si>
  <si>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</si>
  <si>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</si>
  <si>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</si>
  <si>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</si>
  <si>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</si>
  <si>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</si>
  <si>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</si>
  <si>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</si>
  <si>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</si>
  <si>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</si>
  <si>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</si>
  <si>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</si>
  <si>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</si>
  <si>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</si>
  <si>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</si>
  <si>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</si>
  <si>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</si>
  <si>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</si>
  <si>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</si>
  <si>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</si>
  <si>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</si>
  <si>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</si>
  <si>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</si>
  <si>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</si>
  <si>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</si>
  <si>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</si>
  <si>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</si>
  <si>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A126560</t>
  </si>
  <si>
    <t>현대퓨처넷</t>
  </si>
  <si>
    <t>A126600</t>
  </si>
  <si>
    <t>BGF에코머티리얼즈</t>
  </si>
  <si>
    <t>A126640</t>
  </si>
  <si>
    <t>화신정공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</si>
  <si>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</si>
  <si>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</si>
  <si>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</si>
  <si>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</si>
  <si>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</si>
  <si>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</si>
  <si>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</si>
  <si>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</si>
  <si>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</si>
  <si>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</si>
  <si>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</si>
  <si>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</si>
  <si>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</si>
  <si>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</si>
  <si>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</si>
  <si>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</si>
  <si>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</si>
  <si>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</si>
  <si>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</si>
  <si>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</si>
  <si>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</si>
  <si>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</si>
  <si>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</si>
  <si>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</si>
  <si>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</si>
  <si>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</si>
  <si>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</si>
  <si>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</si>
  <si>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</si>
  <si>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</si>
  <si>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</si>
  <si>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</si>
  <si>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</si>
  <si>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</si>
  <si>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</si>
  <si>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</si>
  <si>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</si>
  <si>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</si>
  <si>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</si>
  <si>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</si>
  <si>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A131370</t>
  </si>
  <si>
    <t>알서포트</t>
  </si>
  <si>
    <t>A131400</t>
  </si>
  <si>
    <t>이브이첨단소재</t>
  </si>
  <si>
    <t>A131760</t>
  </si>
  <si>
    <t>파인텍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</si>
  <si>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</si>
  <si>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</si>
  <si>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</si>
  <si>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</si>
  <si>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</si>
  <si>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</si>
  <si>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</si>
  <si>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</si>
  <si>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</si>
  <si>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</si>
  <si>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</si>
  <si>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</si>
  <si>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</si>
  <si>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</si>
  <si>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</si>
  <si>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</si>
  <si>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</si>
  <si>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</si>
  <si>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</si>
  <si>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</si>
  <si>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</si>
  <si>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</si>
  <si>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</si>
  <si>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</si>
  <si>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</si>
  <si>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</si>
  <si>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</si>
  <si>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</si>
  <si>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</si>
  <si>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</si>
  <si>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</si>
  <si>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</si>
  <si>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A138070</t>
  </si>
  <si>
    <t>신진에스엠</t>
  </si>
  <si>
    <t>A138080</t>
  </si>
  <si>
    <t>오이솔루션</t>
  </si>
  <si>
    <t>A138360</t>
  </si>
  <si>
    <t>앤로보틱스</t>
  </si>
  <si>
    <t>A138490</t>
  </si>
  <si>
    <t>코오롱ENP</t>
  </si>
  <si>
    <t>A139050</t>
  </si>
  <si>
    <t>BF랩스</t>
  </si>
  <si>
    <t>A139130</t>
  </si>
  <si>
    <t>iM금융지주</t>
  </si>
  <si>
    <t>A139670</t>
  </si>
  <si>
    <t>키네마스터</t>
  </si>
  <si>
    <t>A139990</t>
  </si>
  <si>
    <t>아주스틸</t>
  </si>
  <si>
    <t>A140070</t>
  </si>
  <si>
    <t>서플러스글로벌</t>
  </si>
  <si>
    <t>A140430</t>
  </si>
  <si>
    <t>카티스</t>
  </si>
  <si>
    <t>A140520</t>
  </si>
  <si>
    <t>대창스틸</t>
  </si>
  <si>
    <t>A140670</t>
  </si>
  <si>
    <t>알에스오토메이션</t>
  </si>
  <si>
    <t>A141000</t>
  </si>
  <si>
    <t>비아트론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</si>
  <si>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</si>
  <si>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</si>
  <si>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</si>
  <si>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</si>
  <si>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</si>
  <si>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</si>
  <si>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</si>
  <si>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</si>
  <si>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</si>
  <si>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</si>
  <si>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</si>
  <si>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</si>
  <si>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</si>
  <si>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</si>
  <si>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</si>
  <si>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</si>
  <si>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</si>
  <si>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</si>
  <si>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A145170</t>
  </si>
  <si>
    <t>노브랜드</t>
  </si>
  <si>
    <t>A145210</t>
  </si>
  <si>
    <t>다이나믹디자인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</si>
  <si>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</si>
  <si>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</si>
  <si>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</si>
  <si>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</si>
  <si>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</si>
  <si>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</si>
  <si>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</si>
  <si>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</si>
  <si>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</si>
  <si>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</si>
  <si>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</si>
  <si>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</si>
  <si>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</si>
  <si>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</si>
  <si>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</si>
  <si>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</si>
  <si>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</si>
  <si>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</si>
  <si>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</si>
  <si>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</si>
  <si>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</si>
  <si>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</si>
  <si>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</si>
  <si>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A151860</t>
  </si>
  <si>
    <t>KG에코솔루션</t>
  </si>
  <si>
    <t>A153460</t>
  </si>
  <si>
    <t>네이블</t>
  </si>
  <si>
    <t>A153490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</si>
  <si>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</si>
  <si>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</si>
  <si>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</si>
  <si>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</si>
  <si>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</si>
  <si>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</si>
  <si>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</si>
  <si>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</si>
  <si>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</si>
  <si>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</si>
  <si>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</si>
  <si>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</si>
  <si>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</si>
  <si>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</si>
  <si>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</si>
  <si>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</si>
  <si>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</si>
  <si>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</si>
  <si>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</si>
  <si>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</si>
  <si>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</si>
  <si>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</si>
  <si>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</si>
  <si>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</si>
  <si>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</si>
  <si>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</si>
  <si>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</si>
  <si>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</si>
  <si>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</si>
  <si>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</si>
  <si>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</si>
  <si>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</si>
  <si>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</si>
  <si>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</si>
  <si>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</si>
  <si>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</si>
  <si>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</si>
  <si>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</si>
  <si>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</si>
  <si>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</si>
  <si>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</si>
  <si>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</si>
  <si>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</si>
  <si>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</si>
  <si>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</si>
  <si>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</si>
  <si>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</si>
  <si>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</si>
  <si>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</si>
  <si>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</si>
  <si>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</si>
  <si>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</si>
  <si>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</si>
  <si>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</si>
  <si>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</si>
  <si>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</si>
  <si>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</si>
  <si>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</si>
  <si>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</si>
  <si>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</si>
  <si>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</si>
  <si>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</si>
  <si>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</si>
  <si>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</si>
  <si>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</si>
  <si>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</si>
  <si>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A175140</t>
  </si>
  <si>
    <t>휴먼테크놀로지</t>
  </si>
  <si>
    <t>A175250</t>
  </si>
  <si>
    <t>아이큐어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</si>
  <si>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</si>
  <si>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</si>
  <si>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</si>
  <si>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</si>
  <si>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</si>
  <si>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</si>
  <si>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</si>
  <si>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</si>
  <si>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</si>
  <si>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</si>
  <si>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</si>
  <si>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</si>
  <si>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</si>
  <si>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</si>
  <si>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</si>
  <si>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</si>
  <si>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</si>
  <si>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</si>
  <si>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</si>
  <si>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</si>
  <si>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A181710</t>
  </si>
  <si>
    <t>NHN</t>
  </si>
  <si>
    <t>A182360</t>
  </si>
  <si>
    <t>큐브엔터</t>
  </si>
  <si>
    <t>A182400</t>
  </si>
  <si>
    <t>A183190</t>
  </si>
  <si>
    <t>아세아시멘트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</si>
  <si>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</si>
  <si>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</si>
  <si>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</si>
  <si>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</si>
  <si>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</si>
  <si>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</si>
  <si>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</si>
  <si>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</si>
  <si>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</si>
  <si>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</si>
  <si>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</si>
  <si>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</si>
  <si>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</si>
  <si>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</si>
  <si>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</si>
  <si>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</si>
  <si>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</si>
  <si>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A187870</t>
  </si>
  <si>
    <t>디바이스</t>
  </si>
  <si>
    <t>A188040</t>
  </si>
  <si>
    <t>바이오포트</t>
  </si>
  <si>
    <t>A188260</t>
  </si>
  <si>
    <t>세니젠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</si>
  <si>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</si>
  <si>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</si>
  <si>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</si>
  <si>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</si>
  <si>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</si>
  <si>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</si>
  <si>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</si>
  <si>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</si>
  <si>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</si>
  <si>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</si>
  <si>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</si>
  <si>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</si>
  <si>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</si>
  <si>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</si>
  <si>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</si>
  <si>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</si>
  <si>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</si>
  <si>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</si>
  <si>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</si>
  <si>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</si>
  <si>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</si>
  <si>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</si>
  <si>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</si>
  <si>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</si>
  <si>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</si>
  <si>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</si>
  <si>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</si>
  <si>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</si>
  <si>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A193250</t>
  </si>
  <si>
    <t>링크드</t>
  </si>
  <si>
    <t>A194480</t>
  </si>
  <si>
    <t>데브시스터즈</t>
  </si>
  <si>
    <t>A194700</t>
  </si>
  <si>
    <t>노바렉스</t>
  </si>
  <si>
    <t>A195500</t>
  </si>
  <si>
    <t>마니커에프앤지</t>
  </si>
  <si>
    <t>A195990</t>
  </si>
  <si>
    <t>에이비프로바이오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</si>
  <si>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</si>
  <si>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</si>
  <si>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</si>
  <si>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</si>
  <si>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</si>
  <si>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</si>
  <si>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</si>
  <si>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</si>
  <si>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</si>
  <si>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</si>
  <si>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</si>
  <si>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</si>
  <si>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</si>
  <si>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</si>
  <si>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</si>
  <si>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</si>
  <si>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</si>
  <si>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</si>
  <si>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</si>
  <si>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</si>
  <si>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</si>
  <si>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</si>
  <si>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</si>
  <si>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</si>
  <si>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</si>
  <si>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</si>
  <si>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</si>
  <si>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</si>
  <si>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</si>
  <si>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</si>
  <si>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</si>
  <si>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</si>
  <si>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</si>
  <si>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</si>
  <si>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</si>
  <si>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</si>
  <si>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</si>
  <si>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</si>
  <si>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</si>
  <si>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</si>
  <si>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</si>
  <si>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</si>
  <si>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</si>
  <si>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</si>
  <si>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</si>
  <si>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</si>
  <si>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</si>
  <si>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</si>
  <si>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</si>
  <si>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</si>
  <si>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</si>
  <si>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</si>
  <si>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</si>
  <si>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</si>
  <si>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A204610</t>
  </si>
  <si>
    <t>티쓰리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</si>
  <si>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</si>
  <si>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</si>
  <si>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</si>
  <si>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</si>
  <si>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</si>
  <si>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</si>
  <si>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</si>
  <si>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</si>
  <si>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</si>
  <si>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</si>
  <si>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</si>
  <si>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</si>
  <si>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</si>
  <si>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</si>
  <si>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</si>
  <si>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</si>
  <si>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</si>
  <si>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</si>
  <si>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</si>
  <si>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</si>
  <si>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</si>
  <si>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</si>
  <si>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</si>
  <si>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</si>
  <si>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</si>
  <si>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</si>
  <si>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</si>
  <si>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</si>
  <si>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</si>
  <si>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</si>
  <si>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</si>
  <si>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</si>
  <si>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</si>
  <si>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</si>
  <si>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</si>
  <si>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</si>
  <si>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</si>
  <si>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</si>
  <si>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</si>
  <si>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</si>
  <si>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</si>
  <si>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</si>
  <si>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</si>
  <si>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</si>
  <si>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</si>
  <si>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</si>
  <si>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</si>
  <si>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</si>
  <si>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</si>
  <si>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</si>
  <si>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A213500</t>
  </si>
  <si>
    <t>한솔제지</t>
  </si>
  <si>
    <t>A214180</t>
  </si>
  <si>
    <t>헥토이노베이션</t>
  </si>
  <si>
    <t>A214260</t>
  </si>
  <si>
    <t>라파스</t>
  </si>
  <si>
    <t>A214270</t>
  </si>
  <si>
    <t>FSN</t>
  </si>
  <si>
    <t>A214330</t>
  </si>
  <si>
    <t>금호에이치티</t>
  </si>
  <si>
    <t>A214390</t>
  </si>
  <si>
    <t>경보제약</t>
  </si>
  <si>
    <t>A214420</t>
  </si>
  <si>
    <t>토니모리</t>
  </si>
  <si>
    <t>A214430</t>
  </si>
  <si>
    <t>아이쓰리시스템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</si>
  <si>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</si>
  <si>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</si>
  <si>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</si>
  <si>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</si>
  <si>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</si>
  <si>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</si>
  <si>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</si>
  <si>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</si>
  <si>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</si>
  <si>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</si>
  <si>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</si>
  <si>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</si>
  <si>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</si>
  <si>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</si>
  <si>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</si>
  <si>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</si>
  <si>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</si>
  <si>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</si>
  <si>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</si>
  <si>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</si>
  <si>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</si>
  <si>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</si>
  <si>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</si>
  <si>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</si>
  <si>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</si>
  <si>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</si>
  <si>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</si>
  <si>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</si>
  <si>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</si>
  <si>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</si>
  <si>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</si>
  <si>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</si>
  <si>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</si>
  <si>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</si>
  <si>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</si>
  <si>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</si>
  <si>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</si>
  <si>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</si>
  <si>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</si>
  <si>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</si>
  <si>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</si>
  <si>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</si>
  <si>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</si>
  <si>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</si>
  <si>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</si>
  <si>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</si>
  <si>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</si>
  <si>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</si>
  <si>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</si>
  <si>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</si>
  <si>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</si>
  <si>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</si>
  <si>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</si>
  <si>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</si>
  <si>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</si>
  <si>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</si>
  <si>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</si>
  <si>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</si>
  <si>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</si>
  <si>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</si>
  <si>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</si>
  <si>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</si>
  <si>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</si>
  <si>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</si>
  <si>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</si>
  <si>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</si>
  <si>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</si>
  <si>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</si>
  <si>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</si>
  <si>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</si>
  <si>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</si>
  <si>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A222160</t>
  </si>
  <si>
    <t>NPX</t>
  </si>
  <si>
    <t>A222420</t>
  </si>
  <si>
    <t>쎄노텍</t>
  </si>
  <si>
    <t>A222810</t>
  </si>
  <si>
    <t>세토피아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</si>
  <si>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</si>
  <si>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</si>
  <si>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</si>
  <si>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</si>
  <si>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</si>
  <si>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</si>
  <si>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</si>
  <si>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</si>
  <si>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</si>
  <si>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</si>
  <si>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</si>
  <si>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</si>
  <si>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</si>
  <si>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</si>
  <si>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</si>
  <si>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</si>
  <si>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</si>
  <si>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</si>
  <si>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</si>
  <si>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</si>
  <si>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</si>
  <si>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</si>
  <si>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</si>
  <si>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</si>
  <si>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</si>
  <si>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</si>
  <si>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</si>
  <si>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</si>
  <si>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</si>
  <si>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</si>
  <si>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</si>
  <si>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</si>
  <si>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</si>
  <si>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</si>
  <si>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</si>
  <si>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</si>
  <si>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</si>
  <si>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</si>
  <si>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</si>
  <si>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</si>
  <si>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</si>
  <si>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</si>
  <si>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</si>
  <si>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</si>
  <si>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</si>
  <si>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</si>
  <si>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</si>
  <si>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</si>
  <si>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</si>
  <si>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</si>
  <si>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A230240</t>
  </si>
  <si>
    <t>에치에프알</t>
  </si>
  <si>
    <t>A230360</t>
  </si>
  <si>
    <t>에코마케팅</t>
  </si>
  <si>
    <t>A230980</t>
  </si>
  <si>
    <t>비유테크놀러지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</si>
  <si>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</si>
  <si>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</si>
  <si>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</si>
  <si>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</si>
  <si>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</si>
  <si>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</si>
  <si>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</si>
  <si>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</si>
  <si>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</si>
  <si>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</si>
  <si>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</si>
  <si>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</si>
  <si>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</si>
  <si>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</si>
  <si>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</si>
  <si>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</si>
  <si>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</si>
  <si>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</si>
  <si>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</si>
  <si>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</si>
  <si>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</si>
  <si>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</si>
  <si>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</si>
  <si>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</si>
  <si>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</si>
  <si>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</si>
  <si>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</si>
  <si>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</si>
  <si>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</si>
  <si>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</si>
  <si>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</si>
  <si>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</si>
  <si>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</si>
  <si>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</si>
  <si>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</si>
  <si>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</si>
  <si>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</si>
  <si>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</si>
  <si>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</si>
  <si>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</si>
  <si>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</si>
  <si>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</si>
  <si>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</si>
  <si>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</si>
  <si>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</si>
  <si>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</si>
  <si>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</si>
  <si>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</si>
  <si>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A241520</t>
  </si>
  <si>
    <t>DSC인베스트먼트</t>
  </si>
  <si>
    <t>A241590</t>
  </si>
  <si>
    <t>화승엔터프라이즈</t>
  </si>
  <si>
    <t>A241690</t>
  </si>
  <si>
    <t>유니테크노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</si>
  <si>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</si>
  <si>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</si>
  <si>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</si>
  <si>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</si>
  <si>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</si>
  <si>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</si>
  <si>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</si>
  <si>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</si>
  <si>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</si>
  <si>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</si>
  <si>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</si>
  <si>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</si>
  <si>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</si>
  <si>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</si>
  <si>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</si>
  <si>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</si>
  <si>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</si>
  <si>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</si>
  <si>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</si>
  <si>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</si>
  <si>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</si>
  <si>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</si>
  <si>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</si>
  <si>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</si>
  <si>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</si>
  <si>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</si>
  <si>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</si>
  <si>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</si>
  <si>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</si>
  <si>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</si>
  <si>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A247660</t>
  </si>
  <si>
    <t>나노씨엠에스</t>
  </si>
  <si>
    <t>A248070</t>
  </si>
  <si>
    <t>솔루엠</t>
  </si>
  <si>
    <t>A248170</t>
  </si>
  <si>
    <t>샘표식품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</si>
  <si>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</si>
  <si>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</si>
  <si>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</si>
  <si>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</si>
  <si>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</si>
  <si>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</si>
  <si>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</si>
  <si>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</si>
  <si>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</si>
  <si>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</si>
  <si>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</si>
  <si>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</si>
  <si>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</si>
  <si>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</si>
  <si>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</si>
  <si>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</si>
  <si>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</si>
  <si>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</si>
  <si>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</si>
  <si>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</si>
  <si>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</si>
  <si>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</si>
  <si>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</si>
  <si>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</si>
  <si>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</si>
  <si>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</si>
  <si>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</si>
  <si>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</si>
  <si>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</si>
  <si>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</si>
  <si>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</si>
  <si>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</si>
  <si>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</si>
  <si>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</si>
  <si>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</si>
  <si>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</si>
  <si>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</si>
  <si>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</si>
  <si>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</si>
  <si>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</si>
  <si>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</si>
  <si>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</si>
  <si>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</si>
  <si>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</si>
  <si>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</si>
  <si>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</si>
  <si>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</si>
  <si>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</si>
  <si>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</si>
  <si>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씨티케이</t>
  </si>
  <si>
    <t>A261200</t>
  </si>
  <si>
    <t>덴티스</t>
  </si>
  <si>
    <t>A261520</t>
  </si>
  <si>
    <t>이지스</t>
  </si>
  <si>
    <t>A261780</t>
  </si>
  <si>
    <t>차백신연구소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</si>
  <si>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</si>
  <si>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</si>
  <si>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</si>
  <si>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</si>
  <si>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</si>
  <si>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</si>
  <si>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</si>
  <si>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</si>
  <si>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</si>
  <si>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</si>
  <si>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</si>
  <si>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</si>
  <si>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</si>
  <si>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</si>
  <si>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</si>
  <si>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</si>
  <si>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</si>
  <si>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</si>
  <si>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</si>
  <si>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</si>
  <si>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</si>
  <si>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</si>
  <si>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</si>
  <si>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</si>
  <si>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</si>
  <si>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</si>
  <si>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</si>
  <si>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</si>
  <si>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</si>
  <si>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</si>
  <si>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</si>
  <si>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</si>
  <si>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</si>
  <si>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</si>
  <si>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</si>
  <si>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</si>
  <si>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</si>
  <si>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</si>
  <si>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</si>
  <si>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</si>
  <si>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</si>
  <si>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</si>
  <si>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</si>
  <si>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</si>
  <si>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</si>
  <si>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</si>
  <si>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</si>
  <si>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</si>
  <si>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</si>
  <si>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</si>
  <si>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</si>
  <si>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</si>
  <si>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</si>
  <si>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</si>
  <si>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</si>
  <si>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</si>
  <si>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</si>
  <si>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</si>
  <si>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</si>
  <si>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</si>
  <si>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</si>
  <si>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</si>
  <si>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</si>
  <si>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</si>
  <si>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</si>
  <si>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</si>
  <si>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</si>
  <si>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</si>
  <si>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</si>
  <si>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</si>
  <si>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</si>
  <si>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</si>
  <si>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</si>
  <si>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</si>
  <si>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</si>
  <si>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</si>
  <si>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</si>
  <si>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</si>
  <si>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</si>
  <si>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</si>
  <si>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</si>
  <si>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</si>
  <si>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</si>
  <si>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</si>
  <si>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</si>
  <si>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</si>
  <si>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</si>
  <si>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</si>
  <si>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</si>
  <si>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</si>
  <si>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</si>
  <si>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</si>
  <si>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A277880</t>
  </si>
  <si>
    <t>티에스아이</t>
  </si>
  <si>
    <t>A278280</t>
  </si>
  <si>
    <t>천보</t>
  </si>
  <si>
    <t>A278650</t>
  </si>
  <si>
    <t>HLB바이오스텝</t>
  </si>
  <si>
    <t>A279600</t>
  </si>
  <si>
    <t>미디어젠</t>
  </si>
  <si>
    <t>A280360</t>
  </si>
  <si>
    <t>롯데웰푸드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</si>
  <si>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</si>
  <si>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</si>
  <si>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</si>
  <si>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</si>
  <si>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</si>
  <si>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</si>
  <si>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</si>
  <si>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</si>
  <si>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</si>
  <si>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</si>
  <si>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</si>
  <si>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</si>
  <si>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</si>
  <si>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</si>
  <si>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</si>
  <si>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</si>
  <si>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</si>
  <si>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</si>
  <si>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</si>
  <si>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</si>
  <si>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A288330</t>
  </si>
  <si>
    <t>파라택시스코리아</t>
  </si>
  <si>
    <t>A288620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</si>
  <si>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</si>
  <si>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</si>
  <si>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</si>
  <si>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</si>
  <si>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</si>
  <si>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</si>
  <si>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</si>
  <si>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</si>
  <si>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</si>
  <si>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</si>
  <si>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</si>
  <si>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</si>
  <si>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</si>
  <si>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</si>
  <si>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</si>
  <si>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</si>
  <si>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</si>
  <si>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</si>
  <si>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</si>
  <si>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</si>
  <si>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</si>
  <si>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</si>
  <si>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A290660</t>
  </si>
  <si>
    <t>A290670</t>
  </si>
  <si>
    <t>대보마그네틱</t>
  </si>
  <si>
    <t>A290690</t>
  </si>
  <si>
    <t>소룩스</t>
  </si>
  <si>
    <t>A290720</t>
  </si>
  <si>
    <t>푸드나무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</si>
  <si>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</si>
  <si>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</si>
  <si>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</si>
  <si>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</si>
  <si>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</si>
  <si>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</si>
  <si>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</si>
  <si>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</si>
  <si>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</si>
  <si>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</si>
  <si>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</si>
  <si>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</si>
  <si>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</si>
  <si>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</si>
  <si>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</si>
  <si>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</si>
  <si>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</si>
  <si>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</si>
  <si>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</si>
  <si>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</si>
  <si>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</si>
  <si>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</si>
  <si>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</si>
  <si>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A295310</t>
  </si>
  <si>
    <t>에이치브이엠</t>
  </si>
  <si>
    <t>A296640</t>
  </si>
  <si>
    <t>A297570</t>
  </si>
  <si>
    <t>알로이스</t>
  </si>
  <si>
    <t>A297890</t>
  </si>
  <si>
    <t>HB솔루션</t>
  </si>
  <si>
    <t>A298000</t>
  </si>
  <si>
    <t>효성화학</t>
  </si>
  <si>
    <t>A298050</t>
  </si>
  <si>
    <t>HS효성첨단소재</t>
  </si>
  <si>
    <t>A298060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</si>
  <si>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</si>
  <si>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</si>
  <si>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</si>
  <si>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</si>
  <si>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</si>
  <si>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</si>
  <si>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</si>
  <si>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</si>
  <si>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</si>
  <si>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</si>
  <si>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</si>
  <si>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</si>
  <si>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</si>
  <si>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</si>
  <si>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</si>
  <si>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</si>
  <si>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</si>
  <si>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</si>
  <si>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</si>
  <si>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</si>
  <si>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</si>
  <si>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</si>
  <si>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</si>
  <si>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</si>
  <si>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</si>
  <si>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</si>
  <si>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</si>
  <si>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</si>
  <si>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</si>
  <si>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</si>
  <si>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</si>
  <si>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</si>
  <si>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</si>
  <si>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</si>
  <si>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</si>
  <si>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</si>
  <si>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</si>
  <si>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</si>
  <si>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</si>
  <si>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</si>
  <si>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</si>
  <si>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</si>
  <si>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</si>
  <si>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</si>
  <si>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</si>
  <si>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</si>
  <si>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</si>
  <si>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</si>
  <si>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</si>
  <si>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A307870</t>
  </si>
  <si>
    <t>비투엔</t>
  </si>
  <si>
    <t>A307930</t>
  </si>
  <si>
    <t>컴퍼니케이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</si>
  <si>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</si>
  <si>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</si>
  <si>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</si>
  <si>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</si>
  <si>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</si>
  <si>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</si>
  <si>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</si>
  <si>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</si>
  <si>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</si>
  <si>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</si>
  <si>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</si>
  <si>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</si>
  <si>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</si>
  <si>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</si>
  <si>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</si>
  <si>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</si>
  <si>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</si>
  <si>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</si>
  <si>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</si>
  <si>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</si>
  <si>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</si>
  <si>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</si>
  <si>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</si>
  <si>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</si>
  <si>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</si>
  <si>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</si>
  <si>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</si>
  <si>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</si>
  <si>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</si>
  <si>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</si>
  <si>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</si>
  <si>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</si>
  <si>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</si>
  <si>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</si>
  <si>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</si>
  <si>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</si>
  <si>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</si>
  <si>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</si>
  <si>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</si>
  <si>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</si>
  <si>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</si>
  <si>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</si>
  <si>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</si>
  <si>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</si>
  <si>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</si>
  <si>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</si>
  <si>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</si>
  <si>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</si>
  <si>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</si>
  <si>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</si>
  <si>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</si>
  <si>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</si>
  <si>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</si>
  <si>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</si>
  <si>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</si>
  <si>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</si>
  <si>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</si>
  <si>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</si>
  <si>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</si>
  <si>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</si>
  <si>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</si>
  <si>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</si>
  <si>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</si>
  <si>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A318160</t>
  </si>
  <si>
    <t>셀바이오휴먼텍</t>
  </si>
  <si>
    <t>A318410</t>
  </si>
  <si>
    <t>비비씨</t>
  </si>
  <si>
    <t>A319400</t>
  </si>
  <si>
    <t>현대무벡스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</si>
  <si>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</si>
  <si>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</si>
  <si>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</si>
  <si>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</si>
  <si>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</si>
  <si>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</si>
  <si>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</si>
  <si>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</si>
  <si>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</si>
  <si>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</si>
  <si>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A322180</t>
  </si>
  <si>
    <t>LS티라유텍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</si>
  <si>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</si>
  <si>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</si>
  <si>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</si>
  <si>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</si>
  <si>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</si>
  <si>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</si>
  <si>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</si>
  <si>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</si>
  <si>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</si>
  <si>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</si>
  <si>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</si>
  <si>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</si>
  <si>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A327260</t>
  </si>
  <si>
    <t>RF머트리얼즈</t>
  </si>
  <si>
    <t>A328130</t>
  </si>
  <si>
    <t>루닛</t>
  </si>
  <si>
    <t>A328380</t>
  </si>
  <si>
    <t>솔트웨어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</si>
  <si>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</si>
  <si>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</si>
  <si>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</si>
  <si>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</si>
  <si>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</si>
  <si>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</si>
  <si>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</si>
  <si>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</si>
  <si>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</si>
  <si>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</si>
  <si>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</si>
  <si>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</si>
  <si>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</si>
  <si>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</si>
  <si>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</si>
  <si>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</si>
  <si>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</si>
  <si>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</si>
  <si>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</si>
  <si>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</si>
  <si>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</si>
  <si>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</si>
  <si>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</si>
  <si>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</si>
  <si>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</si>
  <si>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</si>
  <si>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</si>
  <si>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</si>
  <si>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</si>
  <si>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</si>
  <si>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</si>
  <si>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</si>
  <si>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</si>
  <si>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A336370</t>
  </si>
  <si>
    <t>솔루스첨단소재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</si>
  <si>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</si>
  <si>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</si>
  <si>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</si>
  <si>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</si>
  <si>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</si>
  <si>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</si>
  <si>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</si>
  <si>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</si>
  <si>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</si>
  <si>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</si>
  <si>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</si>
  <si>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</si>
  <si>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</si>
  <si>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</si>
  <si>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</si>
  <si>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</si>
  <si>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</si>
  <si>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</si>
  <si>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</si>
  <si>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</si>
  <si>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</si>
  <si>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</si>
  <si>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</si>
  <si>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</si>
  <si>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</si>
  <si>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</si>
  <si>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</si>
  <si>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</si>
  <si>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</si>
  <si>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</si>
  <si>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</si>
  <si>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</si>
  <si>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</si>
  <si>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</si>
  <si>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</si>
  <si>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</si>
  <si>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</si>
  <si>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</si>
  <si>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</si>
  <si>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</si>
  <si>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</si>
  <si>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</si>
  <si>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</si>
  <si>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</si>
  <si>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</si>
  <si>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</si>
  <si>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</si>
  <si>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A348350</t>
  </si>
  <si>
    <t>위드텍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</si>
  <si>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</si>
  <si>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</si>
  <si>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</si>
  <si>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</si>
  <si>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</si>
  <si>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</si>
  <si>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</si>
  <si>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</si>
  <si>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</si>
  <si>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</si>
  <si>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</si>
  <si>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</si>
  <si>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</si>
  <si>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</si>
  <si>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A352910</t>
  </si>
  <si>
    <t>오비고</t>
  </si>
  <si>
    <t>A352940</t>
  </si>
  <si>
    <t>인바이오</t>
  </si>
  <si>
    <t>A353190</t>
  </si>
  <si>
    <t>휴럼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</si>
  <si>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</si>
  <si>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</si>
  <si>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</si>
  <si>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</si>
  <si>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</si>
  <si>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</si>
  <si>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</si>
  <si>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</si>
  <si>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</si>
  <si>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</si>
  <si>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</si>
  <si>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</si>
  <si>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</si>
  <si>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</si>
  <si>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</si>
  <si>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</si>
  <si>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</si>
  <si>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</si>
  <si>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</si>
  <si>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</si>
  <si>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</si>
  <si>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</si>
  <si>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</si>
  <si>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</si>
  <si>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</si>
  <si>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</si>
  <si>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</si>
  <si>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</si>
  <si>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</si>
  <si>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</si>
  <si>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</si>
  <si>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</si>
  <si>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</si>
  <si>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</si>
  <si>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</si>
  <si>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</si>
  <si>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</si>
  <si>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</si>
  <si>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</si>
  <si>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</si>
  <si>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</si>
  <si>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</si>
  <si>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</si>
  <si>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</si>
  <si>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</si>
  <si>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</si>
  <si>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</si>
  <si>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</si>
  <si>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</si>
  <si>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</si>
  <si>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</si>
  <si>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</si>
  <si>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</si>
  <si>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</si>
  <si>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</si>
  <si>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</si>
  <si>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</si>
  <si>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</si>
  <si>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</si>
  <si>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</si>
  <si>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</si>
  <si>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</si>
  <si>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</si>
  <si>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</si>
  <si>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</si>
  <si>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공구우먼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</si>
  <si>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</si>
  <si>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</si>
  <si>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</si>
  <si>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</si>
  <si>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</si>
  <si>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</si>
  <si>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</si>
  <si>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</si>
  <si>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</si>
  <si>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</si>
  <si>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</si>
  <si>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</si>
  <si>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</si>
  <si>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</si>
  <si>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</si>
  <si>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</si>
  <si>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</si>
  <si>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</si>
  <si>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</si>
  <si>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</si>
  <si>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</si>
  <si>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</si>
  <si>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</si>
  <si>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</si>
  <si>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</si>
  <si>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</si>
  <si>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</si>
  <si>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</si>
  <si>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</si>
  <si>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</si>
  <si>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</si>
  <si>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</si>
  <si>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</si>
  <si>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</si>
  <si>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</si>
  <si>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</si>
  <si>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</si>
  <si>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</si>
  <si>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</si>
  <si>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</si>
  <si>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</si>
  <si>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</si>
  <si>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</si>
  <si>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</si>
  <si>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</si>
  <si>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</si>
  <si>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</si>
  <si>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</si>
  <si>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</si>
  <si>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</si>
  <si>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</si>
  <si>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</si>
  <si>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</si>
  <si>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</si>
  <si>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</si>
  <si>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</si>
  <si>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</si>
  <si>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</si>
  <si>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</si>
  <si>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</si>
  <si>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</si>
  <si>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</si>
  <si>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</si>
  <si>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</si>
  <si>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</si>
  <si>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</si>
  <si>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</si>
  <si>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</si>
  <si>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</si>
  <si>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</si>
  <si>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</si>
  <si>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</si>
  <si>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</si>
  <si>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</si>
  <si>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</si>
  <si>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</si>
  <si>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</si>
  <si>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</si>
  <si>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</si>
  <si>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</si>
  <si>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</si>
  <si>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</si>
  <si>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</si>
  <si>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</si>
  <si>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</si>
  <si>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</si>
  <si>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</si>
  <si>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</si>
  <si>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</si>
  <si>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</si>
  <si>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</si>
  <si>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</si>
  <si>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</si>
  <si>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A388610</t>
  </si>
  <si>
    <t>지에프씨생명과학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</si>
  <si>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</si>
  <si>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</si>
  <si>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</si>
  <si>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</si>
  <si>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</si>
  <si>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</si>
  <si>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</si>
  <si>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</si>
  <si>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</si>
  <si>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</si>
  <si>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</si>
  <si>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</si>
  <si>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</si>
  <si>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</si>
  <si>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</si>
  <si>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</si>
  <si>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</si>
  <si>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</si>
  <si>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</si>
  <si>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</si>
  <si>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</si>
  <si>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</si>
  <si>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</si>
  <si>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</si>
  <si>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</si>
  <si>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</si>
  <si>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</si>
  <si>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</si>
  <si>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</si>
  <si>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</si>
  <si>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</si>
  <si>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</si>
  <si>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A397810</t>
  </si>
  <si>
    <t>애드포러스</t>
  </si>
  <si>
    <t>A398120</t>
  </si>
  <si>
    <t>에스지헬스케어</t>
  </si>
  <si>
    <t>A402490</t>
  </si>
  <si>
    <t>그린리소스</t>
  </si>
  <si>
    <t>A403490</t>
  </si>
  <si>
    <t>우듬지팜</t>
  </si>
  <si>
    <t>A403550</t>
  </si>
  <si>
    <t>쏘카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</si>
  <si>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</si>
  <si>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</si>
  <si>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</si>
  <si>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</si>
  <si>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</si>
  <si>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</si>
  <si>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</si>
  <si>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</si>
  <si>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</si>
  <si>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</si>
  <si>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</si>
  <si>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</si>
  <si>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</si>
  <si>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</si>
  <si>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</si>
  <si>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</si>
  <si>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</si>
  <si>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</si>
  <si>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</si>
  <si>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</si>
  <si>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</si>
  <si>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</si>
  <si>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</si>
  <si>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</si>
  <si>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</si>
  <si>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</si>
  <si>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</si>
  <si>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</si>
  <si>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</si>
  <si>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</si>
  <si>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</si>
  <si>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</si>
  <si>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</si>
  <si>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</si>
  <si>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</si>
  <si>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</si>
  <si>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</si>
  <si>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</si>
  <si>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</si>
  <si>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</si>
  <si>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</si>
  <si>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</si>
  <si>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</si>
  <si>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</si>
  <si>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</si>
  <si>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</si>
  <si>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</si>
  <si>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</si>
  <si>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</si>
  <si>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</si>
  <si>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</si>
  <si>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</si>
  <si>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</si>
  <si>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</si>
  <si>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</si>
  <si>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</si>
  <si>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</si>
  <si>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</si>
  <si>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</si>
  <si>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</si>
  <si>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</si>
  <si>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</si>
  <si>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</si>
  <si>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</si>
  <si>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</si>
  <si>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</si>
  <si>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</si>
  <si>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</si>
  <si>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</si>
  <si>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</si>
  <si>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</si>
  <si>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</si>
  <si>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</si>
  <si>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</si>
  <si>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</si>
  <si>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</si>
  <si>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</si>
  <si>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</si>
  <si>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</si>
  <si>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</si>
  <si>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</si>
  <si>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</si>
  <si>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</si>
  <si>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</si>
  <si>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</si>
  <si>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</si>
  <si>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</si>
  <si>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</si>
  <si>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</si>
  <si>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</si>
  <si>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</si>
  <si>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</si>
  <si>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</si>
  <si>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</si>
  <si>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</si>
  <si>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</si>
  <si>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</si>
  <si>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</si>
  <si>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</si>
  <si>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</si>
  <si>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</si>
  <si>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</si>
  <si>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</si>
  <si>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</si>
  <si>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A440290</t>
  </si>
  <si>
    <t>HB인베스트먼트</t>
  </si>
  <si>
    <t>A440320</t>
  </si>
  <si>
    <t>오픈놀</t>
  </si>
  <si>
    <t>A441270</t>
  </si>
  <si>
    <t>파인엠텍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</si>
  <si>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</si>
  <si>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</si>
  <si>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</si>
  <si>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</si>
  <si>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</si>
  <si>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</si>
  <si>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</si>
  <si>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</si>
  <si>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</si>
  <si>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</si>
  <si>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</si>
  <si>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</si>
  <si>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</si>
  <si>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</si>
  <si>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</si>
  <si>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</si>
  <si>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</si>
  <si>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</si>
  <si>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</si>
  <si>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</si>
  <si>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</si>
  <si>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</si>
  <si>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</si>
  <si>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</si>
  <si>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</si>
  <si>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</si>
  <si>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</si>
  <si>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</si>
  <si>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</si>
  <si>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</si>
  <si>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</si>
  <si>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</si>
  <si>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</si>
  <si>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</si>
  <si>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</si>
  <si>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</si>
  <si>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</si>
  <si>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</si>
  <si>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</si>
  <si>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</si>
  <si>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</si>
  <si>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</si>
  <si>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</si>
  <si>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</si>
  <si>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</si>
  <si>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</si>
  <si>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</si>
  <si>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</si>
  <si>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</si>
  <si>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</si>
  <si>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</si>
  <si>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</si>
  <si>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</si>
  <si>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</si>
  <si>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</si>
  <si>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</si>
  <si>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</si>
  <si>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</si>
  <si>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A455180</t>
  </si>
  <si>
    <t>케이지에이</t>
  </si>
  <si>
    <t>A456010</t>
  </si>
  <si>
    <t>아이씨티케이</t>
  </si>
  <si>
    <t>A456040</t>
  </si>
  <si>
    <t>OCI</t>
  </si>
  <si>
    <t>A456070</t>
  </si>
  <si>
    <t>이엔셀</t>
  </si>
  <si>
    <t>A457370</t>
  </si>
  <si>
    <t>한켐</t>
  </si>
  <si>
    <t>A457550</t>
  </si>
  <si>
    <t>우진엔텍</t>
  </si>
  <si>
    <t>A457600</t>
  </si>
  <si>
    <t>벡트</t>
  </si>
  <si>
    <t>A458650</t>
  </si>
  <si>
    <t>성우</t>
  </si>
  <si>
    <t>A459100</t>
  </si>
  <si>
    <t>위츠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</si>
  <si>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</si>
  <si>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</si>
  <si>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</si>
  <si>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</si>
  <si>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</si>
  <si>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</si>
  <si>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</si>
  <si>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</si>
  <si>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</si>
  <si>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</si>
  <si>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</si>
  <si>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</si>
  <si>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</si>
  <si>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</si>
  <si>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</si>
  <si>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</si>
  <si>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</si>
  <si>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</si>
  <si>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</si>
  <si>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</si>
  <si>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</si>
  <si>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</si>
  <si>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</si>
  <si>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</si>
  <si>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</si>
  <si>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</si>
  <si>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</si>
  <si>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</si>
  <si>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</si>
  <si>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</si>
  <si>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</si>
  <si>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</si>
  <si>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</si>
  <si>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</si>
  <si>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</si>
  <si>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</si>
  <si>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</si>
  <si>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</si>
  <si>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</si>
  <si>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</si>
  <si>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</si>
  <si>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</si>
  <si>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</si>
  <si>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</si>
  <si>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</si>
  <si>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</si>
  <si>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A466410</t>
  </si>
  <si>
    <t>사이냅소프트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</si>
  <si>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</si>
  <si>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</si>
  <si>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</si>
  <si>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</si>
  <si>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</si>
  <si>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</si>
  <si>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</si>
  <si>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</si>
  <si>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</si>
  <si>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</si>
  <si>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</si>
  <si>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</si>
  <si>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</si>
  <si>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</si>
  <si>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</si>
  <si>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</si>
  <si>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A475230</t>
  </si>
  <si>
    <t>엔알비</t>
  </si>
  <si>
    <t>A475400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</si>
  <si>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</si>
  <si>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</si>
  <si>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</si>
  <si>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</si>
  <si>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</si>
  <si>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</si>
  <si>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</si>
  <si>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</si>
  <si>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</si>
  <si>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</si>
  <si>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A476040</t>
  </si>
  <si>
    <t>오가노이드사이언스</t>
  </si>
  <si>
    <t>A476060</t>
  </si>
  <si>
    <t>온코닉테라퓨틱스</t>
  </si>
  <si>
    <t>A476080</t>
  </si>
  <si>
    <t>M83</t>
  </si>
  <si>
    <t>A478340</t>
  </si>
  <si>
    <t>나라스페이스테크놀로지</t>
  </si>
  <si>
    <t>A478560</t>
  </si>
  <si>
    <t>블랙야크아이앤씨</t>
  </si>
  <si>
    <t>A479960</t>
  </si>
  <si>
    <t>A480370</t>
  </si>
  <si>
    <t>씨케이솔루션</t>
  </si>
  <si>
    <t>A481070</t>
  </si>
  <si>
    <t>에이유브랜즈</t>
  </si>
  <si>
    <t>A482630</t>
  </si>
  <si>
    <t>삼양엔씨켐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</si>
  <si>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</si>
  <si>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</si>
  <si>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</si>
  <si>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</si>
  <si>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</si>
  <si>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</si>
  <si>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</si>
  <si>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</si>
  <si>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</si>
  <si>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</si>
  <si>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</si>
  <si>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</si>
  <si>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A488280</t>
  </si>
  <si>
    <t>에스투더블유</t>
  </si>
  <si>
    <t>A489460</t>
  </si>
  <si>
    <t>바이오비쥬</t>
  </si>
  <si>
    <t>A489500</t>
  </si>
  <si>
    <t>엘케이켐</t>
  </si>
  <si>
    <t>A490470</t>
  </si>
  <si>
    <t>세미파이브</t>
  </si>
  <si>
    <t>A493330</t>
  </si>
  <si>
    <t>지에프아이</t>
  </si>
  <si>
    <t>A900070</t>
  </si>
  <si>
    <t>글로벌에스엠</t>
  </si>
  <si>
    <t>A900100</t>
  </si>
  <si>
    <t>A900110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</si>
  <si>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</si>
  <si>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</si>
  <si>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</si>
  <si>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</si>
  <si>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</si>
  <si>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</si>
  <si>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</si>
  <si>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</si>
  <si>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</si>
  <si>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</si>
  <si>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</si>
  <si>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</si>
  <si>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</si>
  <si>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</si>
  <si>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</si>
  <si>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</si>
  <si>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</si>
  <si>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</si>
  <si>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</si>
  <si>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</si>
  <si>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</si>
  <si>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</si>
  <si>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</si>
  <si>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</si>
  <si>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</si>
  <si>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</si>
  <si>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</si>
  <si>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</si>
  <si>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</si>
  <si>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</si>
  <si>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</si>
  <si>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</si>
  <si>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</si>
  <si>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</si>
  <si>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A0163Y0</t>
    <phoneticPr fontId="2" type="noConversion"/>
  </si>
  <si>
    <t>A0162Y0</t>
    <phoneticPr fontId="2" type="noConversion"/>
  </si>
  <si>
    <t>KoAct 코스닥액티브</t>
    <phoneticPr fontId="2" type="noConversion"/>
  </si>
  <si>
    <t>TIME 코스닥액티브</t>
    <phoneticPr fontId="2" type="noConversion"/>
  </si>
  <si>
    <t>엔케이젠바이오텍코리아</t>
  </si>
  <si>
    <t>EX</t>
  </si>
  <si>
    <t>A0166N0</t>
    <phoneticPr fontId="2" type="noConversion"/>
  </si>
  <si>
    <t>A0168K0</t>
    <phoneticPr fontId="2" type="noConversion"/>
  </si>
  <si>
    <t>PLUS 코스닥150액티브</t>
    <phoneticPr fontId="2" type="noConversion"/>
  </si>
  <si>
    <t>TIGER 기술이전바이오액티브</t>
    <phoneticPr fontId="2" type="noConversion"/>
  </si>
  <si>
    <t>A0166S0</t>
    <phoneticPr fontId="2" type="noConversion"/>
  </si>
  <si>
    <t>페니트리움바이오</t>
  </si>
  <si>
    <t>PLUS K제조업핵심기업액티브</t>
    <phoneticPr fontId="2" type="noConversion"/>
  </si>
  <si>
    <t>인티큐브</t>
  </si>
  <si>
    <t>스모트로닉</t>
  </si>
  <si>
    <t>A394420</t>
  </si>
  <si>
    <t>리센스메디컬</t>
  </si>
  <si>
    <t>IPARK현대산업개발</t>
  </si>
  <si>
    <t>A0088M0</t>
  </si>
  <si>
    <t>메쥬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</si>
  <si>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</si>
  <si>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</si>
  <si>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</si>
  <si>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</si>
  <si>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</si>
  <si>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</si>
  <si>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</si>
  <si>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</si>
  <si>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</si>
  <si>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</si>
  <si>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</si>
  <si>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</si>
  <si>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</si>
  <si>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</si>
  <si>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</si>
  <si>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</si>
  <si>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</si>
  <si>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</si>
  <si>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</si>
  <si>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</si>
  <si>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</si>
  <si>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</si>
  <si>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</si>
  <si>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</si>
  <si>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</si>
  <si>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</si>
  <si>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</si>
  <si>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</si>
  <si>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</si>
  <si>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</si>
  <si>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</si>
  <si>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다이나믹솔루션</t>
  </si>
  <si>
    <t>A0011T0</t>
  </si>
  <si>
    <t>채비</t>
  </si>
  <si>
    <t>SP삼화</t>
  </si>
  <si>
    <t>코스리거글로벌</t>
  </si>
  <si>
    <t>에스프리즘</t>
  </si>
  <si>
    <t>파수AI</t>
  </si>
  <si>
    <t>NH농우바이오</t>
  </si>
  <si>
    <t>졸스</t>
  </si>
  <si>
    <t>아이오케이이엔엠</t>
  </si>
  <si>
    <t>딥커머스</t>
  </si>
  <si>
    <t>파이온엑스</t>
  </si>
  <si>
    <t>20260515</t>
    <phoneticPr fontId="2" type="noConversion"/>
  </si>
  <si>
    <t>CPD [20260522]</t>
    <phoneticPr fontId="2" type="noConversion"/>
  </si>
  <si>
    <t>Last Update : 2026-05-22 16:24:19</t>
    <phoneticPr fontId="18" type="noConversion"/>
  </si>
  <si>
    <t>Last Update : 2026-05-22 16:24:28</t>
    <phoneticPr fontId="2" type="noConversion"/>
  </si>
  <si>
    <t>Last Update : 2026-05-22 16:24:31</t>
    <phoneticPr fontId="2" type="noConversion"/>
  </si>
  <si>
    <t>Last Update : 2026-05-22 16:24:33</t>
    <phoneticPr fontId="2" type="noConversion"/>
  </si>
  <si>
    <t>Last Update : 2026-05-22 16:24:36</t>
    <phoneticPr fontId="2" type="noConversion"/>
  </si>
  <si>
    <t>Last Update : 2026-05-22 16:24:37</t>
    <phoneticPr fontId="2" type="noConversion"/>
  </si>
  <si>
    <t>Last Update : 2026-05-22 16:24:39</t>
    <phoneticPr fontId="2" type="noConversion"/>
  </si>
  <si>
    <t>Last Update : 2026-05-22 16:24:40</t>
    <phoneticPr fontId="2" type="noConversion"/>
  </si>
  <si>
    <t>Last Update : 2026-05-22 16:24:42</t>
    <phoneticPr fontId="2" type="noConversion"/>
  </si>
  <si>
    <t>Last Update : 2026-05-22 16:24:44</t>
    <phoneticPr fontId="2" type="noConversion"/>
  </si>
  <si>
    <t>Last Update : 2026-05-22 16:24:46</t>
    <phoneticPr fontId="2" type="noConversion"/>
  </si>
  <si>
    <t>Last Update : 2026-05-22 16:24:47</t>
    <phoneticPr fontId="2" type="noConversion"/>
  </si>
  <si>
    <t>Last Update : 2026-05-22 16:24:49</t>
    <phoneticPr fontId="2" type="noConversion"/>
  </si>
  <si>
    <t>Last Update : 2026-05-22 16:24:50</t>
    <phoneticPr fontId="2" type="noConversion"/>
  </si>
  <si>
    <t>Last Update : 2026-05-22 16:24:52</t>
    <phoneticPr fontId="2" type="noConversion"/>
  </si>
  <si>
    <t>Last Update : 2026-05-22 16:24:53</t>
    <phoneticPr fontId="2" type="noConversion"/>
  </si>
  <si>
    <t>Last Update : 2026-05-22 16:24:54</t>
    <phoneticPr fontId="2" type="noConversion"/>
  </si>
  <si>
    <t>Last Update : 2026-05-22 16:24:56</t>
    <phoneticPr fontId="2" type="noConversion"/>
  </si>
  <si>
    <t>Last Update : 2026-05-22 16:24:57</t>
    <phoneticPr fontId="2" type="noConversion"/>
  </si>
  <si>
    <t>Last Update : 2026-05-22 16:24:59</t>
    <phoneticPr fontId="2" type="noConversion"/>
  </si>
  <si>
    <t>Last Update : 2026-05-22 16:25:01</t>
    <phoneticPr fontId="2" type="noConversion"/>
  </si>
  <si>
    <t>Last Update : 2026-05-22 16:25:02</t>
    <phoneticPr fontId="2" type="noConversion"/>
  </si>
  <si>
    <t>Last Update : 2026-05-22 16:25:04</t>
    <phoneticPr fontId="2" type="noConversion"/>
  </si>
  <si>
    <t>Last Update : 2026-05-22 16:25:05</t>
    <phoneticPr fontId="2" type="noConversion"/>
  </si>
  <si>
    <t>Last Update : 2026-05-22 16:25:07</t>
    <phoneticPr fontId="2" type="noConversion"/>
  </si>
  <si>
    <t>Last Update : 2026-05-22 16:25:08</t>
    <phoneticPr fontId="2" type="noConversion"/>
  </si>
  <si>
    <t>Last Update : 2026-05-22 16:25:10</t>
    <phoneticPr fontId="2" type="noConversion"/>
  </si>
  <si>
    <t>Last Update : 2026-05-22 16:25:12</t>
    <phoneticPr fontId="2" type="noConversion"/>
  </si>
  <si>
    <t>Last Update : 2026-05-22 16:25:13</t>
    <phoneticPr fontId="2" type="noConversion"/>
  </si>
  <si>
    <t>Last Update : 2026-05-22 16:25:14</t>
    <phoneticPr fontId="2" type="noConversion"/>
  </si>
  <si>
    <t>Last Update : 2026-05-22 16:25:16</t>
    <phoneticPr fontId="2" type="noConversion"/>
  </si>
  <si>
    <t>Last Update : 2026-05-22 16:25:17</t>
    <phoneticPr fontId="2" type="noConversion"/>
  </si>
  <si>
    <t>Last Update : 2026-05-22 16:25:19</t>
    <phoneticPr fontId="2" type="noConversion"/>
  </si>
  <si>
    <t>Last Update : 2026-05-22 16:25:21</t>
    <phoneticPr fontId="2" type="noConversion"/>
  </si>
  <si>
    <t>Last Update : 2026-05-22 16:25:22</t>
    <phoneticPr fontId="2" type="noConversion"/>
  </si>
  <si>
    <t>Last Update : 2026-05-22 16:25:24</t>
    <phoneticPr fontId="2" type="noConversion"/>
  </si>
  <si>
    <t>Last Update : 2026-05-22 16:25:26</t>
    <phoneticPr fontId="2" type="noConversion"/>
  </si>
  <si>
    <t>Last Update : 2026-05-22 16:25:29</t>
    <phoneticPr fontId="2" type="noConversion"/>
  </si>
  <si>
    <t>Last Update : 2026-05-22 16:25:32</t>
    <phoneticPr fontId="2" type="noConversion"/>
  </si>
  <si>
    <t>Last Update : 2026-05-22 16:25:33</t>
    <phoneticPr fontId="2" type="noConversion"/>
  </si>
  <si>
    <t>Last Update : 2026-05-22 16:25:35</t>
    <phoneticPr fontId="2" type="noConversion"/>
  </si>
  <si>
    <t>Last Update : 2026-05-22 16:25:36</t>
    <phoneticPr fontId="2" type="noConversion"/>
  </si>
  <si>
    <t>Last Update : 2026-05-22 16:25:37</t>
    <phoneticPr fontId="2" type="noConversion"/>
  </si>
  <si>
    <t>Last Update : 2026-05-22 16:25:39</t>
    <phoneticPr fontId="2" type="noConversion"/>
  </si>
  <si>
    <t>Last Update : 2026-05-22 16:25:41</t>
    <phoneticPr fontId="2" type="noConversion"/>
  </si>
  <si>
    <t>Last Update : 2026-05-22 16:25:43</t>
    <phoneticPr fontId="2" type="noConversion"/>
  </si>
  <si>
    <t>Last Update : 2026-05-22 16:25:45</t>
    <phoneticPr fontId="2" type="noConversion"/>
  </si>
  <si>
    <t>Last Update : 2026-05-22 16:25:46</t>
    <phoneticPr fontId="2" type="noConversion"/>
  </si>
  <si>
    <t>Last Update : 2026-05-22 16:25:48</t>
    <phoneticPr fontId="2" type="noConversion"/>
  </si>
  <si>
    <t>Last Update : 2026-05-22 16:25:50</t>
    <phoneticPr fontId="2" type="noConversion"/>
  </si>
  <si>
    <t>Last Update : 2026-05-22 16:25:52</t>
    <phoneticPr fontId="2" type="noConversion"/>
  </si>
  <si>
    <t>Last Update : 2026-05-22 16:25:54</t>
    <phoneticPr fontId="2" type="noConversion"/>
  </si>
  <si>
    <t>Last Update : 2026-05-22 16:25:56</t>
    <phoneticPr fontId="2" type="noConversion"/>
  </si>
  <si>
    <t>Last Update : 2026-05-22 16:25:57</t>
    <phoneticPr fontId="2" type="noConversion"/>
  </si>
  <si>
    <t>Last Update : 2026-05-22 16:25:59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</si>
</sst>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  <charset val="129"/>
      <scheme val="minor"/>
    </font>
    <font>
      <b/>
      <sz val="9"/>
      <color rgb="FFBFBFB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664FD"/>
      <name val="맑은 고딕"/>
      <family val="2"/>
      <charset val="129"/>
      <scheme val="minor"/>
    </font>
    <font>
      <sz val="11"/>
      <color rgb="FF9748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404040"/>
      <name val="Tahoma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8"/>
      <name val="Arial"/>
      <family val="2"/>
      <charset val="129"/>
    </font>
    <font>
      <sz val="9"/>
      <name val="돋움"/>
      <family val="3"/>
      <charset val="129"/>
    </font>
    <font>
      <sz val="8.5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 style="dotted">
        <color rgb="FF3664FD"/>
      </right>
      <top style="thin">
        <color rgb="FF3664FD"/>
      </top>
      <bottom/>
      <diagonal/>
    </border>
    <border>
      <left/>
      <right style="dotted">
        <color rgb="FF3664FD"/>
      </right>
      <top/>
      <bottom/>
      <diagonal/>
    </border>
    <border>
      <left/>
      <right style="dotted">
        <color rgb="FF3664FD"/>
      </right>
      <top style="thin">
        <color rgb="FF3664FD"/>
      </top>
      <bottom style="thin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</cellStyleXfs>
  <cellXfs count="78">
    <xf numFmtId="0" fontId="0" fillId="0" borderId="0" xfId="0">
      <alignment vertical="center"/>
    </xf>
    <xf numFmtId="0" fontId="6" fillId="2" borderId="0" xfId="2" applyFont="1" applyFill="1" applyAlignment="1" applyProtection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1" fillId="0" borderId="6" xfId="0" applyFont="1" applyBorder="1" applyAlignment="1">
      <alignment horizontal="right"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9" fontId="0" fillId="0" borderId="7" xfId="7" applyFont="1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9" fontId="0" fillId="0" borderId="0" xfId="7" applyFont="1" applyBorder="1">
      <alignment vertical="center"/>
    </xf>
    <xf numFmtId="0" fontId="9" fillId="0" borderId="7" xfId="0" applyFont="1" applyBorder="1">
      <alignment vertical="center"/>
    </xf>
    <xf numFmtId="9" fontId="9" fillId="0" borderId="7" xfId="7" applyFont="1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0" fillId="0" borderId="0" xfId="0" applyNumberFormat="1">
      <alignment vertical="center"/>
    </xf>
    <xf numFmtId="9" fontId="0" fillId="0" borderId="7" xfId="7" applyFont="1" applyFill="1" applyBorder="1">
      <alignment vertical="center"/>
    </xf>
    <xf numFmtId="9" fontId="0" fillId="0" borderId="0" xfId="7" applyFont="1" applyFill="1" applyBorder="1">
      <alignment vertical="center"/>
    </xf>
    <xf numFmtId="0" fontId="15" fillId="0" borderId="0" xfId="8" applyFont="1">
      <alignment vertical="center"/>
    </xf>
    <xf numFmtId="0" fontId="15" fillId="2" borderId="0" xfId="9" applyFont="1" applyFill="1" applyAlignment="1" applyProtection="1">
      <alignment horizontal="center" vertical="center"/>
    </xf>
    <xf numFmtId="0" fontId="17" fillId="0" borderId="0" xfId="8" applyFont="1">
      <alignment vertical="center"/>
    </xf>
    <xf numFmtId="0" fontId="14" fillId="0" borderId="0" xfId="8">
      <alignment vertical="center"/>
    </xf>
    <xf numFmtId="0" fontId="14" fillId="0" borderId="0" xfId="8" quotePrefix="1">
      <alignment vertical="center"/>
    </xf>
    <xf numFmtId="0" fontId="19" fillId="0" borderId="0" xfId="10" applyFont="1" applyAlignment="1">
      <alignment horizontal="left" vertical="center"/>
    </xf>
    <xf numFmtId="0" fontId="14" fillId="0" borderId="0" xfId="10">
      <alignment vertical="center"/>
    </xf>
    <xf numFmtId="0" fontId="14" fillId="0" borderId="1" xfId="10" applyBorder="1" applyAlignment="1">
      <alignment horizontal="left" vertical="center"/>
    </xf>
    <xf numFmtId="0" fontId="20" fillId="0" borderId="0" xfId="8" applyFont="1">
      <alignment vertical="center"/>
    </xf>
    <xf numFmtId="0" fontId="14" fillId="0" borderId="0" xfId="10" applyAlignment="1">
      <alignment horizontal="left" vertical="center"/>
    </xf>
    <xf numFmtId="0" fontId="14" fillId="0" borderId="0" xfId="11">
      <alignment vertical="center"/>
    </xf>
    <xf numFmtId="0" fontId="14" fillId="0" borderId="0" xfId="8" applyAlignment="1">
      <alignment horizontal="left" vertical="center"/>
    </xf>
    <xf numFmtId="0" fontId="14" fillId="4" borderId="8" xfId="8" applyFill="1" applyBorder="1" applyAlignment="1">
      <alignment horizontal="left" vertical="center"/>
    </xf>
    <xf numFmtId="0" fontId="14" fillId="0" borderId="2" xfId="8" applyBorder="1" applyAlignment="1">
      <alignment horizontal="left" vertical="center"/>
    </xf>
    <xf numFmtId="0" fontId="14" fillId="0" borderId="1" xfId="8" applyBorder="1" applyAlignment="1">
      <alignment horizontal="left" vertical="center"/>
    </xf>
    <xf numFmtId="3" fontId="14" fillId="0" borderId="0" xfId="8" applyNumberFormat="1">
      <alignment vertical="center"/>
    </xf>
    <xf numFmtId="0" fontId="14" fillId="4" borderId="9" xfId="8" applyFill="1" applyBorder="1" applyAlignment="1">
      <alignment horizontal="left" vertical="center"/>
    </xf>
    <xf numFmtId="0" fontId="14" fillId="0" borderId="2" xfId="8" applyBorder="1" applyAlignment="1">
      <alignment horizontal="center" vertical="center"/>
    </xf>
    <xf numFmtId="0" fontId="14" fillId="0" borderId="2" xfId="8" applyBorder="1">
      <alignment vertical="center"/>
    </xf>
    <xf numFmtId="3" fontId="22" fillId="0" borderId="0" xfId="8" applyNumberFormat="1" applyFo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horizontal="right" vertical="center"/>
    </xf>
    <xf numFmtId="4" fontId="14" fillId="0" borderId="0" xfId="8" applyNumberFormat="1" applyAlignment="1">
      <alignment horizontal="right" vertical="center"/>
    </xf>
    <xf numFmtId="3" fontId="14" fillId="0" borderId="0" xfId="8" applyNumberFormat="1" applyAlignment="1">
      <alignment horizontal="right" vertical="center"/>
    </xf>
    <xf numFmtId="176" fontId="14" fillId="0" borderId="0" xfId="8" applyNumberFormat="1" applyAlignment="1">
      <alignment horizontal="right" vertical="center"/>
    </xf>
    <xf numFmtId="4" fontId="23" fillId="0" borderId="0" xfId="8" applyNumberFormat="1" applyFont="1" applyAlignment="1">
      <alignment horizontal="right" vertical="center"/>
    </xf>
    <xf numFmtId="0" fontId="22" fillId="0" borderId="0" xfId="8" applyFont="1">
      <alignment vertical="center"/>
    </xf>
    <xf numFmtId="4" fontId="14" fillId="0" borderId="0" xfId="8" applyNumberFormat="1">
      <alignment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25" fillId="0" borderId="7" xfId="0" applyFont="1" applyBorder="1">
      <alignment vertical="center"/>
    </xf>
    <xf numFmtId="49" fontId="25" fillId="0" borderId="7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4" fontId="12" fillId="0" borderId="0" xfId="0" applyNumberFormat="1" applyFont="1">
      <alignment vertical="center"/>
    </xf>
    <xf numFmtId="0" fontId="25" fillId="5" borderId="7" xfId="0" applyFont="1" applyFill="1" applyBorder="1">
      <alignment vertical="center"/>
    </xf>
    <xf numFmtId="0" fontId="25" fillId="3" borderId="7" xfId="0" applyFont="1" applyFill="1" applyBorder="1">
      <alignment vertical="center"/>
    </xf>
    <xf numFmtId="0" fontId="9" fillId="3" borderId="7" xfId="0" applyFont="1" applyFill="1" applyBorder="1">
      <alignment vertical="center"/>
    </xf>
    <xf numFmtId="0" fontId="9" fillId="5" borderId="7" xfId="0" applyFont="1" applyFill="1" applyBorder="1">
      <alignment vertical="center"/>
    </xf>
    <xf numFmtId="0" fontId="25" fillId="4" borderId="7" xfId="0" applyFont="1" applyFill="1" applyBorder="1">
      <alignment vertical="center"/>
    </xf>
    <xf numFmtId="0" fontId="9" fillId="6" borderId="7" xfId="0" applyFont="1" applyFill="1" applyBorder="1">
      <alignment vertical="center"/>
    </xf>
    <xf numFmtId="0" fontId="0" fillId="6" borderId="7" xfId="0" applyFill="1" applyBorder="1">
      <alignment vertical="center"/>
    </xf>
  </cellXfs>
  <cellStyles count="12">
    <cellStyle name="백분율" xfId="7" builtinId="5"/>
    <cellStyle name="백분율 2" xfId="4" xr:uid="{00000000-0005-0000-0000-000001000000}"/>
    <cellStyle name="백분율 2 2" xfId="5" xr:uid="{00000000-0005-0000-0000-000002000000}"/>
    <cellStyle name="쉼표 [0] 2" xfId="6" xr:uid="{00000000-0005-0000-0000-000003000000}"/>
    <cellStyle name="표준" xfId="0" builtinId="0"/>
    <cellStyle name="표준 10" xfId="8" xr:uid="{8A59F848-A5B2-43B4-A399-9CAD39DD74F6}"/>
    <cellStyle name="표준 2" xfId="3" xr:uid="{00000000-0005-0000-0000-000005000000}"/>
    <cellStyle name="표준 5" xfId="1" xr:uid="{00000000-0005-0000-0000-000006000000}"/>
    <cellStyle name="표준_Book3" xfId="11" xr:uid="{61C87CAB-83AB-45BA-9646-880D57D041AE}"/>
    <cellStyle name="표준_Template_AlphaZoneStrategy_LongShort_StockPicking" xfId="10" xr:uid="{9154391C-5E8B-4D82-AF63-7B60F5E26783}"/>
    <cellStyle name="하이퍼링크" xfId="2" builtinId="8"/>
    <cellStyle name="하이퍼링크 2" xfId="9" xr:uid="{51802F22-C6BD-4F29-98E9-A1CDEAF0D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3804;&#51088;&#51204;&#47029;&#48512;\&#53804;&#51088;&#44277;&#54617;\Request\&#49368;&#54540;\CSIndexSnapSho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&#53804;&#51088;&#51204;&#47029;&#48512;\&#51312;&#48512;&#51109;&#45784;%20&#51088;&#47308;\ING&#49373;&#47749;\Stable_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est\LOCALS~1\Temp\DOCUME~1\&#45824;&#49888;\LOCALS~1\Temp\PCA&#53804;&#49888;&#50868;&#50857;%20&#48156;&#49569;&#51088;&#47308;\&#51452;&#50836;%20&#51333;&#47785;&#48324;%20&#50808;&#44397;&#51064;%20&#47588;&#47588;%20&#46041;&#54693;(&#45824;&#49888;&#51613;&#44428;%20&#47532;&#49436;&#52824;&#49468;&#53552;)_08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1.Quant%20Strategy\1.Quant%20&#51088;&#47308;\1.Quant%20Item\%23%20RequestCover\&#45209;&#54253;&#44284;&#45824;\Quant%20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 Contacts"/>
      <sheetName val="Returns"/>
      <sheetName val="Sector Returns"/>
      <sheetName val="Valuations"/>
      <sheetName val="Sector Valuations"/>
      <sheetName val="Sector Weights"/>
      <sheetName val="Size Concentration"/>
      <sheetName val="Size Distribution"/>
      <sheetName val="Credit Ratings"/>
      <sheetName val="Earnings and Dividend Ranks"/>
      <sheetName val="Growth Value Returns"/>
      <sheetName val="Dividend Returns"/>
      <sheetName val="Valuation Charts"/>
      <sheetName val="Monthly Return Charts"/>
      <sheetName val="combo_lists"/>
      <sheetName val="Return Data"/>
      <sheetName val="Sector Return Data"/>
      <sheetName val="Valuation Data"/>
      <sheetName val="Sector Valuation Data"/>
      <sheetName val="Weight Data"/>
      <sheetName val="Size Concentration Data"/>
      <sheetName val="Size Distribution Data"/>
      <sheetName val="Credit Ratings Data"/>
      <sheetName val="Earnings and Dividends Data"/>
      <sheetName val="Growth Value Data"/>
      <sheetName val="Dividend Return Data"/>
      <sheetName val="Monthly Return Data"/>
      <sheetName val="MonthlyRetStage"/>
      <sheetName val="CmpdRet"/>
      <sheetName val="Chart Data"/>
      <sheetName val="PE"/>
      <sheetName val="PE2"/>
      <sheetName val="PFY1"/>
      <sheetName val="Psales"/>
      <sheetName val="Pbook"/>
      <sheetName val="PCF"/>
      <sheetName val="ROE"/>
      <sheetName val="DivYield"/>
      <sheetName val="PayOut"/>
      <sheetName val="lists"/>
      <sheetName val="yScale"/>
    </sheetNames>
    <sheetDataSet>
      <sheetData sheetId="0" refreshError="1"/>
      <sheetData sheetId="1" refreshError="1">
        <row r="11">
          <cell r="C11" t="str">
            <v>Russell 2500 Value</v>
          </cell>
          <cell r="D11">
            <v>-3.5618900000000002E-2</v>
          </cell>
          <cell r="E11">
            <v>-0.10897084</v>
          </cell>
          <cell r="F11">
            <v>-3.5618900000000002E-2</v>
          </cell>
          <cell r="G11">
            <v>-0.1252567</v>
          </cell>
          <cell r="H11">
            <v>152</v>
          </cell>
          <cell r="I11">
            <v>333</v>
          </cell>
          <cell r="J11">
            <v>6.1586700000000001E-2</v>
          </cell>
          <cell r="K11">
            <v>0.16036626000000001</v>
          </cell>
        </row>
        <row r="12">
          <cell r="C12" t="str">
            <v>Russell 200 Value</v>
          </cell>
          <cell r="D12">
            <v>-3.8183410000000001E-2</v>
          </cell>
          <cell r="E12">
            <v>-9.2336360000000006E-2</v>
          </cell>
          <cell r="F12">
            <v>-3.8183410000000001E-2</v>
          </cell>
          <cell r="G12">
            <v>-4.178109E-2</v>
          </cell>
          <cell r="H12">
            <v>550</v>
          </cell>
          <cell r="I12">
            <v>1061</v>
          </cell>
          <cell r="J12">
            <v>7.9932290000000003E-2</v>
          </cell>
          <cell r="K12">
            <v>0.12766229000000001</v>
          </cell>
        </row>
        <row r="13">
          <cell r="C13" t="str">
            <v>Russell 1000 Value</v>
          </cell>
          <cell r="D13">
            <v>-4.0052909999999997E-2</v>
          </cell>
          <cell r="E13">
            <v>-9.5798480000000005E-2</v>
          </cell>
          <cell r="F13">
            <v>-4.0052909999999997E-2</v>
          </cell>
          <cell r="G13">
            <v>-5.3815380000000003E-2</v>
          </cell>
          <cell r="H13">
            <v>190</v>
          </cell>
          <cell r="I13">
            <v>428</v>
          </cell>
          <cell r="J13">
            <v>8.4848409999999999E-2</v>
          </cell>
          <cell r="K13">
            <v>0.14252053000000001</v>
          </cell>
        </row>
        <row r="14">
          <cell r="C14" t="str">
            <v>Russell 3000 Value</v>
          </cell>
          <cell r="D14">
            <v>-4.0129940000000003E-2</v>
          </cell>
          <cell r="E14">
            <v>-9.7773520000000003E-2</v>
          </cell>
          <cell r="F14">
            <v>-4.0129940000000003E-2</v>
          </cell>
          <cell r="G14">
            <v>-6.201197E-2</v>
          </cell>
          <cell r="H14">
            <v>634</v>
          </cell>
          <cell r="I14">
            <v>1285</v>
          </cell>
          <cell r="J14">
            <v>8.2049499999999997E-2</v>
          </cell>
          <cell r="K14">
            <v>0.14320731</v>
          </cell>
        </row>
        <row r="15">
          <cell r="C15" t="str">
            <v>Russell 2000 Value</v>
          </cell>
          <cell r="D15">
            <v>-4.1036309999999999E-2</v>
          </cell>
          <cell r="E15">
            <v>-0.12038139</v>
          </cell>
          <cell r="F15">
            <v>-4.1036309999999999E-2</v>
          </cell>
          <cell r="G15">
            <v>-0.14756528999999999</v>
          </cell>
          <cell r="H15">
            <v>444</v>
          </cell>
          <cell r="I15">
            <v>857</v>
          </cell>
          <cell r="J15">
            <v>5.182022E-2</v>
          </cell>
          <cell r="K15">
            <v>0.15492115000000001</v>
          </cell>
        </row>
        <row r="16">
          <cell r="C16" t="str">
            <v>Russell Mid Cap Value</v>
          </cell>
          <cell r="D16">
            <v>-4.556557E-2</v>
          </cell>
          <cell r="E16">
            <v>-0.10587439999999999</v>
          </cell>
          <cell r="F16">
            <v>-4.556557E-2</v>
          </cell>
          <cell r="G16">
            <v>-8.7262560000000003E-2</v>
          </cell>
          <cell r="H16">
            <v>38</v>
          </cell>
          <cell r="I16">
            <v>95</v>
          </cell>
          <cell r="J16">
            <v>9.2651910000000004E-2</v>
          </cell>
          <cell r="K16">
            <v>0.17483607000000001</v>
          </cell>
        </row>
        <row r="17">
          <cell r="C17" t="str">
            <v>Russell 200</v>
          </cell>
          <cell r="D17">
            <v>-5.787059E-2</v>
          </cell>
          <cell r="E17">
            <v>-0.10317904</v>
          </cell>
          <cell r="F17">
            <v>-5.787059E-2</v>
          </cell>
          <cell r="G17">
            <v>-1.560691E-2</v>
          </cell>
          <cell r="H17">
            <v>743</v>
          </cell>
          <cell r="I17">
            <v>1687</v>
          </cell>
          <cell r="J17">
            <v>7.0616609999999996E-2</v>
          </cell>
          <cell r="K17">
            <v>0.10985277</v>
          </cell>
        </row>
        <row r="18">
          <cell r="C18" t="str">
            <v>Russell 1000</v>
          </cell>
          <cell r="D18">
            <v>-5.9950360000000001E-2</v>
          </cell>
          <cell r="E18">
            <v>-0.10588496</v>
          </cell>
          <cell r="F18">
            <v>-5.9950360000000001E-2</v>
          </cell>
          <cell r="G18">
            <v>-2.445833E-2</v>
          </cell>
          <cell r="H18">
            <v>292</v>
          </cell>
          <cell r="I18">
            <v>707</v>
          </cell>
          <cell r="J18">
            <v>7.7656269999999999E-2</v>
          </cell>
          <cell r="K18">
            <v>0.12589753000000001</v>
          </cell>
        </row>
        <row r="19">
          <cell r="C19" t="str">
            <v>Russell 3000</v>
          </cell>
          <cell r="D19">
            <v>-6.061155E-2</v>
          </cell>
          <cell r="E19">
            <v>-0.10833027000000001</v>
          </cell>
          <cell r="F19">
            <v>-6.061155E-2</v>
          </cell>
          <cell r="G19">
            <v>-3.0764529999999998E-2</v>
          </cell>
          <cell r="H19">
            <v>873</v>
          </cell>
          <cell r="I19">
            <v>2056</v>
          </cell>
          <cell r="J19">
            <v>7.607556E-2</v>
          </cell>
          <cell r="K19">
            <v>0.12773525999999999</v>
          </cell>
        </row>
        <row r="20">
          <cell r="C20" t="str">
            <v>Russell 2500</v>
          </cell>
          <cell r="D20">
            <v>-6.1083190000000002E-2</v>
          </cell>
          <cell r="E20">
            <v>-0.12411665</v>
          </cell>
          <cell r="F20">
            <v>-6.1083190000000002E-2</v>
          </cell>
          <cell r="G20">
            <v>-7.3163430000000002E-2</v>
          </cell>
          <cell r="H20">
            <v>234</v>
          </cell>
          <cell r="I20">
            <v>560</v>
          </cell>
          <cell r="J20">
            <v>7.3442939999999998E-2</v>
          </cell>
          <cell r="K20">
            <v>0.16147502999999999</v>
          </cell>
        </row>
        <row r="21">
          <cell r="C21" t="str">
            <v>Russell Mid Cap</v>
          </cell>
          <cell r="D21">
            <v>-6.5151260000000003E-2</v>
          </cell>
          <cell r="E21">
            <v>-0.11261271</v>
          </cell>
          <cell r="F21">
            <v>-6.5151260000000003E-2</v>
          </cell>
          <cell r="G21">
            <v>-4.5087679999999998E-2</v>
          </cell>
          <cell r="H21">
            <v>58</v>
          </cell>
          <cell r="I21">
            <v>147</v>
          </cell>
          <cell r="J21">
            <v>9.5389249999999995E-2</v>
          </cell>
          <cell r="K21">
            <v>0.17110228</v>
          </cell>
        </row>
        <row r="22">
          <cell r="C22" t="str">
            <v>Russell 2000</v>
          </cell>
          <cell r="D22">
            <v>-6.8194409999999997E-2</v>
          </cell>
          <cell r="E22">
            <v>-0.13564309999999999</v>
          </cell>
          <cell r="F22">
            <v>-6.8194409999999997E-2</v>
          </cell>
          <cell r="G22">
            <v>-9.7883059999999994E-2</v>
          </cell>
          <cell r="H22">
            <v>581</v>
          </cell>
          <cell r="I22">
            <v>1349</v>
          </cell>
          <cell r="J22">
            <v>5.8076250000000003E-2</v>
          </cell>
          <cell r="K22">
            <v>0.15259877999999999</v>
          </cell>
        </row>
        <row r="23">
          <cell r="C23" t="str">
            <v>Russell 200 Growth</v>
          </cell>
          <cell r="D23">
            <v>-7.7291799999999994E-2</v>
          </cell>
          <cell r="E23">
            <v>-0.11397631</v>
          </cell>
          <cell r="F23">
            <v>-7.7291799999999994E-2</v>
          </cell>
          <cell r="G23">
            <v>1.348977E-2</v>
          </cell>
          <cell r="H23">
            <v>399</v>
          </cell>
          <cell r="I23">
            <v>1207</v>
          </cell>
          <cell r="J23">
            <v>6.2175179999999997E-2</v>
          </cell>
          <cell r="K23">
            <v>9.3273659999999994E-2</v>
          </cell>
        </row>
        <row r="24">
          <cell r="C24" t="str">
            <v>Russell 1000 Growth</v>
          </cell>
          <cell r="D24">
            <v>-7.7976950000000003E-2</v>
          </cell>
          <cell r="E24">
            <v>-0.1151527</v>
          </cell>
          <cell r="F24">
            <v>-7.7976950000000003E-2</v>
          </cell>
          <cell r="G24">
            <v>5.1088100000000001E-3</v>
          </cell>
          <cell r="H24">
            <v>185</v>
          </cell>
          <cell r="I24">
            <v>504</v>
          </cell>
          <cell r="J24">
            <v>6.9846660000000005E-2</v>
          </cell>
          <cell r="K24">
            <v>0.10842968</v>
          </cell>
        </row>
        <row r="25">
          <cell r="C25" t="str">
            <v>Russell 3000 Growth</v>
          </cell>
          <cell r="D25">
            <v>-7.9102969999999995E-2</v>
          </cell>
          <cell r="E25">
            <v>-0.11800589</v>
          </cell>
          <cell r="F25">
            <v>-7.9102969999999995E-2</v>
          </cell>
          <cell r="G25">
            <v>7.4465000000000002E-4</v>
          </cell>
          <cell r="H25">
            <v>487</v>
          </cell>
          <cell r="I25">
            <v>1471</v>
          </cell>
          <cell r="J25">
            <v>6.9401050000000006E-2</v>
          </cell>
          <cell r="K25">
            <v>0.11134831000000001</v>
          </cell>
        </row>
        <row r="26">
          <cell r="C26" t="str">
            <v>Russell Mid Cap Growth</v>
          </cell>
          <cell r="D26">
            <v>-7.9460279999999994E-2</v>
          </cell>
          <cell r="E26">
            <v>-0.11758465999999999</v>
          </cell>
          <cell r="F26">
            <v>-7.9460279999999994E-2</v>
          </cell>
          <cell r="G26">
            <v>-1.029247E-2</v>
          </cell>
          <cell r="H26">
            <v>37</v>
          </cell>
          <cell r="I26">
            <v>106</v>
          </cell>
          <cell r="J26">
            <v>9.3444410000000006E-2</v>
          </cell>
          <cell r="K26">
            <v>0.16190768</v>
          </cell>
        </row>
        <row r="27">
          <cell r="C27" t="str">
            <v>Russell 2500 Growth</v>
          </cell>
          <cell r="D27">
            <v>-8.1477679999999997E-2</v>
          </cell>
          <cell r="E27">
            <v>-0.1364426</v>
          </cell>
          <cell r="F27">
            <v>-8.1477679999999997E-2</v>
          </cell>
          <cell r="G27">
            <v>-2.3540209999999999E-2</v>
          </cell>
          <cell r="H27">
            <v>148</v>
          </cell>
          <cell r="I27">
            <v>398</v>
          </cell>
          <cell r="J27">
            <v>8.242903E-2</v>
          </cell>
          <cell r="K27">
            <v>0.15964558000000001</v>
          </cell>
        </row>
        <row r="28">
          <cell r="C28" t="str">
            <v>Russell 2000 Growth</v>
          </cell>
          <cell r="D28">
            <v>-9.1736680000000001E-2</v>
          </cell>
          <cell r="E28">
            <v>-0.14915133999999999</v>
          </cell>
          <cell r="F28">
            <v>-9.1736680000000001E-2</v>
          </cell>
          <cell r="G28">
            <v>-4.5496290000000002E-2</v>
          </cell>
          <cell r="H28">
            <v>302</v>
          </cell>
          <cell r="I28">
            <v>967</v>
          </cell>
          <cell r="J28">
            <v>6.3226909999999997E-2</v>
          </cell>
          <cell r="K28">
            <v>0.14907612000000001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b">
            <v>0</v>
          </cell>
        </row>
        <row r="3">
          <cell r="B3" t="b">
            <v>0</v>
          </cell>
        </row>
        <row r="4">
          <cell r="B4" t="b">
            <v>0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 t="b">
            <v>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0</v>
          </cell>
        </row>
        <row r="19">
          <cell r="B19" t="b">
            <v>1</v>
          </cell>
        </row>
        <row r="28">
          <cell r="A28" t="str">
            <v>S&amp;P</v>
          </cell>
        </row>
        <row r="29">
          <cell r="B29" t="str">
            <v>P/Sales</v>
          </cell>
        </row>
        <row r="30">
          <cell r="A30" t="str">
            <v>12/31/04</v>
          </cell>
        </row>
        <row r="31">
          <cell r="A31" t="str">
            <v>01/31/08</v>
          </cell>
        </row>
      </sheetData>
      <sheetData sheetId="13" refreshError="1">
        <row r="1">
          <cell r="A1" t="str">
            <v>S&amp;P 500</v>
          </cell>
        </row>
        <row r="2">
          <cell r="A2" t="str">
            <v>01/31/04</v>
          </cell>
        </row>
        <row r="3">
          <cell r="A3" t="str">
            <v>01/31/08</v>
          </cell>
        </row>
      </sheetData>
      <sheetData sheetId="14" refreshError="1">
        <row r="1">
          <cell r="A1" t="str">
            <v>Russell</v>
          </cell>
          <cell r="B1" t="str">
            <v>January</v>
          </cell>
          <cell r="C1" t="str">
            <v>S&amp;P 500</v>
          </cell>
          <cell r="D1" t="str">
            <v>S&amp;P 1500</v>
          </cell>
        </row>
        <row r="2">
          <cell r="A2" t="str">
            <v>S&amp;P</v>
          </cell>
          <cell r="B2" t="str">
            <v>January 2008</v>
          </cell>
          <cell r="C2" t="str">
            <v>S&amp;P 600</v>
          </cell>
          <cell r="D2" t="str">
            <v>Russell 3000</v>
          </cell>
        </row>
        <row r="3">
          <cell r="B3" t="str">
            <v>January 31, 2008</v>
          </cell>
          <cell r="C3" t="str">
            <v>S&amp;P 400</v>
          </cell>
        </row>
        <row r="4">
          <cell r="C4" t="str">
            <v>Russell 1000</v>
          </cell>
        </row>
        <row r="5">
          <cell r="C5" t="str">
            <v>Russell 2000</v>
          </cell>
        </row>
      </sheetData>
      <sheetData sheetId="15" refreshError="1">
        <row r="1">
          <cell r="A1" t="str">
            <v>S&amp;P 500 Large Cap</v>
          </cell>
          <cell r="B1">
            <v>-5.9981010000000001E-2</v>
          </cell>
          <cell r="C1">
            <v>-0.10553004000000001</v>
          </cell>
          <cell r="D1">
            <v>-5.9981010000000001E-2</v>
          </cell>
          <cell r="E1">
            <v>-2.311204E-2</v>
          </cell>
          <cell r="F1">
            <v>149</v>
          </cell>
          <cell r="G1">
            <v>351</v>
          </cell>
          <cell r="H1">
            <v>7.2830950000000005E-2</v>
          </cell>
          <cell r="I1">
            <v>0.12036175</v>
          </cell>
        </row>
        <row r="2">
          <cell r="A2" t="str">
            <v>S&amp;P 500 Citigroup Growth</v>
          </cell>
          <cell r="B2">
            <v>-8.3745020000000003E-2</v>
          </cell>
          <cell r="C2">
            <v>-0.11434514</v>
          </cell>
          <cell r="D2">
            <v>-8.3745020000000003E-2</v>
          </cell>
          <cell r="E2">
            <v>-1.2461760000000001E-2</v>
          </cell>
          <cell r="F2">
            <v>69</v>
          </cell>
          <cell r="G2">
            <v>231</v>
          </cell>
          <cell r="H2">
            <v>5.7702249999999997E-2</v>
          </cell>
          <cell r="I2">
            <v>9.566711E-2</v>
          </cell>
        </row>
        <row r="3">
          <cell r="A3" t="str">
            <v>S&amp;P 500 Citigroup Value</v>
          </cell>
          <cell r="B3">
            <v>-3.4869799999999999E-2</v>
          </cell>
          <cell r="C3">
            <v>-9.6230700000000002E-2</v>
          </cell>
          <cell r="D3">
            <v>-3.4869799999999999E-2</v>
          </cell>
          <cell r="E3">
            <v>-3.2671489999999997E-2</v>
          </cell>
          <cell r="F3">
            <v>115</v>
          </cell>
          <cell r="G3">
            <v>238</v>
          </cell>
          <cell r="H3">
            <v>8.8488940000000002E-2</v>
          </cell>
          <cell r="I3">
            <v>0.14555491000000001</v>
          </cell>
        </row>
        <row r="4">
          <cell r="A4" t="str">
            <v>S&amp;P 600 Small Cap</v>
          </cell>
          <cell r="B4">
            <v>-4.889495E-2</v>
          </cell>
          <cell r="C4">
            <v>-0.12647004000000001</v>
          </cell>
          <cell r="D4">
            <v>-4.889495E-2</v>
          </cell>
          <cell r="E4">
            <v>-7.0842249999999996E-2</v>
          </cell>
          <cell r="F4">
            <v>209</v>
          </cell>
          <cell r="G4">
            <v>391</v>
          </cell>
          <cell r="H4">
            <v>6.3463749999999999E-2</v>
          </cell>
          <cell r="I4">
            <v>0.15687519</v>
          </cell>
        </row>
        <row r="5">
          <cell r="A5" t="str">
            <v>S&amp;P 600 Citigroup Growth</v>
          </cell>
          <cell r="B5">
            <v>-6.0563939999999997E-2</v>
          </cell>
          <cell r="C5">
            <v>-0.13844466999999999</v>
          </cell>
          <cell r="D5">
            <v>-6.0563939999999997E-2</v>
          </cell>
          <cell r="E5">
            <v>-2.7625739999999999E-2</v>
          </cell>
          <cell r="F5">
            <v>98</v>
          </cell>
          <cell r="G5">
            <v>240</v>
          </cell>
          <cell r="H5">
            <v>6.5649109999999997E-2</v>
          </cell>
          <cell r="I5">
            <v>0.15583658</v>
          </cell>
        </row>
        <row r="6">
          <cell r="A6" t="str">
            <v>S&amp;P 600 Citigroup Value</v>
          </cell>
          <cell r="B6">
            <v>-3.7393080000000002E-2</v>
          </cell>
          <cell r="C6">
            <v>-0.11486494</v>
          </cell>
          <cell r="D6">
            <v>-3.7393080000000002E-2</v>
          </cell>
          <cell r="E6">
            <v>-0.10939148</v>
          </cell>
          <cell r="F6">
            <v>159</v>
          </cell>
          <cell r="G6">
            <v>290</v>
          </cell>
          <cell r="H6">
            <v>6.1551189999999999E-2</v>
          </cell>
          <cell r="I6">
            <v>0.15756555</v>
          </cell>
        </row>
        <row r="7">
          <cell r="A7" t="str">
            <v>S&amp;P 400 Mid Cap</v>
          </cell>
          <cell r="B7">
            <v>-6.160819E-2</v>
          </cell>
          <cell r="C7">
            <v>-0.11058924000000001</v>
          </cell>
          <cell r="D7">
            <v>-6.160819E-2</v>
          </cell>
          <cell r="E7">
            <v>-2.2262460000000001E-2</v>
          </cell>
          <cell r="F7">
            <v>107</v>
          </cell>
          <cell r="G7">
            <v>293</v>
          </cell>
          <cell r="H7">
            <v>8.8907100000000003E-2</v>
          </cell>
          <cell r="I7">
            <v>0.15409695000000001</v>
          </cell>
        </row>
        <row r="8">
          <cell r="A8" t="str">
            <v>S&amp;P 400 Citigroup Growth</v>
          </cell>
          <cell r="B8">
            <v>-7.2323209999999999E-2</v>
          </cell>
          <cell r="C8">
            <v>-0.11130597</v>
          </cell>
          <cell r="D8">
            <v>-7.2323209999999999E-2</v>
          </cell>
          <cell r="E8">
            <v>1.296046E-2</v>
          </cell>
          <cell r="F8">
            <v>50</v>
          </cell>
          <cell r="G8">
            <v>185</v>
          </cell>
          <cell r="H8">
            <v>9.0117900000000001E-2</v>
          </cell>
          <cell r="I8">
            <v>0.14108149</v>
          </cell>
        </row>
        <row r="9">
          <cell r="A9" t="str">
            <v>S&amp;P 400 Citigroup Value</v>
          </cell>
          <cell r="B9">
            <v>-5.103419E-2</v>
          </cell>
          <cell r="C9">
            <v>-0.1100954</v>
          </cell>
          <cell r="D9">
            <v>-5.103419E-2</v>
          </cell>
          <cell r="E9">
            <v>-5.7328940000000002E-2</v>
          </cell>
          <cell r="F9">
            <v>84</v>
          </cell>
          <cell r="G9">
            <v>210</v>
          </cell>
          <cell r="H9">
            <v>8.5791249999999999E-2</v>
          </cell>
          <cell r="I9">
            <v>0.16537708000000001</v>
          </cell>
        </row>
        <row r="10">
          <cell r="A10" t="str">
            <v>Russell 1000</v>
          </cell>
          <cell r="B10">
            <v>-5.9950360000000001E-2</v>
          </cell>
          <cell r="C10">
            <v>-0.10588496</v>
          </cell>
          <cell r="D10">
            <v>-5.9950360000000001E-2</v>
          </cell>
          <cell r="E10">
            <v>-2.445833E-2</v>
          </cell>
          <cell r="F10">
            <v>292</v>
          </cell>
          <cell r="G10">
            <v>707</v>
          </cell>
          <cell r="H10">
            <v>7.7656269999999999E-2</v>
          </cell>
          <cell r="I10">
            <v>0.12589753000000001</v>
          </cell>
        </row>
        <row r="11">
          <cell r="A11" t="str">
            <v>Russell 1000 Growth</v>
          </cell>
          <cell r="B11">
            <v>-7.7976950000000003E-2</v>
          </cell>
          <cell r="C11">
            <v>-0.1151527</v>
          </cell>
          <cell r="D11">
            <v>-7.7976950000000003E-2</v>
          </cell>
          <cell r="E11">
            <v>5.1088100000000001E-3</v>
          </cell>
          <cell r="F11">
            <v>185</v>
          </cell>
          <cell r="G11">
            <v>504</v>
          </cell>
          <cell r="H11">
            <v>6.9846660000000005E-2</v>
          </cell>
          <cell r="I11">
            <v>0.10842968</v>
          </cell>
        </row>
        <row r="12">
          <cell r="A12" t="str">
            <v>Russell 1000 Value</v>
          </cell>
          <cell r="B12">
            <v>-4.0052909999999997E-2</v>
          </cell>
          <cell r="C12">
            <v>-9.5798480000000005E-2</v>
          </cell>
          <cell r="D12">
            <v>-4.0052909999999997E-2</v>
          </cell>
          <cell r="E12">
            <v>-5.3815380000000003E-2</v>
          </cell>
          <cell r="F12">
            <v>190</v>
          </cell>
          <cell r="G12">
            <v>428</v>
          </cell>
          <cell r="H12">
            <v>8.4848409999999999E-2</v>
          </cell>
          <cell r="I12">
            <v>0.14252053000000001</v>
          </cell>
        </row>
        <row r="13">
          <cell r="A13" t="str">
            <v>Russell 2000</v>
          </cell>
          <cell r="B13">
            <v>-6.8194409999999997E-2</v>
          </cell>
          <cell r="C13">
            <v>-0.13564309999999999</v>
          </cell>
          <cell r="D13">
            <v>-6.8194409999999997E-2</v>
          </cell>
          <cell r="E13">
            <v>-9.7883059999999994E-2</v>
          </cell>
          <cell r="F13">
            <v>581</v>
          </cell>
          <cell r="G13">
            <v>1349</v>
          </cell>
          <cell r="H13">
            <v>5.8076250000000003E-2</v>
          </cell>
          <cell r="I13">
            <v>0.15259877999999999</v>
          </cell>
        </row>
        <row r="14">
          <cell r="A14" t="str">
            <v>Russell 2000 Growth</v>
          </cell>
          <cell r="B14">
            <v>-9.1736680000000001E-2</v>
          </cell>
          <cell r="C14">
            <v>-0.14915133999999999</v>
          </cell>
          <cell r="D14">
            <v>-9.1736680000000001E-2</v>
          </cell>
          <cell r="E14">
            <v>-4.5496290000000002E-2</v>
          </cell>
          <cell r="F14">
            <v>302</v>
          </cell>
          <cell r="G14">
            <v>967</v>
          </cell>
          <cell r="H14">
            <v>6.3226909999999997E-2</v>
          </cell>
          <cell r="I14">
            <v>0.14907612000000001</v>
          </cell>
        </row>
        <row r="15">
          <cell r="A15" t="str">
            <v>Russell 2000 Value</v>
          </cell>
          <cell r="B15">
            <v>-4.1036309999999999E-2</v>
          </cell>
          <cell r="C15">
            <v>-0.12038139</v>
          </cell>
          <cell r="D15">
            <v>-4.1036309999999999E-2</v>
          </cell>
          <cell r="E15">
            <v>-0.14756528999999999</v>
          </cell>
          <cell r="F15">
            <v>444</v>
          </cell>
          <cell r="G15">
            <v>857</v>
          </cell>
          <cell r="H15">
            <v>5.182022E-2</v>
          </cell>
          <cell r="I15">
            <v>0.15492115000000001</v>
          </cell>
        </row>
        <row r="16">
          <cell r="A16" t="str">
            <v>Russell 3000</v>
          </cell>
          <cell r="B16">
            <v>-6.061155E-2</v>
          </cell>
          <cell r="C16">
            <v>-0.10833027000000001</v>
          </cell>
          <cell r="D16">
            <v>-6.061155E-2</v>
          </cell>
          <cell r="E16">
            <v>-3.0764529999999998E-2</v>
          </cell>
          <cell r="F16">
            <v>873</v>
          </cell>
          <cell r="G16">
            <v>2056</v>
          </cell>
          <cell r="H16">
            <v>7.607556E-2</v>
          </cell>
          <cell r="I16">
            <v>0.12773525999999999</v>
          </cell>
        </row>
        <row r="17">
          <cell r="A17" t="str">
            <v>Russell 3000 Growth</v>
          </cell>
          <cell r="B17">
            <v>-7.9102969999999995E-2</v>
          </cell>
          <cell r="C17">
            <v>-0.11800589</v>
          </cell>
          <cell r="D17">
            <v>-7.9102969999999995E-2</v>
          </cell>
          <cell r="E17">
            <v>7.4465000000000002E-4</v>
          </cell>
          <cell r="F17">
            <v>487</v>
          </cell>
          <cell r="G17">
            <v>1471</v>
          </cell>
          <cell r="H17">
            <v>6.9401050000000006E-2</v>
          </cell>
          <cell r="I17">
            <v>0.11134831000000001</v>
          </cell>
        </row>
        <row r="18">
          <cell r="A18" t="str">
            <v>Russell 3000 Value</v>
          </cell>
          <cell r="B18">
            <v>-4.0129940000000003E-2</v>
          </cell>
          <cell r="C18">
            <v>-9.7773520000000003E-2</v>
          </cell>
          <cell r="D18">
            <v>-4.0129940000000003E-2</v>
          </cell>
          <cell r="E18">
            <v>-6.201197E-2</v>
          </cell>
          <cell r="F18">
            <v>634</v>
          </cell>
          <cell r="G18">
            <v>1285</v>
          </cell>
          <cell r="H18">
            <v>8.2049499999999997E-2</v>
          </cell>
          <cell r="I18">
            <v>0.14320731</v>
          </cell>
        </row>
        <row r="19">
          <cell r="A19" t="str">
            <v>Russell Mid Cap</v>
          </cell>
          <cell r="B19">
            <v>-6.5151260000000003E-2</v>
          </cell>
          <cell r="C19">
            <v>-0.11261271</v>
          </cell>
          <cell r="D19">
            <v>-6.5151260000000003E-2</v>
          </cell>
          <cell r="E19">
            <v>-4.5087679999999998E-2</v>
          </cell>
          <cell r="F19">
            <v>58</v>
          </cell>
          <cell r="G19">
            <v>147</v>
          </cell>
          <cell r="H19">
            <v>9.5389249999999995E-2</v>
          </cell>
          <cell r="I19">
            <v>0.17110228</v>
          </cell>
        </row>
        <row r="20">
          <cell r="A20" t="str">
            <v>Russell Mid Cap Growth</v>
          </cell>
          <cell r="B20">
            <v>-7.9460279999999994E-2</v>
          </cell>
          <cell r="C20">
            <v>-0.11758465999999999</v>
          </cell>
          <cell r="D20">
            <v>-7.9460279999999994E-2</v>
          </cell>
          <cell r="E20">
            <v>-1.029247E-2</v>
          </cell>
          <cell r="F20">
            <v>37</v>
          </cell>
          <cell r="G20">
            <v>106</v>
          </cell>
          <cell r="H20">
            <v>9.3444410000000006E-2</v>
          </cell>
          <cell r="I20">
            <v>0.16190768</v>
          </cell>
        </row>
        <row r="21">
          <cell r="A21" t="str">
            <v>Russell Mid Cap Value</v>
          </cell>
          <cell r="B21">
            <v>-4.556557E-2</v>
          </cell>
          <cell r="C21">
            <v>-0.10587439999999999</v>
          </cell>
          <cell r="D21">
            <v>-4.556557E-2</v>
          </cell>
          <cell r="E21">
            <v>-8.7262560000000003E-2</v>
          </cell>
          <cell r="F21">
            <v>38</v>
          </cell>
          <cell r="G21">
            <v>95</v>
          </cell>
          <cell r="H21">
            <v>9.2651910000000004E-2</v>
          </cell>
          <cell r="I21">
            <v>0.17483607000000001</v>
          </cell>
        </row>
        <row r="22">
          <cell r="A22" t="str">
            <v>Russell 2500</v>
          </cell>
          <cell r="B22">
            <v>-6.1083190000000002E-2</v>
          </cell>
          <cell r="C22">
            <v>-0.12411665</v>
          </cell>
          <cell r="D22">
            <v>-6.1083190000000002E-2</v>
          </cell>
          <cell r="E22">
            <v>-7.3163430000000002E-2</v>
          </cell>
          <cell r="F22">
            <v>234</v>
          </cell>
          <cell r="G22">
            <v>560</v>
          </cell>
          <cell r="H22">
            <v>7.3442939999999998E-2</v>
          </cell>
          <cell r="I22">
            <v>0.16147502999999999</v>
          </cell>
        </row>
        <row r="23">
          <cell r="A23" t="str">
            <v>Russell 2500 Growth</v>
          </cell>
          <cell r="B23">
            <v>-8.1477679999999997E-2</v>
          </cell>
          <cell r="C23">
            <v>-0.1364426</v>
          </cell>
          <cell r="D23">
            <v>-8.1477679999999997E-2</v>
          </cell>
          <cell r="E23">
            <v>-2.3540209999999999E-2</v>
          </cell>
          <cell r="F23">
            <v>148</v>
          </cell>
          <cell r="G23">
            <v>398</v>
          </cell>
          <cell r="H23">
            <v>8.242903E-2</v>
          </cell>
          <cell r="I23">
            <v>0.15964558000000001</v>
          </cell>
        </row>
        <row r="24">
          <cell r="A24" t="str">
            <v>Russell 2500 Value</v>
          </cell>
          <cell r="B24">
            <v>-3.5618900000000002E-2</v>
          </cell>
          <cell r="C24">
            <v>-0.10897084</v>
          </cell>
          <cell r="D24">
            <v>-3.5618900000000002E-2</v>
          </cell>
          <cell r="E24">
            <v>-0.1252567</v>
          </cell>
          <cell r="F24">
            <v>152</v>
          </cell>
          <cell r="G24">
            <v>333</v>
          </cell>
          <cell r="H24">
            <v>6.1586700000000001E-2</v>
          </cell>
          <cell r="I24">
            <v>0.16036626000000001</v>
          </cell>
        </row>
        <row r="25">
          <cell r="A25" t="str">
            <v>Russell 200</v>
          </cell>
          <cell r="B25">
            <v>-5.787059E-2</v>
          </cell>
          <cell r="C25">
            <v>-0.10317904</v>
          </cell>
          <cell r="D25">
            <v>-5.787059E-2</v>
          </cell>
          <cell r="E25">
            <v>-1.560691E-2</v>
          </cell>
          <cell r="F25">
            <v>743</v>
          </cell>
          <cell r="G25">
            <v>1687</v>
          </cell>
          <cell r="H25">
            <v>7.0616609999999996E-2</v>
          </cell>
          <cell r="I25">
            <v>0.10985277</v>
          </cell>
        </row>
        <row r="26">
          <cell r="A26" t="str">
            <v>Russell 200 Growth</v>
          </cell>
          <cell r="B26">
            <v>-7.7291799999999994E-2</v>
          </cell>
          <cell r="C26">
            <v>-0.11397631</v>
          </cell>
          <cell r="D26">
            <v>-7.7291799999999994E-2</v>
          </cell>
          <cell r="E26">
            <v>1.348977E-2</v>
          </cell>
          <cell r="F26">
            <v>399</v>
          </cell>
          <cell r="G26">
            <v>1207</v>
          </cell>
          <cell r="H26">
            <v>6.2175179999999997E-2</v>
          </cell>
          <cell r="I26">
            <v>9.3273659999999994E-2</v>
          </cell>
        </row>
        <row r="27">
          <cell r="A27" t="str">
            <v>Russell 200 Value</v>
          </cell>
          <cell r="B27">
            <v>-3.8183410000000001E-2</v>
          </cell>
          <cell r="C27">
            <v>-9.2336360000000006E-2</v>
          </cell>
          <cell r="D27">
            <v>-3.8183410000000001E-2</v>
          </cell>
          <cell r="E27">
            <v>-4.178109E-2</v>
          </cell>
          <cell r="F27">
            <v>550</v>
          </cell>
          <cell r="G27">
            <v>1061</v>
          </cell>
          <cell r="H27">
            <v>7.9932290000000003E-2</v>
          </cell>
          <cell r="I27">
            <v>0.12766229000000001</v>
          </cell>
        </row>
      </sheetData>
      <sheetData sheetId="16" refreshError="1">
        <row r="1">
          <cell r="A1" t="str">
            <v>Consumer Discretionary</v>
          </cell>
          <cell r="B1">
            <v>-1.3899999999999999E-2</v>
          </cell>
          <cell r="C1">
            <v>-0.113</v>
          </cell>
          <cell r="D1">
            <v>-1.3899999999999999E-2</v>
          </cell>
          <cell r="E1">
            <v>-0.1671</v>
          </cell>
        </row>
        <row r="2">
          <cell r="A2" t="str">
            <v>Consumer Staples</v>
          </cell>
          <cell r="B2">
            <v>-5.4699999999999999E-2</v>
          </cell>
          <cell r="C2">
            <v>-3.5700000000000003E-2</v>
          </cell>
          <cell r="D2">
            <v>-5.4699999999999999E-2</v>
          </cell>
          <cell r="E2">
            <v>5.9499999999999997E-2</v>
          </cell>
        </row>
        <row r="3">
          <cell r="A3" t="str">
            <v>Energy</v>
          </cell>
          <cell r="B3">
            <v>-0.1113</v>
          </cell>
          <cell r="C3">
            <v>-8.1799999999999998E-2</v>
          </cell>
          <cell r="D3">
            <v>-0.1113</v>
          </cell>
          <cell r="E3">
            <v>0.21729999999999999</v>
          </cell>
        </row>
        <row r="4">
          <cell r="A4" t="str">
            <v>Financials</v>
          </cell>
          <cell r="B4">
            <v>-5.7999999999999996E-3</v>
          </cell>
          <cell r="C4">
            <v>-0.1326</v>
          </cell>
          <cell r="D4">
            <v>-5.7999999999999996E-3</v>
          </cell>
          <cell r="E4">
            <v>-0.19789999999999999</v>
          </cell>
        </row>
        <row r="5">
          <cell r="A5" t="str">
            <v>Health Care</v>
          </cell>
          <cell r="B5">
            <v>-4.9700000000000001E-2</v>
          </cell>
          <cell r="C5">
            <v>-6.8099999999999994E-2</v>
          </cell>
          <cell r="D5">
            <v>-4.9700000000000001E-2</v>
          </cell>
          <cell r="E5">
            <v>-1.23E-2</v>
          </cell>
        </row>
        <row r="6">
          <cell r="A6" t="str">
            <v>Industrials</v>
          </cell>
          <cell r="B6">
            <v>-4.5100000000000001E-2</v>
          </cell>
          <cell r="C6">
            <v>-8.4199999999999997E-2</v>
          </cell>
          <cell r="D6">
            <v>-4.5100000000000001E-2</v>
          </cell>
          <cell r="E6">
            <v>5.57E-2</v>
          </cell>
        </row>
        <row r="7">
          <cell r="A7" t="str">
            <v>Information Technology</v>
          </cell>
          <cell r="B7">
            <v>-0.12540000000000001</v>
          </cell>
          <cell r="C7">
            <v>-0.18310000000000001</v>
          </cell>
          <cell r="D7">
            <v>-0.12540000000000001</v>
          </cell>
          <cell r="E7">
            <v>1E-3</v>
          </cell>
        </row>
        <row r="8">
          <cell r="A8" t="str">
            <v>Materials</v>
          </cell>
          <cell r="B8">
            <v>-4.1700000000000001E-2</v>
          </cell>
          <cell r="C8">
            <v>-7.7799999999999994E-2</v>
          </cell>
          <cell r="D8">
            <v>-4.1700000000000001E-2</v>
          </cell>
          <cell r="E8">
            <v>0.1234</v>
          </cell>
        </row>
        <row r="9">
          <cell r="A9" t="str">
            <v>Telecommunication Services</v>
          </cell>
          <cell r="B9">
            <v>-9.1200000000000003E-2</v>
          </cell>
          <cell r="C9">
            <v>-0.12989999999999999</v>
          </cell>
          <cell r="D9">
            <v>-9.1200000000000003E-2</v>
          </cell>
          <cell r="E9">
            <v>-2.0299999999999999E-2</v>
          </cell>
        </row>
        <row r="10">
          <cell r="A10" t="str">
            <v>Utilities</v>
          </cell>
          <cell r="B10">
            <v>-6.9199999999999998E-2</v>
          </cell>
          <cell r="C10">
            <v>-6.1600000000000002E-2</v>
          </cell>
          <cell r="D10">
            <v>-6.9199999999999998E-2</v>
          </cell>
          <cell r="E10">
            <v>0.1158</v>
          </cell>
        </row>
        <row r="11">
          <cell r="A11" t="str">
            <v>Consumer Discretionary</v>
          </cell>
          <cell r="B11">
            <v>-1.6299999999999999E-2</v>
          </cell>
          <cell r="C11">
            <v>-0.1905</v>
          </cell>
          <cell r="D11">
            <v>-1.6299999999999999E-2</v>
          </cell>
          <cell r="E11">
            <v>-0.26669999999999999</v>
          </cell>
        </row>
        <row r="12">
          <cell r="A12" t="str">
            <v>Consumer Staples</v>
          </cell>
          <cell r="B12">
            <v>-6.1800000000000001E-2</v>
          </cell>
          <cell r="C12">
            <v>-9.8699999999999996E-2</v>
          </cell>
          <cell r="D12">
            <v>-6.1800000000000001E-2</v>
          </cell>
          <cell r="E12">
            <v>-5.8799999999999998E-2</v>
          </cell>
        </row>
        <row r="13">
          <cell r="A13" t="str">
            <v>Energy</v>
          </cell>
          <cell r="B13">
            <v>-8.2600000000000007E-2</v>
          </cell>
          <cell r="C13">
            <v>-0.1046</v>
          </cell>
          <cell r="D13">
            <v>-8.2600000000000007E-2</v>
          </cell>
          <cell r="E13">
            <v>0.1255</v>
          </cell>
        </row>
        <row r="14">
          <cell r="A14" t="str">
            <v>Financials</v>
          </cell>
          <cell r="B14">
            <v>1.7899999999999999E-2</v>
          </cell>
          <cell r="C14">
            <v>-7.3999999999999996E-2</v>
          </cell>
          <cell r="D14">
            <v>1.7899999999999999E-2</v>
          </cell>
          <cell r="E14">
            <v>-0.2248</v>
          </cell>
        </row>
        <row r="15">
          <cell r="A15" t="str">
            <v>Health Care</v>
          </cell>
          <cell r="B15">
            <v>-4.6100000000000002E-2</v>
          </cell>
          <cell r="C15">
            <v>-4.6100000000000002E-2</v>
          </cell>
          <cell r="D15">
            <v>-4.6100000000000002E-2</v>
          </cell>
          <cell r="E15">
            <v>7.6899999999999996E-2</v>
          </cell>
        </row>
        <row r="16">
          <cell r="A16" t="str">
            <v>Industrials</v>
          </cell>
          <cell r="B16">
            <v>-4.6300000000000001E-2</v>
          </cell>
          <cell r="C16">
            <v>-0.1221</v>
          </cell>
          <cell r="D16">
            <v>-4.6300000000000001E-2</v>
          </cell>
          <cell r="E16">
            <v>1.8200000000000001E-2</v>
          </cell>
        </row>
        <row r="17">
          <cell r="A17" t="str">
            <v>Information Technology</v>
          </cell>
          <cell r="B17">
            <v>-0.10970000000000001</v>
          </cell>
          <cell r="C17">
            <v>-0.20039999999999999</v>
          </cell>
          <cell r="D17">
            <v>-0.10970000000000001</v>
          </cell>
          <cell r="E17">
            <v>-2.3699999999999999E-2</v>
          </cell>
        </row>
        <row r="18">
          <cell r="A18" t="str">
            <v>Materials</v>
          </cell>
          <cell r="B18">
            <v>-7.5800000000000006E-2</v>
          </cell>
          <cell r="C18">
            <v>-0.16850000000000001</v>
          </cell>
          <cell r="D18">
            <v>-7.5800000000000006E-2</v>
          </cell>
          <cell r="E18">
            <v>-3.0800000000000001E-2</v>
          </cell>
        </row>
        <row r="19">
          <cell r="A19" t="str">
            <v>Telecommunication Services</v>
          </cell>
          <cell r="B19">
            <v>-0.17599999999999999</v>
          </cell>
          <cell r="C19">
            <v>-0.38529999999999998</v>
          </cell>
          <cell r="D19">
            <v>-0.17599999999999999</v>
          </cell>
          <cell r="E19">
            <v>-0.4083</v>
          </cell>
        </row>
        <row r="20">
          <cell r="A20" t="str">
            <v>Utilities</v>
          </cell>
          <cell r="B20">
            <v>-4.5699999999999998E-2</v>
          </cell>
          <cell r="C20">
            <v>-4.65E-2</v>
          </cell>
          <cell r="D20">
            <v>-4.5699999999999998E-2</v>
          </cell>
          <cell r="E20">
            <v>3.8E-3</v>
          </cell>
        </row>
        <row r="21">
          <cell r="A21" t="str">
            <v>Consumer Discretionary</v>
          </cell>
          <cell r="B21">
            <v>-6.1000000000000004E-3</v>
          </cell>
          <cell r="C21">
            <v>-0.11409999999999999</v>
          </cell>
          <cell r="D21">
            <v>-6.1000000000000004E-3</v>
          </cell>
          <cell r="E21">
            <v>-0.1469</v>
          </cell>
        </row>
        <row r="22">
          <cell r="A22" t="str">
            <v>Consumer Staples</v>
          </cell>
          <cell r="B22">
            <v>-8.1900000000000001E-2</v>
          </cell>
          <cell r="C22">
            <v>-0.1162</v>
          </cell>
          <cell r="D22">
            <v>-8.1900000000000001E-2</v>
          </cell>
          <cell r="E22">
            <v>8.8000000000000005E-3</v>
          </cell>
        </row>
        <row r="23">
          <cell r="A23" t="str">
            <v>Energy</v>
          </cell>
          <cell r="B23">
            <v>-7.4899999999999994E-2</v>
          </cell>
          <cell r="C23">
            <v>-6.3500000000000001E-2</v>
          </cell>
          <cell r="D23">
            <v>-7.4899999999999994E-2</v>
          </cell>
          <cell r="E23">
            <v>0.2853</v>
          </cell>
        </row>
        <row r="24">
          <cell r="A24" t="str">
            <v>Financials</v>
          </cell>
          <cell r="B24">
            <v>2.0999999999999999E-3</v>
          </cell>
          <cell r="C24">
            <v>-8.2600000000000007E-2</v>
          </cell>
          <cell r="D24">
            <v>2.0999999999999999E-3</v>
          </cell>
          <cell r="E24">
            <v>-0.1399</v>
          </cell>
        </row>
        <row r="25">
          <cell r="A25" t="str">
            <v>Health Care</v>
          </cell>
          <cell r="B25">
            <v>-7.51E-2</v>
          </cell>
          <cell r="C25">
            <v>-8.09E-2</v>
          </cell>
          <cell r="D25">
            <v>-7.51E-2</v>
          </cell>
          <cell r="E25">
            <v>1.8499999999999999E-2</v>
          </cell>
        </row>
        <row r="26">
          <cell r="A26" t="str">
            <v>Industrials</v>
          </cell>
          <cell r="B26">
            <v>-6.7599999999999993E-2</v>
          </cell>
          <cell r="C26">
            <v>-0.1268</v>
          </cell>
          <cell r="D26">
            <v>-6.7599999999999993E-2</v>
          </cell>
          <cell r="E26">
            <v>4.3799999999999999E-2</v>
          </cell>
        </row>
        <row r="27">
          <cell r="A27" t="str">
            <v>Information Technology</v>
          </cell>
          <cell r="B27">
            <v>-0.14299999999999999</v>
          </cell>
          <cell r="C27">
            <v>-0.19919999999999999</v>
          </cell>
          <cell r="D27">
            <v>-0.14299999999999999</v>
          </cell>
          <cell r="E27">
            <v>-9.4200000000000006E-2</v>
          </cell>
        </row>
        <row r="28">
          <cell r="A28" t="str">
            <v>Materials</v>
          </cell>
          <cell r="B28">
            <v>-6.8099999999999994E-2</v>
          </cell>
          <cell r="C28">
            <v>-7.8700000000000006E-2</v>
          </cell>
          <cell r="D28">
            <v>-6.8099999999999994E-2</v>
          </cell>
          <cell r="E28">
            <v>9.0899999999999995E-2</v>
          </cell>
        </row>
        <row r="29">
          <cell r="A29" t="str">
            <v>Telecommunication Services</v>
          </cell>
          <cell r="B29">
            <v>-0.16300000000000001</v>
          </cell>
          <cell r="C29">
            <v>-0.24340000000000001</v>
          </cell>
          <cell r="D29">
            <v>-0.16300000000000001</v>
          </cell>
          <cell r="E29">
            <v>-0.10299999999999999</v>
          </cell>
        </row>
        <row r="30">
          <cell r="A30" t="str">
            <v>Utilities</v>
          </cell>
          <cell r="B30">
            <v>-5.45E-2</v>
          </cell>
          <cell r="C30">
            <v>-7.4899999999999994E-2</v>
          </cell>
          <cell r="D30">
            <v>-5.45E-2</v>
          </cell>
          <cell r="E30">
            <v>1.01E-2</v>
          </cell>
        </row>
        <row r="31">
          <cell r="A31" t="str">
            <v>Auto &amp; Transportation</v>
          </cell>
          <cell r="B31">
            <v>1.6400000000000001E-2</v>
          </cell>
          <cell r="C31">
            <v>-8.3400000000000002E-2</v>
          </cell>
          <cell r="D31">
            <v>1.6400000000000001E-2</v>
          </cell>
          <cell r="E31">
            <v>-2.6499999999999999E-2</v>
          </cell>
        </row>
        <row r="32">
          <cell r="A32" t="str">
            <v>Consumer Discretionary</v>
          </cell>
          <cell r="B32">
            <v>-4.3700000000000003E-2</v>
          </cell>
          <cell r="C32">
            <v>-0.1174</v>
          </cell>
          <cell r="D32">
            <v>-4.3700000000000003E-2</v>
          </cell>
          <cell r="E32">
            <v>-0.1013</v>
          </cell>
        </row>
        <row r="33">
          <cell r="A33" t="str">
            <v>Consumer Staples</v>
          </cell>
          <cell r="B33">
            <v>-6.9199999999999998E-2</v>
          </cell>
          <cell r="C33">
            <v>-5.79E-2</v>
          </cell>
          <cell r="D33">
            <v>-6.9199999999999998E-2</v>
          </cell>
          <cell r="E33">
            <v>4.2900000000000001E-2</v>
          </cell>
        </row>
        <row r="34">
          <cell r="A34" t="str">
            <v>Financial Services</v>
          </cell>
          <cell r="B34">
            <v>-1.01E-2</v>
          </cell>
          <cell r="C34">
            <v>-0.1246</v>
          </cell>
          <cell r="D34">
            <v>-1.01E-2</v>
          </cell>
          <cell r="E34">
            <v>-0.18179999999999999</v>
          </cell>
        </row>
        <row r="35">
          <cell r="A35" t="str">
            <v>Health Care</v>
          </cell>
          <cell r="B35">
            <v>-4.7199999999999999E-2</v>
          </cell>
          <cell r="C35">
            <v>-6.7599999999999993E-2</v>
          </cell>
          <cell r="D35">
            <v>-4.7199999999999999E-2</v>
          </cell>
          <cell r="E35">
            <v>-8.0000000000000002E-3</v>
          </cell>
        </row>
        <row r="36">
          <cell r="A36" t="str">
            <v>Integrated Oils</v>
          </cell>
          <cell r="B36">
            <v>-9.6299999999999997E-2</v>
          </cell>
          <cell r="C36">
            <v>-5.8799999999999998E-2</v>
          </cell>
          <cell r="D36">
            <v>-9.6299999999999997E-2</v>
          </cell>
          <cell r="E36">
            <v>0.2135</v>
          </cell>
        </row>
        <row r="37">
          <cell r="A37" t="str">
            <v>Materials &amp; Processing</v>
          </cell>
          <cell r="B37">
            <v>-5.7200000000000001E-2</v>
          </cell>
          <cell r="C37">
            <v>-7.9299999999999995E-2</v>
          </cell>
          <cell r="D37">
            <v>-5.7200000000000001E-2</v>
          </cell>
          <cell r="E37">
            <v>0.1517</v>
          </cell>
        </row>
        <row r="38">
          <cell r="A38" t="str">
            <v>Other</v>
          </cell>
          <cell r="B38">
            <v>-5.33E-2</v>
          </cell>
          <cell r="C38">
            <v>-0.1181</v>
          </cell>
          <cell r="D38">
            <v>-5.33E-2</v>
          </cell>
          <cell r="E38">
            <v>3.9699999999999999E-2</v>
          </cell>
        </row>
        <row r="39">
          <cell r="A39" t="str">
            <v>Other Energy</v>
          </cell>
          <cell r="B39">
            <v>-0.12280000000000001</v>
          </cell>
          <cell r="C39">
            <v>-0.1047</v>
          </cell>
          <cell r="D39">
            <v>-0.12280000000000001</v>
          </cell>
          <cell r="E39">
            <v>0.22969999999999999</v>
          </cell>
        </row>
        <row r="40">
          <cell r="A40" t="str">
            <v>Producer Durables</v>
          </cell>
          <cell r="B40">
            <v>-6.0900000000000003E-2</v>
          </cell>
          <cell r="C40">
            <v>-8.0399999999999999E-2</v>
          </cell>
          <cell r="D40">
            <v>-6.0900000000000003E-2</v>
          </cell>
          <cell r="E40">
            <v>3.1300000000000001E-2</v>
          </cell>
        </row>
        <row r="41">
          <cell r="A41" t="str">
            <v>Technology</v>
          </cell>
          <cell r="B41">
            <v>-0.1226</v>
          </cell>
          <cell r="C41">
            <v>-0.17949999999999999</v>
          </cell>
          <cell r="D41">
            <v>-0.1226</v>
          </cell>
          <cell r="E41">
            <v>9.9000000000000008E-3</v>
          </cell>
        </row>
        <row r="42">
          <cell r="A42" t="str">
            <v>Utilities</v>
          </cell>
          <cell r="B42">
            <v>-7.4399999999999994E-2</v>
          </cell>
          <cell r="C42">
            <v>-9.8699999999999996E-2</v>
          </cell>
          <cell r="D42">
            <v>-7.4399999999999994E-2</v>
          </cell>
          <cell r="E42">
            <v>-6.6E-3</v>
          </cell>
        </row>
        <row r="43">
          <cell r="A43" t="str">
            <v>Auto &amp; Transportation</v>
          </cell>
          <cell r="B43">
            <v>6.3E-3</v>
          </cell>
          <cell r="C43">
            <v>-0.13650000000000001</v>
          </cell>
          <cell r="D43">
            <v>6.3E-3</v>
          </cell>
          <cell r="E43">
            <v>-0.1479</v>
          </cell>
        </row>
        <row r="44">
          <cell r="A44" t="str">
            <v>Consumer Discretionary</v>
          </cell>
          <cell r="B44">
            <v>-6.3600000000000004E-2</v>
          </cell>
          <cell r="C44">
            <v>-0.1709</v>
          </cell>
          <cell r="D44">
            <v>-6.3600000000000004E-2</v>
          </cell>
          <cell r="E44">
            <v>-0.1837</v>
          </cell>
        </row>
        <row r="45">
          <cell r="A45" t="str">
            <v>Consumer Staples</v>
          </cell>
          <cell r="B45">
            <v>-6.1499999999999999E-2</v>
          </cell>
          <cell r="C45">
            <v>-9.8799999999999999E-2</v>
          </cell>
          <cell r="D45">
            <v>-6.1499999999999999E-2</v>
          </cell>
          <cell r="E45">
            <v>-4.0099999999999997E-2</v>
          </cell>
        </row>
        <row r="46">
          <cell r="A46" t="str">
            <v>Financial Services</v>
          </cell>
          <cell r="B46">
            <v>-8.0999999999999996E-3</v>
          </cell>
          <cell r="C46">
            <v>-8.8300000000000003E-2</v>
          </cell>
          <cell r="D46">
            <v>-8.0999999999999996E-3</v>
          </cell>
          <cell r="E46">
            <v>-0.1792</v>
          </cell>
        </row>
        <row r="47">
          <cell r="A47" t="str">
            <v>Health Care</v>
          </cell>
          <cell r="B47">
            <v>-7.4800000000000005E-2</v>
          </cell>
          <cell r="C47">
            <v>-8.5000000000000006E-2</v>
          </cell>
          <cell r="D47">
            <v>-7.4800000000000005E-2</v>
          </cell>
          <cell r="E47">
            <v>1.7100000000000001E-2</v>
          </cell>
        </row>
        <row r="48">
          <cell r="A48" t="str">
            <v>Integrated Oils</v>
          </cell>
          <cell r="B48">
            <v>4.3E-3</v>
          </cell>
          <cell r="C48">
            <v>-4.02E-2</v>
          </cell>
          <cell r="D48">
            <v>4.3E-3</v>
          </cell>
          <cell r="E48">
            <v>-0.1087</v>
          </cell>
        </row>
        <row r="49">
          <cell r="A49" t="str">
            <v>Materials &amp; Processing</v>
          </cell>
          <cell r="B49">
            <v>-7.4499999999999997E-2</v>
          </cell>
          <cell r="C49">
            <v>-0.12529999999999999</v>
          </cell>
          <cell r="D49">
            <v>-7.4499999999999997E-2</v>
          </cell>
          <cell r="E49">
            <v>1.0200000000000001E-2</v>
          </cell>
        </row>
        <row r="50">
          <cell r="A50" t="str">
            <v>Other</v>
          </cell>
          <cell r="B50">
            <v>-1.4500000000000001E-2</v>
          </cell>
          <cell r="C50">
            <v>2.23E-2</v>
          </cell>
          <cell r="D50">
            <v>-1.4500000000000001E-2</v>
          </cell>
          <cell r="E50">
            <v>0.1706</v>
          </cell>
        </row>
        <row r="51">
          <cell r="A51" t="str">
            <v>Other Energy</v>
          </cell>
          <cell r="B51">
            <v>-9.74E-2</v>
          </cell>
          <cell r="C51">
            <v>-0.1229</v>
          </cell>
          <cell r="D51">
            <v>-9.74E-2</v>
          </cell>
          <cell r="E51">
            <v>8.0600000000000005E-2</v>
          </cell>
        </row>
        <row r="52">
          <cell r="A52" t="str">
            <v>Producer Durables</v>
          </cell>
          <cell r="B52">
            <v>-0.1096</v>
          </cell>
          <cell r="C52">
            <v>-0.14130000000000001</v>
          </cell>
          <cell r="D52">
            <v>-0.1096</v>
          </cell>
          <cell r="E52">
            <v>-6.1199999999999997E-2</v>
          </cell>
        </row>
        <row r="53">
          <cell r="A53" t="str">
            <v>Technology</v>
          </cell>
          <cell r="B53">
            <v>-0.1361</v>
          </cell>
          <cell r="C53">
            <v>-0.23200000000000001</v>
          </cell>
          <cell r="D53">
            <v>-0.1361</v>
          </cell>
          <cell r="E53">
            <v>-0.1022</v>
          </cell>
        </row>
        <row r="54">
          <cell r="A54" t="str">
            <v>Utilities</v>
          </cell>
          <cell r="B54">
            <v>-7.9200000000000007E-2</v>
          </cell>
          <cell r="C54">
            <v>-0.1216</v>
          </cell>
          <cell r="D54">
            <v>-7.9200000000000007E-2</v>
          </cell>
          <cell r="E54">
            <v>-8.0600000000000005E-2</v>
          </cell>
        </row>
      </sheetData>
      <sheetData sheetId="17" refreshError="1">
        <row r="1">
          <cell r="A1" t="str">
            <v>S&amp;P 500 Large Cap</v>
          </cell>
          <cell r="B1">
            <v>18.698339350000001</v>
          </cell>
          <cell r="C1">
            <v>16.488874880000001</v>
          </cell>
          <cell r="D1">
            <v>14.56201547</v>
          </cell>
          <cell r="E1">
            <v>1.29334975</v>
          </cell>
          <cell r="F1">
            <v>3.08541892</v>
          </cell>
          <cell r="G1">
            <v>21.621258109999999</v>
          </cell>
          <cell r="H1">
            <v>0.16126262999999999</v>
          </cell>
          <cell r="I1">
            <v>2.0240029999999999E-2</v>
          </cell>
          <cell r="J1">
            <v>0.33952803999999998</v>
          </cell>
        </row>
        <row r="2">
          <cell r="A2" t="str">
            <v>S&amp;P 500 Citigroup Growth</v>
          </cell>
          <cell r="B2">
            <v>17.106502259999999</v>
          </cell>
          <cell r="C2">
            <v>16.904471990000001</v>
          </cell>
          <cell r="D2">
            <v>15.25162008</v>
          </cell>
          <cell r="E2">
            <v>1.1221048899999999</v>
          </cell>
          <cell r="F2">
            <v>4.5520405999999998</v>
          </cell>
          <cell r="G2">
            <v>8.5012750199999996</v>
          </cell>
          <cell r="H2">
            <v>0.23541612000000001</v>
          </cell>
          <cell r="I2">
            <v>1.187233E-2</v>
          </cell>
          <cell r="J2">
            <v>0.19437983</v>
          </cell>
        </row>
        <row r="3">
          <cell r="A3" t="str">
            <v>S&amp;P 500 Citigroup Value</v>
          </cell>
          <cell r="B3">
            <v>20.628655640000002</v>
          </cell>
          <cell r="C3">
            <v>16.09106474</v>
          </cell>
          <cell r="D3">
            <v>13.928707230000001</v>
          </cell>
          <cell r="E3">
            <v>0.84715026999999998</v>
          </cell>
          <cell r="F3">
            <v>2.3303937499999998</v>
          </cell>
          <cell r="G3">
            <v>29.382127300000001</v>
          </cell>
          <cell r="H3">
            <v>0.13312853999999999</v>
          </cell>
          <cell r="I3">
            <v>2.8654490000000001E-2</v>
          </cell>
          <cell r="J3">
            <v>0.48548735999999998</v>
          </cell>
        </row>
        <row r="4">
          <cell r="A4" t="str">
            <v>S&amp;P 600 Small Cap</v>
          </cell>
          <cell r="B4">
            <v>21.490339819999999</v>
          </cell>
          <cell r="C4">
            <v>18.349891580000001</v>
          </cell>
          <cell r="D4">
            <v>18.291757929999999</v>
          </cell>
          <cell r="E4">
            <v>0.84660663999999997</v>
          </cell>
          <cell r="F4">
            <v>1.9834417099999999</v>
          </cell>
          <cell r="G4">
            <v>9.6319184300000007</v>
          </cell>
          <cell r="H4">
            <v>9.4615530000000003E-2</v>
          </cell>
          <cell r="I4">
            <v>1.199064E-2</v>
          </cell>
          <cell r="J4">
            <v>0.13335491999999999</v>
          </cell>
        </row>
        <row r="5">
          <cell r="A5" t="str">
            <v>S&amp;P 600 Citigroup Growth</v>
          </cell>
          <cell r="B5">
            <v>22.281547570000001</v>
          </cell>
          <cell r="C5">
            <v>19.24747661</v>
          </cell>
          <cell r="D5">
            <v>18.561073109999999</v>
          </cell>
          <cell r="E5">
            <v>0.88820549999999998</v>
          </cell>
          <cell r="F5">
            <v>2.60089068</v>
          </cell>
          <cell r="G5">
            <v>7.1484148200000002</v>
          </cell>
          <cell r="H5">
            <v>0.11563266</v>
          </cell>
          <cell r="I5">
            <v>3.6383499999999998E-3</v>
          </cell>
          <cell r="J5">
            <v>4.8284290000000001E-2</v>
          </cell>
        </row>
        <row r="6">
          <cell r="A6" t="str">
            <v>S&amp;P 600 Citigroup Value</v>
          </cell>
          <cell r="B6">
            <v>20.77380466</v>
          </cell>
          <cell r="C6">
            <v>17.554700489999998</v>
          </cell>
          <cell r="D6">
            <v>18.037537019999998</v>
          </cell>
          <cell r="E6">
            <v>0.52820730999999999</v>
          </cell>
          <cell r="F6">
            <v>1.6093817100000001</v>
          </cell>
          <cell r="G6">
            <v>7.8438040899999999</v>
          </cell>
          <cell r="H6">
            <v>8.3300260000000001E-2</v>
          </cell>
          <cell r="I6">
            <v>2.0103639999999999E-2</v>
          </cell>
          <cell r="J6">
            <v>0.21598838000000001</v>
          </cell>
        </row>
        <row r="7">
          <cell r="A7" t="str">
            <v>S&amp;P 400 Mid Cap</v>
          </cell>
          <cell r="B7">
            <v>19.602000929999999</v>
          </cell>
          <cell r="C7">
            <v>18.110944539999998</v>
          </cell>
          <cell r="D7">
            <v>17.252371929999999</v>
          </cell>
          <cell r="E7">
            <v>1.02839664</v>
          </cell>
          <cell r="F7">
            <v>2.2855157099999999</v>
          </cell>
          <cell r="G7">
            <v>9.9735389800000007</v>
          </cell>
          <cell r="H7">
            <v>0.1191369</v>
          </cell>
          <cell r="I7">
            <v>1.36483E-2</v>
          </cell>
          <cell r="J7">
            <v>0.14855055</v>
          </cell>
        </row>
        <row r="8">
          <cell r="A8" t="str">
            <v>S&amp;P 400 Citigroup Growth</v>
          </cell>
          <cell r="B8">
            <v>20.19105729</v>
          </cell>
          <cell r="C8">
            <v>19.35560181</v>
          </cell>
          <cell r="D8">
            <v>17.951144129999999</v>
          </cell>
          <cell r="E8">
            <v>0.99189483000000001</v>
          </cell>
          <cell r="F8">
            <v>3.2233670299999999</v>
          </cell>
          <cell r="G8">
            <v>7.9351437599999999</v>
          </cell>
          <cell r="H8">
            <v>0.15387725999999999</v>
          </cell>
          <cell r="I8">
            <v>4.3703700000000002E-3</v>
          </cell>
          <cell r="J8">
            <v>7.6835609999999999E-2</v>
          </cell>
        </row>
        <row r="9">
          <cell r="A9" t="str">
            <v>S&amp;P 400 Citigroup Value</v>
          </cell>
          <cell r="B9">
            <v>19.07162112</v>
          </cell>
          <cell r="C9">
            <v>17.064903940000001</v>
          </cell>
          <cell r="D9">
            <v>16.635108259999999</v>
          </cell>
          <cell r="E9">
            <v>0.65013606999999995</v>
          </cell>
          <cell r="F9">
            <v>1.7892655799999999</v>
          </cell>
          <cell r="G9">
            <v>7.0558154100000001</v>
          </cell>
          <cell r="H9">
            <v>0.10097092000000001</v>
          </cell>
          <cell r="I9">
            <v>2.2492379999999999E-2</v>
          </cell>
          <cell r="J9">
            <v>0.21691199999999999</v>
          </cell>
        </row>
        <row r="10">
          <cell r="A10" t="str">
            <v>Russell 1000</v>
          </cell>
          <cell r="B10">
            <v>18.52388754</v>
          </cell>
          <cell r="C10">
            <v>16.492313979999999</v>
          </cell>
          <cell r="D10">
            <v>15.010716739999999</v>
          </cell>
          <cell r="E10">
            <v>1.26303627</v>
          </cell>
          <cell r="F10">
            <v>3.00665776</v>
          </cell>
          <cell r="G10">
            <v>18.530261800000002</v>
          </cell>
          <cell r="H10">
            <v>0.15859838000000001</v>
          </cell>
          <cell r="I10">
            <v>1.929235E-2</v>
          </cell>
          <cell r="J10">
            <v>0.30330224</v>
          </cell>
        </row>
        <row r="11">
          <cell r="A11" t="str">
            <v>Russell 1000 Growth</v>
          </cell>
          <cell r="B11">
            <v>19.4914743</v>
          </cell>
          <cell r="C11">
            <v>18.705920979999998</v>
          </cell>
          <cell r="D11">
            <v>17.041712889999999</v>
          </cell>
          <cell r="E11">
            <v>1.0261090100000001</v>
          </cell>
          <cell r="F11">
            <v>4.3892807100000004</v>
          </cell>
          <cell r="G11">
            <v>9.6662697699999995</v>
          </cell>
          <cell r="H11">
            <v>0.2076614</v>
          </cell>
          <cell r="I11">
            <v>1.1494040000000001E-2</v>
          </cell>
          <cell r="J11">
            <v>0.20067688</v>
          </cell>
        </row>
        <row r="12">
          <cell r="A12" t="str">
            <v>Russell 1000 Value</v>
          </cell>
          <cell r="B12">
            <v>17.596996860000001</v>
          </cell>
          <cell r="C12">
            <v>14.652485049999999</v>
          </cell>
          <cell r="D12">
            <v>13.325609050000001</v>
          </cell>
          <cell r="E12">
            <v>0.81308798000000004</v>
          </cell>
          <cell r="F12">
            <v>2.2515898499999998</v>
          </cell>
          <cell r="G12">
            <v>18.190490109999999</v>
          </cell>
          <cell r="H12">
            <v>0.13479141</v>
          </cell>
          <cell r="I12">
            <v>2.756691E-2</v>
          </cell>
          <cell r="J12">
            <v>0.41219508999999999</v>
          </cell>
        </row>
        <row r="13">
          <cell r="A13" t="str">
            <v>Russell 2000</v>
          </cell>
          <cell r="B13">
            <v>39.542679280000002</v>
          </cell>
          <cell r="C13">
            <v>20.710117159999999</v>
          </cell>
          <cell r="D13">
            <v>24.66690655</v>
          </cell>
          <cell r="E13">
            <v>0.85137551</v>
          </cell>
          <cell r="F13">
            <v>2.0614552700000002</v>
          </cell>
          <cell r="G13">
            <v>9.9706948499999992</v>
          </cell>
          <cell r="H13">
            <v>5.886603E-2</v>
          </cell>
          <cell r="I13">
            <v>1.324524E-2</v>
          </cell>
          <cell r="J13">
            <v>0.28168828000000001</v>
          </cell>
        </row>
        <row r="14">
          <cell r="A14" t="str">
            <v>Russell 2000 Growth</v>
          </cell>
          <cell r="B14">
            <v>43.839382739999998</v>
          </cell>
          <cell r="C14">
            <v>25.601006259999998</v>
          </cell>
          <cell r="D14">
            <v>29.04106745</v>
          </cell>
          <cell r="E14">
            <v>0.78779354000000001</v>
          </cell>
          <cell r="F14">
            <v>3.21700761</v>
          </cell>
          <cell r="G14">
            <v>8.9234402500000005</v>
          </cell>
          <cell r="H14">
            <v>7.8858869999999998E-2</v>
          </cell>
          <cell r="I14">
            <v>5.8492300000000004E-3</v>
          </cell>
          <cell r="J14">
            <v>0.21017388000000001</v>
          </cell>
        </row>
        <row r="15">
          <cell r="A15" t="str">
            <v>Russell 2000 Value</v>
          </cell>
          <cell r="B15">
            <v>35.739630060000003</v>
          </cell>
          <cell r="C15">
            <v>17.152432560000001</v>
          </cell>
          <cell r="D15">
            <v>21.200090240000002</v>
          </cell>
          <cell r="E15">
            <v>0.50791129000000002</v>
          </cell>
          <cell r="F15">
            <v>1.4854942600000001</v>
          </cell>
          <cell r="G15">
            <v>6.1786344599999996</v>
          </cell>
          <cell r="H15">
            <v>5.2978650000000002E-2</v>
          </cell>
          <cell r="I15">
            <v>2.1275120000000002E-2</v>
          </cell>
          <cell r="J15">
            <v>0.35933165</v>
          </cell>
        </row>
        <row r="16">
          <cell r="A16" t="str">
            <v>Russell 3000</v>
          </cell>
          <cell r="B16">
            <v>19.334600389999999</v>
          </cell>
          <cell r="C16">
            <v>16.761597250000001</v>
          </cell>
          <cell r="D16">
            <v>15.48902217</v>
          </cell>
          <cell r="E16">
            <v>1.2166309900000001</v>
          </cell>
          <cell r="F16">
            <v>2.90170488</v>
          </cell>
          <cell r="G16">
            <v>17.354983350000001</v>
          </cell>
          <cell r="H16">
            <v>0.14702408</v>
          </cell>
          <cell r="I16">
            <v>1.881532E-2</v>
          </cell>
          <cell r="J16">
            <v>0.30159722999999999</v>
          </cell>
        </row>
        <row r="17">
          <cell r="A17" t="str">
            <v>Russell 3000 Growth</v>
          </cell>
          <cell r="B17">
            <v>20.394121850000001</v>
          </cell>
          <cell r="C17">
            <v>19.116220120000001</v>
          </cell>
          <cell r="D17">
            <v>17.62196346</v>
          </cell>
          <cell r="E17">
            <v>1.0019541999999999</v>
          </cell>
          <cell r="F17">
            <v>4.2654142100000003</v>
          </cell>
          <cell r="G17">
            <v>9.6025667400000003</v>
          </cell>
          <cell r="H17">
            <v>0.1941398</v>
          </cell>
          <cell r="I17">
            <v>1.1044190000000001E-2</v>
          </cell>
          <cell r="J17">
            <v>0.20143372000000001</v>
          </cell>
        </row>
        <row r="18">
          <cell r="A18" t="str">
            <v>Russell 3000 Value</v>
          </cell>
          <cell r="B18">
            <v>18.322728519999998</v>
          </cell>
          <cell r="C18">
            <v>14.821031359999999</v>
          </cell>
          <cell r="D18">
            <v>13.72333089</v>
          </cell>
          <cell r="E18">
            <v>0.77667642999999997</v>
          </cell>
          <cell r="F18">
            <v>2.1644927300000001</v>
          </cell>
          <cell r="G18">
            <v>15.79462397</v>
          </cell>
          <cell r="H18">
            <v>0.12528708999999999</v>
          </cell>
          <cell r="I18">
            <v>2.7075990000000001E-2</v>
          </cell>
          <cell r="J18">
            <v>0.4080704</v>
          </cell>
        </row>
        <row r="19">
          <cell r="A19" t="str">
            <v>Russell 200</v>
          </cell>
          <cell r="B19">
            <v>17.765662819999999</v>
          </cell>
          <cell r="C19">
            <v>16.25036948</v>
          </cell>
          <cell r="D19">
            <v>14.15011911</v>
          </cell>
          <cell r="E19">
            <v>1.38428408</v>
          </cell>
          <cell r="F19">
            <v>3.1574505500000001</v>
          </cell>
          <cell r="G19">
            <v>30.716124499999999</v>
          </cell>
          <cell r="H19">
            <v>0.17013840999999999</v>
          </cell>
          <cell r="I19">
            <v>2.1059379999999999E-2</v>
          </cell>
          <cell r="J19">
            <v>0.31686751000000002</v>
          </cell>
        </row>
        <row r="20">
          <cell r="A20" t="str">
            <v>Russell 200 Growth</v>
          </cell>
          <cell r="B20">
            <v>18.6674182</v>
          </cell>
          <cell r="C20">
            <v>18.371465650000001</v>
          </cell>
          <cell r="D20">
            <v>16.28131351</v>
          </cell>
          <cell r="E20">
            <v>1.03983866</v>
          </cell>
          <cell r="F20">
            <v>4.64401771</v>
          </cell>
          <cell r="G20">
            <v>10.553052859999999</v>
          </cell>
          <cell r="H20">
            <v>0.22731155</v>
          </cell>
          <cell r="I20">
            <v>1.296315E-2</v>
          </cell>
          <cell r="J20">
            <v>0.24956437000000001</v>
          </cell>
        </row>
        <row r="21">
          <cell r="A21" t="str">
            <v>Russell 200 Value</v>
          </cell>
          <cell r="B21">
            <v>16.967690099999999</v>
          </cell>
          <cell r="C21">
            <v>14.60834916</v>
          </cell>
          <cell r="D21">
            <v>12.550699590000001</v>
          </cell>
          <cell r="E21">
            <v>0.90205367000000003</v>
          </cell>
          <cell r="F21">
            <v>2.4072561600000002</v>
          </cell>
          <cell r="G21">
            <v>70.892310309999999</v>
          </cell>
          <cell r="H21">
            <v>0.14762674000000001</v>
          </cell>
          <cell r="I21">
            <v>2.8941499999999998E-2</v>
          </cell>
          <cell r="J21">
            <v>0.38239086</v>
          </cell>
        </row>
        <row r="22">
          <cell r="A22" t="str">
            <v>Russell Mid Cap</v>
          </cell>
          <cell r="B22">
            <v>20.760213100000001</v>
          </cell>
          <cell r="C22">
            <v>17.13626893</v>
          </cell>
          <cell r="D22">
            <v>17.732819660000001</v>
          </cell>
          <cell r="E22">
            <v>1.0343660299999999</v>
          </cell>
          <cell r="F22">
            <v>2.6832224899999999</v>
          </cell>
          <cell r="G22">
            <v>9.2589808500000004</v>
          </cell>
          <cell r="H22">
            <v>0.13354083</v>
          </cell>
          <cell r="I22">
            <v>1.4832390000000001E-2</v>
          </cell>
          <cell r="J22">
            <v>0.26906370000000002</v>
          </cell>
        </row>
        <row r="23">
          <cell r="A23" t="str">
            <v>Russell Mid Cap Growth</v>
          </cell>
          <cell r="B23">
            <v>21.57510168</v>
          </cell>
          <cell r="C23">
            <v>19.481844800000001</v>
          </cell>
          <cell r="D23">
            <v>18.981119270000001</v>
          </cell>
          <cell r="E23">
            <v>0.99730092000000004</v>
          </cell>
          <cell r="F23">
            <v>3.9189894299999999</v>
          </cell>
          <cell r="G23">
            <v>8.1652002400000008</v>
          </cell>
          <cell r="H23">
            <v>0.16501352999999999</v>
          </cell>
          <cell r="I23">
            <v>8.2799999999999992E-3</v>
          </cell>
          <cell r="J23">
            <v>9.372403E-2</v>
          </cell>
        </row>
        <row r="24">
          <cell r="A24" t="str">
            <v>Russell Mid Cap Value</v>
          </cell>
          <cell r="B24">
            <v>19.773749689999999</v>
          </cell>
          <cell r="C24">
            <v>14.785070080000001</v>
          </cell>
          <cell r="D24">
            <v>16.315571569999999</v>
          </cell>
          <cell r="E24">
            <v>0.62896859999999999</v>
          </cell>
          <cell r="F24">
            <v>1.88902166</v>
          </cell>
          <cell r="G24">
            <v>5.6729781499999996</v>
          </cell>
          <cell r="H24">
            <v>0.10545595000000001</v>
          </cell>
          <cell r="I24">
            <v>2.3486969999999999E-2</v>
          </cell>
          <cell r="J24">
            <v>0.50065740999999997</v>
          </cell>
        </row>
        <row r="25">
          <cell r="A25" t="str">
            <v>Russell 2500</v>
          </cell>
          <cell r="B25">
            <v>25.666808100000001</v>
          </cell>
          <cell r="C25">
            <v>18.26458998</v>
          </cell>
          <cell r="D25">
            <v>20.579944940000001</v>
          </cell>
          <cell r="E25">
            <v>0.89869036000000002</v>
          </cell>
          <cell r="F25">
            <v>2.18396028</v>
          </cell>
          <cell r="G25">
            <v>9.6784322500000002</v>
          </cell>
          <cell r="H25">
            <v>9.0613680000000002E-2</v>
          </cell>
          <cell r="I25">
            <v>1.429193E-2</v>
          </cell>
          <cell r="J25">
            <v>0.19202638</v>
          </cell>
        </row>
        <row r="26">
          <cell r="A26" t="str">
            <v>Russell 2500 Growth</v>
          </cell>
          <cell r="B26">
            <v>29.483322189999999</v>
          </cell>
          <cell r="C26">
            <v>22.30410011</v>
          </cell>
          <cell r="D26">
            <v>23.059254490000001</v>
          </cell>
          <cell r="E26">
            <v>0.84626732000000005</v>
          </cell>
          <cell r="F26">
            <v>3.2676480400000001</v>
          </cell>
          <cell r="G26">
            <v>8.3028301100000004</v>
          </cell>
          <cell r="H26">
            <v>0.11100686999999999</v>
          </cell>
          <cell r="I26">
            <v>6.4967699999999998E-3</v>
          </cell>
          <cell r="J26">
            <v>4.0349660000000002E-2</v>
          </cell>
        </row>
        <row r="27">
          <cell r="A27" t="str">
            <v>Russell 2500 Value</v>
          </cell>
          <cell r="B27">
            <v>22.251969930000001</v>
          </cell>
          <cell r="C27">
            <v>15.036155259999999</v>
          </cell>
          <cell r="D27">
            <v>18.253262079999999</v>
          </cell>
          <cell r="E27">
            <v>0.53796186000000001</v>
          </cell>
          <cell r="F27">
            <v>1.56384396</v>
          </cell>
          <cell r="G27">
            <v>6.0801388699999999</v>
          </cell>
          <cell r="H27">
            <v>7.6928410000000003E-2</v>
          </cell>
          <cell r="I27">
            <v>2.3533289999999998E-2</v>
          </cell>
          <cell r="J27">
            <v>0.37184312000000003</v>
          </cell>
        </row>
      </sheetData>
      <sheetData sheetId="18" refreshError="1">
        <row r="1">
          <cell r="A1" t="str">
            <v>Consumer Discretionary</v>
          </cell>
          <cell r="B1">
            <v>151.13509999999999</v>
          </cell>
          <cell r="C1">
            <v>17.205300000000001</v>
          </cell>
          <cell r="D1">
            <v>17.3735</v>
          </cell>
          <cell r="E1">
            <v>0.73370000000000002</v>
          </cell>
          <cell r="F1">
            <v>2.6533000000000002</v>
          </cell>
          <cell r="G1">
            <v>8.7027999999999999</v>
          </cell>
          <cell r="H1">
            <v>2.8500000000000001E-2</v>
          </cell>
          <cell r="I1">
            <v>1.4500000000000001E-2</v>
          </cell>
          <cell r="J1">
            <v>0.48980000000000001</v>
          </cell>
        </row>
        <row r="2">
          <cell r="A2" t="str">
            <v>Consumer Staples</v>
          </cell>
          <cell r="B2">
            <v>18.132200000000001</v>
          </cell>
          <cell r="C2">
            <v>18.132200000000001</v>
          </cell>
          <cell r="D2">
            <v>16.828099999999999</v>
          </cell>
          <cell r="E2">
            <v>1.1425000000000001</v>
          </cell>
          <cell r="F2">
            <v>3.7686999999999999</v>
          </cell>
          <cell r="G2">
            <v>13.651400000000001</v>
          </cell>
          <cell r="H2">
            <v>0.2132</v>
          </cell>
          <cell r="I2">
            <v>2.3199999999999998E-2</v>
          </cell>
          <cell r="J2">
            <v>0.46760000000000002</v>
          </cell>
        </row>
        <row r="3">
          <cell r="A3" t="str">
            <v>Energy</v>
          </cell>
          <cell r="B3">
            <v>11.623100000000001</v>
          </cell>
          <cell r="C3">
            <v>11.623100000000001</v>
          </cell>
          <cell r="D3">
            <v>10.5365</v>
          </cell>
          <cell r="E3">
            <v>1.2796000000000001</v>
          </cell>
          <cell r="F3">
            <v>3.1450999999999998</v>
          </cell>
          <cell r="G3">
            <v>8.2337000000000007</v>
          </cell>
          <cell r="H3">
            <v>0.25829999999999997</v>
          </cell>
          <cell r="I3">
            <v>1.4E-2</v>
          </cell>
          <cell r="J3">
            <v>0.37759999999999999</v>
          </cell>
        </row>
        <row r="4">
          <cell r="A4" t="str">
            <v>Financials</v>
          </cell>
          <cell r="B4">
            <v>18.276</v>
          </cell>
          <cell r="C4">
            <v>14.9299</v>
          </cell>
          <cell r="D4">
            <v>12.686199999999999</v>
          </cell>
          <cell r="E4">
            <v>1.2956000000000001</v>
          </cell>
          <cell r="F4">
            <v>1.7276</v>
          </cell>
          <cell r="G4">
            <v>-11.8482</v>
          </cell>
          <cell r="H4">
            <v>9.3100000000000002E-2</v>
          </cell>
          <cell r="I4">
            <v>3.32E-2</v>
          </cell>
          <cell r="J4">
            <v>0.61980000000000002</v>
          </cell>
        </row>
        <row r="5">
          <cell r="A5" t="str">
            <v>Health Care</v>
          </cell>
          <cell r="B5">
            <v>22.577500000000001</v>
          </cell>
          <cell r="C5">
            <v>21.3108</v>
          </cell>
          <cell r="D5">
            <v>14.4787</v>
          </cell>
          <cell r="E5">
            <v>1.6129</v>
          </cell>
          <cell r="F5">
            <v>6.0964</v>
          </cell>
          <cell r="G5">
            <v>13.5763</v>
          </cell>
          <cell r="H5">
            <v>0.27250000000000002</v>
          </cell>
          <cell r="I5">
            <v>1.7600000000000001E-2</v>
          </cell>
          <cell r="J5">
            <v>0.13980000000000001</v>
          </cell>
        </row>
        <row r="6">
          <cell r="A6" t="str">
            <v>Industrials</v>
          </cell>
          <cell r="B6">
            <v>17.691400000000002</v>
          </cell>
          <cell r="C6">
            <v>17.217600000000001</v>
          </cell>
          <cell r="D6">
            <v>14.769600000000001</v>
          </cell>
          <cell r="E6">
            <v>1.3654999999999999</v>
          </cell>
          <cell r="F6">
            <v>3.3492000000000002</v>
          </cell>
          <cell r="G6">
            <v>9.2535000000000007</v>
          </cell>
          <cell r="H6">
            <v>0.1908</v>
          </cell>
          <cell r="I6">
            <v>2.0199999999999999E-2</v>
          </cell>
          <cell r="J6">
            <v>0.23449999999999999</v>
          </cell>
        </row>
        <row r="7">
          <cell r="A7" t="str">
            <v>Information Technology</v>
          </cell>
          <cell r="B7">
            <v>22.555900000000001</v>
          </cell>
          <cell r="C7">
            <v>20.630199999999999</v>
          </cell>
          <cell r="D7">
            <v>17.3704</v>
          </cell>
          <cell r="E7">
            <v>2.4180999999999999</v>
          </cell>
          <cell r="F7">
            <v>4.0388000000000002</v>
          </cell>
          <cell r="G7">
            <v>12.576700000000001</v>
          </cell>
          <cell r="H7">
            <v>0.1895</v>
          </cell>
          <cell r="I7">
            <v>7.1999999999999998E-3</v>
          </cell>
          <cell r="J7">
            <v>0.127</v>
          </cell>
        </row>
        <row r="8">
          <cell r="A8" t="str">
            <v>Materials</v>
          </cell>
          <cell r="B8">
            <v>17.998999999999999</v>
          </cell>
          <cell r="C8">
            <v>17.268899999999999</v>
          </cell>
          <cell r="D8">
            <v>15.030200000000001</v>
          </cell>
          <cell r="E8">
            <v>1.2999000000000001</v>
          </cell>
          <cell r="F8">
            <v>2.7926000000000002</v>
          </cell>
          <cell r="G8">
            <v>10.224399999999999</v>
          </cell>
          <cell r="H8">
            <v>0.1585</v>
          </cell>
          <cell r="I8">
            <v>1.8599999999999998E-2</v>
          </cell>
          <cell r="J8">
            <v>0.31759999999999999</v>
          </cell>
        </row>
        <row r="9">
          <cell r="A9" t="str">
            <v>Telecommunication Services</v>
          </cell>
          <cell r="B9">
            <v>-57.890900000000002</v>
          </cell>
          <cell r="C9">
            <v>19.0504</v>
          </cell>
          <cell r="D9">
            <v>13.5448</v>
          </cell>
          <cell r="E9">
            <v>1.4867999999999999</v>
          </cell>
          <cell r="F9">
            <v>2.1996000000000002</v>
          </cell>
          <cell r="G9">
            <v>5.4353999999999996</v>
          </cell>
          <cell r="H9">
            <v>-3.3799999999999997E-2</v>
          </cell>
          <cell r="I9">
            <v>3.6400000000000002E-2</v>
          </cell>
          <cell r="J9">
            <v>1.2914000000000001</v>
          </cell>
        </row>
        <row r="10">
          <cell r="A10" t="str">
            <v>Utilities</v>
          </cell>
          <cell r="B10">
            <v>16.599799999999998</v>
          </cell>
          <cell r="C10">
            <v>16.511399999999998</v>
          </cell>
          <cell r="D10">
            <v>15.9816</v>
          </cell>
          <cell r="E10">
            <v>1.3583000000000001</v>
          </cell>
          <cell r="F10">
            <v>2.3464999999999998</v>
          </cell>
          <cell r="G10">
            <v>9.0637000000000008</v>
          </cell>
          <cell r="H10">
            <v>0.1449</v>
          </cell>
          <cell r="I10">
            <v>3.15E-2</v>
          </cell>
          <cell r="J10">
            <v>0.50770000000000004</v>
          </cell>
        </row>
        <row r="11">
          <cell r="A11" t="str">
            <v>Consumer Discretionary</v>
          </cell>
          <cell r="B11">
            <v>38.170099999999998</v>
          </cell>
          <cell r="C11">
            <v>18.662099999999999</v>
          </cell>
          <cell r="D11">
            <v>19.8781</v>
          </cell>
          <cell r="E11">
            <v>0.54059999999999997</v>
          </cell>
          <cell r="F11">
            <v>1.9629000000000001</v>
          </cell>
          <cell r="G11">
            <v>9.6290999999999993</v>
          </cell>
          <cell r="H11">
            <v>5.3499999999999999E-2</v>
          </cell>
          <cell r="I11">
            <v>7.7999999999999996E-3</v>
          </cell>
          <cell r="J11">
            <v>0.1903</v>
          </cell>
        </row>
        <row r="12">
          <cell r="A12" t="str">
            <v>Consumer Staples</v>
          </cell>
          <cell r="B12">
            <v>45.832000000000001</v>
          </cell>
          <cell r="C12">
            <v>17.737300000000001</v>
          </cell>
          <cell r="D12">
            <v>18.158999999999999</v>
          </cell>
          <cell r="E12">
            <v>0.39050000000000001</v>
          </cell>
          <cell r="F12">
            <v>2.3496000000000001</v>
          </cell>
          <cell r="G12">
            <v>11.5055</v>
          </cell>
          <cell r="H12">
            <v>5.5399999999999998E-2</v>
          </cell>
          <cell r="I12">
            <v>8.0000000000000002E-3</v>
          </cell>
          <cell r="J12">
            <v>0.1027</v>
          </cell>
        </row>
        <row r="13">
          <cell r="A13" t="str">
            <v>Energy</v>
          </cell>
          <cell r="B13">
            <v>14.356199999999999</v>
          </cell>
          <cell r="C13">
            <v>13.8317</v>
          </cell>
          <cell r="D13">
            <v>12.8749</v>
          </cell>
          <cell r="E13">
            <v>1.2023999999999999</v>
          </cell>
          <cell r="F13">
            <v>2.4841000000000002</v>
          </cell>
          <cell r="G13">
            <v>7.2911999999999999</v>
          </cell>
          <cell r="H13">
            <v>0.185</v>
          </cell>
          <cell r="I13">
            <v>1.8E-3</v>
          </cell>
          <cell r="J13">
            <v>3.1399999999999997E-2</v>
          </cell>
        </row>
        <row r="14">
          <cell r="A14" t="str">
            <v>Financials</v>
          </cell>
          <cell r="B14">
            <v>18.712299999999999</v>
          </cell>
          <cell r="C14">
            <v>15.4185</v>
          </cell>
          <cell r="D14">
            <v>19.168500000000002</v>
          </cell>
          <cell r="E14">
            <v>1.7347999999999999</v>
          </cell>
          <cell r="F14">
            <v>1.6547000000000001</v>
          </cell>
          <cell r="G14">
            <v>7.2774000000000001</v>
          </cell>
          <cell r="H14">
            <v>8.1600000000000006E-2</v>
          </cell>
          <cell r="I14">
            <v>3.8199999999999998E-2</v>
          </cell>
          <cell r="J14">
            <v>0.63749999999999996</v>
          </cell>
        </row>
        <row r="15">
          <cell r="A15" t="str">
            <v>Health Care</v>
          </cell>
          <cell r="B15">
            <v>32.857599999999998</v>
          </cell>
          <cell r="C15">
            <v>27.8978</v>
          </cell>
          <cell r="D15">
            <v>26.442</v>
          </cell>
          <cell r="E15">
            <v>1.3839999999999999</v>
          </cell>
          <cell r="F15">
            <v>3.0055999999999998</v>
          </cell>
          <cell r="G15">
            <v>15.603199999999999</v>
          </cell>
          <cell r="H15">
            <v>9.4500000000000001E-2</v>
          </cell>
          <cell r="I15">
            <v>1.6000000000000001E-3</v>
          </cell>
          <cell r="J15">
            <v>0.28849999999999998</v>
          </cell>
        </row>
        <row r="16">
          <cell r="A16" t="str">
            <v>Industrials</v>
          </cell>
          <cell r="B16">
            <v>17.363399999999999</v>
          </cell>
          <cell r="C16">
            <v>16.875399999999999</v>
          </cell>
          <cell r="D16">
            <v>15.189299999999999</v>
          </cell>
          <cell r="E16">
            <v>0.73809999999999998</v>
          </cell>
          <cell r="F16">
            <v>2.2715000000000001</v>
          </cell>
          <cell r="G16">
            <v>9.5317000000000007</v>
          </cell>
          <cell r="H16">
            <v>0.13239999999999999</v>
          </cell>
          <cell r="I16">
            <v>7.9000000000000008E-3</v>
          </cell>
          <cell r="J16">
            <v>0.12620000000000001</v>
          </cell>
        </row>
        <row r="17">
          <cell r="A17" t="str">
            <v>Information Technology</v>
          </cell>
          <cell r="B17">
            <v>28.982700000000001</v>
          </cell>
          <cell r="C17">
            <v>24.2149</v>
          </cell>
          <cell r="D17">
            <v>18.487300000000001</v>
          </cell>
          <cell r="E17">
            <v>1.234</v>
          </cell>
          <cell r="F17">
            <v>2.0585</v>
          </cell>
          <cell r="G17">
            <v>17.235499999999998</v>
          </cell>
          <cell r="H17">
            <v>7.7200000000000005E-2</v>
          </cell>
          <cell r="I17">
            <v>2.2000000000000001E-3</v>
          </cell>
          <cell r="J17">
            <v>0.14829999999999999</v>
          </cell>
        </row>
        <row r="18">
          <cell r="A18" t="str">
            <v>Materials</v>
          </cell>
          <cell r="B18">
            <v>36.457000000000001</v>
          </cell>
          <cell r="C18">
            <v>19.4084</v>
          </cell>
          <cell r="D18">
            <v>14.750999999999999</v>
          </cell>
          <cell r="E18">
            <v>0.60229999999999995</v>
          </cell>
          <cell r="F18">
            <v>1.7793000000000001</v>
          </cell>
          <cell r="G18">
            <v>8.6572999999999993</v>
          </cell>
          <cell r="H18">
            <v>5.0999999999999997E-2</v>
          </cell>
          <cell r="I18">
            <v>1.0500000000000001E-2</v>
          </cell>
          <cell r="J18">
            <v>0.29020000000000001</v>
          </cell>
        </row>
        <row r="19">
          <cell r="A19" t="str">
            <v>Telecommunication Services</v>
          </cell>
          <cell r="B19">
            <v>34.333300000000001</v>
          </cell>
          <cell r="C19">
            <v>34.333300000000001</v>
          </cell>
          <cell r="D19">
            <v>30.421900000000001</v>
          </cell>
          <cell r="E19">
            <v>0.70809999999999995</v>
          </cell>
          <cell r="F19">
            <v>1.5085</v>
          </cell>
          <cell r="G19">
            <v>3.0910000000000002</v>
          </cell>
          <cell r="H19">
            <v>4.6100000000000002E-2</v>
          </cell>
          <cell r="I19">
            <v>0</v>
          </cell>
          <cell r="J19">
            <v>0</v>
          </cell>
        </row>
        <row r="20">
          <cell r="A20" t="str">
            <v>Utilities</v>
          </cell>
          <cell r="B20">
            <v>15.2996</v>
          </cell>
          <cell r="C20">
            <v>15.2996</v>
          </cell>
          <cell r="D20">
            <v>15.448600000000001</v>
          </cell>
          <cell r="E20">
            <v>0.73399999999999999</v>
          </cell>
          <cell r="F20">
            <v>2.0158</v>
          </cell>
          <cell r="G20">
            <v>6.6356000000000002</v>
          </cell>
          <cell r="H20">
            <v>0.13109999999999999</v>
          </cell>
          <cell r="I20">
            <v>3.2099999999999997E-2</v>
          </cell>
          <cell r="J20">
            <v>0.51300000000000001</v>
          </cell>
        </row>
        <row r="21">
          <cell r="A21" t="str">
            <v>Consumer Discretionary</v>
          </cell>
          <cell r="B21">
            <v>25.275600000000001</v>
          </cell>
          <cell r="C21">
            <v>19.029299999999999</v>
          </cell>
          <cell r="D21">
            <v>18.944400000000002</v>
          </cell>
          <cell r="E21">
            <v>0.73650000000000004</v>
          </cell>
          <cell r="F21">
            <v>2.3767999999999998</v>
          </cell>
          <cell r="G21">
            <v>9.0228999999999999</v>
          </cell>
          <cell r="H21">
            <v>8.9499999999999996E-2</v>
          </cell>
          <cell r="I21">
            <v>8.0000000000000002E-3</v>
          </cell>
          <cell r="J21">
            <v>0.1406</v>
          </cell>
        </row>
        <row r="22">
          <cell r="A22" t="str">
            <v>Consumer Staples</v>
          </cell>
          <cell r="B22">
            <v>16.993400000000001</v>
          </cell>
          <cell r="C22">
            <v>16.993400000000001</v>
          </cell>
          <cell r="D22">
            <v>15.74</v>
          </cell>
          <cell r="E22">
            <v>0.7228</v>
          </cell>
          <cell r="F22">
            <v>2.7806999999999999</v>
          </cell>
          <cell r="G22">
            <v>11.017200000000001</v>
          </cell>
          <cell r="H22">
            <v>0.1711</v>
          </cell>
          <cell r="I22">
            <v>9.4000000000000004E-3</v>
          </cell>
          <cell r="J22">
            <v>0.1434</v>
          </cell>
        </row>
        <row r="23">
          <cell r="A23" t="str">
            <v>Energy</v>
          </cell>
          <cell r="B23">
            <v>16.104600000000001</v>
          </cell>
          <cell r="C23">
            <v>16.104600000000001</v>
          </cell>
          <cell r="D23">
            <v>14.606199999999999</v>
          </cell>
          <cell r="E23">
            <v>2.6212</v>
          </cell>
          <cell r="F23">
            <v>2.6044999999999998</v>
          </cell>
          <cell r="G23">
            <v>8.4654000000000007</v>
          </cell>
          <cell r="H23">
            <v>0.17249999999999999</v>
          </cell>
          <cell r="I23">
            <v>2.7000000000000001E-3</v>
          </cell>
          <cell r="J23">
            <v>5.5300000000000002E-2</v>
          </cell>
        </row>
        <row r="24">
          <cell r="A24" t="str">
            <v>Financials</v>
          </cell>
          <cell r="B24">
            <v>19.249400000000001</v>
          </cell>
          <cell r="C24">
            <v>15.9536</v>
          </cell>
          <cell r="D24">
            <v>17.513500000000001</v>
          </cell>
          <cell r="E24">
            <v>1.6957</v>
          </cell>
          <cell r="F24">
            <v>1.7969999999999999</v>
          </cell>
          <cell r="G24">
            <v>14.945</v>
          </cell>
          <cell r="H24">
            <v>9.3200000000000005E-2</v>
          </cell>
          <cell r="I24">
            <v>3.8399999999999997E-2</v>
          </cell>
          <cell r="J24">
            <v>0.68689999999999996</v>
          </cell>
        </row>
        <row r="25">
          <cell r="A25" t="str">
            <v>Health Care</v>
          </cell>
          <cell r="B25">
            <v>36.8583</v>
          </cell>
          <cell r="C25">
            <v>28.211600000000001</v>
          </cell>
          <cell r="D25">
            <v>21.375399999999999</v>
          </cell>
          <cell r="E25">
            <v>1.5235000000000001</v>
          </cell>
          <cell r="F25">
            <v>2.9106000000000001</v>
          </cell>
          <cell r="G25">
            <v>13.586499999999999</v>
          </cell>
          <cell r="H25">
            <v>8.5500000000000007E-2</v>
          </cell>
          <cell r="I25">
            <v>1.6000000000000001E-3</v>
          </cell>
          <cell r="J25">
            <v>0.2198</v>
          </cell>
        </row>
        <row r="26">
          <cell r="A26" t="str">
            <v>Industrials</v>
          </cell>
          <cell r="B26">
            <v>21.653700000000001</v>
          </cell>
          <cell r="C26">
            <v>17.8736</v>
          </cell>
          <cell r="D26">
            <v>15.4831</v>
          </cell>
          <cell r="E26">
            <v>0.90669999999999995</v>
          </cell>
          <cell r="F26">
            <v>2.7241</v>
          </cell>
          <cell r="G26">
            <v>9.0129999999999999</v>
          </cell>
          <cell r="H26">
            <v>0.1295</v>
          </cell>
          <cell r="I26">
            <v>9.1999999999999998E-3</v>
          </cell>
          <cell r="J26">
            <v>0.1825</v>
          </cell>
        </row>
        <row r="27">
          <cell r="A27" t="str">
            <v>Information Technology</v>
          </cell>
          <cell r="B27">
            <v>17.305299999999999</v>
          </cell>
          <cell r="C27">
            <v>16.932099999999998</v>
          </cell>
          <cell r="D27">
            <v>13.9596</v>
          </cell>
          <cell r="E27">
            <v>0.87829999999999997</v>
          </cell>
          <cell r="F27">
            <v>2.1278999999999999</v>
          </cell>
          <cell r="G27">
            <v>11.251799999999999</v>
          </cell>
          <cell r="H27">
            <v>0.1298</v>
          </cell>
          <cell r="I27">
            <v>2.3999999999999998E-3</v>
          </cell>
          <cell r="J27">
            <v>5.04E-2</v>
          </cell>
        </row>
        <row r="28">
          <cell r="A28" t="str">
            <v>Materials</v>
          </cell>
          <cell r="B28">
            <v>13.3461</v>
          </cell>
          <cell r="C28">
            <v>12.9574</v>
          </cell>
          <cell r="D28">
            <v>12.908200000000001</v>
          </cell>
          <cell r="E28">
            <v>0.91049999999999998</v>
          </cell>
          <cell r="F28">
            <v>2.6162999999999998</v>
          </cell>
          <cell r="G28">
            <v>8.8491</v>
          </cell>
          <cell r="H28">
            <v>0.20899999999999999</v>
          </cell>
          <cell r="I28">
            <v>1.5599999999999999E-2</v>
          </cell>
          <cell r="J28">
            <v>0.41049999999999998</v>
          </cell>
        </row>
        <row r="29">
          <cell r="A29" t="str">
            <v>Telecommunication Services</v>
          </cell>
          <cell r="B29">
            <v>20.741499999999998</v>
          </cell>
          <cell r="C29">
            <v>20.741499999999998</v>
          </cell>
          <cell r="D29">
            <v>12.0305</v>
          </cell>
          <cell r="E29">
            <v>0.6089</v>
          </cell>
          <cell r="F29">
            <v>1.8607</v>
          </cell>
          <cell r="G29">
            <v>2.8586999999999998</v>
          </cell>
          <cell r="H29">
            <v>9.5299999999999996E-2</v>
          </cell>
          <cell r="I29">
            <v>6.3E-3</v>
          </cell>
          <cell r="J29">
            <v>0.14580000000000001</v>
          </cell>
        </row>
        <row r="30">
          <cell r="A30" t="str">
            <v>Utilities</v>
          </cell>
          <cell r="B30">
            <v>15.917400000000001</v>
          </cell>
          <cell r="C30">
            <v>15.917400000000001</v>
          </cell>
          <cell r="D30">
            <v>15.8409</v>
          </cell>
          <cell r="E30">
            <v>1.0467</v>
          </cell>
          <cell r="F30">
            <v>2.3788</v>
          </cell>
          <cell r="G30">
            <v>8.0185999999999993</v>
          </cell>
          <cell r="H30">
            <v>0.1517</v>
          </cell>
          <cell r="I30">
            <v>3.1899999999999998E-2</v>
          </cell>
          <cell r="J30">
            <v>0.51900000000000002</v>
          </cell>
        </row>
        <row r="31">
          <cell r="A31" t="str">
            <v>Auto &amp; Transportation</v>
          </cell>
          <cell r="B31">
            <v>-17.889299999999999</v>
          </cell>
          <cell r="C31">
            <v>16.741</v>
          </cell>
          <cell r="D31">
            <v>16.597799999999999</v>
          </cell>
          <cell r="E31">
            <v>0.49759999999999999</v>
          </cell>
          <cell r="F31">
            <v>3.7237</v>
          </cell>
          <cell r="G31">
            <v>7.4884000000000004</v>
          </cell>
          <cell r="H31">
            <v>-0.29480000000000001</v>
          </cell>
          <cell r="I31">
            <v>1.3899999999999999E-2</v>
          </cell>
          <cell r="J31">
            <v>0.80420000000000003</v>
          </cell>
        </row>
        <row r="32">
          <cell r="A32" t="str">
            <v>Consumer Discretionary</v>
          </cell>
          <cell r="B32">
            <v>20.273199999999999</v>
          </cell>
          <cell r="C32">
            <v>19.019200000000001</v>
          </cell>
          <cell r="D32">
            <v>17.3933</v>
          </cell>
          <cell r="E32">
            <v>1.0271999999999999</v>
          </cell>
          <cell r="F32">
            <v>2.9087999999999998</v>
          </cell>
          <cell r="G32">
            <v>10.0791</v>
          </cell>
          <cell r="H32">
            <v>0.14360000000000001</v>
          </cell>
          <cell r="I32">
            <v>1.17E-2</v>
          </cell>
          <cell r="J32">
            <v>0.18160000000000001</v>
          </cell>
        </row>
        <row r="33">
          <cell r="A33" t="str">
            <v>Consumer Staples</v>
          </cell>
          <cell r="B33">
            <v>18.461200000000002</v>
          </cell>
          <cell r="C33">
            <v>18.413499999999999</v>
          </cell>
          <cell r="D33">
            <v>17.229299999999999</v>
          </cell>
          <cell r="E33">
            <v>1.4319999999999999</v>
          </cell>
          <cell r="F33">
            <v>4.1456999999999997</v>
          </cell>
          <cell r="G33">
            <v>13.342599999999999</v>
          </cell>
          <cell r="H33">
            <v>0.23089999999999999</v>
          </cell>
          <cell r="I33">
            <v>2.52E-2</v>
          </cell>
          <cell r="J33">
            <v>0.43519999999999998</v>
          </cell>
        </row>
        <row r="34">
          <cell r="A34" t="str">
            <v>Financial Services</v>
          </cell>
          <cell r="B34">
            <v>18.133299999999998</v>
          </cell>
          <cell r="C34">
            <v>15.021800000000001</v>
          </cell>
          <cell r="D34">
            <v>13.228199999999999</v>
          </cell>
          <cell r="E34">
            <v>1.3705000000000001</v>
          </cell>
          <cell r="F34">
            <v>1.8244</v>
          </cell>
          <cell r="G34">
            <v>-16.742599999999999</v>
          </cell>
          <cell r="H34">
            <v>0.1</v>
          </cell>
          <cell r="I34">
            <v>3.2399999999999998E-2</v>
          </cell>
          <cell r="J34">
            <v>0.4355</v>
          </cell>
        </row>
        <row r="35">
          <cell r="A35" t="str">
            <v>Health Care</v>
          </cell>
          <cell r="B35">
            <v>23.4541</v>
          </cell>
          <cell r="C35">
            <v>21.926100000000002</v>
          </cell>
          <cell r="D35">
            <v>15.1081</v>
          </cell>
          <cell r="E35">
            <v>1.6007</v>
          </cell>
          <cell r="F35">
            <v>5.2602000000000002</v>
          </cell>
          <cell r="G35">
            <v>13.9283</v>
          </cell>
          <cell r="H35">
            <v>0.22689999999999999</v>
          </cell>
          <cell r="I35">
            <v>1.5800000000000002E-2</v>
          </cell>
          <cell r="J35">
            <v>0.17680000000000001</v>
          </cell>
        </row>
        <row r="36">
          <cell r="A36" t="str">
            <v>Integrated Oils</v>
          </cell>
          <cell r="B36">
            <v>11.0298</v>
          </cell>
          <cell r="C36">
            <v>11.0298</v>
          </cell>
          <cell r="D36">
            <v>9.7837999999999994</v>
          </cell>
          <cell r="E36">
            <v>1.0979000000000001</v>
          </cell>
          <cell r="F36">
            <v>2.8058999999999998</v>
          </cell>
          <cell r="G36">
            <v>7.9436999999999998</v>
          </cell>
          <cell r="H36">
            <v>0.26340000000000002</v>
          </cell>
          <cell r="I36">
            <v>1.83E-2</v>
          </cell>
          <cell r="J36">
            <v>0.18179999999999999</v>
          </cell>
        </row>
        <row r="37">
          <cell r="A37" t="str">
            <v>Materials &amp; Processing</v>
          </cell>
          <cell r="B37">
            <v>15.075200000000001</v>
          </cell>
          <cell r="C37">
            <v>14.6976</v>
          </cell>
          <cell r="D37">
            <v>15.5145</v>
          </cell>
          <cell r="E37">
            <v>1.0683</v>
          </cell>
          <cell r="F37">
            <v>2.9472</v>
          </cell>
          <cell r="G37">
            <v>12.243399999999999</v>
          </cell>
          <cell r="H37">
            <v>0.20399999999999999</v>
          </cell>
          <cell r="I37">
            <v>1.5699999999999999E-2</v>
          </cell>
          <cell r="J37">
            <v>0.248</v>
          </cell>
        </row>
        <row r="38">
          <cell r="A38" t="str">
            <v>Other</v>
          </cell>
          <cell r="B38">
            <v>17.467600000000001</v>
          </cell>
          <cell r="C38">
            <v>16.406300000000002</v>
          </cell>
          <cell r="D38">
            <v>14.597899999999999</v>
          </cell>
          <cell r="E38">
            <v>1.6274999999999999</v>
          </cell>
          <cell r="F38">
            <v>3.0893000000000002</v>
          </cell>
          <cell r="G38">
            <v>8.8405000000000005</v>
          </cell>
          <cell r="H38">
            <v>0.1671</v>
          </cell>
          <cell r="I38">
            <v>2.75E-2</v>
          </cell>
          <cell r="J38">
            <v>0.26790000000000003</v>
          </cell>
        </row>
        <row r="39">
          <cell r="A39" t="str">
            <v>Other Energy</v>
          </cell>
          <cell r="B39">
            <v>13.389900000000001</v>
          </cell>
          <cell r="C39">
            <v>13.3184</v>
          </cell>
          <cell r="D39">
            <v>12.5876</v>
          </cell>
          <cell r="E39">
            <v>1.7666999999999999</v>
          </cell>
          <cell r="F39">
            <v>3.7271000000000001</v>
          </cell>
          <cell r="G39">
            <v>8.6580999999999992</v>
          </cell>
          <cell r="H39">
            <v>0.2364</v>
          </cell>
          <cell r="I39">
            <v>5.5999999999999999E-3</v>
          </cell>
          <cell r="J39">
            <v>0.29849999999999999</v>
          </cell>
        </row>
        <row r="40">
          <cell r="A40" t="str">
            <v>Producer Durables</v>
          </cell>
          <cell r="B40">
            <v>22.080100000000002</v>
          </cell>
          <cell r="C40">
            <v>17.299700000000001</v>
          </cell>
          <cell r="D40">
            <v>16.6235</v>
          </cell>
          <cell r="E40">
            <v>1.2038</v>
          </cell>
          <cell r="F40">
            <v>3.2431000000000001</v>
          </cell>
          <cell r="G40">
            <v>9.82</v>
          </cell>
          <cell r="H40">
            <v>0.1467</v>
          </cell>
          <cell r="I40">
            <v>1.32E-2</v>
          </cell>
          <cell r="J40">
            <v>0.18779999999999999</v>
          </cell>
        </row>
        <row r="41">
          <cell r="A41" t="str">
            <v>Technology</v>
          </cell>
          <cell r="B41">
            <v>21.202500000000001</v>
          </cell>
          <cell r="C41">
            <v>19.182300000000001</v>
          </cell>
          <cell r="D41">
            <v>16.461400000000001</v>
          </cell>
          <cell r="E41">
            <v>2.0293999999999999</v>
          </cell>
          <cell r="F41">
            <v>3.7541000000000002</v>
          </cell>
          <cell r="G41">
            <v>12.0503</v>
          </cell>
          <cell r="H41">
            <v>0.1857</v>
          </cell>
          <cell r="I41">
            <v>7.6E-3</v>
          </cell>
          <cell r="J41">
            <v>0.1032</v>
          </cell>
        </row>
        <row r="42">
          <cell r="A42" t="str">
            <v>Utilities</v>
          </cell>
          <cell r="B42">
            <v>36.929000000000002</v>
          </cell>
          <cell r="C42">
            <v>17.582799999999999</v>
          </cell>
          <cell r="D42">
            <v>14.982200000000001</v>
          </cell>
          <cell r="E42">
            <v>1.3559000000000001</v>
          </cell>
          <cell r="F42">
            <v>2.206</v>
          </cell>
          <cell r="G42">
            <v>6.6349</v>
          </cell>
          <cell r="H42">
            <v>5.8999999999999997E-2</v>
          </cell>
          <cell r="I42">
            <v>3.1399999999999997E-2</v>
          </cell>
          <cell r="J42">
            <v>0.51570000000000005</v>
          </cell>
        </row>
        <row r="43">
          <cell r="A43" t="str">
            <v>Auto &amp; Transportation</v>
          </cell>
          <cell r="B43">
            <v>23.4801</v>
          </cell>
          <cell r="C43">
            <v>16.105699999999999</v>
          </cell>
          <cell r="D43">
            <v>16.626100000000001</v>
          </cell>
          <cell r="E43">
            <v>0.4355</v>
          </cell>
          <cell r="F43">
            <v>2.1865999999999999</v>
          </cell>
          <cell r="G43">
            <v>6.6086999999999998</v>
          </cell>
          <cell r="H43">
            <v>0.114</v>
          </cell>
          <cell r="I43">
            <v>1.8499999999999999E-2</v>
          </cell>
          <cell r="J43">
            <v>0.52080000000000004</v>
          </cell>
        </row>
        <row r="44">
          <cell r="A44" t="str">
            <v>Consumer Discretionary</v>
          </cell>
          <cell r="B44">
            <v>49.030700000000003</v>
          </cell>
          <cell r="C44">
            <v>19.7803</v>
          </cell>
          <cell r="D44">
            <v>22.8505</v>
          </cell>
          <cell r="E44">
            <v>0.5998</v>
          </cell>
          <cell r="F44">
            <v>2.3896999999999999</v>
          </cell>
          <cell r="G44">
            <v>8.9824999999999999</v>
          </cell>
          <cell r="H44">
            <v>5.67E-2</v>
          </cell>
          <cell r="I44">
            <v>6.8999999999999999E-3</v>
          </cell>
          <cell r="J44">
            <v>0.2651</v>
          </cell>
        </row>
        <row r="45">
          <cell r="A45" t="str">
            <v>Consumer Staples</v>
          </cell>
          <cell r="B45">
            <v>18.505600000000001</v>
          </cell>
          <cell r="C45">
            <v>17.810700000000001</v>
          </cell>
          <cell r="D45">
            <v>20.447299999999998</v>
          </cell>
          <cell r="E45">
            <v>0.39150000000000001</v>
          </cell>
          <cell r="F45">
            <v>2.2795999999999998</v>
          </cell>
          <cell r="G45">
            <v>7.8861999999999997</v>
          </cell>
          <cell r="H45">
            <v>0.1341</v>
          </cell>
          <cell r="I45">
            <v>1.34E-2</v>
          </cell>
          <cell r="J45">
            <v>8.1299999999999997E-2</v>
          </cell>
        </row>
        <row r="46">
          <cell r="A46" t="str">
            <v>Financial Services</v>
          </cell>
          <cell r="B46">
            <v>27.8797</v>
          </cell>
          <cell r="C46">
            <v>16.074100000000001</v>
          </cell>
          <cell r="D46">
            <v>16.962199999999999</v>
          </cell>
          <cell r="E46">
            <v>1.7225999999999999</v>
          </cell>
          <cell r="F46">
            <v>1.665</v>
          </cell>
          <cell r="G46">
            <v>12.1564</v>
          </cell>
          <cell r="H46">
            <v>6.4399999999999999E-2</v>
          </cell>
          <cell r="I46">
            <v>3.6700000000000003E-2</v>
          </cell>
          <cell r="J46">
            <v>0.71750000000000003</v>
          </cell>
        </row>
        <row r="47">
          <cell r="A47" t="str">
            <v>Health Care</v>
          </cell>
          <cell r="B47">
            <v>-84.036100000000005</v>
          </cell>
          <cell r="C47">
            <v>41.114899999999999</v>
          </cell>
          <cell r="D47">
            <v>6178.7474000000002</v>
          </cell>
          <cell r="E47">
            <v>2.1067999999999998</v>
          </cell>
          <cell r="F47">
            <v>3.4704000000000002</v>
          </cell>
          <cell r="G47">
            <v>36.685099999999998</v>
          </cell>
          <cell r="H47">
            <v>-4.7199999999999999E-2</v>
          </cell>
          <cell r="I47">
            <v>1.4E-3</v>
          </cell>
          <cell r="J47">
            <v>-0.49370000000000003</v>
          </cell>
        </row>
        <row r="48">
          <cell r="A48" t="str">
            <v>Integrated Oils</v>
          </cell>
          <cell r="B48">
            <v>-13.2035</v>
          </cell>
          <cell r="C48">
            <v>60.4129</v>
          </cell>
          <cell r="D48">
            <v>-210.26939999999999</v>
          </cell>
          <cell r="E48">
            <v>5.6261999999999999</v>
          </cell>
          <cell r="F48">
            <v>2.3016000000000001</v>
          </cell>
          <cell r="G48">
            <v>11.8901</v>
          </cell>
          <cell r="H48">
            <v>-0.15840000000000001</v>
          </cell>
          <cell r="I48">
            <v>0</v>
          </cell>
          <cell r="J48">
            <v>0</v>
          </cell>
        </row>
        <row r="49">
          <cell r="A49" t="str">
            <v>Materials &amp; Processing</v>
          </cell>
          <cell r="B49">
            <v>27.090299999999999</v>
          </cell>
          <cell r="C49">
            <v>17.880299999999998</v>
          </cell>
          <cell r="D49">
            <v>16.594000000000001</v>
          </cell>
          <cell r="E49">
            <v>0.71079999999999999</v>
          </cell>
          <cell r="F49">
            <v>2.0407999999999999</v>
          </cell>
          <cell r="G49">
            <v>9.7151999999999994</v>
          </cell>
          <cell r="H49">
            <v>9.4700000000000006E-2</v>
          </cell>
          <cell r="I49">
            <v>9.4000000000000004E-3</v>
          </cell>
          <cell r="J49">
            <v>0.2253</v>
          </cell>
        </row>
        <row r="50">
          <cell r="A50" t="str">
            <v>Other</v>
          </cell>
          <cell r="B50">
            <v>35.259700000000002</v>
          </cell>
          <cell r="C50">
            <v>30.138200000000001</v>
          </cell>
          <cell r="D50">
            <v>21.8386</v>
          </cell>
          <cell r="E50">
            <v>1.5727</v>
          </cell>
          <cell r="F50">
            <v>5.0792000000000002</v>
          </cell>
          <cell r="G50">
            <v>25.286100000000001</v>
          </cell>
          <cell r="H50">
            <v>0.14549999999999999</v>
          </cell>
          <cell r="I50">
            <v>9.4000000000000004E-3</v>
          </cell>
          <cell r="J50">
            <v>0.35659999999999997</v>
          </cell>
        </row>
        <row r="51">
          <cell r="A51" t="str">
            <v>Other Energy</v>
          </cell>
          <cell r="B51">
            <v>26.065200000000001</v>
          </cell>
          <cell r="C51">
            <v>19.279</v>
          </cell>
          <cell r="D51">
            <v>19.158000000000001</v>
          </cell>
          <cell r="E51">
            <v>1.7201</v>
          </cell>
          <cell r="F51">
            <v>1.9494</v>
          </cell>
          <cell r="G51">
            <v>7.1647999999999996</v>
          </cell>
          <cell r="H51">
            <v>8.1100000000000005E-2</v>
          </cell>
          <cell r="I51">
            <v>1.6000000000000001E-3</v>
          </cell>
          <cell r="J51">
            <v>7.1099999999999997E-2</v>
          </cell>
        </row>
        <row r="52">
          <cell r="A52" t="str">
            <v>Producer Durables</v>
          </cell>
          <cell r="B52">
            <v>49.679699999999997</v>
          </cell>
          <cell r="C52">
            <v>20.673100000000002</v>
          </cell>
          <cell r="D52">
            <v>22.379799999999999</v>
          </cell>
          <cell r="E52">
            <v>0.89419999999999999</v>
          </cell>
          <cell r="F52">
            <v>1.8720000000000001</v>
          </cell>
          <cell r="G52">
            <v>11.2226</v>
          </cell>
          <cell r="H52">
            <v>3.6600000000000001E-2</v>
          </cell>
          <cell r="I52">
            <v>6.1999999999999998E-3</v>
          </cell>
          <cell r="J52">
            <v>0.1807</v>
          </cell>
        </row>
        <row r="53">
          <cell r="A53" t="str">
            <v>Technology</v>
          </cell>
          <cell r="B53">
            <v>54.497700000000002</v>
          </cell>
          <cell r="C53">
            <v>26.4499</v>
          </cell>
          <cell r="D53">
            <v>22.5718</v>
          </cell>
          <cell r="E53">
            <v>1.4011</v>
          </cell>
          <cell r="F53">
            <v>2.1718000000000002</v>
          </cell>
          <cell r="G53">
            <v>16.116099999999999</v>
          </cell>
          <cell r="H53">
            <v>4.3499999999999997E-2</v>
          </cell>
          <cell r="I53">
            <v>6.9999999999999999E-4</v>
          </cell>
          <cell r="J53">
            <v>4.6899999999999997E-2</v>
          </cell>
        </row>
        <row r="54">
          <cell r="A54" t="str">
            <v>Utilities</v>
          </cell>
          <cell r="B54">
            <v>35.298099999999998</v>
          </cell>
          <cell r="C54">
            <v>20.5212</v>
          </cell>
          <cell r="D54">
            <v>27.0093</v>
          </cell>
          <cell r="E54">
            <v>0.98909999999999998</v>
          </cell>
          <cell r="F54">
            <v>2.6697000000000002</v>
          </cell>
          <cell r="G54">
            <v>7.9957000000000003</v>
          </cell>
          <cell r="H54">
            <v>6.4399999999999999E-2</v>
          </cell>
          <cell r="I54">
            <v>2.93E-2</v>
          </cell>
          <cell r="J54">
            <v>1.7034</v>
          </cell>
        </row>
      </sheetData>
      <sheetData sheetId="19" refreshError="1">
        <row r="1">
          <cell r="A1" t="str">
            <v>Index</v>
          </cell>
          <cell r="B1" t="str">
            <v>Consumer Discretionary</v>
          </cell>
          <cell r="C1" t="str">
            <v>Consumer Staples</v>
          </cell>
          <cell r="D1" t="str">
            <v>Energy</v>
          </cell>
          <cell r="E1" t="str">
            <v>Financials</v>
          </cell>
          <cell r="F1" t="str">
            <v>Health Care</v>
          </cell>
          <cell r="G1" t="str">
            <v>Industrials</v>
          </cell>
          <cell r="H1" t="str">
            <v>Information Technology</v>
          </cell>
          <cell r="I1" t="str">
            <v>Materials</v>
          </cell>
          <cell r="J1" t="str">
            <v>Telecomm Services</v>
          </cell>
          <cell r="K1" t="str">
            <v>Utilities</v>
          </cell>
        </row>
        <row r="2">
          <cell r="A2" t="str">
            <v>S&amp;P 500 Large Cap</v>
          </cell>
          <cell r="B2">
            <v>8.7800000000000003E-2</v>
          </cell>
          <cell r="C2">
            <v>0.1031</v>
          </cell>
          <cell r="D2">
            <v>0.12280000000000001</v>
          </cell>
          <cell r="E2">
            <v>0.18609999999999999</v>
          </cell>
          <cell r="F2">
            <v>0.12139999999999999</v>
          </cell>
          <cell r="G2">
            <v>0.1174</v>
          </cell>
          <cell r="H2">
            <v>0.15659999999999999</v>
          </cell>
          <cell r="I2">
            <v>3.4000000000000002E-2</v>
          </cell>
          <cell r="J2">
            <v>3.49E-2</v>
          </cell>
          <cell r="K2">
            <v>3.5900000000000001E-2</v>
          </cell>
        </row>
        <row r="3">
          <cell r="A3" t="str">
            <v>S&amp;P 500 Citigroup Growth</v>
          </cell>
          <cell r="B3">
            <v>8.5599999999999996E-2</v>
          </cell>
          <cell r="C3">
            <v>0.11</v>
          </cell>
          <cell r="D3">
            <v>0.20649999999999999</v>
          </cell>
          <cell r="E3">
            <v>7.3400000000000007E-2</v>
          </cell>
          <cell r="F3">
            <v>0.14799999999999999</v>
          </cell>
          <cell r="G3">
            <v>9.5000000000000001E-2</v>
          </cell>
          <cell r="H3">
            <v>0.246</v>
          </cell>
          <cell r="I3">
            <v>2.7900000000000001E-2</v>
          </cell>
          <cell r="J3">
            <v>6.9999999999999999E-4</v>
          </cell>
          <cell r="K3">
            <v>6.7999999999999996E-3</v>
          </cell>
        </row>
        <row r="4">
          <cell r="A4" t="str">
            <v>S&amp;P 500 Citigroup Value</v>
          </cell>
          <cell r="B4">
            <v>9.01E-2</v>
          </cell>
          <cell r="C4">
            <v>9.6199999999999994E-2</v>
          </cell>
          <cell r="D4">
            <v>3.8699999999999998E-2</v>
          </cell>
          <cell r="E4">
            <v>0.2994</v>
          </cell>
          <cell r="F4">
            <v>9.4600000000000004E-2</v>
          </cell>
          <cell r="G4">
            <v>0.13980000000000001</v>
          </cell>
          <cell r="H4">
            <v>6.6699999999999995E-2</v>
          </cell>
          <cell r="I4">
            <v>4.02E-2</v>
          </cell>
          <cell r="J4">
            <v>6.9199999999999998E-2</v>
          </cell>
          <cell r="K4">
            <v>6.5199999999999994E-2</v>
          </cell>
        </row>
        <row r="5">
          <cell r="A5" t="str">
            <v>S&amp;P 600 Small Cap</v>
          </cell>
          <cell r="B5">
            <v>0.13320000000000001</v>
          </cell>
          <cell r="C5">
            <v>3.5099999999999999E-2</v>
          </cell>
          <cell r="D5">
            <v>8.1299999999999997E-2</v>
          </cell>
          <cell r="E5">
            <v>0.1716</v>
          </cell>
          <cell r="F5">
            <v>0.1351</v>
          </cell>
          <cell r="G5">
            <v>0.1706</v>
          </cell>
          <cell r="H5">
            <v>0.1812</v>
          </cell>
          <cell r="I5">
            <v>4.2700000000000002E-2</v>
          </cell>
          <cell r="J5">
            <v>6.9999999999999999E-4</v>
          </cell>
          <cell r="K5">
            <v>4.8399999999999999E-2</v>
          </cell>
        </row>
        <row r="6">
          <cell r="A6" t="str">
            <v>S&amp;P 600 Citigroup Growth</v>
          </cell>
          <cell r="B6">
            <v>0.16220000000000001</v>
          </cell>
          <cell r="C6">
            <v>3.1800000000000002E-2</v>
          </cell>
          <cell r="D6">
            <v>0.1226</v>
          </cell>
          <cell r="E6">
            <v>8.9300000000000004E-2</v>
          </cell>
          <cell r="F6">
            <v>0.19939999999999999</v>
          </cell>
          <cell r="G6">
            <v>0.1477</v>
          </cell>
          <cell r="H6">
            <v>0.21460000000000001</v>
          </cell>
          <cell r="I6">
            <v>3.0099999999999998E-2</v>
          </cell>
          <cell r="J6">
            <v>8.0000000000000004E-4</v>
          </cell>
          <cell r="K6">
            <v>1.6000000000000001E-3</v>
          </cell>
        </row>
        <row r="7">
          <cell r="A7" t="str">
            <v>S&amp;P 600 Citigroup Value</v>
          </cell>
          <cell r="B7">
            <v>0.1051</v>
          </cell>
          <cell r="C7">
            <v>3.8300000000000001E-2</v>
          </cell>
          <cell r="D7">
            <v>4.1300000000000003E-2</v>
          </cell>
          <cell r="E7">
            <v>0.2515</v>
          </cell>
          <cell r="F7">
            <v>7.2700000000000001E-2</v>
          </cell>
          <cell r="G7">
            <v>0.19289999999999999</v>
          </cell>
          <cell r="H7">
            <v>0.14879999999999999</v>
          </cell>
          <cell r="I7">
            <v>5.5E-2</v>
          </cell>
          <cell r="J7">
            <v>5.0000000000000001E-4</v>
          </cell>
          <cell r="K7">
            <v>9.3899999999999997E-2</v>
          </cell>
        </row>
        <row r="8">
          <cell r="A8" t="str">
            <v>S&amp;P 400 Mid Cap</v>
          </cell>
          <cell r="B8">
            <v>0.1333</v>
          </cell>
          <cell r="C8">
            <v>3.1899999999999998E-2</v>
          </cell>
          <cell r="D8">
            <v>8.8700000000000001E-2</v>
          </cell>
          <cell r="E8">
            <v>0.1653</v>
          </cell>
          <cell r="F8">
            <v>0.12740000000000001</v>
          </cell>
          <cell r="G8">
            <v>0.15909999999999999</v>
          </cell>
          <cell r="H8">
            <v>0.1376</v>
          </cell>
          <cell r="I8">
            <v>7.0699999999999999E-2</v>
          </cell>
          <cell r="J8">
            <v>6.1999999999999998E-3</v>
          </cell>
          <cell r="K8">
            <v>7.9799999999999996E-2</v>
          </cell>
        </row>
        <row r="9">
          <cell r="A9" t="str">
            <v>S&amp;P 400 Citigroup Growth</v>
          </cell>
          <cell r="B9">
            <v>0.1729</v>
          </cell>
          <cell r="C9">
            <v>3.2399999999999998E-2</v>
          </cell>
          <cell r="D9">
            <v>0.12839999999999999</v>
          </cell>
          <cell r="E9">
            <v>5.57E-2</v>
          </cell>
          <cell r="F9">
            <v>0.20300000000000001</v>
          </cell>
          <cell r="G9">
            <v>0.1663</v>
          </cell>
          <cell r="H9">
            <v>0.157</v>
          </cell>
          <cell r="I9">
            <v>6.9699999999999998E-2</v>
          </cell>
          <cell r="J9">
            <v>0</v>
          </cell>
          <cell r="K9">
            <v>1.46E-2</v>
          </cell>
        </row>
        <row r="10">
          <cell r="A10" t="str">
            <v>S&amp;P 400 Citigroup Value</v>
          </cell>
          <cell r="B10">
            <v>9.5500000000000002E-2</v>
          </cell>
          <cell r="C10">
            <v>3.15E-2</v>
          </cell>
          <cell r="D10">
            <v>5.0799999999999998E-2</v>
          </cell>
          <cell r="E10">
            <v>0.26979999999999998</v>
          </cell>
          <cell r="F10">
            <v>5.5399999999999998E-2</v>
          </cell>
          <cell r="G10">
            <v>0.15210000000000001</v>
          </cell>
          <cell r="H10">
            <v>0.1191</v>
          </cell>
          <cell r="I10">
            <v>7.1599999999999997E-2</v>
          </cell>
          <cell r="J10">
            <v>1.21E-2</v>
          </cell>
          <cell r="K10">
            <v>0.14199999999999999</v>
          </cell>
        </row>
        <row r="11">
          <cell r="A11" t="str">
            <v>Index</v>
          </cell>
          <cell r="B11" t="str">
            <v>Autos and Transport</v>
          </cell>
          <cell r="C11" t="str">
            <v>Consumer Discretionary</v>
          </cell>
          <cell r="D11" t="str">
            <v>Consumer Staples</v>
          </cell>
          <cell r="E11" t="str">
            <v>Financial Services</v>
          </cell>
          <cell r="F11" t="str">
            <v>Health Care</v>
          </cell>
          <cell r="G11" t="str">
            <v>Integrated Oils</v>
          </cell>
          <cell r="H11" t="str">
            <v>Materials and Process</v>
          </cell>
          <cell r="I11" t="str">
            <v>Other</v>
          </cell>
          <cell r="J11" t="str">
            <v>Other Energy</v>
          </cell>
          <cell r="K11" t="str">
            <v>Producer Durables</v>
          </cell>
          <cell r="L11" t="str">
            <v>Technology</v>
          </cell>
          <cell r="M11" t="str">
            <v>Utilities</v>
          </cell>
        </row>
        <row r="12">
          <cell r="A12" t="str">
            <v>Russell 1000</v>
          </cell>
          <cell r="B12">
            <v>2.52E-2</v>
          </cell>
          <cell r="C12">
            <v>0.1198</v>
          </cell>
          <cell r="D12">
            <v>7.3700000000000002E-2</v>
          </cell>
          <cell r="E12">
            <v>0.1953</v>
          </cell>
          <cell r="F12">
            <v>0.122</v>
          </cell>
          <cell r="G12">
            <v>6.7100000000000007E-2</v>
          </cell>
          <cell r="H12">
            <v>4.9700000000000001E-2</v>
          </cell>
          <cell r="I12">
            <v>4.2200000000000001E-2</v>
          </cell>
          <cell r="J12">
            <v>5.1499999999999997E-2</v>
          </cell>
          <cell r="K12">
            <v>5.1700000000000003E-2</v>
          </cell>
          <cell r="L12">
            <v>0.1278</v>
          </cell>
          <cell r="M12">
            <v>7.3999999999999996E-2</v>
          </cell>
        </row>
        <row r="13">
          <cell r="A13" t="str">
            <v>Russell 1000 Growth</v>
          </cell>
          <cell r="B13">
            <v>3.3500000000000002E-2</v>
          </cell>
          <cell r="C13">
            <v>0.16639999999999999</v>
          </cell>
          <cell r="D13">
            <v>8.14E-2</v>
          </cell>
          <cell r="E13">
            <v>8.9499999999999996E-2</v>
          </cell>
          <cell r="F13">
            <v>0.16489999999999999</v>
          </cell>
          <cell r="G13">
            <v>1.4E-2</v>
          </cell>
          <cell r="H13">
            <v>4.7600000000000003E-2</v>
          </cell>
          <cell r="I13">
            <v>2.53E-2</v>
          </cell>
          <cell r="J13">
            <v>7.0000000000000007E-2</v>
          </cell>
          <cell r="K13">
            <v>7.0400000000000004E-2</v>
          </cell>
          <cell r="L13">
            <v>0.21629999999999999</v>
          </cell>
          <cell r="M13">
            <v>2.0899999999999998E-2</v>
          </cell>
        </row>
        <row r="14">
          <cell r="A14" t="str">
            <v>Russell 1000 Value</v>
          </cell>
          <cell r="B14">
            <v>1.6500000000000001E-2</v>
          </cell>
          <cell r="C14">
            <v>7.0400000000000004E-2</v>
          </cell>
          <cell r="D14">
            <v>6.5600000000000006E-2</v>
          </cell>
          <cell r="E14">
            <v>0.30759999999999998</v>
          </cell>
          <cell r="F14">
            <v>7.6499999999999999E-2</v>
          </cell>
          <cell r="G14">
            <v>0.1234</v>
          </cell>
          <cell r="H14">
            <v>5.1999999999999998E-2</v>
          </cell>
          <cell r="I14">
            <v>6.0100000000000001E-2</v>
          </cell>
          <cell r="J14">
            <v>3.1899999999999998E-2</v>
          </cell>
          <cell r="K14">
            <v>3.1800000000000002E-2</v>
          </cell>
          <cell r="L14">
            <v>3.39E-2</v>
          </cell>
          <cell r="M14">
            <v>0.1303</v>
          </cell>
        </row>
        <row r="15">
          <cell r="A15" t="str">
            <v>Russell 2000</v>
          </cell>
          <cell r="B15">
            <v>3.8800000000000001E-2</v>
          </cell>
          <cell r="C15">
            <v>0.17219999999999999</v>
          </cell>
          <cell r="D15">
            <v>2.2800000000000001E-2</v>
          </cell>
          <cell r="E15">
            <v>0.2167</v>
          </cell>
          <cell r="F15">
            <v>0.1351</v>
          </cell>
          <cell r="G15">
            <v>1.6000000000000001E-3</v>
          </cell>
          <cell r="H15">
            <v>9.9500000000000005E-2</v>
          </cell>
          <cell r="I15">
            <v>7.3000000000000001E-3</v>
          </cell>
          <cell r="J15">
            <v>5.9499999999999997E-2</v>
          </cell>
          <cell r="K15">
            <v>7.0000000000000007E-2</v>
          </cell>
          <cell r="L15">
            <v>0.13350000000000001</v>
          </cell>
          <cell r="M15">
            <v>4.2900000000000001E-2</v>
          </cell>
        </row>
        <row r="16">
          <cell r="A16" t="str">
            <v>Russell 2000 Growth</v>
          </cell>
          <cell r="B16">
            <v>3.2800000000000003E-2</v>
          </cell>
          <cell r="C16">
            <v>0.21010000000000001</v>
          </cell>
          <cell r="D16">
            <v>1.3100000000000001E-2</v>
          </cell>
          <cell r="E16">
            <v>0.10340000000000001</v>
          </cell>
          <cell r="F16">
            <v>0.20860000000000001</v>
          </cell>
          <cell r="G16">
            <v>2.5999999999999999E-3</v>
          </cell>
          <cell r="H16">
            <v>8.3799999999999999E-2</v>
          </cell>
          <cell r="I16">
            <v>8.9999999999999993E-3</v>
          </cell>
          <cell r="J16">
            <v>6.7699999999999996E-2</v>
          </cell>
          <cell r="K16">
            <v>8.14E-2</v>
          </cell>
          <cell r="L16">
            <v>0.17280000000000001</v>
          </cell>
          <cell r="M16">
            <v>1.4800000000000001E-2</v>
          </cell>
        </row>
        <row r="17">
          <cell r="A17" t="str">
            <v>Russell 2000 Value</v>
          </cell>
          <cell r="B17">
            <v>4.5400000000000003E-2</v>
          </cell>
          <cell r="C17">
            <v>0.13109999999999999</v>
          </cell>
          <cell r="D17">
            <v>3.3300000000000003E-2</v>
          </cell>
          <cell r="E17">
            <v>0.33979999999999999</v>
          </cell>
          <cell r="F17">
            <v>5.5300000000000002E-2</v>
          </cell>
          <cell r="G17">
            <v>5.0000000000000001E-4</v>
          </cell>
          <cell r="H17">
            <v>0.1167</v>
          </cell>
          <cell r="I17">
            <v>5.4999999999999997E-3</v>
          </cell>
          <cell r="J17">
            <v>5.0700000000000002E-2</v>
          </cell>
          <cell r="K17">
            <v>5.7599999999999998E-2</v>
          </cell>
          <cell r="L17">
            <v>9.0800000000000006E-2</v>
          </cell>
          <cell r="M17">
            <v>7.3400000000000007E-2</v>
          </cell>
        </row>
        <row r="18">
          <cell r="A18" t="str">
            <v>Russell 3000</v>
          </cell>
          <cell r="B18">
            <v>2.63E-2</v>
          </cell>
          <cell r="C18">
            <v>0.124</v>
          </cell>
          <cell r="D18">
            <v>6.9699999999999998E-2</v>
          </cell>
          <cell r="E18">
            <v>0.19700000000000001</v>
          </cell>
          <cell r="F18">
            <v>0.123</v>
          </cell>
          <cell r="G18">
            <v>6.1899999999999997E-2</v>
          </cell>
          <cell r="H18">
            <v>5.3699999999999998E-2</v>
          </cell>
          <cell r="I18">
            <v>3.9399999999999998E-2</v>
          </cell>
          <cell r="J18">
            <v>5.21E-2</v>
          </cell>
          <cell r="K18">
            <v>5.3100000000000001E-2</v>
          </cell>
          <cell r="L18">
            <v>0.12820000000000001</v>
          </cell>
          <cell r="M18">
            <v>7.1499999999999994E-2</v>
          </cell>
        </row>
        <row r="19">
          <cell r="A19" t="str">
            <v>Russell 3000 Growth</v>
          </cell>
          <cell r="B19">
            <v>3.3500000000000002E-2</v>
          </cell>
          <cell r="C19">
            <v>0.1699</v>
          </cell>
          <cell r="D19">
            <v>7.5899999999999995E-2</v>
          </cell>
          <cell r="E19">
            <v>9.06E-2</v>
          </cell>
          <cell r="F19">
            <v>0.16830000000000001</v>
          </cell>
          <cell r="G19">
            <v>1.3100000000000001E-2</v>
          </cell>
          <cell r="H19">
            <v>5.0500000000000003E-2</v>
          </cell>
          <cell r="I19">
            <v>2.4E-2</v>
          </cell>
          <cell r="J19">
            <v>6.9800000000000001E-2</v>
          </cell>
          <cell r="K19">
            <v>7.1300000000000002E-2</v>
          </cell>
          <cell r="L19">
            <v>0.21279999999999999</v>
          </cell>
          <cell r="M19">
            <v>2.0400000000000001E-2</v>
          </cell>
        </row>
        <row r="20">
          <cell r="A20" t="str">
            <v>Russell 3000 Value</v>
          </cell>
          <cell r="B20">
            <v>1.8700000000000001E-2</v>
          </cell>
          <cell r="C20">
            <v>7.51E-2</v>
          </cell>
          <cell r="D20">
            <v>6.3100000000000003E-2</v>
          </cell>
          <cell r="E20">
            <v>0.31009999999999999</v>
          </cell>
          <cell r="F20">
            <v>7.4899999999999994E-2</v>
          </cell>
          <cell r="G20">
            <v>0.1138</v>
          </cell>
          <cell r="H20">
            <v>5.7000000000000002E-2</v>
          </cell>
          <cell r="I20">
            <v>5.5800000000000002E-2</v>
          </cell>
          <cell r="J20">
            <v>3.3399999999999999E-2</v>
          </cell>
          <cell r="K20">
            <v>3.3799999999999997E-2</v>
          </cell>
          <cell r="L20">
            <v>3.8300000000000001E-2</v>
          </cell>
          <cell r="M20">
            <v>0.12590000000000001</v>
          </cell>
        </row>
        <row r="21">
          <cell r="A21" t="str">
            <v>Russell 200</v>
          </cell>
          <cell r="B21">
            <v>1.9699999999999999E-2</v>
          </cell>
          <cell r="C21">
            <v>0.10580000000000001</v>
          </cell>
          <cell r="D21">
            <v>8.5300000000000001E-2</v>
          </cell>
          <cell r="E21">
            <v>0.19239999999999999</v>
          </cell>
          <cell r="F21">
            <v>0.1394</v>
          </cell>
          <cell r="G21">
            <v>8.9700000000000002E-2</v>
          </cell>
          <cell r="H21">
            <v>3.3599999999999998E-2</v>
          </cell>
          <cell r="I21">
            <v>5.1299999999999998E-2</v>
          </cell>
          <cell r="J21">
            <v>3.5700000000000003E-2</v>
          </cell>
          <cell r="K21">
            <v>4.3099999999999999E-2</v>
          </cell>
          <cell r="L21">
            <v>0.13780000000000001</v>
          </cell>
          <cell r="M21">
            <v>6.6100000000000006E-2</v>
          </cell>
        </row>
        <row r="22">
          <cell r="A22" t="str">
            <v>Russell 200 Growth</v>
          </cell>
          <cell r="B22">
            <v>3.1E-2</v>
          </cell>
          <cell r="C22">
            <v>0.15379999999999999</v>
          </cell>
          <cell r="D22">
            <v>0.10340000000000001</v>
          </cell>
          <cell r="E22">
            <v>7.3800000000000004E-2</v>
          </cell>
          <cell r="F22">
            <v>0.18360000000000001</v>
          </cell>
          <cell r="G22">
            <v>2.0400000000000001E-2</v>
          </cell>
          <cell r="H22">
            <v>2.9000000000000001E-2</v>
          </cell>
          <cell r="I22">
            <v>3.0800000000000001E-2</v>
          </cell>
          <cell r="J22">
            <v>4.6899999999999997E-2</v>
          </cell>
          <cell r="K22">
            <v>6.3100000000000003E-2</v>
          </cell>
          <cell r="L22">
            <v>0.25290000000000001</v>
          </cell>
          <cell r="M22">
            <v>1.15E-2</v>
          </cell>
        </row>
        <row r="23">
          <cell r="A23" t="str">
            <v>Russell 200 Value</v>
          </cell>
          <cell r="B23">
            <v>8.6999999999999994E-3</v>
          </cell>
          <cell r="C23">
            <v>5.91E-2</v>
          </cell>
          <cell r="D23">
            <v>6.7699999999999996E-2</v>
          </cell>
          <cell r="E23">
            <v>0.30790000000000001</v>
          </cell>
          <cell r="F23">
            <v>9.6299999999999997E-2</v>
          </cell>
          <cell r="G23">
            <v>0.15720000000000001</v>
          </cell>
          <cell r="H23">
            <v>3.8100000000000002E-2</v>
          </cell>
          <cell r="I23">
            <v>7.1300000000000002E-2</v>
          </cell>
          <cell r="J23">
            <v>2.4899999999999999E-2</v>
          </cell>
          <cell r="K23">
            <v>2.3699999999999999E-2</v>
          </cell>
          <cell r="L23">
            <v>2.5600000000000001E-2</v>
          </cell>
          <cell r="M23">
            <v>0.1193</v>
          </cell>
        </row>
        <row r="24">
          <cell r="A24" t="str">
            <v>Russell Mid Cap</v>
          </cell>
          <cell r="B24">
            <v>3.9300000000000002E-2</v>
          </cell>
          <cell r="C24">
            <v>0.1552</v>
          </cell>
          <cell r="D24">
            <v>4.4400000000000002E-2</v>
          </cell>
          <cell r="E24">
            <v>0.2026</v>
          </cell>
          <cell r="F24">
            <v>7.8200000000000006E-2</v>
          </cell>
          <cell r="G24">
            <v>9.9000000000000008E-3</v>
          </cell>
          <cell r="H24">
            <v>9.0399999999999994E-2</v>
          </cell>
          <cell r="I24">
            <v>1.9E-2</v>
          </cell>
          <cell r="J24">
            <v>9.1300000000000006E-2</v>
          </cell>
          <cell r="K24">
            <v>7.3200000000000001E-2</v>
          </cell>
          <cell r="L24">
            <v>0.1026</v>
          </cell>
          <cell r="M24">
            <v>9.3700000000000006E-2</v>
          </cell>
        </row>
        <row r="25">
          <cell r="A25" t="str">
            <v>Russell Mid Cap Growth</v>
          </cell>
          <cell r="B25">
            <v>3.9100000000000003E-2</v>
          </cell>
          <cell r="C25">
            <v>0.19400000000000001</v>
          </cell>
          <cell r="D25">
            <v>3.3099999999999997E-2</v>
          </cell>
          <cell r="E25">
            <v>0.12379999999999999</v>
          </cell>
          <cell r="F25">
            <v>0.1239</v>
          </cell>
          <cell r="G25">
            <v>0</v>
          </cell>
          <cell r="H25">
            <v>8.8400000000000006E-2</v>
          </cell>
          <cell r="I25">
            <v>1.32E-2</v>
          </cell>
          <cell r="J25">
            <v>0.1205</v>
          </cell>
          <cell r="K25">
            <v>8.6400000000000005E-2</v>
          </cell>
          <cell r="L25">
            <v>0.1361</v>
          </cell>
          <cell r="M25">
            <v>4.1399999999999999E-2</v>
          </cell>
        </row>
        <row r="26">
          <cell r="A26" t="str">
            <v>Russell Mid Cap Value</v>
          </cell>
          <cell r="B26">
            <v>3.9600000000000003E-2</v>
          </cell>
          <cell r="C26">
            <v>0.10390000000000001</v>
          </cell>
          <cell r="D26">
            <v>5.9400000000000001E-2</v>
          </cell>
          <cell r="E26">
            <v>0.30669999999999997</v>
          </cell>
          <cell r="F26">
            <v>1.78E-2</v>
          </cell>
          <cell r="G26">
            <v>2.3099999999999999E-2</v>
          </cell>
          <cell r="H26">
            <v>9.3100000000000002E-2</v>
          </cell>
          <cell r="I26">
            <v>2.6700000000000002E-2</v>
          </cell>
          <cell r="J26">
            <v>5.28E-2</v>
          </cell>
          <cell r="K26">
            <v>5.5800000000000002E-2</v>
          </cell>
          <cell r="L26">
            <v>5.8299999999999998E-2</v>
          </cell>
          <cell r="M26">
            <v>0.16289999999999999</v>
          </cell>
        </row>
        <row r="27">
          <cell r="A27" t="str">
            <v>Russell 2500</v>
          </cell>
          <cell r="B27">
            <v>4.1500000000000002E-2</v>
          </cell>
          <cell r="C27">
            <v>0.16600000000000001</v>
          </cell>
          <cell r="D27">
            <v>2.29E-2</v>
          </cell>
          <cell r="E27">
            <v>0.21679999999999999</v>
          </cell>
          <cell r="F27">
            <v>0.1166</v>
          </cell>
          <cell r="G27">
            <v>6.9999999999999999E-4</v>
          </cell>
          <cell r="H27">
            <v>0.1134</v>
          </cell>
          <cell r="I27">
            <v>9.9000000000000008E-3</v>
          </cell>
          <cell r="J27">
            <v>6.3E-2</v>
          </cell>
          <cell r="K27">
            <v>7.3700000000000002E-2</v>
          </cell>
          <cell r="L27">
            <v>0.1111</v>
          </cell>
          <cell r="M27">
            <v>6.4399999999999999E-2</v>
          </cell>
        </row>
        <row r="28">
          <cell r="A28" t="str">
            <v>Russell 2500 Growth</v>
          </cell>
          <cell r="B28">
            <v>4.4499999999999998E-2</v>
          </cell>
          <cell r="C28">
            <v>0.21299999999999999</v>
          </cell>
          <cell r="D28">
            <v>1.43E-2</v>
          </cell>
          <cell r="E28">
            <v>0.1153</v>
          </cell>
          <cell r="F28">
            <v>0.17610000000000001</v>
          </cell>
          <cell r="G28">
            <v>1.1000000000000001E-3</v>
          </cell>
          <cell r="H28">
            <v>0.1036</v>
          </cell>
          <cell r="I28">
            <v>6.0000000000000001E-3</v>
          </cell>
          <cell r="J28">
            <v>7.4200000000000002E-2</v>
          </cell>
          <cell r="K28">
            <v>9.35E-2</v>
          </cell>
          <cell r="L28">
            <v>0.1416</v>
          </cell>
          <cell r="M28">
            <v>1.6899999999999998E-2</v>
          </cell>
        </row>
        <row r="29">
          <cell r="A29" t="str">
            <v>Russell 2500 Value</v>
          </cell>
          <cell r="B29">
            <v>3.7900000000000003E-2</v>
          </cell>
          <cell r="C29">
            <v>0.1103</v>
          </cell>
          <cell r="D29">
            <v>3.3099999999999997E-2</v>
          </cell>
          <cell r="E29">
            <v>0.3372</v>
          </cell>
          <cell r="F29">
            <v>4.6100000000000002E-2</v>
          </cell>
          <cell r="G29">
            <v>2.0000000000000001E-4</v>
          </cell>
          <cell r="H29">
            <v>0.12509999999999999</v>
          </cell>
          <cell r="I29">
            <v>1.44E-2</v>
          </cell>
          <cell r="J29">
            <v>4.9799999999999997E-2</v>
          </cell>
          <cell r="K29">
            <v>5.0299999999999997E-2</v>
          </cell>
          <cell r="L29">
            <v>7.4899999999999994E-2</v>
          </cell>
          <cell r="M29">
            <v>0.1207</v>
          </cell>
        </row>
      </sheetData>
      <sheetData sheetId="20" refreshError="1">
        <row r="1">
          <cell r="A1" t="str">
            <v>S&amp;P 500 Large Cap</v>
          </cell>
          <cell r="B1">
            <v>12050907</v>
          </cell>
          <cell r="C1">
            <v>0.84909999999999997</v>
          </cell>
          <cell r="D1">
            <v>0.15090000000000001</v>
          </cell>
          <cell r="E1">
            <v>0</v>
          </cell>
          <cell r="F1">
            <v>96942</v>
          </cell>
          <cell r="G1">
            <v>24102</v>
          </cell>
          <cell r="H1">
            <v>11014</v>
          </cell>
          <cell r="I1">
            <v>472057</v>
          </cell>
          <cell r="J1">
            <v>917</v>
          </cell>
          <cell r="K1">
            <v>0.1991</v>
          </cell>
          <cell r="L1">
            <v>0.49590000000000001</v>
          </cell>
          <cell r="M1">
            <v>0.65400000000000003</v>
          </cell>
        </row>
        <row r="2">
          <cell r="A2" t="str">
            <v>S&amp;P 500 Citigroup Growth</v>
          </cell>
          <cell r="B2">
            <v>6042242</v>
          </cell>
          <cell r="C2">
            <v>0.75080000000000002</v>
          </cell>
          <cell r="D2">
            <v>0.2492</v>
          </cell>
          <cell r="E2">
            <v>0</v>
          </cell>
          <cell r="F2">
            <v>94544</v>
          </cell>
          <cell r="G2">
            <v>20074</v>
          </cell>
          <cell r="H2">
            <v>9699</v>
          </cell>
          <cell r="I2">
            <v>472057</v>
          </cell>
          <cell r="J2">
            <v>525</v>
          </cell>
          <cell r="K2">
            <v>0.29680000000000001</v>
          </cell>
          <cell r="L2">
            <v>0.61270000000000002</v>
          </cell>
          <cell r="M2">
            <v>0.77659999999999996</v>
          </cell>
        </row>
        <row r="3">
          <cell r="A3" t="str">
            <v>S&amp;P 500 Citigroup Value</v>
          </cell>
          <cell r="B3">
            <v>6008665</v>
          </cell>
          <cell r="C3">
            <v>0.94799999999999995</v>
          </cell>
          <cell r="D3">
            <v>5.1999999999999998E-2</v>
          </cell>
          <cell r="E3">
            <v>0</v>
          </cell>
          <cell r="F3">
            <v>77172</v>
          </cell>
          <cell r="G3">
            <v>17119</v>
          </cell>
          <cell r="H3">
            <v>7913</v>
          </cell>
          <cell r="I3">
            <v>357356</v>
          </cell>
          <cell r="J3">
            <v>606</v>
          </cell>
          <cell r="K3">
            <v>0.28439999999999999</v>
          </cell>
          <cell r="L3">
            <v>0.56879999999999997</v>
          </cell>
          <cell r="M3">
            <v>0.73780000000000001</v>
          </cell>
        </row>
        <row r="4">
          <cell r="A4" t="str">
            <v>S&amp;P 600 Small Cap</v>
          </cell>
          <cell r="B4">
            <v>496663</v>
          </cell>
          <cell r="C4">
            <v>0.53120000000000001</v>
          </cell>
          <cell r="D4">
            <v>0.46479999999999999</v>
          </cell>
          <cell r="E4">
            <v>4.0000000000000001E-3</v>
          </cell>
          <cell r="F4">
            <v>1392</v>
          </cell>
          <cell r="G4">
            <v>828</v>
          </cell>
          <cell r="H4">
            <v>646</v>
          </cell>
          <cell r="I4">
            <v>4851</v>
          </cell>
          <cell r="J4">
            <v>59</v>
          </cell>
          <cell r="K4">
            <v>7.46E-2</v>
          </cell>
          <cell r="L4">
            <v>0.25419999999999998</v>
          </cell>
          <cell r="M4">
            <v>0.40799999999999997</v>
          </cell>
        </row>
        <row r="5">
          <cell r="A5" t="str">
            <v>S&amp;P 600 Citigroup Growth</v>
          </cell>
          <cell r="B5">
            <v>244723</v>
          </cell>
          <cell r="C5">
            <v>0.43859999999999999</v>
          </cell>
          <cell r="D5">
            <v>0.55900000000000005</v>
          </cell>
          <cell r="E5">
            <v>2.3999999999999998E-3</v>
          </cell>
          <cell r="F5">
            <v>1408</v>
          </cell>
          <cell r="G5">
            <v>720</v>
          </cell>
          <cell r="H5">
            <v>481</v>
          </cell>
          <cell r="I5">
            <v>4851</v>
          </cell>
          <cell r="J5">
            <v>23</v>
          </cell>
          <cell r="K5">
            <v>0.14219999999999999</v>
          </cell>
          <cell r="L5">
            <v>0.4244</v>
          </cell>
          <cell r="M5">
            <v>0.63039999999999996</v>
          </cell>
        </row>
        <row r="6">
          <cell r="A6" t="str">
            <v>S&amp;P 600 Citigroup Value</v>
          </cell>
          <cell r="B6">
            <v>251941</v>
          </cell>
          <cell r="C6">
            <v>0.62109999999999999</v>
          </cell>
          <cell r="D6">
            <v>0.37340000000000001</v>
          </cell>
          <cell r="E6">
            <v>5.4999999999999997E-3</v>
          </cell>
          <cell r="F6">
            <v>949</v>
          </cell>
          <cell r="G6">
            <v>560</v>
          </cell>
          <cell r="H6">
            <v>439</v>
          </cell>
          <cell r="I6">
            <v>3258</v>
          </cell>
          <cell r="J6">
            <v>25</v>
          </cell>
          <cell r="K6">
            <v>9.8900000000000002E-2</v>
          </cell>
          <cell r="L6">
            <v>0.31219999999999998</v>
          </cell>
          <cell r="M6">
            <v>0.49159999999999998</v>
          </cell>
        </row>
        <row r="7">
          <cell r="A7" t="str">
            <v>S&amp;P 400 Mid Cap</v>
          </cell>
          <cell r="B7">
            <v>1054946</v>
          </cell>
          <cell r="C7">
            <v>0.75190000000000001</v>
          </cell>
          <cell r="D7">
            <v>0.24279999999999999</v>
          </cell>
          <cell r="E7">
            <v>5.3E-3</v>
          </cell>
          <cell r="F7">
            <v>3624</v>
          </cell>
          <cell r="G7">
            <v>2637</v>
          </cell>
          <cell r="H7">
            <v>2366</v>
          </cell>
          <cell r="I7">
            <v>9705</v>
          </cell>
          <cell r="J7">
            <v>326</v>
          </cell>
          <cell r="K7">
            <v>7.2099999999999997E-2</v>
          </cell>
          <cell r="L7">
            <v>0.2742</v>
          </cell>
          <cell r="M7">
            <v>0.46310000000000001</v>
          </cell>
        </row>
        <row r="8">
          <cell r="A8" t="str">
            <v>S&amp;P 400 Citigroup Growth</v>
          </cell>
          <cell r="B8">
            <v>514845</v>
          </cell>
          <cell r="C8">
            <v>0.65969999999999995</v>
          </cell>
          <cell r="D8">
            <v>0.34029999999999999</v>
          </cell>
          <cell r="E8">
            <v>0</v>
          </cell>
          <cell r="F8">
            <v>3535</v>
          </cell>
          <cell r="G8">
            <v>2191</v>
          </cell>
          <cell r="H8">
            <v>1705</v>
          </cell>
          <cell r="I8">
            <v>9705</v>
          </cell>
          <cell r="J8">
            <v>168</v>
          </cell>
          <cell r="K8">
            <v>0.14380000000000001</v>
          </cell>
          <cell r="L8">
            <v>0.47270000000000001</v>
          </cell>
          <cell r="M8">
            <v>0.72150000000000003</v>
          </cell>
        </row>
        <row r="9">
          <cell r="A9" t="str">
            <v>S&amp;P 400 Citigroup Value</v>
          </cell>
          <cell r="B9">
            <v>540101</v>
          </cell>
          <cell r="C9">
            <v>0.83979999999999999</v>
          </cell>
          <cell r="D9">
            <v>0.14990000000000001</v>
          </cell>
          <cell r="E9">
            <v>1.04E-2</v>
          </cell>
          <cell r="F9">
            <v>2590</v>
          </cell>
          <cell r="G9">
            <v>1831</v>
          </cell>
          <cell r="H9">
            <v>1521</v>
          </cell>
          <cell r="I9">
            <v>6425</v>
          </cell>
          <cell r="J9">
            <v>158</v>
          </cell>
          <cell r="K9">
            <v>9.7600000000000006E-2</v>
          </cell>
          <cell r="L9">
            <v>0.3584</v>
          </cell>
          <cell r="M9">
            <v>0.58940000000000003</v>
          </cell>
        </row>
        <row r="10">
          <cell r="A10" t="str">
            <v>Russell 1000</v>
          </cell>
          <cell r="B10">
            <v>13806997</v>
          </cell>
          <cell r="C10">
            <v>0.83730000000000004</v>
          </cell>
          <cell r="D10">
            <v>0.16209999999999999</v>
          </cell>
          <cell r="E10">
            <v>5.9999999999999995E-4</v>
          </cell>
          <cell r="F10">
            <v>87392</v>
          </cell>
          <cell r="G10">
            <v>13821</v>
          </cell>
          <cell r="H10">
            <v>4745</v>
          </cell>
          <cell r="I10">
            <v>486715</v>
          </cell>
          <cell r="J10">
            <v>270</v>
          </cell>
          <cell r="K10">
            <v>0.17710000000000001</v>
          </cell>
          <cell r="L10">
            <v>0.43519999999999998</v>
          </cell>
          <cell r="M10">
            <v>0.57369999999999999</v>
          </cell>
        </row>
        <row r="11">
          <cell r="A11" t="str">
            <v>Russell 1000 Growth</v>
          </cell>
          <cell r="B11">
            <v>7108056</v>
          </cell>
          <cell r="C11">
            <v>0.72260000000000002</v>
          </cell>
          <cell r="D11">
            <v>0.27679999999999999</v>
          </cell>
          <cell r="E11">
            <v>5.9999999999999995E-4</v>
          </cell>
          <cell r="F11">
            <v>51349</v>
          </cell>
          <cell r="G11">
            <v>10316</v>
          </cell>
          <cell r="H11">
            <v>3740</v>
          </cell>
          <cell r="I11">
            <v>267591</v>
          </cell>
          <cell r="J11">
            <v>94</v>
          </cell>
          <cell r="K11">
            <v>0.1857</v>
          </cell>
          <cell r="L11">
            <v>0.47660000000000002</v>
          </cell>
          <cell r="M11">
            <v>0.63870000000000005</v>
          </cell>
        </row>
        <row r="12">
          <cell r="A12" t="str">
            <v>Russell 1000 Value</v>
          </cell>
          <cell r="B12">
            <v>6698941</v>
          </cell>
          <cell r="C12">
            <v>0.95899999999999996</v>
          </cell>
          <cell r="D12">
            <v>4.0399999999999998E-2</v>
          </cell>
          <cell r="E12">
            <v>5.9999999999999995E-4</v>
          </cell>
          <cell r="F12">
            <v>93679</v>
          </cell>
          <cell r="G12">
            <v>10857</v>
          </cell>
          <cell r="H12">
            <v>3146</v>
          </cell>
          <cell r="I12">
            <v>387425</v>
          </cell>
          <cell r="J12">
            <v>67</v>
          </cell>
          <cell r="K12">
            <v>0.30509999999999998</v>
          </cell>
          <cell r="L12">
            <v>0.5776</v>
          </cell>
          <cell r="M12">
            <v>0.72109999999999996</v>
          </cell>
        </row>
        <row r="13">
          <cell r="A13" t="str">
            <v>Russell 2000</v>
          </cell>
          <cell r="B13">
            <v>1182429</v>
          </cell>
          <cell r="C13">
            <v>0.45590000000000003</v>
          </cell>
          <cell r="D13">
            <v>0.52359999999999995</v>
          </cell>
          <cell r="E13">
            <v>1.9400000000000001E-2</v>
          </cell>
          <cell r="F13">
            <v>1195</v>
          </cell>
          <cell r="G13">
            <v>616</v>
          </cell>
          <cell r="H13">
            <v>408</v>
          </cell>
          <cell r="I13">
            <v>7874</v>
          </cell>
          <cell r="J13">
            <v>7</v>
          </cell>
          <cell r="K13">
            <v>3.6999999999999998E-2</v>
          </cell>
          <cell r="L13">
            <v>0.12089999999999999</v>
          </cell>
          <cell r="M13">
            <v>0.2006</v>
          </cell>
        </row>
        <row r="14">
          <cell r="A14" t="str">
            <v>Russell 2000 Growth</v>
          </cell>
          <cell r="B14">
            <v>615508</v>
          </cell>
          <cell r="C14">
            <v>0.34599999999999997</v>
          </cell>
          <cell r="D14">
            <v>0.63419999999999999</v>
          </cell>
          <cell r="E14">
            <v>1.8100000000000002E-2</v>
          </cell>
          <cell r="F14">
            <v>1203</v>
          </cell>
          <cell r="G14">
            <v>487</v>
          </cell>
          <cell r="H14">
            <v>282</v>
          </cell>
          <cell r="I14">
            <v>7874</v>
          </cell>
          <cell r="J14">
            <v>1</v>
          </cell>
          <cell r="K14">
            <v>6.4600000000000005E-2</v>
          </cell>
          <cell r="L14">
            <v>0.20519999999999999</v>
          </cell>
          <cell r="M14">
            <v>0.3236</v>
          </cell>
        </row>
        <row r="15">
          <cell r="A15" t="str">
            <v>Russell 2000 Value</v>
          </cell>
          <cell r="B15">
            <v>566921</v>
          </cell>
          <cell r="C15">
            <v>0.57520000000000004</v>
          </cell>
          <cell r="D15">
            <v>0.40339999999999998</v>
          </cell>
          <cell r="E15">
            <v>2.07E-2</v>
          </cell>
          <cell r="F15">
            <v>924</v>
          </cell>
          <cell r="G15">
            <v>438</v>
          </cell>
          <cell r="H15">
            <v>278</v>
          </cell>
          <cell r="I15">
            <v>5335</v>
          </cell>
          <cell r="J15">
            <v>4</v>
          </cell>
          <cell r="K15">
            <v>5.0799999999999998E-2</v>
          </cell>
          <cell r="L15">
            <v>0.1686</v>
          </cell>
          <cell r="M15">
            <v>0.28110000000000002</v>
          </cell>
        </row>
        <row r="16">
          <cell r="A16" t="str">
            <v>Russell 3000</v>
          </cell>
          <cell r="B16">
            <v>14989426</v>
          </cell>
          <cell r="C16">
            <v>0.80720000000000003</v>
          </cell>
          <cell r="D16">
            <v>0.19059999999999999</v>
          </cell>
          <cell r="E16">
            <v>2.0999999999999999E-3</v>
          </cell>
          <cell r="F16">
            <v>80593</v>
          </cell>
          <cell r="G16">
            <v>5139</v>
          </cell>
          <cell r="H16">
            <v>823</v>
          </cell>
          <cell r="I16">
            <v>486715</v>
          </cell>
          <cell r="J16">
            <v>7</v>
          </cell>
          <cell r="K16">
            <v>0.16309999999999999</v>
          </cell>
          <cell r="L16">
            <v>0.40079999999999999</v>
          </cell>
          <cell r="M16">
            <v>0.52849999999999997</v>
          </cell>
        </row>
        <row r="17">
          <cell r="A17" t="str">
            <v>Russell 3000 Growth</v>
          </cell>
          <cell r="B17">
            <v>7723564</v>
          </cell>
          <cell r="C17">
            <v>0.69259999999999999</v>
          </cell>
          <cell r="D17">
            <v>0.30530000000000002</v>
          </cell>
          <cell r="E17">
            <v>2E-3</v>
          </cell>
          <cell r="F17">
            <v>47352</v>
          </cell>
          <cell r="G17">
            <v>3957</v>
          </cell>
          <cell r="H17">
            <v>587</v>
          </cell>
          <cell r="I17">
            <v>267591</v>
          </cell>
          <cell r="J17">
            <v>1</v>
          </cell>
          <cell r="K17">
            <v>0.1709</v>
          </cell>
          <cell r="L17">
            <v>0.43869999999999998</v>
          </cell>
          <cell r="M17">
            <v>0.58779999999999999</v>
          </cell>
        </row>
        <row r="18">
          <cell r="A18" t="str">
            <v>Russell 3000 Value</v>
          </cell>
          <cell r="B18">
            <v>7265862</v>
          </cell>
          <cell r="C18">
            <v>0.92900000000000005</v>
          </cell>
          <cell r="D18">
            <v>6.8699999999999997E-2</v>
          </cell>
          <cell r="E18">
            <v>2.2000000000000001E-3</v>
          </cell>
          <cell r="F18">
            <v>86441</v>
          </cell>
          <cell r="G18">
            <v>3804</v>
          </cell>
          <cell r="H18">
            <v>504</v>
          </cell>
          <cell r="I18">
            <v>387425</v>
          </cell>
          <cell r="J18">
            <v>4</v>
          </cell>
          <cell r="K18">
            <v>0.28129999999999999</v>
          </cell>
          <cell r="L18">
            <v>0.53249999999999997</v>
          </cell>
          <cell r="M18">
            <v>0.66479999999999995</v>
          </cell>
        </row>
        <row r="19">
          <cell r="A19" t="str">
            <v>Russell 200</v>
          </cell>
          <cell r="B19">
            <v>9888990</v>
          </cell>
          <cell r="C19">
            <v>0.85019999999999996</v>
          </cell>
          <cell r="D19">
            <v>0.14979999999999999</v>
          </cell>
          <cell r="E19">
            <v>0</v>
          </cell>
          <cell r="F19">
            <v>118829</v>
          </cell>
          <cell r="G19">
            <v>48239</v>
          </cell>
          <cell r="H19">
            <v>28707</v>
          </cell>
          <cell r="I19">
            <v>486715</v>
          </cell>
          <cell r="J19">
            <v>2154</v>
          </cell>
          <cell r="K19">
            <v>0.2472</v>
          </cell>
          <cell r="L19">
            <v>0.60760000000000003</v>
          </cell>
          <cell r="M19">
            <v>0.80110000000000003</v>
          </cell>
        </row>
        <row r="20">
          <cell r="A20" t="str">
            <v>Russell 200 Growth</v>
          </cell>
          <cell r="B20">
            <v>4878242</v>
          </cell>
          <cell r="C20">
            <v>0.71840000000000004</v>
          </cell>
          <cell r="D20">
            <v>0.28160000000000002</v>
          </cell>
          <cell r="E20">
            <v>0</v>
          </cell>
          <cell r="F20">
            <v>71393</v>
          </cell>
          <cell r="G20">
            <v>34114</v>
          </cell>
          <cell r="H20">
            <v>23137</v>
          </cell>
          <cell r="I20">
            <v>267591</v>
          </cell>
          <cell r="J20">
            <v>476</v>
          </cell>
          <cell r="K20">
            <v>0.27060000000000001</v>
          </cell>
          <cell r="L20">
            <v>0.69450000000000001</v>
          </cell>
          <cell r="M20">
            <v>0.92800000000000005</v>
          </cell>
        </row>
        <row r="21">
          <cell r="A21" t="str">
            <v>Russell 200 Value</v>
          </cell>
          <cell r="B21">
            <v>5010748</v>
          </cell>
          <cell r="C21">
            <v>0.97850000000000004</v>
          </cell>
          <cell r="D21">
            <v>2.1499999999999998E-2</v>
          </cell>
          <cell r="E21">
            <v>0</v>
          </cell>
          <cell r="F21">
            <v>122974</v>
          </cell>
          <cell r="G21">
            <v>37675</v>
          </cell>
          <cell r="H21">
            <v>21361</v>
          </cell>
          <cell r="I21">
            <v>387425</v>
          </cell>
          <cell r="J21">
            <v>383</v>
          </cell>
          <cell r="K21">
            <v>0.4078</v>
          </cell>
          <cell r="L21">
            <v>0.7722</v>
          </cell>
          <cell r="M21">
            <v>0.95760000000000001</v>
          </cell>
        </row>
        <row r="22">
          <cell r="A22" t="str">
            <v>Russell Mid Cap</v>
          </cell>
          <cell r="B22">
            <v>3918007</v>
          </cell>
          <cell r="C22">
            <v>0.80469999999999997</v>
          </cell>
          <cell r="D22">
            <v>0.19320000000000001</v>
          </cell>
          <cell r="E22">
            <v>2.0999999999999999E-3</v>
          </cell>
          <cell r="F22">
            <v>8046</v>
          </cell>
          <cell r="G22">
            <v>4935</v>
          </cell>
          <cell r="H22">
            <v>3606</v>
          </cell>
          <cell r="I22">
            <v>25160</v>
          </cell>
          <cell r="J22">
            <v>270</v>
          </cell>
          <cell r="K22">
            <v>5.1400000000000001E-2</v>
          </cell>
          <cell r="L22">
            <v>0.20030000000000001</v>
          </cell>
          <cell r="M22">
            <v>0.33850000000000002</v>
          </cell>
        </row>
        <row r="23">
          <cell r="A23" t="str">
            <v>Russell Mid Cap Growth</v>
          </cell>
          <cell r="B23">
            <v>2229814</v>
          </cell>
          <cell r="C23">
            <v>0.7319</v>
          </cell>
          <cell r="D23">
            <v>0.26629999999999998</v>
          </cell>
          <cell r="E23">
            <v>1.8E-3</v>
          </cell>
          <cell r="F23">
            <v>7498</v>
          </cell>
          <cell r="G23">
            <v>4084</v>
          </cell>
          <cell r="H23">
            <v>2949</v>
          </cell>
          <cell r="I23">
            <v>21385</v>
          </cell>
          <cell r="J23">
            <v>94</v>
          </cell>
          <cell r="K23">
            <v>7.8600000000000003E-2</v>
          </cell>
          <cell r="L23">
            <v>0.29409999999999997</v>
          </cell>
          <cell r="M23">
            <v>0.47470000000000001</v>
          </cell>
        </row>
        <row r="24">
          <cell r="A24" t="str">
            <v>Russell Mid Cap Value</v>
          </cell>
          <cell r="B24">
            <v>1688193</v>
          </cell>
          <cell r="C24">
            <v>0.90080000000000005</v>
          </cell>
          <cell r="D24">
            <v>9.6600000000000005E-2</v>
          </cell>
          <cell r="E24">
            <v>2.5999999999999999E-3</v>
          </cell>
          <cell r="F24">
            <v>6727</v>
          </cell>
          <cell r="G24">
            <v>3488</v>
          </cell>
          <cell r="H24">
            <v>2394</v>
          </cell>
          <cell r="I24">
            <v>25160</v>
          </cell>
          <cell r="J24">
            <v>67</v>
          </cell>
          <cell r="K24">
            <v>9.7100000000000006E-2</v>
          </cell>
          <cell r="L24">
            <v>0.34089999999999998</v>
          </cell>
          <cell r="M24">
            <v>0.52349999999999997</v>
          </cell>
        </row>
        <row r="25">
          <cell r="A25" t="str">
            <v>Russell 2500</v>
          </cell>
          <cell r="B25">
            <v>2630842</v>
          </cell>
          <cell r="C25">
            <v>0.63019999999999998</v>
          </cell>
          <cell r="D25">
            <v>0.35780000000000001</v>
          </cell>
          <cell r="E25">
            <v>1.14E-2</v>
          </cell>
          <cell r="F25">
            <v>2571</v>
          </cell>
          <cell r="G25">
            <v>1088</v>
          </cell>
          <cell r="H25">
            <v>579</v>
          </cell>
          <cell r="I25">
            <v>9517</v>
          </cell>
          <cell r="J25">
            <v>7</v>
          </cell>
          <cell r="K25">
            <v>3.04E-2</v>
          </cell>
          <cell r="L25">
            <v>0.11650000000000001</v>
          </cell>
          <cell r="M25">
            <v>0.2021</v>
          </cell>
        </row>
        <row r="26">
          <cell r="A26" t="str">
            <v>Russell 2500 Growth</v>
          </cell>
          <cell r="B26">
            <v>1427085</v>
          </cell>
          <cell r="C26">
            <v>0.54569999999999996</v>
          </cell>
          <cell r="D26">
            <v>0.44319999999999998</v>
          </cell>
          <cell r="E26">
            <v>1.04E-2</v>
          </cell>
          <cell r="F26">
            <v>2579</v>
          </cell>
          <cell r="G26">
            <v>892</v>
          </cell>
          <cell r="H26">
            <v>388</v>
          </cell>
          <cell r="I26">
            <v>9517</v>
          </cell>
          <cell r="J26">
            <v>1</v>
          </cell>
          <cell r="K26">
            <v>5.4699999999999999E-2</v>
          </cell>
          <cell r="L26">
            <v>0.19600000000000001</v>
          </cell>
          <cell r="M26">
            <v>0.32129999999999997</v>
          </cell>
        </row>
        <row r="27">
          <cell r="A27" t="str">
            <v>Russell 2500 Value</v>
          </cell>
          <cell r="B27">
            <v>1203757</v>
          </cell>
          <cell r="C27">
            <v>0.73040000000000005</v>
          </cell>
          <cell r="D27">
            <v>0.25659999999999999</v>
          </cell>
          <cell r="E27">
            <v>1.2699999999999999E-2</v>
          </cell>
          <cell r="F27">
            <v>1982</v>
          </cell>
          <cell r="G27">
            <v>751</v>
          </cell>
          <cell r="H27">
            <v>374</v>
          </cell>
          <cell r="I27">
            <v>7920</v>
          </cell>
          <cell r="J27">
            <v>4</v>
          </cell>
          <cell r="K27">
            <v>4.8599999999999997E-2</v>
          </cell>
          <cell r="L27">
            <v>0.1817</v>
          </cell>
          <cell r="M27">
            <v>0.30309999999999998</v>
          </cell>
        </row>
      </sheetData>
      <sheetData sheetId="21" refreshError="1">
        <row r="1">
          <cell r="A1" t="str">
            <v>S&amp;P 500 Large Cap</v>
          </cell>
          <cell r="B1">
            <v>0.54400000000000004</v>
          </cell>
          <cell r="C1">
            <v>0.37</v>
          </cell>
          <cell r="D1">
            <v>7.5999999999999998E-2</v>
          </cell>
          <cell r="E1">
            <v>0.01</v>
          </cell>
          <cell r="F1">
            <v>0</v>
          </cell>
          <cell r="G1">
            <v>0.89659999999999995</v>
          </cell>
          <cell r="H1">
            <v>9.5600000000000004E-2</v>
          </cell>
          <cell r="I1">
            <v>7.3000000000000001E-3</v>
          </cell>
          <cell r="J1">
            <v>5.0000000000000001E-4</v>
          </cell>
          <cell r="K1">
            <v>0</v>
          </cell>
        </row>
        <row r="2">
          <cell r="A2" t="str">
            <v>S&amp;P 500 Citigroup Growth</v>
          </cell>
          <cell r="B2">
            <v>0.48170000000000002</v>
          </cell>
          <cell r="C2">
            <v>0.40200000000000002</v>
          </cell>
          <cell r="D2">
            <v>7.3099999999999998E-2</v>
          </cell>
          <cell r="E2">
            <v>3.6499999999999998E-2</v>
          </cell>
          <cell r="F2">
            <v>6.6E-3</v>
          </cell>
          <cell r="G2">
            <v>0.86780000000000002</v>
          </cell>
          <cell r="H2">
            <v>0.1216</v>
          </cell>
          <cell r="I2">
            <v>8.3999999999999995E-3</v>
          </cell>
          <cell r="J2">
            <v>2E-3</v>
          </cell>
          <cell r="K2">
            <v>2.0000000000000001E-4</v>
          </cell>
        </row>
        <row r="3">
          <cell r="A3" t="str">
            <v>S&amp;P 500 Citigroup Value</v>
          </cell>
          <cell r="B3">
            <v>0.433</v>
          </cell>
          <cell r="C3">
            <v>0.37040000000000001</v>
          </cell>
          <cell r="D3">
            <v>0.15670000000000001</v>
          </cell>
          <cell r="E3">
            <v>3.6999999999999998E-2</v>
          </cell>
          <cell r="F3">
            <v>2.8E-3</v>
          </cell>
          <cell r="G3">
            <v>0.84789999999999999</v>
          </cell>
          <cell r="H3">
            <v>0.12920000000000001</v>
          </cell>
          <cell r="I3">
            <v>2.01E-2</v>
          </cell>
          <cell r="J3">
            <v>2.5999999999999999E-3</v>
          </cell>
          <cell r="K3">
            <v>1E-4</v>
          </cell>
        </row>
        <row r="4">
          <cell r="A4" t="str">
            <v>S&amp;P 600 Small Cap</v>
          </cell>
          <cell r="B4">
            <v>0</v>
          </cell>
          <cell r="C4">
            <v>1.67E-2</v>
          </cell>
          <cell r="D4">
            <v>0.115</v>
          </cell>
          <cell r="E4">
            <v>0.30330000000000001</v>
          </cell>
          <cell r="F4">
            <v>0.56499999999999995</v>
          </cell>
          <cell r="G4">
            <v>0</v>
          </cell>
          <cell r="H4">
            <v>7.46E-2</v>
          </cell>
          <cell r="I4">
            <v>0.2747</v>
          </cell>
          <cell r="J4">
            <v>0.3846</v>
          </cell>
          <cell r="K4">
            <v>0.2661</v>
          </cell>
        </row>
        <row r="5">
          <cell r="A5" t="str">
            <v>S&amp;P 600 Citigroup Growth</v>
          </cell>
          <cell r="B5">
            <v>0</v>
          </cell>
          <cell r="C5">
            <v>2.35E-2</v>
          </cell>
          <cell r="D5">
            <v>7.9399999999999998E-2</v>
          </cell>
          <cell r="E5">
            <v>0.2147</v>
          </cell>
          <cell r="F5">
            <v>0.68240000000000001</v>
          </cell>
          <cell r="G5">
            <v>0</v>
          </cell>
          <cell r="H5">
            <v>0.11940000000000001</v>
          </cell>
          <cell r="I5">
            <v>0.22170000000000001</v>
          </cell>
          <cell r="J5">
            <v>0.31490000000000001</v>
          </cell>
          <cell r="K5">
            <v>0.34399999999999997</v>
          </cell>
        </row>
        <row r="6">
          <cell r="A6" t="str">
            <v>S&amp;P 600 Citigroup Value</v>
          </cell>
          <cell r="B6">
            <v>0</v>
          </cell>
          <cell r="C6">
            <v>2.2000000000000001E-3</v>
          </cell>
          <cell r="D6">
            <v>4.2200000000000001E-2</v>
          </cell>
          <cell r="E6">
            <v>0.18890000000000001</v>
          </cell>
          <cell r="F6">
            <v>0.76670000000000005</v>
          </cell>
          <cell r="G6">
            <v>0</v>
          </cell>
          <cell r="H6">
            <v>1.29E-2</v>
          </cell>
          <cell r="I6">
            <v>0.15229999999999999</v>
          </cell>
          <cell r="J6">
            <v>0.34160000000000001</v>
          </cell>
          <cell r="K6">
            <v>0.49320000000000003</v>
          </cell>
        </row>
        <row r="7">
          <cell r="A7" t="str">
            <v>S&amp;P 400 Mid Cap</v>
          </cell>
          <cell r="B7">
            <v>0</v>
          </cell>
          <cell r="C7">
            <v>0.34250000000000003</v>
          </cell>
          <cell r="D7">
            <v>0.39</v>
          </cell>
          <cell r="E7">
            <v>0.19500000000000001</v>
          </cell>
          <cell r="F7">
            <v>7.2499999999999995E-2</v>
          </cell>
          <cell r="G7">
            <v>0</v>
          </cell>
          <cell r="H7">
            <v>0.57589999999999997</v>
          </cell>
          <cell r="I7">
            <v>0.32719999999999999</v>
          </cell>
          <cell r="J7">
            <v>8.2100000000000006E-2</v>
          </cell>
          <cell r="K7">
            <v>1.47E-2</v>
          </cell>
        </row>
        <row r="8">
          <cell r="A8" t="str">
            <v>S&amp;P 400 Citigroup Growth</v>
          </cell>
          <cell r="B8">
            <v>0</v>
          </cell>
          <cell r="C8">
            <v>0.24260000000000001</v>
          </cell>
          <cell r="D8">
            <v>0.30640000000000001</v>
          </cell>
          <cell r="E8">
            <v>0.31059999999999999</v>
          </cell>
          <cell r="F8">
            <v>0.1404</v>
          </cell>
          <cell r="G8">
            <v>0</v>
          </cell>
          <cell r="H8">
            <v>0.5151</v>
          </cell>
          <cell r="I8">
            <v>0.30409999999999998</v>
          </cell>
          <cell r="J8">
            <v>0.15010000000000001</v>
          </cell>
          <cell r="K8">
            <v>3.0800000000000001E-2</v>
          </cell>
        </row>
        <row r="9">
          <cell r="A9" t="str">
            <v>S&amp;P 400 Citigroup Value</v>
          </cell>
          <cell r="B9">
            <v>0</v>
          </cell>
          <cell r="C9">
            <v>0.16270000000000001</v>
          </cell>
          <cell r="D9">
            <v>0.3458</v>
          </cell>
          <cell r="E9">
            <v>0.32879999999999998</v>
          </cell>
          <cell r="F9">
            <v>0.16270000000000001</v>
          </cell>
          <cell r="G9">
            <v>0</v>
          </cell>
          <cell r="H9">
            <v>0.34749999999999998</v>
          </cell>
          <cell r="I9">
            <v>0.40760000000000002</v>
          </cell>
          <cell r="J9">
            <v>0.1991</v>
          </cell>
          <cell r="K9">
            <v>4.58E-2</v>
          </cell>
        </row>
        <row r="10">
          <cell r="A10" t="str">
            <v>Russell 1000</v>
          </cell>
          <cell r="B10">
            <v>0.2843</v>
          </cell>
          <cell r="C10">
            <v>0.39439999999999997</v>
          </cell>
          <cell r="D10">
            <v>0.2382</v>
          </cell>
          <cell r="E10">
            <v>5.5100000000000003E-2</v>
          </cell>
          <cell r="F10">
            <v>2.8000000000000001E-2</v>
          </cell>
          <cell r="G10">
            <v>0.79969999999999997</v>
          </cell>
          <cell r="H10">
            <v>0.15570000000000001</v>
          </cell>
          <cell r="I10">
            <v>3.8899999999999997E-2</v>
          </cell>
          <cell r="J10">
            <v>4.5999999999999999E-3</v>
          </cell>
          <cell r="K10">
            <v>1.1000000000000001E-3</v>
          </cell>
        </row>
        <row r="11">
          <cell r="A11" t="str">
            <v>Russell 1000 Growth</v>
          </cell>
          <cell r="B11">
            <v>0.23219999999999999</v>
          </cell>
          <cell r="C11">
            <v>0.35560000000000003</v>
          </cell>
          <cell r="D11">
            <v>0.21629999999999999</v>
          </cell>
          <cell r="E11">
            <v>8.2699999999999996E-2</v>
          </cell>
          <cell r="F11">
            <v>0.1132</v>
          </cell>
          <cell r="G11">
            <v>0.75029999999999997</v>
          </cell>
          <cell r="H11">
            <v>0.19059999999999999</v>
          </cell>
          <cell r="I11">
            <v>4.5499999999999999E-2</v>
          </cell>
          <cell r="J11">
            <v>9.1999999999999998E-3</v>
          </cell>
          <cell r="K11">
            <v>4.4000000000000003E-3</v>
          </cell>
        </row>
        <row r="12">
          <cell r="A12" t="str">
            <v>Russell 1000 Value</v>
          </cell>
          <cell r="B12">
            <v>0.22850000000000001</v>
          </cell>
          <cell r="C12">
            <v>0.28849999999999998</v>
          </cell>
          <cell r="D12">
            <v>0.26090000000000002</v>
          </cell>
          <cell r="E12">
            <v>0.1183</v>
          </cell>
          <cell r="F12">
            <v>0.1037</v>
          </cell>
          <cell r="G12">
            <v>0.79369999999999996</v>
          </cell>
          <cell r="H12">
            <v>0.13750000000000001</v>
          </cell>
          <cell r="I12">
            <v>5.2400000000000002E-2</v>
          </cell>
          <cell r="J12">
            <v>1.2500000000000001E-2</v>
          </cell>
          <cell r="K12">
            <v>4.0000000000000001E-3</v>
          </cell>
        </row>
        <row r="13">
          <cell r="A13" t="str">
            <v>Russell 2000</v>
          </cell>
          <cell r="B13">
            <v>0</v>
          </cell>
          <cell r="C13">
            <v>7.3000000000000001E-3</v>
          </cell>
          <cell r="D13">
            <v>6.93E-2</v>
          </cell>
          <cell r="E13">
            <v>0.2132</v>
          </cell>
          <cell r="F13">
            <v>0.71009999999999995</v>
          </cell>
          <cell r="G13">
            <v>0</v>
          </cell>
          <cell r="H13">
            <v>4.7500000000000001E-2</v>
          </cell>
          <cell r="I13">
            <v>0.21659999999999999</v>
          </cell>
          <cell r="J13">
            <v>0.36330000000000001</v>
          </cell>
          <cell r="K13">
            <v>0.37259999999999999</v>
          </cell>
        </row>
        <row r="14">
          <cell r="A14" t="str">
            <v>Russell 2000 Growth</v>
          </cell>
          <cell r="B14">
            <v>0</v>
          </cell>
          <cell r="C14">
            <v>7.1000000000000004E-3</v>
          </cell>
          <cell r="D14">
            <v>4.7500000000000001E-2</v>
          </cell>
          <cell r="E14">
            <v>0.156</v>
          </cell>
          <cell r="F14">
            <v>0.78939999999999999</v>
          </cell>
          <cell r="G14">
            <v>0</v>
          </cell>
          <cell r="H14">
            <v>6.0199999999999997E-2</v>
          </cell>
          <cell r="I14">
            <v>0.19420000000000001</v>
          </cell>
          <cell r="J14">
            <v>0.33629999999999999</v>
          </cell>
          <cell r="K14">
            <v>0.4093</v>
          </cell>
        </row>
        <row r="15">
          <cell r="A15" t="str">
            <v>Russell 2000 Value</v>
          </cell>
          <cell r="B15">
            <v>0</v>
          </cell>
          <cell r="C15">
            <v>2.3E-3</v>
          </cell>
          <cell r="D15">
            <v>3.2500000000000001E-2</v>
          </cell>
          <cell r="E15">
            <v>0.15310000000000001</v>
          </cell>
          <cell r="F15">
            <v>0.81210000000000004</v>
          </cell>
          <cell r="G15">
            <v>0</v>
          </cell>
          <cell r="H15">
            <v>2.1899999999999999E-2</v>
          </cell>
          <cell r="I15">
            <v>0.1338</v>
          </cell>
          <cell r="J15">
            <v>0.36259999999999998</v>
          </cell>
          <cell r="K15">
            <v>0.48170000000000002</v>
          </cell>
        </row>
        <row r="16">
          <cell r="A16" t="str">
            <v>Russell 3000</v>
          </cell>
          <cell r="B16">
            <v>9.74E-2</v>
          </cell>
          <cell r="C16">
            <v>0.1399</v>
          </cell>
          <cell r="D16">
            <v>0.12720000000000001</v>
          </cell>
          <cell r="E16">
            <v>0.15909999999999999</v>
          </cell>
          <cell r="F16">
            <v>0.47649999999999998</v>
          </cell>
          <cell r="G16">
            <v>0.73660000000000003</v>
          </cell>
          <cell r="H16">
            <v>0.1472</v>
          </cell>
          <cell r="I16">
            <v>5.2999999999999999E-2</v>
          </cell>
          <cell r="J16">
            <v>3.2899999999999999E-2</v>
          </cell>
          <cell r="K16">
            <v>3.04E-2</v>
          </cell>
        </row>
        <row r="17">
          <cell r="A17" t="str">
            <v>Russell 3000 Growth</v>
          </cell>
          <cell r="B17">
            <v>8.2000000000000003E-2</v>
          </cell>
          <cell r="C17">
            <v>0.13009999999999999</v>
          </cell>
          <cell r="D17">
            <v>0.1071</v>
          </cell>
          <cell r="E17">
            <v>0.13009999999999999</v>
          </cell>
          <cell r="F17">
            <v>0.55069999999999997</v>
          </cell>
          <cell r="G17">
            <v>0.6905</v>
          </cell>
          <cell r="H17">
            <v>0.1802</v>
          </cell>
          <cell r="I17">
            <v>5.7299999999999997E-2</v>
          </cell>
          <cell r="J17">
            <v>3.5299999999999998E-2</v>
          </cell>
          <cell r="K17">
            <v>3.6700000000000003E-2</v>
          </cell>
        </row>
        <row r="18">
          <cell r="A18" t="str">
            <v>Russell 3000 Value</v>
          </cell>
          <cell r="B18">
            <v>7.3800000000000004E-2</v>
          </cell>
          <cell r="C18">
            <v>9.4799999999999995E-2</v>
          </cell>
          <cell r="D18">
            <v>0.10630000000000001</v>
          </cell>
          <cell r="E18">
            <v>0.1419</v>
          </cell>
          <cell r="F18">
            <v>0.58320000000000005</v>
          </cell>
          <cell r="G18">
            <v>0.73180000000000001</v>
          </cell>
          <cell r="H18">
            <v>0.12839999999999999</v>
          </cell>
          <cell r="I18">
            <v>5.8700000000000002E-2</v>
          </cell>
          <cell r="J18">
            <v>3.9800000000000002E-2</v>
          </cell>
          <cell r="K18">
            <v>4.1200000000000001E-2</v>
          </cell>
        </row>
        <row r="19">
          <cell r="A19" t="str">
            <v>Russell 200</v>
          </cell>
          <cell r="B19">
            <v>0.95120000000000005</v>
          </cell>
          <cell r="C19">
            <v>4.3900000000000002E-2</v>
          </cell>
          <cell r="D19">
            <v>4.8999999999999998E-3</v>
          </cell>
          <cell r="E19">
            <v>0</v>
          </cell>
          <cell r="F19">
            <v>0</v>
          </cell>
          <cell r="G19">
            <v>0.99309999999999998</v>
          </cell>
          <cell r="H19">
            <v>6.6E-3</v>
          </cell>
          <cell r="I19">
            <v>2.0000000000000001E-4</v>
          </cell>
          <cell r="J19">
            <v>0</v>
          </cell>
          <cell r="K19">
            <v>0</v>
          </cell>
        </row>
        <row r="20">
          <cell r="A20" t="str">
            <v>Russell 200 Growth</v>
          </cell>
          <cell r="B20">
            <v>0.80420000000000003</v>
          </cell>
          <cell r="C20">
            <v>0.13289999999999999</v>
          </cell>
          <cell r="D20">
            <v>4.2000000000000003E-2</v>
          </cell>
          <cell r="E20">
            <v>1.4E-2</v>
          </cell>
          <cell r="F20">
            <v>7.0000000000000001E-3</v>
          </cell>
          <cell r="G20">
            <v>0.96879999999999999</v>
          </cell>
          <cell r="H20">
            <v>2.7900000000000001E-2</v>
          </cell>
          <cell r="I20">
            <v>2.7000000000000001E-3</v>
          </cell>
          <cell r="J20">
            <v>5.0000000000000001E-4</v>
          </cell>
          <cell r="K20">
            <v>1E-4</v>
          </cell>
        </row>
        <row r="21">
          <cell r="A21" t="str">
            <v>Russell 200 Value</v>
          </cell>
          <cell r="B21">
            <v>0.81200000000000006</v>
          </cell>
          <cell r="C21">
            <v>0.1429</v>
          </cell>
          <cell r="D21">
            <v>2.2599999999999999E-2</v>
          </cell>
          <cell r="E21">
            <v>1.4999999999999999E-2</v>
          </cell>
          <cell r="F21">
            <v>7.4999999999999997E-3</v>
          </cell>
          <cell r="G21">
            <v>0.97519999999999996</v>
          </cell>
          <cell r="H21">
            <v>2.3099999999999999E-2</v>
          </cell>
          <cell r="I21">
            <v>1.1999999999999999E-3</v>
          </cell>
          <cell r="J21">
            <v>5.0000000000000001E-4</v>
          </cell>
          <cell r="K21">
            <v>1E-4</v>
          </cell>
        </row>
        <row r="22">
          <cell r="A22" t="str">
            <v>Russell Mid Cap</v>
          </cell>
          <cell r="B22">
            <v>0.11210000000000001</v>
          </cell>
          <cell r="C22">
            <v>0.4849</v>
          </cell>
          <cell r="D22">
            <v>0.29849999999999999</v>
          </cell>
          <cell r="E22">
            <v>6.93E-2</v>
          </cell>
          <cell r="F22">
            <v>3.5299999999999998E-2</v>
          </cell>
          <cell r="G22">
            <v>0.31140000000000001</v>
          </cell>
          <cell r="H22">
            <v>0.53190000000000004</v>
          </cell>
          <cell r="I22">
            <v>0.13669999999999999</v>
          </cell>
          <cell r="J22">
            <v>1.6199999999999999E-2</v>
          </cell>
          <cell r="K22">
            <v>3.8E-3</v>
          </cell>
        </row>
        <row r="23">
          <cell r="A23" t="str">
            <v>Russell Mid Cap Growth</v>
          </cell>
          <cell r="B23">
            <v>8.2400000000000001E-2</v>
          </cell>
          <cell r="C23">
            <v>0.41389999999999999</v>
          </cell>
          <cell r="D23">
            <v>0.26190000000000002</v>
          </cell>
          <cell r="E23">
            <v>0.1007</v>
          </cell>
          <cell r="F23">
            <v>0.14099999999999999</v>
          </cell>
          <cell r="G23">
            <v>0.27210000000000001</v>
          </cell>
          <cell r="H23">
            <v>0.54669999999999996</v>
          </cell>
          <cell r="I23">
            <v>0.1391</v>
          </cell>
          <cell r="J23">
            <v>2.8299999999999999E-2</v>
          </cell>
          <cell r="K23">
            <v>1.3899999999999999E-2</v>
          </cell>
        </row>
        <row r="24">
          <cell r="A24" t="str">
            <v>Russell Mid Cap Value</v>
          </cell>
          <cell r="B24">
            <v>6.8199999999999997E-2</v>
          </cell>
          <cell r="C24">
            <v>0.32850000000000001</v>
          </cell>
          <cell r="D24">
            <v>0.32640000000000002</v>
          </cell>
          <cell r="E24">
            <v>0.1467</v>
          </cell>
          <cell r="F24">
            <v>0.13020000000000001</v>
          </cell>
          <cell r="G24">
            <v>0.25509999999999999</v>
          </cell>
          <cell r="H24">
            <v>0.47699999999999998</v>
          </cell>
          <cell r="I24">
            <v>0.20430000000000001</v>
          </cell>
          <cell r="J24">
            <v>4.8099999999999997E-2</v>
          </cell>
          <cell r="K24">
            <v>1.55E-2</v>
          </cell>
        </row>
        <row r="25">
          <cell r="A25" t="str">
            <v>Russell 2500</v>
          </cell>
          <cell r="B25">
            <v>0</v>
          </cell>
          <cell r="C25">
            <v>8.8900000000000007E-2</v>
          </cell>
          <cell r="D25">
            <v>0.14760000000000001</v>
          </cell>
          <cell r="E25">
            <v>0.18859999999999999</v>
          </cell>
          <cell r="F25">
            <v>0.57489999999999997</v>
          </cell>
          <cell r="G25">
            <v>0</v>
          </cell>
          <cell r="H25">
            <v>0.35370000000000001</v>
          </cell>
          <cell r="I25">
            <v>0.28920000000000001</v>
          </cell>
          <cell r="J25">
            <v>0.184</v>
          </cell>
          <cell r="K25">
            <v>0.17299999999999999</v>
          </cell>
        </row>
        <row r="26">
          <cell r="A26" t="str">
            <v>Russell 2500 Growth</v>
          </cell>
          <cell r="B26">
            <v>0</v>
          </cell>
          <cell r="C26">
            <v>7.0000000000000007E-2</v>
          </cell>
          <cell r="D26">
            <v>0.1188</v>
          </cell>
          <cell r="E26">
            <v>0.1469</v>
          </cell>
          <cell r="F26">
            <v>0.66439999999999999</v>
          </cell>
          <cell r="G26">
            <v>0</v>
          </cell>
          <cell r="H26">
            <v>0.34699999999999998</v>
          </cell>
          <cell r="I26">
            <v>0.28179999999999999</v>
          </cell>
          <cell r="J26">
            <v>0.17610000000000001</v>
          </cell>
          <cell r="K26">
            <v>0.1951</v>
          </cell>
        </row>
        <row r="27">
          <cell r="A27" t="str">
            <v>Russell 2500 Value</v>
          </cell>
          <cell r="B27">
            <v>0</v>
          </cell>
          <cell r="C27">
            <v>4.24E-2</v>
          </cell>
          <cell r="D27">
            <v>0.1079</v>
          </cell>
          <cell r="E27">
            <v>0.15909999999999999</v>
          </cell>
          <cell r="F27">
            <v>0.69059999999999999</v>
          </cell>
          <cell r="G27">
            <v>0</v>
          </cell>
          <cell r="H27">
            <v>0.22889999999999999</v>
          </cell>
          <cell r="I27">
            <v>0.3004</v>
          </cell>
          <cell r="J27">
            <v>0.22489999999999999</v>
          </cell>
          <cell r="K27">
            <v>0.24579999999999999</v>
          </cell>
        </row>
      </sheetData>
      <sheetData sheetId="22" refreshError="1">
        <row r="1">
          <cell r="A1" t="str">
            <v>Credit Rating</v>
          </cell>
          <cell r="B1" t="str">
            <v>S&amp;P 500</v>
          </cell>
          <cell r="C1" t="str">
            <v>S&amp;P 500/Citigroup Growth</v>
          </cell>
          <cell r="D1" t="str">
            <v>S&amp;P 500/Citigroup Value</v>
          </cell>
          <cell r="E1" t="str">
            <v>S&amp;P 400 MidCap</v>
          </cell>
          <cell r="F1" t="str">
            <v>S&amp;P 400 /Citigroup Growth</v>
          </cell>
          <cell r="G1" t="str">
            <v>S&amp;P 400/Citigroup Value</v>
          </cell>
          <cell r="H1" t="str">
            <v>S&amp;P 600 SmallCap</v>
          </cell>
          <cell r="I1" t="str">
            <v>S&amp;P 600/Citigroup Growth</v>
          </cell>
          <cell r="J1" t="str">
            <v>S&amp;P 600/Citigroup Value</v>
          </cell>
        </row>
        <row r="2">
          <cell r="A2" t="str">
            <v>AAA</v>
          </cell>
          <cell r="B2">
            <v>8</v>
          </cell>
          <cell r="C2">
            <v>5</v>
          </cell>
          <cell r="D2">
            <v>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AA+</v>
          </cell>
          <cell r="B3">
            <v>2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AA</v>
          </cell>
          <cell r="B4">
            <v>14</v>
          </cell>
          <cell r="C4">
            <v>8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AA-</v>
          </cell>
          <cell r="B5">
            <v>12</v>
          </cell>
          <cell r="C5">
            <v>9</v>
          </cell>
          <cell r="D5">
            <v>10</v>
          </cell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</row>
        <row r="6">
          <cell r="A6" t="str">
            <v>A+</v>
          </cell>
          <cell r="B6">
            <v>36</v>
          </cell>
          <cell r="C6">
            <v>26</v>
          </cell>
          <cell r="D6">
            <v>21</v>
          </cell>
          <cell r="E6">
            <v>3</v>
          </cell>
          <cell r="F6">
            <v>1</v>
          </cell>
          <cell r="G6">
            <v>3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A</v>
          </cell>
          <cell r="B7">
            <v>68</v>
          </cell>
          <cell r="C7">
            <v>44</v>
          </cell>
          <cell r="D7">
            <v>48</v>
          </cell>
          <cell r="E7">
            <v>6</v>
          </cell>
          <cell r="F7">
            <v>4</v>
          </cell>
          <cell r="G7">
            <v>6</v>
          </cell>
          <cell r="H7">
            <v>3</v>
          </cell>
          <cell r="I7">
            <v>0</v>
          </cell>
          <cell r="J7">
            <v>3</v>
          </cell>
        </row>
        <row r="8">
          <cell r="A8" t="str">
            <v>A-</v>
          </cell>
          <cell r="B8">
            <v>53</v>
          </cell>
          <cell r="C8">
            <v>28</v>
          </cell>
          <cell r="D8">
            <v>44</v>
          </cell>
          <cell r="E8">
            <v>19</v>
          </cell>
          <cell r="F8">
            <v>6</v>
          </cell>
          <cell r="G8">
            <v>17</v>
          </cell>
          <cell r="H8">
            <v>2</v>
          </cell>
          <cell r="I8">
            <v>1</v>
          </cell>
          <cell r="J8">
            <v>2</v>
          </cell>
        </row>
        <row r="9">
          <cell r="A9" t="str">
            <v>BBB+</v>
          </cell>
          <cell r="B9">
            <v>63</v>
          </cell>
          <cell r="C9">
            <v>37</v>
          </cell>
          <cell r="D9">
            <v>44</v>
          </cell>
          <cell r="E9">
            <v>24</v>
          </cell>
          <cell r="F9">
            <v>8</v>
          </cell>
          <cell r="G9">
            <v>22</v>
          </cell>
          <cell r="H9">
            <v>8</v>
          </cell>
          <cell r="I9">
            <v>3</v>
          </cell>
          <cell r="J9">
            <v>8</v>
          </cell>
        </row>
        <row r="10">
          <cell r="A10" t="str">
            <v>BBB</v>
          </cell>
          <cell r="B10">
            <v>65</v>
          </cell>
          <cell r="C10">
            <v>30</v>
          </cell>
          <cell r="D10">
            <v>46</v>
          </cell>
          <cell r="E10">
            <v>48</v>
          </cell>
          <cell r="F10">
            <v>20</v>
          </cell>
          <cell r="G10">
            <v>45</v>
          </cell>
          <cell r="H10">
            <v>11</v>
          </cell>
          <cell r="I10">
            <v>3</v>
          </cell>
          <cell r="J10">
            <v>10</v>
          </cell>
        </row>
        <row r="11">
          <cell r="A11" t="str">
            <v>BBB-</v>
          </cell>
          <cell r="B11">
            <v>42</v>
          </cell>
          <cell r="C11">
            <v>18</v>
          </cell>
          <cell r="D11">
            <v>36</v>
          </cell>
          <cell r="E11">
            <v>39</v>
          </cell>
          <cell r="F11">
            <v>18</v>
          </cell>
          <cell r="G11">
            <v>34</v>
          </cell>
          <cell r="H11">
            <v>18</v>
          </cell>
          <cell r="I11">
            <v>7</v>
          </cell>
          <cell r="J11">
            <v>14</v>
          </cell>
        </row>
        <row r="12">
          <cell r="A12" t="str">
            <v>BB+</v>
          </cell>
          <cell r="B12">
            <v>23</v>
          </cell>
          <cell r="C12">
            <v>12</v>
          </cell>
          <cell r="D12">
            <v>19</v>
          </cell>
          <cell r="E12">
            <v>26</v>
          </cell>
          <cell r="F12">
            <v>14</v>
          </cell>
          <cell r="G12">
            <v>17</v>
          </cell>
          <cell r="H12">
            <v>12</v>
          </cell>
          <cell r="I12">
            <v>4</v>
          </cell>
          <cell r="J12">
            <v>11</v>
          </cell>
        </row>
        <row r="13">
          <cell r="A13" t="str">
            <v>BB</v>
          </cell>
          <cell r="B13">
            <v>24</v>
          </cell>
          <cell r="C13">
            <v>16</v>
          </cell>
          <cell r="D13">
            <v>17</v>
          </cell>
          <cell r="E13">
            <v>30</v>
          </cell>
          <cell r="F13">
            <v>19</v>
          </cell>
          <cell r="G13">
            <v>22</v>
          </cell>
          <cell r="H13">
            <v>19</v>
          </cell>
          <cell r="I13">
            <v>12</v>
          </cell>
          <cell r="J13">
            <v>15</v>
          </cell>
        </row>
        <row r="14">
          <cell r="A14" t="str">
            <v>BB-</v>
          </cell>
          <cell r="B14">
            <v>12</v>
          </cell>
          <cell r="C14">
            <v>7</v>
          </cell>
          <cell r="D14">
            <v>7</v>
          </cell>
          <cell r="E14">
            <v>27</v>
          </cell>
          <cell r="F14">
            <v>18</v>
          </cell>
          <cell r="G14">
            <v>20</v>
          </cell>
          <cell r="H14">
            <v>34</v>
          </cell>
          <cell r="I14">
            <v>22</v>
          </cell>
          <cell r="J14">
            <v>22</v>
          </cell>
        </row>
        <row r="15">
          <cell r="A15" t="str">
            <v>B+</v>
          </cell>
          <cell r="B15">
            <v>3</v>
          </cell>
          <cell r="C15">
            <v>0</v>
          </cell>
          <cell r="D15">
            <v>3</v>
          </cell>
          <cell r="E15">
            <v>15</v>
          </cell>
          <cell r="F15">
            <v>7</v>
          </cell>
          <cell r="G15">
            <v>12</v>
          </cell>
          <cell r="H15">
            <v>29</v>
          </cell>
          <cell r="I15">
            <v>12</v>
          </cell>
          <cell r="J15">
            <v>25</v>
          </cell>
        </row>
        <row r="16">
          <cell r="A16" t="str">
            <v>B</v>
          </cell>
          <cell r="B16">
            <v>8</v>
          </cell>
          <cell r="C16">
            <v>1</v>
          </cell>
          <cell r="D16">
            <v>8</v>
          </cell>
          <cell r="E16">
            <v>2</v>
          </cell>
          <cell r="F16">
            <v>0</v>
          </cell>
          <cell r="G16">
            <v>2</v>
          </cell>
          <cell r="H16">
            <v>9</v>
          </cell>
          <cell r="I16">
            <v>1</v>
          </cell>
          <cell r="J16">
            <v>9</v>
          </cell>
        </row>
        <row r="17">
          <cell r="A17" t="str">
            <v>B-</v>
          </cell>
          <cell r="B17">
            <v>0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5</v>
          </cell>
          <cell r="I17">
            <v>1</v>
          </cell>
          <cell r="J17">
            <v>4</v>
          </cell>
        </row>
        <row r="18">
          <cell r="A18" t="str">
            <v>Not Rated</v>
          </cell>
          <cell r="B18">
            <v>67</v>
          </cell>
          <cell r="C18">
            <v>59</v>
          </cell>
          <cell r="D18">
            <v>27</v>
          </cell>
          <cell r="E18">
            <v>159</v>
          </cell>
          <cell r="F18">
            <v>119</v>
          </cell>
          <cell r="G18">
            <v>93</v>
          </cell>
          <cell r="H18">
            <v>448</v>
          </cell>
          <cell r="I18">
            <v>274</v>
          </cell>
          <cell r="J18">
            <v>325</v>
          </cell>
        </row>
        <row r="19">
          <cell r="A19" t="str">
            <v>Credit Rating</v>
          </cell>
          <cell r="B19" t="str">
            <v>Russell 1000</v>
          </cell>
          <cell r="C19" t="str">
            <v>Russell 1000 Growth</v>
          </cell>
          <cell r="D19" t="str">
            <v>Russell 1000 Value</v>
          </cell>
          <cell r="E19" t="str">
            <v>Russell 2000</v>
          </cell>
          <cell r="F19" t="str">
            <v>Russell 2000 Growth</v>
          </cell>
          <cell r="G19" t="str">
            <v>Russell 2000 Value</v>
          </cell>
          <cell r="H19" t="str">
            <v>Russell 3000</v>
          </cell>
          <cell r="I19" t="str">
            <v>Russell 3000 Growth</v>
          </cell>
          <cell r="J19" t="str">
            <v>Russell 3000 Value</v>
          </cell>
        </row>
        <row r="20">
          <cell r="A20" t="str">
            <v>AAA</v>
          </cell>
          <cell r="B20">
            <v>8</v>
          </cell>
          <cell r="C20">
            <v>6</v>
          </cell>
          <cell r="D20">
            <v>6</v>
          </cell>
          <cell r="E20">
            <v>0</v>
          </cell>
          <cell r="F20">
            <v>0</v>
          </cell>
          <cell r="G20">
            <v>0</v>
          </cell>
          <cell r="H20">
            <v>8</v>
          </cell>
          <cell r="I20">
            <v>6</v>
          </cell>
          <cell r="J20">
            <v>6</v>
          </cell>
        </row>
        <row r="21">
          <cell r="A21" t="str">
            <v>AA+</v>
          </cell>
          <cell r="B21">
            <v>2</v>
          </cell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1</v>
          </cell>
          <cell r="J21">
            <v>2</v>
          </cell>
        </row>
        <row r="22">
          <cell r="A22" t="str">
            <v>AA</v>
          </cell>
          <cell r="B22">
            <v>15</v>
          </cell>
          <cell r="C22">
            <v>8</v>
          </cell>
          <cell r="D22">
            <v>12</v>
          </cell>
          <cell r="E22">
            <v>1</v>
          </cell>
          <cell r="F22">
            <v>0</v>
          </cell>
          <cell r="G22">
            <v>1</v>
          </cell>
          <cell r="H22">
            <v>16</v>
          </cell>
          <cell r="I22">
            <v>8</v>
          </cell>
          <cell r="J22">
            <v>13</v>
          </cell>
        </row>
        <row r="23">
          <cell r="A23" t="str">
            <v>AA-</v>
          </cell>
          <cell r="B23">
            <v>12</v>
          </cell>
          <cell r="C23">
            <v>10</v>
          </cell>
          <cell r="D23">
            <v>9</v>
          </cell>
          <cell r="E23">
            <v>3</v>
          </cell>
          <cell r="F23">
            <v>0</v>
          </cell>
          <cell r="G23">
            <v>3</v>
          </cell>
          <cell r="H23">
            <v>15</v>
          </cell>
          <cell r="I23">
            <v>10</v>
          </cell>
          <cell r="J23">
            <v>12</v>
          </cell>
        </row>
        <row r="24">
          <cell r="A24" t="str">
            <v>A+</v>
          </cell>
          <cell r="B24">
            <v>41</v>
          </cell>
          <cell r="C24">
            <v>30</v>
          </cell>
          <cell r="D24">
            <v>24</v>
          </cell>
          <cell r="E24">
            <v>3</v>
          </cell>
          <cell r="F24">
            <v>0</v>
          </cell>
          <cell r="G24">
            <v>3</v>
          </cell>
          <cell r="H24">
            <v>44</v>
          </cell>
          <cell r="I24">
            <v>30</v>
          </cell>
          <cell r="J24">
            <v>27</v>
          </cell>
        </row>
        <row r="25">
          <cell r="A25" t="str">
            <v>A</v>
          </cell>
          <cell r="B25">
            <v>77</v>
          </cell>
          <cell r="C25">
            <v>44</v>
          </cell>
          <cell r="D25">
            <v>61</v>
          </cell>
          <cell r="E25">
            <v>5</v>
          </cell>
          <cell r="F25">
            <v>0</v>
          </cell>
          <cell r="G25">
            <v>5</v>
          </cell>
          <cell r="H25">
            <v>82</v>
          </cell>
          <cell r="I25">
            <v>44</v>
          </cell>
          <cell r="J25">
            <v>66</v>
          </cell>
        </row>
        <row r="26">
          <cell r="A26" t="str">
            <v>A-</v>
          </cell>
          <cell r="B26">
            <v>78</v>
          </cell>
          <cell r="C26">
            <v>41</v>
          </cell>
          <cell r="D26">
            <v>58</v>
          </cell>
          <cell r="E26">
            <v>3</v>
          </cell>
          <cell r="F26">
            <v>0</v>
          </cell>
          <cell r="G26">
            <v>3</v>
          </cell>
          <cell r="H26">
            <v>81</v>
          </cell>
          <cell r="I26">
            <v>41</v>
          </cell>
          <cell r="J26">
            <v>61</v>
          </cell>
        </row>
        <row r="27">
          <cell r="A27" t="str">
            <v>BBB+</v>
          </cell>
          <cell r="B27">
            <v>97</v>
          </cell>
          <cell r="C27">
            <v>58</v>
          </cell>
          <cell r="D27">
            <v>73</v>
          </cell>
          <cell r="E27">
            <v>15</v>
          </cell>
          <cell r="F27">
            <v>4</v>
          </cell>
          <cell r="G27">
            <v>14</v>
          </cell>
          <cell r="H27">
            <v>112</v>
          </cell>
          <cell r="I27">
            <v>62</v>
          </cell>
          <cell r="J27">
            <v>87</v>
          </cell>
        </row>
        <row r="28">
          <cell r="A28" t="str">
            <v>BBB</v>
          </cell>
          <cell r="B28">
            <v>115</v>
          </cell>
          <cell r="C28">
            <v>61</v>
          </cell>
          <cell r="D28">
            <v>84</v>
          </cell>
          <cell r="E28">
            <v>29</v>
          </cell>
          <cell r="F28">
            <v>9</v>
          </cell>
          <cell r="G28">
            <v>25</v>
          </cell>
          <cell r="H28">
            <v>144</v>
          </cell>
          <cell r="I28">
            <v>70</v>
          </cell>
          <cell r="J28">
            <v>109</v>
          </cell>
        </row>
        <row r="29">
          <cell r="A29" t="str">
            <v>BBB-</v>
          </cell>
          <cell r="B29">
            <v>88</v>
          </cell>
          <cell r="C29">
            <v>53</v>
          </cell>
          <cell r="D29">
            <v>62</v>
          </cell>
          <cell r="E29">
            <v>33</v>
          </cell>
          <cell r="F29">
            <v>9</v>
          </cell>
          <cell r="G29">
            <v>32</v>
          </cell>
          <cell r="H29">
            <v>121</v>
          </cell>
          <cell r="I29">
            <v>62</v>
          </cell>
          <cell r="J29">
            <v>94</v>
          </cell>
        </row>
        <row r="30">
          <cell r="A30" t="str">
            <v>BB+</v>
          </cell>
          <cell r="B30">
            <v>54</v>
          </cell>
          <cell r="C30">
            <v>32</v>
          </cell>
          <cell r="D30">
            <v>40</v>
          </cell>
          <cell r="E30">
            <v>25</v>
          </cell>
          <cell r="F30">
            <v>9</v>
          </cell>
          <cell r="G30">
            <v>22</v>
          </cell>
          <cell r="H30">
            <v>79</v>
          </cell>
          <cell r="I30">
            <v>41</v>
          </cell>
          <cell r="J30">
            <v>62</v>
          </cell>
        </row>
        <row r="31">
          <cell r="A31" t="str">
            <v>BB</v>
          </cell>
          <cell r="B31">
            <v>60</v>
          </cell>
          <cell r="C31">
            <v>48</v>
          </cell>
          <cell r="D31">
            <v>36</v>
          </cell>
          <cell r="E31">
            <v>45</v>
          </cell>
          <cell r="F31">
            <v>30</v>
          </cell>
          <cell r="G31">
            <v>34</v>
          </cell>
          <cell r="H31">
            <v>105</v>
          </cell>
          <cell r="I31">
            <v>78</v>
          </cell>
          <cell r="J31">
            <v>70</v>
          </cell>
        </row>
        <row r="32">
          <cell r="A32" t="str">
            <v>BB-</v>
          </cell>
          <cell r="B32">
            <v>55</v>
          </cell>
          <cell r="C32">
            <v>43</v>
          </cell>
          <cell r="D32">
            <v>32</v>
          </cell>
          <cell r="E32">
            <v>90</v>
          </cell>
          <cell r="F32">
            <v>51</v>
          </cell>
          <cell r="G32">
            <v>67</v>
          </cell>
          <cell r="H32">
            <v>145</v>
          </cell>
          <cell r="I32">
            <v>94</v>
          </cell>
          <cell r="J32">
            <v>99</v>
          </cell>
        </row>
        <row r="33">
          <cell r="A33" t="str">
            <v>B+</v>
          </cell>
          <cell r="B33">
            <v>21</v>
          </cell>
          <cell r="C33">
            <v>15</v>
          </cell>
          <cell r="D33">
            <v>15</v>
          </cell>
          <cell r="E33">
            <v>92</v>
          </cell>
          <cell r="F33">
            <v>69</v>
          </cell>
          <cell r="G33">
            <v>66</v>
          </cell>
          <cell r="H33">
            <v>113</v>
          </cell>
          <cell r="I33">
            <v>84</v>
          </cell>
          <cell r="J33">
            <v>81</v>
          </cell>
        </row>
        <row r="34">
          <cell r="A34" t="str">
            <v>B</v>
          </cell>
          <cell r="B34">
            <v>19</v>
          </cell>
          <cell r="C34">
            <v>14</v>
          </cell>
          <cell r="D34">
            <v>14</v>
          </cell>
          <cell r="E34">
            <v>48</v>
          </cell>
          <cell r="F34">
            <v>25</v>
          </cell>
          <cell r="G34">
            <v>41</v>
          </cell>
          <cell r="H34">
            <v>67</v>
          </cell>
          <cell r="I34">
            <v>39</v>
          </cell>
          <cell r="J34">
            <v>55</v>
          </cell>
        </row>
        <row r="35">
          <cell r="A35" t="str">
            <v>B-</v>
          </cell>
          <cell r="B35">
            <v>4</v>
          </cell>
          <cell r="C35">
            <v>3</v>
          </cell>
          <cell r="D35">
            <v>1</v>
          </cell>
          <cell r="E35">
            <v>29</v>
          </cell>
          <cell r="F35">
            <v>16</v>
          </cell>
          <cell r="G35">
            <v>24</v>
          </cell>
          <cell r="H35">
            <v>33</v>
          </cell>
          <cell r="I35">
            <v>19</v>
          </cell>
          <cell r="J35">
            <v>25</v>
          </cell>
        </row>
        <row r="36">
          <cell r="A36" t="str">
            <v>CCC+</v>
          </cell>
          <cell r="B36">
            <v>2</v>
          </cell>
          <cell r="C36">
            <v>2</v>
          </cell>
          <cell r="D36">
            <v>0</v>
          </cell>
          <cell r="E36">
            <v>3</v>
          </cell>
          <cell r="F36">
            <v>0</v>
          </cell>
          <cell r="G36">
            <v>3</v>
          </cell>
          <cell r="H36">
            <v>5</v>
          </cell>
          <cell r="I36">
            <v>2</v>
          </cell>
          <cell r="J36">
            <v>3</v>
          </cell>
        </row>
        <row r="37">
          <cell r="A37" t="str">
            <v>CCC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D</v>
          </cell>
          <cell r="B38">
            <v>0</v>
          </cell>
          <cell r="C38">
            <v>0</v>
          </cell>
          <cell r="D38">
            <v>0</v>
          </cell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1</v>
          </cell>
          <cell r="J38">
            <v>2</v>
          </cell>
        </row>
        <row r="39">
          <cell r="A39" t="str">
            <v>Not Rated</v>
          </cell>
          <cell r="B39">
            <v>251</v>
          </cell>
          <cell r="C39">
            <v>220</v>
          </cell>
          <cell r="D39">
            <v>88</v>
          </cell>
          <cell r="E39">
            <v>1492</v>
          </cell>
          <cell r="F39">
            <v>1040</v>
          </cell>
          <cell r="G39">
            <v>948</v>
          </cell>
          <cell r="H39">
            <v>1743</v>
          </cell>
          <cell r="I39">
            <v>1260</v>
          </cell>
          <cell r="J39">
            <v>1036</v>
          </cell>
        </row>
      </sheetData>
      <sheetData sheetId="23" refreshError="1">
        <row r="1">
          <cell r="A1" t="str">
            <v>Common Stock Rating</v>
          </cell>
          <cell r="B1" t="str">
            <v>S&amp;P 500 Large Cap</v>
          </cell>
          <cell r="C1" t="str">
            <v>S&amp;P 600 Small Cap</v>
          </cell>
          <cell r="D1" t="str">
            <v>S&amp;P 400 Mid Cap</v>
          </cell>
        </row>
        <row r="2">
          <cell r="A2" t="str">
            <v>A</v>
          </cell>
          <cell r="B2">
            <v>-2.0899999999999998E-2</v>
          </cell>
          <cell r="C2">
            <v>2.5700000000000001E-2</v>
          </cell>
          <cell r="D2">
            <v>-2.12E-2</v>
          </cell>
        </row>
        <row r="3">
          <cell r="A3" t="str">
            <v>B</v>
          </cell>
          <cell r="B3">
            <v>-5.4100000000000002E-2</v>
          </cell>
          <cell r="C3">
            <v>-4.2200000000000001E-2</v>
          </cell>
          <cell r="D3">
            <v>-5.3900000000000003E-2</v>
          </cell>
        </row>
        <row r="4">
          <cell r="A4" t="str">
            <v>C</v>
          </cell>
          <cell r="B4">
            <v>-3.3300000000000003E-2</v>
          </cell>
          <cell r="C4">
            <v>-7.3099999999999998E-2</v>
          </cell>
          <cell r="D4">
            <v>-0.1426</v>
          </cell>
        </row>
        <row r="5">
          <cell r="A5" t="str">
            <v>NR</v>
          </cell>
          <cell r="B5">
            <v>-6.1400000000000003E-2</v>
          </cell>
          <cell r="C5">
            <v>-5.6000000000000001E-2</v>
          </cell>
          <cell r="D5">
            <v>-5.8900000000000001E-2</v>
          </cell>
        </row>
        <row r="6">
          <cell r="A6" t="str">
            <v>Index</v>
          </cell>
          <cell r="B6">
            <v>-0.06</v>
          </cell>
          <cell r="C6">
            <v>-4.8899999999999999E-2</v>
          </cell>
          <cell r="D6">
            <v>-6.1600000000000002E-2</v>
          </cell>
        </row>
        <row r="7">
          <cell r="A7" t="str">
            <v>Common Stock Rating</v>
          </cell>
          <cell r="B7" t="str">
            <v>S&amp;P 500 Large Cap</v>
          </cell>
          <cell r="C7" t="str">
            <v>S&amp;P 600 Small Cap</v>
          </cell>
          <cell r="D7" t="str">
            <v>S&amp;P 400 Mid Cap</v>
          </cell>
        </row>
        <row r="8">
          <cell r="A8" t="str">
            <v>A</v>
          </cell>
          <cell r="B8">
            <v>157</v>
          </cell>
          <cell r="C8">
            <v>65</v>
          </cell>
          <cell r="D8">
            <v>74</v>
          </cell>
        </row>
        <row r="9">
          <cell r="A9" t="str">
            <v>B</v>
          </cell>
          <cell r="B9">
            <v>275</v>
          </cell>
          <cell r="C9">
            <v>375</v>
          </cell>
          <cell r="D9">
            <v>259</v>
          </cell>
        </row>
        <row r="10">
          <cell r="A10" t="str">
            <v>C</v>
          </cell>
          <cell r="B10">
            <v>15</v>
          </cell>
          <cell r="C10">
            <v>47</v>
          </cell>
          <cell r="D10">
            <v>16</v>
          </cell>
        </row>
        <row r="11">
          <cell r="A11" t="str">
            <v>NR</v>
          </cell>
          <cell r="B11">
            <v>53</v>
          </cell>
          <cell r="C11">
            <v>113</v>
          </cell>
          <cell r="D11">
            <v>51</v>
          </cell>
        </row>
        <row r="12">
          <cell r="A12" t="str">
            <v>Common Stock Rating</v>
          </cell>
          <cell r="B12" t="str">
            <v>Russell 1000</v>
          </cell>
          <cell r="C12" t="str">
            <v>Russell 2000</v>
          </cell>
          <cell r="D12" t="str">
            <v>Russell 3000</v>
          </cell>
        </row>
        <row r="13">
          <cell r="A13" t="str">
            <v>A</v>
          </cell>
          <cell r="B13">
            <v>-1.8200000000000001E-2</v>
          </cell>
          <cell r="C13">
            <v>1.4999999999999999E-2</v>
          </cell>
          <cell r="D13">
            <v>-4.7999999999999996E-3</v>
          </cell>
        </row>
        <row r="14">
          <cell r="A14" t="str">
            <v>B</v>
          </cell>
          <cell r="B14">
            <v>-4.9099999999999998E-2</v>
          </cell>
          <cell r="C14">
            <v>-5.0700000000000002E-2</v>
          </cell>
          <cell r="D14">
            <v>-0.05</v>
          </cell>
        </row>
        <row r="15">
          <cell r="A15" t="str">
            <v>C</v>
          </cell>
          <cell r="B15">
            <v>-6.7100000000000007E-2</v>
          </cell>
          <cell r="C15">
            <v>-0.11119999999999999</v>
          </cell>
          <cell r="D15">
            <v>-0.1031</v>
          </cell>
        </row>
        <row r="16">
          <cell r="A16" t="str">
            <v>NR</v>
          </cell>
          <cell r="B16">
            <v>-6.5699999999999995E-2</v>
          </cell>
          <cell r="C16">
            <v>-8.2299999999999998E-2</v>
          </cell>
          <cell r="D16">
            <v>-7.9200000000000007E-2</v>
          </cell>
        </row>
        <row r="17">
          <cell r="A17" t="str">
            <v>Index</v>
          </cell>
          <cell r="B17">
            <v>-0.06</v>
          </cell>
          <cell r="C17">
            <v>-6.8199999999999997E-2</v>
          </cell>
          <cell r="D17">
            <v>-6.0600000000000001E-2</v>
          </cell>
        </row>
        <row r="18">
          <cell r="A18" t="str">
            <v>Common Stock Rating</v>
          </cell>
          <cell r="B18" t="str">
            <v>Russell 1000</v>
          </cell>
          <cell r="C18" t="str">
            <v>Russell 2000</v>
          </cell>
          <cell r="D18" t="str">
            <v>Russell 3000</v>
          </cell>
        </row>
        <row r="19">
          <cell r="A19" t="str">
            <v>A</v>
          </cell>
          <cell r="B19">
            <v>238</v>
          </cell>
          <cell r="C19">
            <v>162</v>
          </cell>
          <cell r="D19">
            <v>400</v>
          </cell>
        </row>
        <row r="20">
          <cell r="A20" t="str">
            <v>B</v>
          </cell>
          <cell r="B20">
            <v>535</v>
          </cell>
          <cell r="C20">
            <v>773</v>
          </cell>
          <cell r="D20">
            <v>1308</v>
          </cell>
        </row>
        <row r="21">
          <cell r="A21" t="str">
            <v>C</v>
          </cell>
          <cell r="B21">
            <v>37</v>
          </cell>
          <cell r="C21">
            <v>165</v>
          </cell>
          <cell r="D21">
            <v>202</v>
          </cell>
        </row>
        <row r="22">
          <cell r="A22" t="str">
            <v>NR</v>
          </cell>
          <cell r="B22">
            <v>189</v>
          </cell>
          <cell r="C22">
            <v>829</v>
          </cell>
          <cell r="D22">
            <v>1018</v>
          </cell>
        </row>
      </sheetData>
      <sheetData sheetId="24" refreshError="1">
        <row r="2">
          <cell r="B2">
            <v>-8.4148861999999935E-2</v>
          </cell>
          <cell r="C2">
            <v>-6.9007231700000116E-2</v>
          </cell>
          <cell r="D2">
            <v>-3.1212920100000097E-2</v>
          </cell>
        </row>
        <row r="3">
          <cell r="B3">
            <v>-8.0716513600000095E-2</v>
          </cell>
          <cell r="C3">
            <v>-2.6566735199999969E-2</v>
          </cell>
          <cell r="D3">
            <v>-1.8226488100000049E-2</v>
          </cell>
        </row>
        <row r="4">
          <cell r="B4">
            <v>-9.1883357900000018E-2</v>
          </cell>
          <cell r="C4">
            <v>-3.7643459999999851E-2</v>
          </cell>
          <cell r="D4">
            <v>-3.6140740000000227E-3</v>
          </cell>
        </row>
        <row r="6">
          <cell r="B6">
            <v>-7.985598599999999E-2</v>
          </cell>
          <cell r="C6">
            <v>-5.9768872899999881E-2</v>
          </cell>
          <cell r="D6">
            <v>-2.2492632200000084E-2</v>
          </cell>
        </row>
        <row r="7">
          <cell r="B7">
            <v>-0.10758353099999995</v>
          </cell>
          <cell r="C7">
            <v>-5.478818019999987E-2</v>
          </cell>
          <cell r="D7">
            <v>-1.4088214599999982E-2</v>
          </cell>
        </row>
        <row r="8">
          <cell r="B8">
            <v>-0.11648354979999997</v>
          </cell>
          <cell r="C8">
            <v>-7.3435416199999937E-2</v>
          </cell>
          <cell r="D8">
            <v>-1.6607110100000044E-2</v>
          </cell>
        </row>
      </sheetData>
      <sheetData sheetId="25" refreshError="1">
        <row r="2">
          <cell r="B2">
            <v>5.0279096299999999E-2</v>
          </cell>
          <cell r="C2">
            <v>-1.2490708E-3</v>
          </cell>
          <cell r="D2">
            <v>3.9918408999999998E-3</v>
          </cell>
        </row>
        <row r="3">
          <cell r="B3">
            <v>-3.7541744199999998E-2</v>
          </cell>
          <cell r="C3">
            <v>-4.5693206699999996E-2</v>
          </cell>
          <cell r="D3">
            <v>-3.5998740299999998E-2</v>
          </cell>
        </row>
        <row r="4">
          <cell r="B4">
            <v>-5.6123130200000003E-2</v>
          </cell>
          <cell r="C4">
            <v>-6.4453470800000009E-2</v>
          </cell>
          <cell r="D4">
            <v>-6.2776344999999997E-2</v>
          </cell>
        </row>
        <row r="5">
          <cell r="E5">
            <v>-6.96315094E-2</v>
          </cell>
        </row>
        <row r="7">
          <cell r="B7">
            <v>4.8072710699999993E-2</v>
          </cell>
          <cell r="C7">
            <v>2.8188725999999998E-3</v>
          </cell>
          <cell r="D7">
            <v>1.6582098400000002E-2</v>
          </cell>
        </row>
        <row r="8">
          <cell r="B8">
            <v>-3.4343449399999997E-2</v>
          </cell>
          <cell r="C8">
            <v>-4.0560088000000001E-2</v>
          </cell>
          <cell r="D8">
            <v>-2.2898994699999998E-2</v>
          </cell>
        </row>
        <row r="9">
          <cell r="B9">
            <v>-7.3866958400000002E-2</v>
          </cell>
          <cell r="C9">
            <v>-6.8529407299999998E-2</v>
          </cell>
          <cell r="D9">
            <v>-6.5886867700000004E-2</v>
          </cell>
        </row>
        <row r="10">
          <cell r="E10">
            <v>-8.6823620600000012E-2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 t="str">
            <v>PE</v>
          </cell>
          <cell r="C1" t="str">
            <v>06/30/00</v>
          </cell>
          <cell r="D1" t="str">
            <v>Russell 1000</v>
          </cell>
          <cell r="E1" t="str">
            <v>Russell</v>
          </cell>
          <cell r="F1" t="str">
            <v>Russell 1000</v>
          </cell>
          <cell r="G1" t="str">
            <v>S&amp;P 500</v>
          </cell>
        </row>
        <row r="2">
          <cell r="A2" t="str">
            <v>PE w/o Neg</v>
          </cell>
          <cell r="C2" t="str">
            <v>07/31/00</v>
          </cell>
          <cell r="D2" t="str">
            <v>Russell 1000 Growth</v>
          </cell>
          <cell r="E2" t="str">
            <v>S&amp;P</v>
          </cell>
          <cell r="F2" t="str">
            <v>Russell 1000 Growth</v>
          </cell>
          <cell r="G2" t="str">
            <v>S&amp;P 500 Growth</v>
          </cell>
        </row>
        <row r="3">
          <cell r="A3" t="str">
            <v>P/FY1</v>
          </cell>
          <cell r="C3" t="str">
            <v>08/31/00</v>
          </cell>
          <cell r="D3" t="str">
            <v>Russell 1000 Value</v>
          </cell>
          <cell r="F3" t="str">
            <v>Russell 1000 Value</v>
          </cell>
          <cell r="G3" t="str">
            <v>S&amp;P 500 Value</v>
          </cell>
        </row>
        <row r="4">
          <cell r="A4" t="str">
            <v>P/Sales</v>
          </cell>
          <cell r="C4" t="str">
            <v>09/30/00</v>
          </cell>
          <cell r="D4" t="str">
            <v>Russell Mid-Cap</v>
          </cell>
          <cell r="F4" t="str">
            <v>Russell Mid-Cap</v>
          </cell>
          <cell r="G4" t="str">
            <v>S&amp;P 400</v>
          </cell>
        </row>
        <row r="5">
          <cell r="A5" t="str">
            <v>P/Book</v>
          </cell>
          <cell r="C5" t="str">
            <v>10/31/00</v>
          </cell>
          <cell r="D5" t="str">
            <v>Russell Mid-Cap Growth</v>
          </cell>
          <cell r="F5" t="str">
            <v>Russell Mid-Cap Growth</v>
          </cell>
          <cell r="G5" t="str">
            <v>S&amp;P 400 Growth</v>
          </cell>
        </row>
        <row r="6">
          <cell r="A6" t="str">
            <v>P/CF</v>
          </cell>
          <cell r="C6" t="str">
            <v>11/30/00</v>
          </cell>
          <cell r="D6" t="str">
            <v>Russell Mid-Cap Value</v>
          </cell>
          <cell r="F6" t="str">
            <v>Russell Mid-Cap Value</v>
          </cell>
          <cell r="G6" t="str">
            <v>S&amp;P 400 Value</v>
          </cell>
        </row>
        <row r="7">
          <cell r="A7" t="str">
            <v>ROE</v>
          </cell>
          <cell r="C7" t="str">
            <v>12/31/00</v>
          </cell>
          <cell r="D7" t="str">
            <v>Russell 2000</v>
          </cell>
          <cell r="F7" t="str">
            <v>Russell 2000</v>
          </cell>
          <cell r="G7" t="str">
            <v>S&amp;P 600</v>
          </cell>
        </row>
        <row r="8">
          <cell r="A8" t="str">
            <v>Dividend Yield</v>
          </cell>
          <cell r="C8" t="str">
            <v>01/31/01</v>
          </cell>
          <cell r="D8" t="str">
            <v>Russell 2000 Growth</v>
          </cell>
          <cell r="F8" t="str">
            <v>Russell 2000 Growth</v>
          </cell>
          <cell r="G8" t="str">
            <v>S&amp;P 600 Growth</v>
          </cell>
        </row>
        <row r="9">
          <cell r="A9" t="str">
            <v>Payout Ratio</v>
          </cell>
          <cell r="C9" t="str">
            <v>02/28/01</v>
          </cell>
          <cell r="D9" t="str">
            <v>Russell 2000 Value</v>
          </cell>
          <cell r="F9" t="str">
            <v>Russell 2000 Value</v>
          </cell>
          <cell r="G9" t="str">
            <v>S&amp;P 600 Value</v>
          </cell>
        </row>
        <row r="10">
          <cell r="C10" t="str">
            <v>03/31/01</v>
          </cell>
          <cell r="D10" t="str">
            <v>S&amp;P 500</v>
          </cell>
        </row>
        <row r="11">
          <cell r="C11" t="str">
            <v>04/30/01</v>
          </cell>
          <cell r="D11" t="str">
            <v>S&amp;P 500 Growth</v>
          </cell>
        </row>
        <row r="12">
          <cell r="C12" t="str">
            <v>05/31/01</v>
          </cell>
          <cell r="D12" t="str">
            <v>S&amp;P 500 Value</v>
          </cell>
        </row>
        <row r="13">
          <cell r="C13" t="str">
            <v>06/30/01</v>
          </cell>
          <cell r="D13" t="str">
            <v>S&amp;P 400</v>
          </cell>
        </row>
        <row r="14">
          <cell r="C14" t="str">
            <v>07/31/01</v>
          </cell>
          <cell r="D14" t="str">
            <v>S&amp;P 400 Growth</v>
          </cell>
        </row>
        <row r="15">
          <cell r="C15" t="str">
            <v>08/31/01</v>
          </cell>
          <cell r="D15" t="str">
            <v>S&amp;P 400 Value</v>
          </cell>
        </row>
        <row r="16">
          <cell r="C16" t="str">
            <v>09/30/01</v>
          </cell>
          <cell r="D16" t="str">
            <v>S&amp;P 600</v>
          </cell>
        </row>
        <row r="17">
          <cell r="C17" t="str">
            <v>10/31/01</v>
          </cell>
          <cell r="D17" t="str">
            <v>S&amp;P 600 Growth</v>
          </cell>
        </row>
        <row r="18">
          <cell r="C18" t="str">
            <v>11/30/01</v>
          </cell>
          <cell r="D18" t="str">
            <v>S&amp;P 600 Value</v>
          </cell>
        </row>
        <row r="19">
          <cell r="C19" t="str">
            <v>12/31/01</v>
          </cell>
        </row>
        <row r="20">
          <cell r="C20" t="str">
            <v>01/31/02</v>
          </cell>
        </row>
        <row r="21">
          <cell r="C21" t="str">
            <v>02/28/02</v>
          </cell>
        </row>
        <row r="22">
          <cell r="C22" t="str">
            <v>03/31/02</v>
          </cell>
        </row>
        <row r="23">
          <cell r="C23" t="str">
            <v>04/30/02</v>
          </cell>
        </row>
        <row r="24">
          <cell r="C24" t="str">
            <v>05/31/02</v>
          </cell>
        </row>
        <row r="25">
          <cell r="C25" t="str">
            <v>06/30/02</v>
          </cell>
        </row>
        <row r="26">
          <cell r="C26" t="str">
            <v>07/31/02</v>
          </cell>
        </row>
        <row r="27">
          <cell r="C27" t="str">
            <v>08/31/02</v>
          </cell>
        </row>
        <row r="28">
          <cell r="C28" t="str">
            <v>09/30/02</v>
          </cell>
        </row>
        <row r="29">
          <cell r="C29" t="str">
            <v>10/31/02</v>
          </cell>
        </row>
        <row r="30">
          <cell r="C30" t="str">
            <v>11/30/02</v>
          </cell>
        </row>
        <row r="31">
          <cell r="C31" t="str">
            <v>12/31/02</v>
          </cell>
        </row>
        <row r="32">
          <cell r="C32" t="str">
            <v>01/31/03</v>
          </cell>
        </row>
        <row r="33">
          <cell r="C33" t="str">
            <v>02/28/03</v>
          </cell>
        </row>
        <row r="34">
          <cell r="C34" t="str">
            <v>03/31/03</v>
          </cell>
        </row>
        <row r="35">
          <cell r="C35" t="str">
            <v>04/30/03</v>
          </cell>
        </row>
        <row r="36">
          <cell r="C36" t="str">
            <v>05/31/03</v>
          </cell>
        </row>
        <row r="37">
          <cell r="C37" t="str">
            <v>06/30/03</v>
          </cell>
        </row>
        <row r="38">
          <cell r="C38" t="str">
            <v>07/31/03</v>
          </cell>
        </row>
        <row r="39">
          <cell r="C39" t="str">
            <v>08/31/03</v>
          </cell>
        </row>
        <row r="40">
          <cell r="C40" t="str">
            <v>09/30/03</v>
          </cell>
        </row>
        <row r="41">
          <cell r="C41" t="str">
            <v>10/31/03</v>
          </cell>
        </row>
        <row r="42">
          <cell r="C42" t="str">
            <v>11/30/03</v>
          </cell>
        </row>
        <row r="43">
          <cell r="C43" t="str">
            <v>12/31/03</v>
          </cell>
        </row>
        <row r="44">
          <cell r="C44" t="str">
            <v>01/31/04</v>
          </cell>
        </row>
        <row r="45">
          <cell r="C45" t="str">
            <v>02/29/04</v>
          </cell>
        </row>
        <row r="46">
          <cell r="C46" t="str">
            <v>03/31/04</v>
          </cell>
        </row>
        <row r="47">
          <cell r="C47" t="str">
            <v>04/30/04</v>
          </cell>
        </row>
        <row r="48">
          <cell r="C48" t="str">
            <v>05/31/04</v>
          </cell>
        </row>
        <row r="49">
          <cell r="C49" t="str">
            <v>06/30/04</v>
          </cell>
        </row>
        <row r="50">
          <cell r="C50" t="str">
            <v>07/31/04</v>
          </cell>
        </row>
        <row r="51">
          <cell r="C51" t="str">
            <v>08/31/04</v>
          </cell>
        </row>
        <row r="52">
          <cell r="C52" t="str">
            <v>09/30/04</v>
          </cell>
        </row>
        <row r="53">
          <cell r="C53" t="str">
            <v>10/31/04</v>
          </cell>
        </row>
        <row r="54">
          <cell r="C54" t="str">
            <v>11/30/04</v>
          </cell>
        </row>
        <row r="55">
          <cell r="C55" t="str">
            <v>12/31/04</v>
          </cell>
        </row>
        <row r="56">
          <cell r="C56" t="str">
            <v>01/31/05</v>
          </cell>
        </row>
        <row r="57">
          <cell r="C57" t="str">
            <v>02/28/05</v>
          </cell>
        </row>
        <row r="58">
          <cell r="C58" t="str">
            <v>03/31/05</v>
          </cell>
        </row>
        <row r="59">
          <cell r="C59" t="str">
            <v>04/30/05</v>
          </cell>
        </row>
        <row r="60">
          <cell r="C60" t="str">
            <v>05/31/05</v>
          </cell>
        </row>
        <row r="61">
          <cell r="C61" t="str">
            <v>06/30/05</v>
          </cell>
        </row>
        <row r="62">
          <cell r="C62" t="str">
            <v>07/31/05</v>
          </cell>
        </row>
        <row r="63">
          <cell r="C63" t="str">
            <v>08/31/05</v>
          </cell>
        </row>
        <row r="64">
          <cell r="C64" t="str">
            <v>09/30/05</v>
          </cell>
        </row>
        <row r="65">
          <cell r="C65" t="str">
            <v>10/31/05</v>
          </cell>
        </row>
        <row r="66">
          <cell r="C66" t="str">
            <v>11/30/05</v>
          </cell>
        </row>
        <row r="67">
          <cell r="C67" t="str">
            <v>12/31/05</v>
          </cell>
        </row>
        <row r="68">
          <cell r="C68" t="str">
            <v>01/31/06</v>
          </cell>
        </row>
        <row r="69">
          <cell r="C69" t="str">
            <v>02/28/06</v>
          </cell>
        </row>
        <row r="70">
          <cell r="C70" t="str">
            <v>03/31/06</v>
          </cell>
        </row>
        <row r="71">
          <cell r="C71" t="str">
            <v>04/30/06</v>
          </cell>
        </row>
        <row r="72">
          <cell r="C72" t="str">
            <v>05/31/06</v>
          </cell>
        </row>
        <row r="73">
          <cell r="C73" t="str">
            <v>06/30/06</v>
          </cell>
        </row>
        <row r="74">
          <cell r="C74" t="str">
            <v>07/31/06</v>
          </cell>
        </row>
        <row r="75">
          <cell r="C75" t="str">
            <v>08/31/06</v>
          </cell>
        </row>
        <row r="76">
          <cell r="C76" t="str">
            <v>09/30/06</v>
          </cell>
        </row>
        <row r="77">
          <cell r="C77" t="str">
            <v>10/31/06</v>
          </cell>
        </row>
        <row r="78">
          <cell r="C78" t="str">
            <v>11/30/06</v>
          </cell>
        </row>
        <row r="79">
          <cell r="C79" t="str">
            <v>12/31/06</v>
          </cell>
        </row>
        <row r="80">
          <cell r="C80" t="str">
            <v>01/31/07</v>
          </cell>
        </row>
        <row r="81">
          <cell r="C81" t="str">
            <v>02/28/07</v>
          </cell>
        </row>
        <row r="82">
          <cell r="C82" t="str">
            <v>03/31/07</v>
          </cell>
        </row>
        <row r="83">
          <cell r="C83" t="str">
            <v>04/30/07</v>
          </cell>
        </row>
        <row r="84">
          <cell r="C84" t="str">
            <v>05/31/07</v>
          </cell>
        </row>
        <row r="85">
          <cell r="C85" t="str">
            <v>06/30/07</v>
          </cell>
        </row>
        <row r="86">
          <cell r="C86" t="str">
            <v>07/31/07</v>
          </cell>
        </row>
        <row r="87">
          <cell r="C87" t="str">
            <v>08/31/07</v>
          </cell>
        </row>
        <row r="88">
          <cell r="C88" t="str">
            <v>09/30/07</v>
          </cell>
        </row>
        <row r="89">
          <cell r="C89" t="str">
            <v>10/31/07</v>
          </cell>
        </row>
        <row r="90">
          <cell r="C90" t="str">
            <v>11/30/07</v>
          </cell>
        </row>
        <row r="91">
          <cell r="C91" t="str">
            <v>12/31/07</v>
          </cell>
        </row>
        <row r="92">
          <cell r="C92" t="str">
            <v>01/31/08</v>
          </cell>
        </row>
      </sheetData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"/>
      <sheetName val="Fund 1"/>
      <sheetName val="VaR Data"/>
      <sheetName val="BM Data"/>
      <sheetName val="FD LIST"/>
      <sheetName val="Input"/>
      <sheetName val="Title"/>
    </sheetNames>
    <sheetDataSet>
      <sheetData sheetId="0" refreshError="1"/>
      <sheetData sheetId="1" refreshError="1">
        <row r="12">
          <cell r="B12">
            <v>39814</v>
          </cell>
          <cell r="E12">
            <v>1000</v>
          </cell>
          <cell r="I12">
            <v>617.4293495451102</v>
          </cell>
          <cell r="J12">
            <v>478.21331306861225</v>
          </cell>
          <cell r="O12">
            <v>1000</v>
          </cell>
          <cell r="S12">
            <v>200</v>
          </cell>
        </row>
        <row r="13">
          <cell r="B13">
            <v>39815</v>
          </cell>
          <cell r="E13">
            <v>1009.0527833983296</v>
          </cell>
          <cell r="F13">
            <v>9.0527833983295516E-3</v>
          </cell>
          <cell r="I13">
            <v>622.1789132955746</v>
          </cell>
          <cell r="J13">
            <v>483.59233762844372</v>
          </cell>
          <cell r="O13">
            <v>1000</v>
          </cell>
          <cell r="P13">
            <v>1.8715473829981288E-2</v>
          </cell>
          <cell r="R13">
            <v>616.5969942624555</v>
          </cell>
          <cell r="S13">
            <v>383.4030057375445</v>
          </cell>
        </row>
        <row r="14">
          <cell r="B14">
            <v>39816</v>
          </cell>
          <cell r="E14">
            <v>1009.1017930532314</v>
          </cell>
          <cell r="F14">
            <v>4.8569961560182195E-5</v>
          </cell>
          <cell r="I14">
            <v>622.2091325014768</v>
          </cell>
          <cell r="J14">
            <v>483.61582568969322</v>
          </cell>
          <cell r="O14">
            <v>1018.7154738299813</v>
          </cell>
          <cell r="P14">
            <v>-1.5077615527419344E-6</v>
          </cell>
          <cell r="R14">
            <v>628.13689917221961</v>
          </cell>
          <cell r="S14">
            <v>390.57857465776169</v>
          </cell>
        </row>
        <row r="15">
          <cell r="B15">
            <v>39817</v>
          </cell>
          <cell r="E15">
            <v>1009.1508027081333</v>
          </cell>
          <cell r="F15">
            <v>4.8567602633589214E-5</v>
          </cell>
          <cell r="I15">
            <v>622.23935170737923</v>
          </cell>
          <cell r="J15">
            <v>483.63931375094251</v>
          </cell>
          <cell r="O15">
            <v>1018.7139378499567</v>
          </cell>
          <cell r="P15">
            <v>-1.5078686338967771E-6</v>
          </cell>
          <cell r="R15">
            <v>628.13689917221961</v>
          </cell>
          <cell r="S15">
            <v>390.57703867773705</v>
          </cell>
        </row>
        <row r="16">
          <cell r="B16">
            <v>39818</v>
          </cell>
          <cell r="E16">
            <v>1015.1439833647227</v>
          </cell>
          <cell r="F16">
            <v>5.9388355442083025E-3</v>
          </cell>
          <cell r="I16">
            <v>628.04957540912528</v>
          </cell>
          <cell r="J16">
            <v>483.86800994449675</v>
          </cell>
          <cell r="O16">
            <v>1018.7124017631629</v>
          </cell>
          <cell r="P16">
            <v>9.0168266585733958E-3</v>
          </cell>
          <cell r="R16">
            <v>630.25918617079151</v>
          </cell>
          <cell r="S16">
            <v>388.45321559237141</v>
          </cell>
        </row>
        <row r="17">
          <cell r="B17">
            <v>39819</v>
          </cell>
          <cell r="E17">
            <v>1020.570052300303</v>
          </cell>
          <cell r="F17">
            <v>5.3451224895167144E-3</v>
          </cell>
          <cell r="I17">
            <v>630.98069122580262</v>
          </cell>
          <cell r="J17">
            <v>486.9867013431255</v>
          </cell>
          <cell r="O17">
            <v>1027.8979549048004</v>
          </cell>
          <cell r="P17">
            <v>8.4241342945170234E-3</v>
          </cell>
          <cell r="R17">
            <v>635.51126219464447</v>
          </cell>
          <cell r="S17">
            <v>392.3866927101559</v>
          </cell>
        </row>
        <row r="18">
          <cell r="B18">
            <v>39820</v>
          </cell>
          <cell r="E18">
            <v>1027.2073598498903</v>
          </cell>
          <cell r="F18">
            <v>6.5035296054662527E-3</v>
          </cell>
          <cell r="I18">
            <v>630.98069122580262</v>
          </cell>
          <cell r="J18">
            <v>495.28333578010961</v>
          </cell>
          <cell r="O18">
            <v>1036.5571053179779</v>
          </cell>
          <cell r="P18">
            <v>1.0192325707203347E-2</v>
          </cell>
          <cell r="R18">
            <v>635.51126219464447</v>
          </cell>
          <cell r="S18">
            <v>401.04584312333338</v>
          </cell>
        </row>
        <row r="19">
          <cell r="B19">
            <v>39821</v>
          </cell>
          <cell r="E19">
            <v>1022.4814288414817</v>
          </cell>
          <cell r="F19">
            <v>-4.6007565688579019E-3</v>
          </cell>
          <cell r="I19">
            <v>636.37125275478161</v>
          </cell>
          <cell r="J19">
            <v>482.63772010837511</v>
          </cell>
          <cell r="O19">
            <v>1047.1220329494947</v>
          </cell>
          <cell r="P19">
            <v>-5.1564994762340697E-3</v>
          </cell>
          <cell r="R19">
            <v>648.70870862196819</v>
          </cell>
          <cell r="S19">
            <v>398.41332432752654</v>
          </cell>
        </row>
        <row r="20">
          <cell r="B20">
            <v>39822</v>
          </cell>
          <cell r="E20">
            <v>1013.0925792381097</v>
          </cell>
          <cell r="F20">
            <v>-9.1824157764997458E-3</v>
          </cell>
          <cell r="I20">
            <v>636.37125275478161</v>
          </cell>
          <cell r="J20">
            <v>470.90165810416011</v>
          </cell>
          <cell r="O20">
            <v>1041.7225487350374</v>
          </cell>
          <cell r="P20">
            <v>-1.166739164500875E-2</v>
          </cell>
          <cell r="R20">
            <v>648.70870862196819</v>
          </cell>
          <cell r="S20">
            <v>393.01384011306925</v>
          </cell>
        </row>
        <row r="21">
          <cell r="B21">
            <v>39823</v>
          </cell>
          <cell r="E21">
            <v>1013.1275861344683</v>
          </cell>
          <cell r="F21">
            <v>3.4554488973675211E-5</v>
          </cell>
          <cell r="I21">
            <v>636.37125275478161</v>
          </cell>
          <cell r="J21">
            <v>470.94541672460832</v>
          </cell>
          <cell r="O21">
            <v>1029.568363773509</v>
          </cell>
          <cell r="P21">
            <v>-3.7779561084387814E-6</v>
          </cell>
          <cell r="R21">
            <v>648.70870862196819</v>
          </cell>
          <cell r="S21">
            <v>380.85965515154078</v>
          </cell>
        </row>
        <row r="22">
          <cell r="B22">
            <v>39824</v>
          </cell>
          <cell r="E22">
            <v>1013.1695944100984</v>
          </cell>
          <cell r="F22">
            <v>4.1463954002466881E-5</v>
          </cell>
          <cell r="I22">
            <v>636.37125275478161</v>
          </cell>
          <cell r="J22">
            <v>470.99792706914599</v>
          </cell>
          <cell r="O22">
            <v>1029.56447410942</v>
          </cell>
          <cell r="P22">
            <v>-3.8745928098677495E-6</v>
          </cell>
          <cell r="R22">
            <v>648.70870862196819</v>
          </cell>
          <cell r="S22">
            <v>380.85576548745178</v>
          </cell>
        </row>
        <row r="23">
          <cell r="B23">
            <v>39825</v>
          </cell>
          <cell r="E23">
            <v>1006.2032220347406</v>
          </cell>
          <cell r="F23">
            <v>-6.8758206067305264E-3</v>
          </cell>
          <cell r="I23">
            <v>636.37125275478161</v>
          </cell>
          <cell r="J23">
            <v>462.28996159994881</v>
          </cell>
          <cell r="O23">
            <v>1029.5604849663114</v>
          </cell>
          <cell r="P23">
            <v>-8.000293938872409E-3</v>
          </cell>
          <cell r="R23">
            <v>648.70870862196819</v>
          </cell>
          <cell r="S23">
            <v>380.85177634434319</v>
          </cell>
        </row>
        <row r="24">
          <cell r="B24">
            <v>39826</v>
          </cell>
          <cell r="E24">
            <v>1009.4938702924472</v>
          </cell>
          <cell r="F24">
            <v>3.2703614793165438E-3</v>
          </cell>
          <cell r="I24">
            <v>636.37125275478161</v>
          </cell>
          <cell r="J24">
            <v>466.40327192208201</v>
          </cell>
          <cell r="O24">
            <v>1021.3236984587329</v>
          </cell>
          <cell r="P24">
            <v>4.5828913217896509E-3</v>
          </cell>
          <cell r="R24">
            <v>648.70870862196819</v>
          </cell>
          <cell r="S24">
            <v>372.61498983676472</v>
          </cell>
        </row>
        <row r="25">
          <cell r="B25">
            <v>39827</v>
          </cell>
          <cell r="E25">
            <v>1015.5010537075801</v>
          </cell>
          <cell r="F25">
            <v>5.950688351770401E-3</v>
          </cell>
          <cell r="I25">
            <v>636.37125275478161</v>
          </cell>
          <cell r="J25">
            <v>473.91225119099818</v>
          </cell>
          <cell r="O25">
            <v>1026.0043139731374</v>
          </cell>
          <cell r="P25">
            <v>7.0581344495926398E-3</v>
          </cell>
          <cell r="R25">
            <v>648.70870862196819</v>
          </cell>
          <cell r="S25">
            <v>377.29560535116923</v>
          </cell>
        </row>
        <row r="26">
          <cell r="B26">
            <v>39828</v>
          </cell>
          <cell r="E26">
            <v>994.6439448571366</v>
          </cell>
          <cell r="F26">
            <v>-2.0538736788400673E-2</v>
          </cell>
          <cell r="I26">
            <v>636.37125275478161</v>
          </cell>
          <cell r="J26">
            <v>447.84086512794374</v>
          </cell>
          <cell r="O26">
            <v>1033.2459903670217</v>
          </cell>
          <cell r="P26">
            <v>-2.5098414524667777E-2</v>
          </cell>
          <cell r="R26">
            <v>648.70870862196819</v>
          </cell>
          <cell r="S26">
            <v>384.53728174505352</v>
          </cell>
        </row>
        <row r="27">
          <cell r="B27">
            <v>39829</v>
          </cell>
          <cell r="E27">
            <v>1000.1820358610644</v>
          </cell>
          <cell r="F27">
            <v>5.5679130532717679E-3</v>
          </cell>
          <cell r="I27">
            <v>636.37125275478161</v>
          </cell>
          <cell r="J27">
            <v>454.76347888285346</v>
          </cell>
          <cell r="O27">
            <v>1007.3131541948393</v>
          </cell>
          <cell r="P27">
            <v>6.2840888308499637E-3</v>
          </cell>
          <cell r="R27">
            <v>648.70870862196819</v>
          </cell>
          <cell r="S27">
            <v>358.6044455728711</v>
          </cell>
        </row>
        <row r="28">
          <cell r="B28">
            <v>39830</v>
          </cell>
          <cell r="E28">
            <v>1000.2240441366947</v>
          </cell>
          <cell r="F28">
            <v>4.2000630009488241E-5</v>
          </cell>
          <cell r="I28">
            <v>636.37125275478161</v>
          </cell>
          <cell r="J28">
            <v>454.81598922739136</v>
          </cell>
          <cell r="O28">
            <v>1013.6431995362833</v>
          </cell>
          <cell r="P28">
            <v>-4.2570236481529626E-6</v>
          </cell>
          <cell r="R28">
            <v>648.70870862196819</v>
          </cell>
          <cell r="S28">
            <v>364.93449091431512</v>
          </cell>
        </row>
        <row r="29">
          <cell r="B29">
            <v>39831</v>
          </cell>
          <cell r="E29">
            <v>1000.2590510330534</v>
          </cell>
          <cell r="F29">
            <v>3.4999055025640777E-5</v>
          </cell>
          <cell r="I29">
            <v>636.37125275478161</v>
          </cell>
          <cell r="J29">
            <v>454.8597478478398</v>
          </cell>
          <cell r="O29">
            <v>1013.6388844332121</v>
          </cell>
          <cell r="P29">
            <v>-4.0605473196148762E-6</v>
          </cell>
          <cell r="R29">
            <v>648.70870862196819</v>
          </cell>
          <cell r="S29">
            <v>364.93017581124388</v>
          </cell>
        </row>
        <row r="30">
          <cell r="B30">
            <v>39832</v>
          </cell>
          <cell r="E30">
            <v>1006.0001820358607</v>
          </cell>
          <cell r="F30">
            <v>5.7396441420629043E-3</v>
          </cell>
          <cell r="I30">
            <v>636.37125275478161</v>
          </cell>
          <cell r="J30">
            <v>462.03616160134885</v>
          </cell>
          <cell r="O30">
            <v>1013.6347685045569</v>
          </cell>
          <cell r="P30">
            <v>7.0347015648967049E-3</v>
          </cell>
          <cell r="R30">
            <v>648.70870862196819</v>
          </cell>
          <cell r="S30">
            <v>364.92605988258867</v>
          </cell>
        </row>
        <row r="31">
          <cell r="B31">
            <v>39833</v>
          </cell>
          <cell r="E31">
            <v>998.61372690419978</v>
          </cell>
          <cell r="F31">
            <v>-7.3423993986887828E-3</v>
          </cell>
          <cell r="I31">
            <v>636.37125275478161</v>
          </cell>
          <cell r="J31">
            <v>452.80309268677274</v>
          </cell>
          <cell r="O31">
            <v>1020.7653865967894</v>
          </cell>
          <cell r="P31">
            <v>-9.7947614541677788E-3</v>
          </cell>
          <cell r="R31">
            <v>648.70870862196819</v>
          </cell>
          <cell r="S31">
            <v>372.05667797482124</v>
          </cell>
        </row>
        <row r="32">
          <cell r="B32">
            <v>39834</v>
          </cell>
          <cell r="E32">
            <v>993.46771313948818</v>
          </cell>
          <cell r="F32">
            <v>-5.1531574482405152E-3</v>
          </cell>
          <cell r="I32">
            <v>636.37125275478161</v>
          </cell>
          <cell r="J32">
            <v>446.37057548088319</v>
          </cell>
          <cell r="O32">
            <v>1010.7672331344025</v>
          </cell>
          <cell r="P32">
            <v>-6.8102176566696071E-3</v>
          </cell>
          <cell r="R32">
            <v>648.70870862196819</v>
          </cell>
          <cell r="S32">
            <v>362.05852451243436</v>
          </cell>
        </row>
        <row r="33">
          <cell r="B33">
            <v>39835</v>
          </cell>
          <cell r="E33">
            <v>997.70354759887664</v>
          </cell>
          <cell r="F33">
            <v>4.2636860799458338E-3</v>
          </cell>
          <cell r="I33">
            <v>636.37125275478161</v>
          </cell>
          <cell r="J33">
            <v>451.66536855511879</v>
          </cell>
          <cell r="O33">
            <v>1003.8836882765276</v>
          </cell>
          <cell r="P33">
            <v>4.3930235029486968E-3</v>
          </cell>
          <cell r="R33">
            <v>648.70870862196819</v>
          </cell>
          <cell r="S33">
            <v>355.17497965455937</v>
          </cell>
        </row>
        <row r="34">
          <cell r="B34">
            <v>39836</v>
          </cell>
          <cell r="E34">
            <v>991.55633659830949</v>
          </cell>
          <cell r="F34">
            <v>-6.1613602711560363E-3</v>
          </cell>
          <cell r="I34">
            <v>636.37125275478161</v>
          </cell>
          <cell r="J34">
            <v>443.98135480440988</v>
          </cell>
          <cell r="O34">
            <v>1008.2937729133532</v>
          </cell>
          <cell r="P34">
            <v>-7.7243875608555747E-3</v>
          </cell>
          <cell r="R34">
            <v>648.70870862196819</v>
          </cell>
          <cell r="S34">
            <v>359.58506429138504</v>
          </cell>
        </row>
        <row r="35">
          <cell r="B35">
            <v>39837</v>
          </cell>
          <cell r="E35">
            <v>991.59134349466797</v>
          </cell>
          <cell r="F35">
            <v>3.5304999893983271E-5</v>
          </cell>
          <cell r="I35">
            <v>636.37125275478161</v>
          </cell>
          <cell r="J35">
            <v>444.02511342485798</v>
          </cell>
          <cell r="O35">
            <v>1000.5053210361732</v>
          </cell>
          <cell r="P35">
            <v>-6.1556354949080178E-6</v>
          </cell>
          <cell r="R35">
            <v>648.70870862196819</v>
          </cell>
          <cell r="S35">
            <v>351.79661241420501</v>
          </cell>
        </row>
        <row r="36">
          <cell r="B36">
            <v>39838</v>
          </cell>
          <cell r="E36">
            <v>991.62635039102656</v>
          </cell>
          <cell r="F36">
            <v>3.5303753495084521E-5</v>
          </cell>
          <cell r="I36">
            <v>636.37125275478161</v>
          </cell>
          <cell r="J36">
            <v>444.06887204530619</v>
          </cell>
          <cell r="O36">
            <v>1000.4991622901063</v>
          </cell>
          <cell r="P36">
            <v>-5.7581749416530021E-6</v>
          </cell>
          <cell r="R36">
            <v>648.70870862196819</v>
          </cell>
          <cell r="S36">
            <v>351.79045366813807</v>
          </cell>
        </row>
        <row r="37">
          <cell r="B37">
            <v>39839</v>
          </cell>
          <cell r="E37">
            <v>991.66835866665701</v>
          </cell>
          <cell r="F37">
            <v>4.2363008621025342E-5</v>
          </cell>
          <cell r="I37">
            <v>636.37125275478161</v>
          </cell>
          <cell r="J37">
            <v>444.12138238984426</v>
          </cell>
          <cell r="O37">
            <v>1000.4934012409009</v>
          </cell>
          <cell r="P37">
            <v>-5.8579324819045506E-6</v>
          </cell>
          <cell r="R37">
            <v>648.70870862196819</v>
          </cell>
          <cell r="S37">
            <v>351.7846926189327</v>
          </cell>
        </row>
        <row r="38">
          <cell r="B38">
            <v>39840</v>
          </cell>
          <cell r="E38">
            <v>991.7033655630155</v>
          </cell>
          <cell r="F38">
            <v>3.5301011726894371E-5</v>
          </cell>
          <cell r="I38">
            <v>636.37125275478161</v>
          </cell>
          <cell r="J38">
            <v>444.16514101029236</v>
          </cell>
          <cell r="O38">
            <v>1000.4875404181079</v>
          </cell>
          <cell r="P38">
            <v>-6.0571523751163314E-6</v>
          </cell>
          <cell r="R38">
            <v>648.70870862196819</v>
          </cell>
          <cell r="S38">
            <v>351.77883179613968</v>
          </cell>
        </row>
        <row r="39">
          <cell r="B39">
            <v>39841</v>
          </cell>
          <cell r="E39">
            <v>1010.3620413221399</v>
          </cell>
          <cell r="F39">
            <v>1.881477506989343E-2</v>
          </cell>
          <cell r="I39">
            <v>636.37125275478161</v>
          </cell>
          <cell r="J39">
            <v>467.4884857091979</v>
          </cell>
          <cell r="O39">
            <v>1000.4814803126261</v>
          </cell>
          <cell r="P39">
            <v>2.3637024404798913E-2</v>
          </cell>
          <cell r="R39">
            <v>648.70870862196819</v>
          </cell>
          <cell r="S39">
            <v>351.77277169065792</v>
          </cell>
        </row>
        <row r="40">
          <cell r="B40">
            <v>39842</v>
          </cell>
          <cell r="E40">
            <v>1012.1473930364277</v>
          </cell>
          <cell r="F40">
            <v>1.7670415566597522E-3</v>
          </cell>
          <cell r="I40">
            <v>636.37125275478161</v>
          </cell>
          <cell r="J40">
            <v>469.72017535205765</v>
          </cell>
          <cell r="O40">
            <v>1024.1298854793251</v>
          </cell>
          <cell r="P40">
            <v>1.9316831788846515E-3</v>
          </cell>
          <cell r="R40">
            <v>648.70870862196819</v>
          </cell>
          <cell r="S40">
            <v>375.42117685735695</v>
          </cell>
        </row>
        <row r="41">
          <cell r="B41">
            <v>39843</v>
          </cell>
          <cell r="E41">
            <v>1008.1986151271796</v>
          </cell>
          <cell r="F41">
            <v>-3.9013862372375445E-3</v>
          </cell>
          <cell r="I41">
            <v>636.37125275478161</v>
          </cell>
          <cell r="J41">
            <v>464.78420296549746</v>
          </cell>
          <cell r="O41">
            <v>1026.1081799520987</v>
          </cell>
          <cell r="P41">
            <v>-4.7767501947019115E-3</v>
          </cell>
          <cell r="R41">
            <v>648.70870862196819</v>
          </cell>
          <cell r="S41">
            <v>377.3994713301305</v>
          </cell>
        </row>
        <row r="42">
          <cell r="B42">
            <v>39844</v>
          </cell>
          <cell r="E42">
            <v>1008.233622023538</v>
          </cell>
          <cell r="F42">
            <v>3.4722222222122171E-5</v>
          </cell>
          <cell r="I42">
            <v>636.37125275478161</v>
          </cell>
          <cell r="J42">
            <v>464.82796158594556</v>
          </cell>
          <cell r="O42">
            <v>1021.2067175037273</v>
          </cell>
          <cell r="P42">
            <v>-3.6967748940370904E-6</v>
          </cell>
          <cell r="R42">
            <v>648.70870862196819</v>
          </cell>
          <cell r="S42">
            <v>372.49800888175912</v>
          </cell>
        </row>
        <row r="43">
          <cell r="B43">
            <v>39845</v>
          </cell>
          <cell r="E43">
            <v>1008.2756302991683</v>
          </cell>
          <cell r="F43">
            <v>4.1665219957565415E-5</v>
          </cell>
          <cell r="I43">
            <v>636.37125275478161</v>
          </cell>
          <cell r="J43">
            <v>464.88047193048328</v>
          </cell>
          <cell r="O43">
            <v>1021.2029423323723</v>
          </cell>
          <cell r="P43">
            <v>-3.5993509395201568E-6</v>
          </cell>
          <cell r="R43">
            <v>648.70870862196819</v>
          </cell>
          <cell r="S43">
            <v>372.49423371040416</v>
          </cell>
        </row>
        <row r="44">
          <cell r="B44">
            <v>39846</v>
          </cell>
          <cell r="E44">
            <v>1000.4550896526609</v>
          </cell>
          <cell r="F44">
            <v>-7.7563519453374636E-3</v>
          </cell>
          <cell r="I44">
            <v>636.37125275478161</v>
          </cell>
          <cell r="J44">
            <v>455.10479612234917</v>
          </cell>
          <cell r="O44">
            <v>1021.1992666646024</v>
          </cell>
          <cell r="P44">
            <v>-9.4915603075281709E-3</v>
          </cell>
          <cell r="R44">
            <v>648.70870862196819</v>
          </cell>
          <cell r="S44">
            <v>372.49055804263423</v>
          </cell>
        </row>
        <row r="45">
          <cell r="B45">
            <v>39847</v>
          </cell>
          <cell r="E45">
            <v>1003.8297544616283</v>
          </cell>
          <cell r="F45">
            <v>3.3731297325290386E-3</v>
          </cell>
          <cell r="I45">
            <v>636.37125275478161</v>
          </cell>
          <cell r="J45">
            <v>459.32312713355839</v>
          </cell>
          <cell r="O45">
            <v>1011.5064922390518</v>
          </cell>
          <cell r="P45">
            <v>4.2328271673281268E-3</v>
          </cell>
          <cell r="R45">
            <v>648.70870862196819</v>
          </cell>
          <cell r="S45">
            <v>362.79778361708361</v>
          </cell>
        </row>
        <row r="46">
          <cell r="B46">
            <v>39848</v>
          </cell>
          <cell r="E46">
            <v>1013.9467475092587</v>
          </cell>
          <cell r="F46">
            <v>1.0078395268385179E-2</v>
          </cell>
          <cell r="I46">
            <v>636.37125275478161</v>
          </cell>
          <cell r="J46">
            <v>471.9693684430963</v>
          </cell>
          <cell r="O46">
            <v>1015.7880243993301</v>
          </cell>
          <cell r="P46">
            <v>1.221754245784547E-2</v>
          </cell>
          <cell r="R46">
            <v>648.70870862196819</v>
          </cell>
          <cell r="S46">
            <v>367.0793157773619</v>
          </cell>
        </row>
        <row r="47">
          <cell r="B47">
            <v>39838</v>
          </cell>
          <cell r="E47">
            <v>1008.5906923663955</v>
          </cell>
          <cell r="F47">
            <v>-5.2823830798019913E-3</v>
          </cell>
          <cell r="I47">
            <v>636.37125275478161</v>
          </cell>
          <cell r="J47">
            <v>465.27429951451734</v>
          </cell>
          <cell r="O47">
            <v>1028.1984577155999</v>
          </cell>
          <cell r="P47">
            <v>-5.4002320256350079E-6</v>
          </cell>
          <cell r="R47">
            <v>648.70870862196819</v>
          </cell>
          <cell r="S47">
            <v>379.48974909363176</v>
          </cell>
        </row>
        <row r="48">
          <cell r="B48">
            <v>39839</v>
          </cell>
          <cell r="E48">
            <v>1019.4778371339147</v>
          </cell>
          <cell r="F48">
            <v>1.0794413283723006E-2</v>
          </cell>
          <cell r="I48">
            <v>636.37125275478161</v>
          </cell>
          <cell r="J48">
            <v>478.88323047391634</v>
          </cell>
          <cell r="O48">
            <v>1028.1929052053599</v>
          </cell>
          <cell r="P48">
            <v>-5.4968077810470338E-6</v>
          </cell>
          <cell r="R48">
            <v>648.70870862196819</v>
          </cell>
          <cell r="S48">
            <v>379.48419658339174</v>
          </cell>
        </row>
        <row r="49">
          <cell r="B49">
            <v>39840</v>
          </cell>
          <cell r="E49">
            <v>1019.519845409545</v>
          </cell>
          <cell r="F49">
            <v>4.1205678142485427E-5</v>
          </cell>
          <cell r="I49">
            <v>636.37125275478161</v>
          </cell>
          <cell r="J49">
            <v>478.93574081845429</v>
          </cell>
          <cell r="O49">
            <v>1028.1872534265981</v>
          </cell>
          <cell r="P49">
            <v>-5.6896776103695586E-6</v>
          </cell>
          <cell r="R49">
            <v>648.70870862196819</v>
          </cell>
          <cell r="S49">
            <v>379.47854480462991</v>
          </cell>
        </row>
        <row r="50">
          <cell r="B50">
            <v>39841</v>
          </cell>
          <cell r="E50">
            <v>1019.5618536851753</v>
          </cell>
          <cell r="F50">
            <v>4.1203980304423295E-5</v>
          </cell>
          <cell r="I50">
            <v>636.37125275478161</v>
          </cell>
          <cell r="J50">
            <v>478.98825116299207</v>
          </cell>
          <cell r="O50">
            <v>1028.181403372603</v>
          </cell>
          <cell r="P50">
            <v>2.4763121769555075E-2</v>
          </cell>
          <cell r="R50">
            <v>648.70870862196819</v>
          </cell>
          <cell r="S50">
            <v>379.47269475063479</v>
          </cell>
        </row>
        <row r="51">
          <cell r="B51">
            <v>39842</v>
          </cell>
          <cell r="E51">
            <v>1017.2864054218675</v>
          </cell>
          <cell r="F51">
            <v>-2.2317903078496472E-3</v>
          </cell>
          <cell r="I51">
            <v>636.37125275478161</v>
          </cell>
          <cell r="J51">
            <v>476.1439408338573</v>
          </cell>
          <cell r="O51">
            <v>1053.6423846655107</v>
          </cell>
          <cell r="P51">
            <v>2.1153552930766881E-3</v>
          </cell>
          <cell r="R51">
            <v>648.70870862196819</v>
          </cell>
          <cell r="S51">
            <v>404.9336760435425</v>
          </cell>
        </row>
        <row r="52">
          <cell r="B52">
            <v>39843</v>
          </cell>
          <cell r="E52">
            <v>1015.3540247428737</v>
          </cell>
          <cell r="F52">
            <v>-1.8995443846440206E-3</v>
          </cell>
          <cell r="I52">
            <v>636.37125275478161</v>
          </cell>
          <cell r="J52">
            <v>473.72846498511507</v>
          </cell>
          <cell r="O52">
            <v>1055.8712126609228</v>
          </cell>
          <cell r="P52">
            <v>-4.8065902426331422E-3</v>
          </cell>
          <cell r="R52">
            <v>648.70870862196819</v>
          </cell>
          <cell r="S52">
            <v>407.16250403895458</v>
          </cell>
        </row>
        <row r="53">
          <cell r="B53">
            <v>39844</v>
          </cell>
          <cell r="E53">
            <v>1012.9455502734032</v>
          </cell>
          <cell r="F53">
            <v>-2.372053895271013E-3</v>
          </cell>
          <cell r="I53">
            <v>636.37125275478161</v>
          </cell>
          <cell r="J53">
            <v>470.71787189827705</v>
          </cell>
          <cell r="O53">
            <v>1050.7960723926694</v>
          </cell>
          <cell r="P53">
            <v>-3.3901052365930576E-6</v>
          </cell>
          <cell r="R53">
            <v>648.70870862196819</v>
          </cell>
          <cell r="S53">
            <v>402.08736377070124</v>
          </cell>
        </row>
        <row r="54">
          <cell r="B54">
            <v>39845</v>
          </cell>
          <cell r="E54">
            <v>1010.3270344257812</v>
          </cell>
          <cell r="F54">
            <v>-2.5850509407097403E-3</v>
          </cell>
          <cell r="I54">
            <v>636.37125275478161</v>
          </cell>
          <cell r="J54">
            <v>467.44472708874952</v>
          </cell>
          <cell r="O54">
            <v>1050.7925100834018</v>
          </cell>
          <cell r="P54">
            <v>-3.2959341904865753E-6</v>
          </cell>
          <cell r="R54">
            <v>648.70870862196819</v>
          </cell>
          <cell r="S54">
            <v>402.08380146143361</v>
          </cell>
        </row>
        <row r="55">
          <cell r="B55">
            <v>39846</v>
          </cell>
          <cell r="E55">
            <v>1015.1719888818091</v>
          </cell>
          <cell r="F55">
            <v>4.7954318660605403E-3</v>
          </cell>
          <cell r="I55">
            <v>636.37125275478161</v>
          </cell>
          <cell r="J55">
            <v>473.50092015878431</v>
          </cell>
          <cell r="O55">
            <v>1050.7890467404407</v>
          </cell>
          <cell r="P55">
            <v>-9.6372775796621998E-3</v>
          </cell>
          <cell r="R55">
            <v>648.70870862196819</v>
          </cell>
          <cell r="S55">
            <v>402.08033811847247</v>
          </cell>
        </row>
        <row r="56">
          <cell r="B56">
            <v>39847</v>
          </cell>
          <cell r="E56">
            <v>1015.2139971574393</v>
          </cell>
          <cell r="F56">
            <v>4.1380451874460037E-5</v>
          </cell>
          <cell r="I56">
            <v>636.37125275478161</v>
          </cell>
          <cell r="J56">
            <v>473.55343050332209</v>
          </cell>
          <cell r="O56">
            <v>1040.6623010193343</v>
          </cell>
          <cell r="P56">
            <v>4.5776965444005169E-3</v>
          </cell>
          <cell r="R56">
            <v>648.70870862196819</v>
          </cell>
          <cell r="S56">
            <v>391.95359239736615</v>
          </cell>
        </row>
        <row r="57">
          <cell r="B57">
            <v>39848</v>
          </cell>
          <cell r="E57">
            <v>1015.2490040537979</v>
          </cell>
          <cell r="F57">
            <v>3.4482283003005693E-5</v>
          </cell>
          <cell r="I57">
            <v>636.37125275478161</v>
          </cell>
          <cell r="J57">
            <v>473.59718912377036</v>
          </cell>
          <cell r="O57">
            <v>1045.4261372385984</v>
          </cell>
          <cell r="P57">
            <v>1.2720094175706624E-2</v>
          </cell>
          <cell r="R57">
            <v>648.70870862196819</v>
          </cell>
          <cell r="S57">
            <v>396.71742861663017</v>
          </cell>
        </row>
        <row r="58">
          <cell r="B58">
            <v>39849</v>
          </cell>
          <cell r="E58">
            <v>1008.7727282274601</v>
          </cell>
          <cell r="F58">
            <v>-6.3790023929879104E-3</v>
          </cell>
          <cell r="I58">
            <v>636.37125275478161</v>
          </cell>
          <cell r="J58">
            <v>465.50184434084815</v>
          </cell>
          <cell r="O58">
            <v>1058.7240561580186</v>
          </cell>
          <cell r="P58">
            <v>-5.9039473547660469E-3</v>
          </cell>
          <cell r="R58">
            <v>648.70870862196819</v>
          </cell>
          <cell r="S58">
            <v>410.0153475360504</v>
          </cell>
        </row>
        <row r="59">
          <cell r="B59">
            <v>39850</v>
          </cell>
          <cell r="E59">
            <v>993.21566348570605</v>
          </cell>
          <cell r="F59">
            <v>-1.5421773712191616E-2</v>
          </cell>
          <cell r="I59">
            <v>636.37125275478161</v>
          </cell>
          <cell r="J59">
            <v>446.05551341365555</v>
          </cell>
          <cell r="O59">
            <v>1052.4734050672373</v>
          </cell>
          <cell r="P59">
            <v>1.4282043028915449E-2</v>
          </cell>
          <cell r="R59">
            <v>648.70870862196819</v>
          </cell>
          <cell r="S59">
            <v>403.76469644526912</v>
          </cell>
        </row>
        <row r="60">
          <cell r="B60">
            <v>39851</v>
          </cell>
          <cell r="E60">
            <v>989.73597798766309</v>
          </cell>
          <cell r="F60">
            <v>-3.5034541096854465E-3</v>
          </cell>
          <cell r="I60">
            <v>636.37125275478161</v>
          </cell>
          <cell r="J60">
            <v>441.70590654110185</v>
          </cell>
          <cell r="O60">
            <v>1067.5048755251967</v>
          </cell>
          <cell r="P60">
            <v>-1.5051051401787898E-6</v>
          </cell>
          <cell r="R60">
            <v>648.70870862196819</v>
          </cell>
          <cell r="S60">
            <v>418.79616690322848</v>
          </cell>
        </row>
        <row r="61">
          <cell r="B61">
            <v>39852</v>
          </cell>
          <cell r="E61">
            <v>989.84099867673888</v>
          </cell>
          <cell r="F61">
            <v>1.0610980242358673E-4</v>
          </cell>
          <cell r="I61">
            <v>636.37125275478161</v>
          </cell>
          <cell r="J61">
            <v>441.83718240244662</v>
          </cell>
          <cell r="O61">
            <v>1067.5032688181213</v>
          </cell>
          <cell r="P61">
            <v>-1.5983426939078476E-6</v>
          </cell>
          <cell r="R61">
            <v>648.70870862196819</v>
          </cell>
          <cell r="S61">
            <v>418.79456019615316</v>
          </cell>
        </row>
        <row r="62">
          <cell r="B62">
            <v>39853</v>
          </cell>
          <cell r="E62">
            <v>978.26071736131973</v>
          </cell>
          <cell r="F62">
            <v>-1.1699132821231036E-2</v>
          </cell>
          <cell r="I62">
            <v>636.37125275478161</v>
          </cell>
          <cell r="J62">
            <v>427.36183075817269</v>
          </cell>
          <cell r="O62">
            <v>1067.5015625820708</v>
          </cell>
          <cell r="P62">
            <v>-2.8578532868077182E-3</v>
          </cell>
          <cell r="R62">
            <v>648.70870862196819</v>
          </cell>
          <cell r="S62">
            <v>418.79285396010266</v>
          </cell>
        </row>
        <row r="63">
          <cell r="B63">
            <v>39854</v>
          </cell>
          <cell r="E63">
            <v>978.30272563694996</v>
          </cell>
          <cell r="F63">
            <v>4.2941799547602464E-5</v>
          </cell>
          <cell r="I63">
            <v>636.37125275478161</v>
          </cell>
          <cell r="J63">
            <v>427.41434110271041</v>
          </cell>
          <cell r="O63">
            <v>1064.4507997327732</v>
          </cell>
          <cell r="P63">
            <v>-1.8626544935021602E-3</v>
          </cell>
          <cell r="R63">
            <v>648.70870862196819</v>
          </cell>
          <cell r="S63">
            <v>415.74209111080506</v>
          </cell>
        </row>
        <row r="64">
          <cell r="B64">
            <v>39855</v>
          </cell>
          <cell r="E64">
            <v>978.3447339125803</v>
          </cell>
          <cell r="F64">
            <v>4.2939955628751482E-5</v>
          </cell>
          <cell r="I64">
            <v>636.37125275478161</v>
          </cell>
          <cell r="J64">
            <v>427.46685144724836</v>
          </cell>
          <cell r="O64">
            <v>1062.468095667539</v>
          </cell>
          <cell r="P64">
            <v>-2.9559879431118618E-3</v>
          </cell>
          <cell r="R64">
            <v>648.70870862196819</v>
          </cell>
          <cell r="S64">
            <v>413.75938704557086</v>
          </cell>
        </row>
        <row r="65">
          <cell r="B65">
            <v>39856</v>
          </cell>
          <cell r="E65">
            <v>987.87361110138659</v>
          </cell>
          <cell r="F65">
            <v>9.7397950420794535E-3</v>
          </cell>
          <cell r="I65">
            <v>636.37125275478161</v>
          </cell>
          <cell r="J65">
            <v>439.37794793325622</v>
          </cell>
          <cell r="O65">
            <v>1059.3274527868048</v>
          </cell>
          <cell r="P65">
            <v>-2.9666725334515469E-3</v>
          </cell>
          <cell r="R65">
            <v>648.70870862196819</v>
          </cell>
          <cell r="S65">
            <v>410.61874416483658</v>
          </cell>
        </row>
        <row r="66">
          <cell r="B66">
            <v>39857</v>
          </cell>
          <cell r="E66">
            <v>978.25371598204811</v>
          </cell>
          <cell r="F66">
            <v>-9.737981672182941E-3</v>
          </cell>
          <cell r="I66">
            <v>636.37125275478161</v>
          </cell>
          <cell r="J66">
            <v>427.35307903408312</v>
          </cell>
          <cell r="O66">
            <v>1056.1847751286909</v>
          </cell>
          <cell r="P66">
            <v>5.0428276400365443E-3</v>
          </cell>
          <cell r="R66">
            <v>648.70870862196819</v>
          </cell>
          <cell r="S66">
            <v>407.47606650672276</v>
          </cell>
        </row>
        <row r="67">
          <cell r="B67">
            <v>39858</v>
          </cell>
          <cell r="E67">
            <v>978.58278080781895</v>
          </cell>
          <cell r="F67">
            <v>3.3637983724958454E-4</v>
          </cell>
          <cell r="I67">
            <v>636.37125275478161</v>
          </cell>
          <cell r="J67">
            <v>427.7644100662967</v>
          </cell>
          <cell r="O67">
            <v>1061.5109329056957</v>
          </cell>
          <cell r="P67">
            <v>-5.0424329270092148E-6</v>
          </cell>
          <cell r="R67">
            <v>648.70870862196819</v>
          </cell>
          <cell r="S67">
            <v>412.80222428372747</v>
          </cell>
        </row>
        <row r="68">
          <cell r="B68">
            <v>39859</v>
          </cell>
          <cell r="E68">
            <v>976.98646633386761</v>
          </cell>
          <cell r="F68">
            <v>-1.6312513414895595E-3</v>
          </cell>
          <cell r="I68">
            <v>636.37125275478161</v>
          </cell>
          <cell r="J68">
            <v>425.7690169738575</v>
          </cell>
          <cell r="O68">
            <v>1061.5055803080152</v>
          </cell>
          <cell r="P68">
            <v>-4.9495964685784222E-6</v>
          </cell>
          <cell r="R68">
            <v>648.70870862196819</v>
          </cell>
          <cell r="S68">
            <v>412.79687168604698</v>
          </cell>
        </row>
        <row r="69">
          <cell r="B69">
            <v>39860</v>
          </cell>
          <cell r="E69">
            <v>979.50696287168557</v>
          </cell>
          <cell r="F69">
            <v>2.5798684267102504E-3</v>
          </cell>
          <cell r="I69">
            <v>636.37125275478161</v>
          </cell>
          <cell r="J69">
            <v>428.91963764612996</v>
          </cell>
          <cell r="O69">
            <v>1061.5003262837436</v>
          </cell>
          <cell r="P69">
            <v>-7.7716806221635451E-3</v>
          </cell>
          <cell r="R69">
            <v>648.70870862196819</v>
          </cell>
          <cell r="S69">
            <v>412.79161766177538</v>
          </cell>
        </row>
        <row r="70">
          <cell r="B70">
            <v>39861</v>
          </cell>
          <cell r="E70">
            <v>979.5489711473158</v>
          </cell>
          <cell r="F70">
            <v>4.288716387177599E-5</v>
          </cell>
          <cell r="I70">
            <v>636.37125275478161</v>
          </cell>
          <cell r="J70">
            <v>428.97214799066774</v>
          </cell>
          <cell r="O70">
            <v>1053.250684767544</v>
          </cell>
          <cell r="P70">
            <v>-1.8808177434474271E-2</v>
          </cell>
          <cell r="R70">
            <v>648.70870862196819</v>
          </cell>
          <cell r="S70">
            <v>404.54197614557586</v>
          </cell>
        </row>
        <row r="71">
          <cell r="B71">
            <v>39862</v>
          </cell>
          <cell r="E71">
            <v>979.58397804367462</v>
          </cell>
          <cell r="F71">
            <v>3.5737770535168149E-5</v>
          </cell>
          <cell r="I71">
            <v>636.37125275478161</v>
          </cell>
          <cell r="J71">
            <v>429.01590661111629</v>
          </cell>
          <cell r="O71">
            <v>1033.4409590054545</v>
          </cell>
          <cell r="P71">
            <v>-4.8070400469727992E-3</v>
          </cell>
          <cell r="R71">
            <v>648.70870862196819</v>
          </cell>
          <cell r="S71">
            <v>384.7322503834863</v>
          </cell>
        </row>
        <row r="72">
          <cell r="B72">
            <v>39863</v>
          </cell>
          <cell r="E72">
            <v>968.92087741285025</v>
          </cell>
          <cell r="F72">
            <v>-1.0885335887301497E-2</v>
          </cell>
          <cell r="I72">
            <v>636.37125275478161</v>
          </cell>
          <cell r="J72">
            <v>415.68703082258583</v>
          </cell>
          <cell r="O72">
            <v>1028.4731669293333</v>
          </cell>
          <cell r="P72">
            <v>-5.5300836004177571E-4</v>
          </cell>
          <cell r="R72">
            <v>648.70870862196819</v>
          </cell>
          <cell r="S72">
            <v>379.76445830736509</v>
          </cell>
        </row>
        <row r="73">
          <cell r="B73">
            <v>39864</v>
          </cell>
          <cell r="E73">
            <v>973.18471738932556</v>
          </cell>
          <cell r="F73">
            <v>4.4006069802730845E-3</v>
          </cell>
          <cell r="I73">
            <v>636.37125275478161</v>
          </cell>
          <cell r="J73">
            <v>421.01683079317991</v>
          </cell>
          <cell r="O73">
            <v>1027.9044126699428</v>
          </cell>
          <cell r="P73">
            <v>-1.532461192009724E-2</v>
          </cell>
          <cell r="R73">
            <v>648.70870862196819</v>
          </cell>
          <cell r="S73">
            <v>379.19570404797457</v>
          </cell>
        </row>
        <row r="74">
          <cell r="B74">
            <v>39865</v>
          </cell>
          <cell r="E74">
            <v>981.47435044703775</v>
          </cell>
          <cell r="F74">
            <v>8.518046892423508E-3</v>
          </cell>
          <cell r="I74">
            <v>636.37125275478161</v>
          </cell>
          <cell r="J74">
            <v>431.37887211532018</v>
          </cell>
          <cell r="O74">
            <v>1012.1521764548204</v>
          </cell>
          <cell r="P74">
            <v>-1.6784442239155714E-6</v>
          </cell>
          <cell r="R74">
            <v>648.70870862196819</v>
          </cell>
          <cell r="S74">
            <v>363.44346783285221</v>
          </cell>
        </row>
        <row r="75">
          <cell r="B75">
            <v>39866</v>
          </cell>
          <cell r="E75">
            <v>981.38333251650556</v>
          </cell>
          <cell r="F75">
            <v>-9.2735923756675373E-5</v>
          </cell>
          <cell r="I75">
            <v>636.37125275478161</v>
          </cell>
          <cell r="J75">
            <v>431.26509970215494</v>
          </cell>
          <cell r="O75">
            <v>1012.1504776138461</v>
          </cell>
          <cell r="P75">
            <v>-1.5791364402764172E-6</v>
          </cell>
          <cell r="R75">
            <v>648.70870862196819</v>
          </cell>
          <cell r="S75">
            <v>363.44176899187789</v>
          </cell>
        </row>
        <row r="76">
          <cell r="B76">
            <v>39867</v>
          </cell>
          <cell r="E76">
            <v>981.09627596636517</v>
          </cell>
          <cell r="F76">
            <v>-2.9250196190341735E-4</v>
          </cell>
          <cell r="I76">
            <v>636.37125275478161</v>
          </cell>
          <cell r="J76">
            <v>430.90627901447942</v>
          </cell>
          <cell r="O76">
            <v>1012.1488792901438</v>
          </cell>
          <cell r="P76">
            <v>1.2842895711148029E-2</v>
          </cell>
          <cell r="R76">
            <v>648.70870862196819</v>
          </cell>
          <cell r="S76">
            <v>363.4401706681756</v>
          </cell>
        </row>
        <row r="77">
          <cell r="B77">
            <v>39868</v>
          </cell>
          <cell r="E77">
            <v>981.14528562126702</v>
          </cell>
          <cell r="F77">
            <v>4.9953970983712014E-5</v>
          </cell>
          <cell r="I77">
            <v>636.37125275478161</v>
          </cell>
          <cell r="J77">
            <v>430.96754108310677</v>
          </cell>
          <cell r="O77">
            <v>1025.1478017910224</v>
          </cell>
          <cell r="P77">
            <v>-1.3514687564300942E-2</v>
          </cell>
          <cell r="R77">
            <v>648.70870862196819</v>
          </cell>
          <cell r="S77">
            <v>376.43909316905422</v>
          </cell>
        </row>
        <row r="78">
          <cell r="B78">
            <v>39869</v>
          </cell>
          <cell r="E78">
            <v>981.18729389689736</v>
          </cell>
          <cell r="F78">
            <v>4.2815550608019664E-5</v>
          </cell>
          <cell r="I78">
            <v>636.37125275478161</v>
          </cell>
          <cell r="J78">
            <v>431.02005142764472</v>
          </cell>
          <cell r="O78">
            <v>1011.2932495425868</v>
          </cell>
          <cell r="P78">
            <v>1.1310863064936062E-3</v>
          </cell>
          <cell r="R78">
            <v>648.70870862196819</v>
          </cell>
          <cell r="S78">
            <v>362.58454092061856</v>
          </cell>
        </row>
        <row r="79">
          <cell r="B79">
            <v>39870</v>
          </cell>
          <cell r="E79">
            <v>985.23409111594958</v>
          </cell>
          <cell r="F79">
            <v>4.1243881206205861E-3</v>
          </cell>
          <cell r="I79">
            <v>636.37125275478161</v>
          </cell>
          <cell r="J79">
            <v>436.07854795146</v>
          </cell>
          <cell r="O79">
            <v>1012.4371094889937</v>
          </cell>
          <cell r="P79">
            <v>-2.9526120413133159E-3</v>
          </cell>
          <cell r="R79">
            <v>648.70870862196819</v>
          </cell>
          <cell r="S79">
            <v>363.72840086702547</v>
          </cell>
        </row>
        <row r="80">
          <cell r="B80">
            <v>39871</v>
          </cell>
          <cell r="E80">
            <v>992.38950073164392</v>
          </cell>
          <cell r="F80">
            <v>7.2626492325185256E-3</v>
          </cell>
          <cell r="I80">
            <v>636.37125275478161</v>
          </cell>
          <cell r="J80">
            <v>445.02280997107789</v>
          </cell>
          <cell r="O80">
            <v>1009.447775488444</v>
          </cell>
          <cell r="P80">
            <v>3.5078211193682223E-3</v>
          </cell>
          <cell r="R80">
            <v>648.70870862196819</v>
          </cell>
          <cell r="S80">
            <v>360.73906686647581</v>
          </cell>
        </row>
        <row r="81">
          <cell r="B81">
            <v>39872</v>
          </cell>
          <cell r="E81">
            <v>1000.7491475820734</v>
          </cell>
          <cell r="F81">
            <v>8.4237558380719554E-3</v>
          </cell>
          <cell r="I81">
            <v>636.37125275478161</v>
          </cell>
          <cell r="J81">
            <v>455.47236853411476</v>
          </cell>
          <cell r="O81">
            <v>1012.9887377142016</v>
          </cell>
          <cell r="P81">
            <v>-1.6525452304308338E-6</v>
          </cell>
          <cell r="R81">
            <v>648.70870862196819</v>
          </cell>
          <cell r="S81">
            <v>364.28002909223346</v>
          </cell>
        </row>
        <row r="82">
          <cell r="B82">
            <v>39873</v>
          </cell>
          <cell r="E82">
            <v>1001.9113765411784</v>
          </cell>
          <cell r="F82">
            <v>1.1613589298707047E-3</v>
          </cell>
          <cell r="I82">
            <v>636.37125275478161</v>
          </cell>
          <cell r="J82">
            <v>456.92515473299591</v>
          </cell>
          <cell r="O82">
            <v>1012.9870637044946</v>
          </cell>
          <cell r="P82">
            <v>-1.8507673641858415E-6</v>
          </cell>
          <cell r="R82">
            <v>648.70870862196819</v>
          </cell>
          <cell r="S82">
            <v>364.27835508252645</v>
          </cell>
        </row>
        <row r="83">
          <cell r="B83">
            <v>39874</v>
          </cell>
          <cell r="E83">
            <v>999.85297103529365</v>
          </cell>
          <cell r="F83">
            <v>-2.054478623639131E-3</v>
          </cell>
          <cell r="I83">
            <v>636.37125275478161</v>
          </cell>
          <cell r="J83">
            <v>454.35214785064005</v>
          </cell>
          <cell r="O83">
            <v>1012.9851889010969</v>
          </cell>
          <cell r="P83">
            <v>-1.5190959004008452E-2</v>
          </cell>
          <cell r="R83">
            <v>648.70870862196819</v>
          </cell>
          <cell r="S83">
            <v>364.27648027912869</v>
          </cell>
        </row>
        <row r="84">
          <cell r="B84">
            <v>39875</v>
          </cell>
          <cell r="E84">
            <v>999.8949793109241</v>
          </cell>
          <cell r="F84">
            <v>4.2014452971974126E-5</v>
          </cell>
          <cell r="I84">
            <v>636.37125275478161</v>
          </cell>
          <cell r="J84">
            <v>454.40465819517811</v>
          </cell>
          <cell r="O84">
            <v>997.59697242483253</v>
          </cell>
          <cell r="P84">
            <v>5.1674486356344035E-3</v>
          </cell>
          <cell r="R84">
            <v>648.70870862196819</v>
          </cell>
          <cell r="S84">
            <v>348.88826380286434</v>
          </cell>
        </row>
        <row r="85">
          <cell r="B85">
            <v>39876</v>
          </cell>
          <cell r="E85">
            <v>999.93698758655444</v>
          </cell>
          <cell r="F85">
            <v>4.2012687831763291E-5</v>
          </cell>
          <cell r="I85">
            <v>636.37125275478161</v>
          </cell>
          <cell r="J85">
            <v>454.45716853971601</v>
          </cell>
          <cell r="O85">
            <v>1002.7520035389022</v>
          </cell>
          <cell r="P85">
            <v>1.2407445738177128E-2</v>
          </cell>
          <cell r="R85">
            <v>648.70870862196819</v>
          </cell>
          <cell r="S85">
            <v>354.04329491693397</v>
          </cell>
        </row>
        <row r="86">
          <cell r="B86">
            <v>39877</v>
          </cell>
          <cell r="E86">
            <v>998.74675311036265</v>
          </cell>
          <cell r="F86">
            <v>-1.1903094804649014E-3</v>
          </cell>
          <cell r="I86">
            <v>636.37125275478161</v>
          </cell>
          <cell r="J86">
            <v>452.96937544447633</v>
          </cell>
          <cell r="O86">
            <v>1015.1935946116595</v>
          </cell>
          <cell r="P86">
            <v>-9.4884206679590226E-5</v>
          </cell>
          <cell r="R86">
            <v>648.70870862196819</v>
          </cell>
          <cell r="S86">
            <v>366.48488598969129</v>
          </cell>
        </row>
        <row r="87">
          <cell r="B87">
            <v>39878</v>
          </cell>
          <cell r="E87">
            <v>1011.1812026969311</v>
          </cell>
          <cell r="F87">
            <v>1.2450052576235451E-2</v>
          </cell>
          <cell r="I87">
            <v>636.37125275478161</v>
          </cell>
          <cell r="J87">
            <v>468.5124374276869</v>
          </cell>
          <cell r="O87">
            <v>1015.0972687728085</v>
          </cell>
          <cell r="P87">
            <v>-1.5411939072314121E-4</v>
          </cell>
          <cell r="R87">
            <v>648.70870862196819</v>
          </cell>
          <cell r="S87">
            <v>366.38856015084036</v>
          </cell>
        </row>
        <row r="88">
          <cell r="B88">
            <v>39879</v>
          </cell>
          <cell r="E88">
            <v>1012.0773792437108</v>
          </cell>
          <cell r="F88">
            <v>8.86267015634246E-4</v>
          </cell>
          <cell r="I88">
            <v>636.37125275478161</v>
          </cell>
          <cell r="J88">
            <v>469.63265811116145</v>
          </cell>
          <cell r="O88">
            <v>1014.9408226002205</v>
          </cell>
          <cell r="P88">
            <v>-3.6696500562805728E-6</v>
          </cell>
          <cell r="R88">
            <v>648.70870862196819</v>
          </cell>
          <cell r="S88">
            <v>366.2321139782523</v>
          </cell>
        </row>
        <row r="89">
          <cell r="B89">
            <v>39880</v>
          </cell>
          <cell r="E89">
            <v>1011.629290970321</v>
          </cell>
          <cell r="F89">
            <v>-4.4274112096509051E-4</v>
          </cell>
          <cell r="I89">
            <v>636.37125275478161</v>
          </cell>
          <cell r="J89">
            <v>469.0725477694242</v>
          </cell>
          <cell r="O89">
            <v>1014.9370981225737</v>
          </cell>
          <cell r="P89">
            <v>-4.063363271750335E-6</v>
          </cell>
          <cell r="R89">
            <v>648.70870862196819</v>
          </cell>
          <cell r="S89">
            <v>366.22838950060554</v>
          </cell>
        </row>
        <row r="90">
          <cell r="B90">
            <v>39881</v>
          </cell>
          <cell r="E90">
            <v>1013.330626133348</v>
          </cell>
          <cell r="F90">
            <v>1.6817772856251988E-3</v>
          </cell>
          <cell r="I90">
            <v>636.37125275478161</v>
          </cell>
          <cell r="J90">
            <v>471.199216723208</v>
          </cell>
          <cell r="O90">
            <v>1014.9329740644461</v>
          </cell>
          <cell r="P90">
            <v>5.6769487508953982E-3</v>
          </cell>
          <cell r="R90">
            <v>648.70870862196819</v>
          </cell>
          <cell r="S90">
            <v>366.22426544247787</v>
          </cell>
        </row>
        <row r="91">
          <cell r="B91">
            <v>39882</v>
          </cell>
          <cell r="E91">
            <v>1013.3726344089785</v>
          </cell>
          <cell r="F91">
            <v>4.1455645913659502E-5</v>
          </cell>
          <cell r="I91">
            <v>636.37125275478161</v>
          </cell>
          <cell r="J91">
            <v>471.25172706774606</v>
          </cell>
          <cell r="O91">
            <v>1020.6946965438037</v>
          </cell>
          <cell r="P91">
            <v>7.1026567762751359E-3</v>
          </cell>
          <cell r="R91">
            <v>648.70870862196819</v>
          </cell>
          <cell r="S91">
            <v>371.98598792183554</v>
          </cell>
        </row>
        <row r="92">
          <cell r="B92">
            <v>39883</v>
          </cell>
          <cell r="E92">
            <v>1013.4076413053371</v>
          </cell>
          <cell r="F92">
            <v>3.454493951182355E-5</v>
          </cell>
          <cell r="I92">
            <v>636.37125275478161</v>
          </cell>
          <cell r="J92">
            <v>471.29548568819428</v>
          </cell>
          <cell r="O92">
            <v>1027.9443406467187</v>
          </cell>
          <cell r="P92">
            <v>1.2583977754511031E-2</v>
          </cell>
          <cell r="R92">
            <v>648.70870862196819</v>
          </cell>
          <cell r="S92">
            <v>379.23563202475054</v>
          </cell>
        </row>
        <row r="93">
          <cell r="B93">
            <v>39884</v>
          </cell>
          <cell r="E93">
            <v>1020.1149626476414</v>
          </cell>
          <cell r="F93">
            <v>6.6185817719559125E-3</v>
          </cell>
          <cell r="I93">
            <v>636.37125275478161</v>
          </cell>
          <cell r="J93">
            <v>479.67963736607476</v>
          </cell>
          <cell r="O93">
            <v>1040.8799693622925</v>
          </cell>
          <cell r="P93">
            <v>1.0683247289210533E-3</v>
          </cell>
          <cell r="R93">
            <v>648.70870862196819</v>
          </cell>
          <cell r="S93">
            <v>392.17126074032433</v>
          </cell>
        </row>
        <row r="94">
          <cell r="B94">
            <v>39885</v>
          </cell>
          <cell r="E94">
            <v>1024.6098481400836</v>
          </cell>
          <cell r="F94">
            <v>4.4062538606198286E-3</v>
          </cell>
          <cell r="I94">
            <v>636.37125275478161</v>
          </cell>
          <cell r="J94">
            <v>485.29824423162751</v>
          </cell>
          <cell r="O94">
            <v>1041.991967173401</v>
          </cell>
          <cell r="P94">
            <v>-1.8651869065538429E-3</v>
          </cell>
          <cell r="R94">
            <v>648.70870862196819</v>
          </cell>
          <cell r="S94">
            <v>393.28325855143282</v>
          </cell>
        </row>
        <row r="95">
          <cell r="B95">
            <v>39886</v>
          </cell>
          <cell r="E95">
            <v>1026.4512108885449</v>
          </cell>
          <cell r="F95">
            <v>1.7971355163175532E-3</v>
          </cell>
          <cell r="I95">
            <v>636.37125275478161</v>
          </cell>
          <cell r="J95">
            <v>487.59994766720411</v>
          </cell>
          <cell r="O95">
            <v>1040.048457399495</v>
          </cell>
          <cell r="P95">
            <v>-3.7912080335769514E-6</v>
          </cell>
          <cell r="R95">
            <v>648.70870862196819</v>
          </cell>
          <cell r="S95">
            <v>391.33974877752678</v>
          </cell>
        </row>
        <row r="96">
          <cell r="B96">
            <v>39887</v>
          </cell>
          <cell r="E96">
            <v>1028.6986536347658</v>
          </cell>
          <cell r="F96">
            <v>2.189527103071414E-3</v>
          </cell>
          <cell r="I96">
            <v>636.37125275478161</v>
          </cell>
          <cell r="J96">
            <v>490.40925109998028</v>
          </cell>
          <cell r="O96">
            <v>1040.0445143594279</v>
          </cell>
          <cell r="P96">
            <v>-3.7914139974498987E-6</v>
          </cell>
          <cell r="R96">
            <v>648.70870862196819</v>
          </cell>
          <cell r="S96">
            <v>391.33580573745974</v>
          </cell>
        </row>
        <row r="97">
          <cell r="B97">
            <v>39888</v>
          </cell>
          <cell r="E97">
            <v>1028.0965350173983</v>
          </cell>
          <cell r="F97">
            <v>-5.8532070129577749E-4</v>
          </cell>
          <cell r="I97">
            <v>636.37125275478161</v>
          </cell>
          <cell r="J97">
            <v>489.65660282827088</v>
          </cell>
          <cell r="O97">
            <v>1040.0405711200983</v>
          </cell>
          <cell r="P97">
            <v>-7.4462350265387797E-4</v>
          </cell>
          <cell r="R97">
            <v>648.70870862196819</v>
          </cell>
          <cell r="S97">
            <v>391.33186249813014</v>
          </cell>
        </row>
        <row r="98">
          <cell r="B98">
            <v>39889</v>
          </cell>
          <cell r="E98">
            <v>1028.1385432930285</v>
          </cell>
          <cell r="F98">
            <v>4.0860244344187656E-5</v>
          </cell>
          <cell r="I98">
            <v>636.37125275478161</v>
          </cell>
          <cell r="J98">
            <v>489.70911317280866</v>
          </cell>
          <cell r="O98">
            <v>1039.2661324671287</v>
          </cell>
          <cell r="P98">
            <v>1.3213152543375063E-2</v>
          </cell>
          <cell r="R98">
            <v>648.70870862196819</v>
          </cell>
          <cell r="S98">
            <v>390.55742384516054</v>
          </cell>
        </row>
        <row r="99">
          <cell r="B99">
            <v>39890</v>
          </cell>
          <cell r="E99">
            <v>1028.173550189387</v>
          </cell>
          <cell r="F99">
            <v>3.4048812377326159E-5</v>
          </cell>
          <cell r="I99">
            <v>636.37125275478161</v>
          </cell>
          <cell r="J99">
            <v>489.75287179325676</v>
          </cell>
          <cell r="O99">
            <v>1052.9981144085802</v>
          </cell>
          <cell r="P99">
            <v>1.8129812077914364E-3</v>
          </cell>
          <cell r="R99">
            <v>648.70870862196819</v>
          </cell>
          <cell r="S99">
            <v>404.28940578661206</v>
          </cell>
        </row>
        <row r="100">
          <cell r="B100">
            <v>39891</v>
          </cell>
          <cell r="E100">
            <v>1016.3272164616426</v>
          </cell>
          <cell r="F100">
            <v>-1.1521725807440151E-2</v>
          </cell>
          <cell r="I100">
            <v>636.37125275478161</v>
          </cell>
          <cell r="J100">
            <v>474.94495463357623</v>
          </cell>
          <cell r="O100">
            <v>1054.9071802018427</v>
          </cell>
          <cell r="P100">
            <v>-3.4791905156965654E-3</v>
          </cell>
          <cell r="R100">
            <v>648.70870862196819</v>
          </cell>
          <cell r="S100">
            <v>406.19847157987454</v>
          </cell>
        </row>
        <row r="101">
          <cell r="B101">
            <v>39892</v>
          </cell>
          <cell r="E101">
            <v>1017.7765019708881</v>
          </cell>
          <cell r="F101">
            <v>1.426002852005935E-3</v>
          </cell>
          <cell r="I101">
            <v>636.37125275478161</v>
          </cell>
          <cell r="J101">
            <v>476.75656152013318</v>
          </cell>
          <cell r="O101">
            <v>1051.2369571455442</v>
          </cell>
          <cell r="P101">
            <v>2.7005216807514487E-3</v>
          </cell>
          <cell r="R101">
            <v>648.70870862196819</v>
          </cell>
          <cell r="S101">
            <v>402.52824852357605</v>
          </cell>
        </row>
        <row r="102">
          <cell r="B102">
            <v>39893</v>
          </cell>
          <cell r="E102">
            <v>1026.0381295115135</v>
          </cell>
          <cell r="F102">
            <v>8.1173298112375281E-3</v>
          </cell>
          <cell r="I102">
            <v>636.37125275478161</v>
          </cell>
          <cell r="J102">
            <v>487.08359594591485</v>
          </cell>
          <cell r="O102">
            <v>1054.075845339923</v>
          </cell>
          <cell r="P102">
            <v>-3.645410578454511E-6</v>
          </cell>
          <cell r="R102">
            <v>648.70870862196819</v>
          </cell>
          <cell r="S102">
            <v>405.36713671795485</v>
          </cell>
        </row>
        <row r="103">
          <cell r="B103">
            <v>39894</v>
          </cell>
          <cell r="E103">
            <v>1037.1773239328145</v>
          </cell>
          <cell r="F103">
            <v>1.0856511177225215E-2</v>
          </cell>
          <cell r="I103">
            <v>636.37125275478161</v>
          </cell>
          <cell r="J103">
            <v>501.0075889725411</v>
          </cell>
          <cell r="O103">
            <v>1054.0720028006861</v>
          </cell>
          <cell r="P103">
            <v>-3.6456118410098471E-6</v>
          </cell>
          <cell r="R103">
            <v>648.70870862196819</v>
          </cell>
          <cell r="S103">
            <v>405.36329417871787</v>
          </cell>
        </row>
        <row r="104">
          <cell r="B104">
            <v>39895</v>
          </cell>
          <cell r="E104">
            <v>1038.3605570297345</v>
          </cell>
          <cell r="F104">
            <v>1.1408204456624768E-3</v>
          </cell>
          <cell r="I104">
            <v>636.37125275478161</v>
          </cell>
          <cell r="J104">
            <v>502.48663034369116</v>
          </cell>
          <cell r="O104">
            <v>1054.0681600633113</v>
          </cell>
          <cell r="P104">
            <v>9.6747910757026146E-3</v>
          </cell>
          <cell r="R104">
            <v>648.70870862196819</v>
          </cell>
          <cell r="S104">
            <v>405.35945144134314</v>
          </cell>
        </row>
        <row r="105">
          <cell r="B105">
            <v>39896</v>
          </cell>
          <cell r="E105">
            <v>1038.402565305365</v>
          </cell>
          <cell r="F105">
            <v>4.0456347601084777E-5</v>
          </cell>
          <cell r="I105">
            <v>636.37125275478161</v>
          </cell>
          <cell r="J105">
            <v>502.53914068822922</v>
          </cell>
          <cell r="O105">
            <v>1064.2660492914742</v>
          </cell>
          <cell r="P105">
            <v>7.8346904839163567E-3</v>
          </cell>
          <cell r="R105">
            <v>648.70870862196819</v>
          </cell>
          <cell r="S105">
            <v>415.55734066950606</v>
          </cell>
        </row>
        <row r="106">
          <cell r="B106">
            <v>39897</v>
          </cell>
          <cell r="E106">
            <v>1038.4375722017235</v>
          </cell>
          <cell r="F106">
            <v>3.3712259125811396E-5</v>
          </cell>
          <cell r="I106">
            <v>636.37125275478161</v>
          </cell>
          <cell r="J106">
            <v>502.58289930867733</v>
          </cell>
          <cell r="O106">
            <v>1072.6042443802135</v>
          </cell>
          <cell r="P106">
            <v>1.7798560864208898E-3</v>
          </cell>
          <cell r="R106">
            <v>648.70870862196819</v>
          </cell>
          <cell r="S106">
            <v>423.89553575824527</v>
          </cell>
        </row>
        <row r="107">
          <cell r="B107">
            <v>39898</v>
          </cell>
          <cell r="E107">
            <v>1039.683817712089</v>
          </cell>
          <cell r="F107">
            <v>1.200115966261866E-3</v>
          </cell>
          <cell r="I107">
            <v>636.37125275478161</v>
          </cell>
          <cell r="J107">
            <v>504.1407061966342</v>
          </cell>
          <cell r="O107">
            <v>1074.5133255728945</v>
          </cell>
          <cell r="P107">
            <v>4.7930224595709552E-3</v>
          </cell>
          <cell r="R107">
            <v>648.70870862196819</v>
          </cell>
          <cell r="S107">
            <v>425.80461695092629</v>
          </cell>
        </row>
        <row r="108">
          <cell r="B108">
            <v>39899</v>
          </cell>
          <cell r="E108">
            <v>1039.6068025401</v>
          </cell>
          <cell r="F108">
            <v>-7.4075570550295782E-5</v>
          </cell>
          <cell r="I108">
            <v>636.37125275478161</v>
          </cell>
          <cell r="J108">
            <v>504.04443723164803</v>
          </cell>
          <cell r="O108">
            <v>1079.6634920754736</v>
          </cell>
          <cell r="P108">
            <v>-1.3813173899285879E-3</v>
          </cell>
          <cell r="R108">
            <v>648.70870862196819</v>
          </cell>
          <cell r="S108">
            <v>430.95478345350546</v>
          </cell>
        </row>
        <row r="109">
          <cell r="B109">
            <v>39900</v>
          </cell>
          <cell r="E109">
            <v>1029.3567832863071</v>
          </cell>
          <cell r="F109">
            <v>-9.8595153751868635E-3</v>
          </cell>
          <cell r="I109">
            <v>636.37125275478161</v>
          </cell>
          <cell r="J109">
            <v>491.23191316440682</v>
          </cell>
          <cell r="O109">
            <v>1078.1721341185987</v>
          </cell>
          <cell r="P109">
            <v>-3.4030121421431448E-6</v>
          </cell>
          <cell r="R109">
            <v>648.70870862196819</v>
          </cell>
          <cell r="S109">
            <v>429.46342549663052</v>
          </cell>
        </row>
        <row r="110">
          <cell r="B110">
            <v>39901</v>
          </cell>
          <cell r="E110">
            <v>1043.3595418297402</v>
          </cell>
          <cell r="F110">
            <v>1.360340629293587E-2</v>
          </cell>
          <cell r="I110">
            <v>636.37125275478161</v>
          </cell>
          <cell r="J110">
            <v>508.73536134369829</v>
          </cell>
          <cell r="O110">
            <v>1078.1684650857349</v>
          </cell>
          <cell r="P110">
            <v>-3.4032056676937016E-6</v>
          </cell>
          <cell r="R110">
            <v>648.70870862196819</v>
          </cell>
          <cell r="S110">
            <v>429.45975646376667</v>
          </cell>
        </row>
        <row r="111">
          <cell r="B111">
            <v>39902</v>
          </cell>
          <cell r="E111">
            <v>1048.4285404224631</v>
          </cell>
          <cell r="F111">
            <v>4.8583430634404189E-3</v>
          </cell>
          <cell r="I111">
            <v>636.37125275478161</v>
          </cell>
          <cell r="J111">
            <v>515.0716095846019</v>
          </cell>
          <cell r="O111">
            <v>1078.1647958567037</v>
          </cell>
          <cell r="P111">
            <v>-1.3382625734544566E-2</v>
          </cell>
          <cell r="R111">
            <v>648.70870862196819</v>
          </cell>
          <cell r="S111">
            <v>429.45608723473549</v>
          </cell>
        </row>
        <row r="112">
          <cell r="B112">
            <v>39903</v>
          </cell>
          <cell r="E112">
            <v>1048.4635473188218</v>
          </cell>
          <cell r="F112">
            <v>3.3389873519279758E-5</v>
          </cell>
          <cell r="I112">
            <v>636.37125275478161</v>
          </cell>
          <cell r="J112">
            <v>515.11536820505034</v>
          </cell>
          <cell r="O112">
            <v>1063.7361199135919</v>
          </cell>
          <cell r="P112">
            <v>1.9443805852697111E-3</v>
          </cell>
          <cell r="R112">
            <v>648.70870862196819</v>
          </cell>
          <cell r="S112">
            <v>415.02741129162371</v>
          </cell>
        </row>
        <row r="113">
          <cell r="B113">
            <v>39904</v>
          </cell>
          <cell r="E113">
            <v>1048.4985542151805</v>
          </cell>
          <cell r="F113">
            <v>3.3388758672850704E-5</v>
          </cell>
          <cell r="I113">
            <v>636.37125275478161</v>
          </cell>
          <cell r="J113">
            <v>515.15912682549867</v>
          </cell>
          <cell r="O113">
            <v>1065.8044277730021</v>
          </cell>
          <cell r="P113">
            <v>8.5955132198701229E-3</v>
          </cell>
          <cell r="R113">
            <v>648.70870862196819</v>
          </cell>
          <cell r="S113">
            <v>417.0957191510339</v>
          </cell>
        </row>
        <row r="114">
          <cell r="B114">
            <v>39905</v>
          </cell>
          <cell r="E114">
            <v>1047.9104383563565</v>
          </cell>
          <cell r="F114">
            <v>-5.609124175323776E-4</v>
          </cell>
          <cell r="I114">
            <v>636.37125275478161</v>
          </cell>
          <cell r="J114">
            <v>514.42398200196862</v>
          </cell>
          <cell r="O114">
            <v>1074.9655638217209</v>
          </cell>
          <cell r="P114">
            <v>1.4131898117915296E-2</v>
          </cell>
          <cell r="R114">
            <v>648.70870862196819</v>
          </cell>
          <cell r="S114">
            <v>426.25685519975275</v>
          </cell>
        </row>
        <row r="115">
          <cell r="B115">
            <v>39906</v>
          </cell>
          <cell r="E115">
            <v>1049.3317183485149</v>
          </cell>
          <cell r="F115">
            <v>1.3562991073813838E-3</v>
          </cell>
          <cell r="I115">
            <v>636.37125275478161</v>
          </cell>
          <cell r="J115">
            <v>516.20058199216658</v>
          </cell>
          <cell r="O115">
            <v>1090.1568676499169</v>
          </cell>
          <cell r="P115">
            <v>2.2628958144739809E-3</v>
          </cell>
          <cell r="R115">
            <v>648.70870862196819</v>
          </cell>
          <cell r="S115">
            <v>441.44815902794869</v>
          </cell>
        </row>
        <row r="116">
          <cell r="B116">
            <v>39907</v>
          </cell>
          <cell r="E116">
            <v>1048.6805900762452</v>
          </cell>
          <cell r="F116">
            <v>-6.2051709758139284E-4</v>
          </cell>
          <cell r="I116">
            <v>636.37125275478161</v>
          </cell>
          <cell r="J116">
            <v>515.38667165182937</v>
          </cell>
          <cell r="O116">
            <v>1092.6237790628418</v>
          </cell>
          <cell r="P116">
            <v>-3.2631928833790126E-6</v>
          </cell>
          <cell r="R116">
            <v>648.70870862196819</v>
          </cell>
          <cell r="S116">
            <v>443.91507044087359</v>
          </cell>
        </row>
        <row r="117">
          <cell r="B117">
            <v>39908</v>
          </cell>
          <cell r="E117">
            <v>1048.8626259373098</v>
          </cell>
          <cell r="F117">
            <v>1.7358561108809145E-4</v>
          </cell>
          <cell r="I117">
            <v>636.37125275478161</v>
          </cell>
          <cell r="J117">
            <v>515.61421647816019</v>
          </cell>
          <cell r="O117">
            <v>1092.6202136207019</v>
          </cell>
          <cell r="P117">
            <v>-3.2633820073966067E-6</v>
          </cell>
          <cell r="R117">
            <v>648.70870862196819</v>
          </cell>
          <cell r="S117">
            <v>443.91150499873368</v>
          </cell>
        </row>
        <row r="118">
          <cell r="B118">
            <v>39909</v>
          </cell>
          <cell r="E118">
            <v>1049.4437404168623</v>
          </cell>
          <cell r="F118">
            <v>5.5404250774329547E-4</v>
          </cell>
          <cell r="I118">
            <v>636.37125275478161</v>
          </cell>
          <cell r="J118">
            <v>516.34060957760084</v>
          </cell>
          <cell r="O118">
            <v>1092.6166479835558</v>
          </cell>
          <cell r="P118">
            <v>3.6678651046300405E-3</v>
          </cell>
          <cell r="R118">
            <v>648.70870862196819</v>
          </cell>
          <cell r="S118">
            <v>443.90793936158764</v>
          </cell>
        </row>
        <row r="119">
          <cell r="B119">
            <v>39910</v>
          </cell>
          <cell r="E119">
            <v>1049.478747313221</v>
          </cell>
          <cell r="F119">
            <v>3.3357573169957269E-5</v>
          </cell>
          <cell r="I119">
            <v>636.37125275478161</v>
          </cell>
          <cell r="J119">
            <v>516.38436819804929</v>
          </cell>
          <cell r="O119">
            <v>1096.6242184594325</v>
          </cell>
          <cell r="P119">
            <v>-6.8147126099301182E-4</v>
          </cell>
          <cell r="R119">
            <v>648.70870862196819</v>
          </cell>
          <cell r="S119">
            <v>447.91550983746436</v>
          </cell>
        </row>
        <row r="120">
          <cell r="B120">
            <v>39911</v>
          </cell>
          <cell r="E120">
            <v>1049.5137542095797</v>
          </cell>
          <cell r="F120">
            <v>3.3356460479386139E-5</v>
          </cell>
          <cell r="I120">
            <v>636.37125275478161</v>
          </cell>
          <cell r="J120">
            <v>516.42812681849762</v>
          </cell>
          <cell r="O120">
            <v>1095.8769005704435</v>
          </cell>
          <cell r="P120">
            <v>-1.3722731186413865E-2</v>
          </cell>
          <cell r="R120">
            <v>648.70870862196819</v>
          </cell>
          <cell r="S120">
            <v>447.16819194847528</v>
          </cell>
        </row>
        <row r="121">
          <cell r="B121">
            <v>39912</v>
          </cell>
          <cell r="E121">
            <v>1053.0494507417964</v>
          </cell>
          <cell r="F121">
            <v>3.3688901341550315E-3</v>
          </cell>
          <cell r="I121">
            <v>636.37125275478161</v>
          </cell>
          <cell r="J121">
            <v>520.84774748376844</v>
          </cell>
          <cell r="O121">
            <v>1080.8384764505149</v>
          </cell>
          <cell r="P121">
            <v>1.6708610214247115E-2</v>
          </cell>
          <cell r="R121">
            <v>648.70870862196819</v>
          </cell>
          <cell r="S121">
            <v>432.12976782854673</v>
          </cell>
        </row>
        <row r="122">
          <cell r="B122">
            <v>39913</v>
          </cell>
          <cell r="E122">
            <v>1053.2804962577632</v>
          </cell>
          <cell r="F122">
            <v>2.1940614071261653E-4</v>
          </cell>
          <cell r="I122">
            <v>636.37125275478161</v>
          </cell>
          <cell r="J122">
            <v>521.13655437872694</v>
          </cell>
          <cell r="O122">
            <v>1098.8977852580872</v>
          </cell>
          <cell r="P122">
            <v>6.112405046479032E-3</v>
          </cell>
          <cell r="R122">
            <v>648.70870862196819</v>
          </cell>
          <cell r="S122">
            <v>450.18907663611901</v>
          </cell>
        </row>
        <row r="123">
          <cell r="B123">
            <v>39914</v>
          </cell>
          <cell r="E123">
            <v>1057.1942672706527</v>
          </cell>
          <cell r="F123">
            <v>3.7157917827159584E-3</v>
          </cell>
          <cell r="I123">
            <v>636.37125275478161</v>
          </cell>
          <cell r="J123">
            <v>526.02876814483898</v>
          </cell>
          <cell r="O123">
            <v>1105.6146936262635</v>
          </cell>
          <cell r="P123">
            <v>-3.1407291748381124E-6</v>
          </cell>
          <cell r="R123">
            <v>648.70870862196819</v>
          </cell>
          <cell r="S123">
            <v>456.9059850042953</v>
          </cell>
        </row>
        <row r="124">
          <cell r="B124">
            <v>39915</v>
          </cell>
          <cell r="E124">
            <v>1061.0730313871836</v>
          </cell>
          <cell r="F124">
            <v>3.6689227671888899E-3</v>
          </cell>
          <cell r="I124">
            <v>636.37125275478161</v>
          </cell>
          <cell r="J124">
            <v>530.87722329050257</v>
          </cell>
          <cell r="O124">
            <v>1105.611221189939</v>
          </cell>
          <cell r="P124">
            <v>-3.1409144777233667E-6</v>
          </cell>
          <cell r="R124">
            <v>648.70870862196819</v>
          </cell>
          <cell r="S124">
            <v>456.9025125679708</v>
          </cell>
        </row>
        <row r="125">
          <cell r="B125">
            <v>39916</v>
          </cell>
          <cell r="E125">
            <v>1059.2736769143526</v>
          </cell>
          <cell r="F125">
            <v>-1.6957875844593718E-3</v>
          </cell>
          <cell r="I125">
            <v>636.37125275478161</v>
          </cell>
          <cell r="J125">
            <v>528.62803019946364</v>
          </cell>
          <cell r="O125">
            <v>1105.6077485596477</v>
          </cell>
          <cell r="P125">
            <v>-7.7194478105960175E-4</v>
          </cell>
          <cell r="R125">
            <v>648.70870862196819</v>
          </cell>
          <cell r="S125">
            <v>456.8990399376795</v>
          </cell>
        </row>
        <row r="126">
          <cell r="B126">
            <v>39917</v>
          </cell>
          <cell r="E126">
            <v>1059.3086838107113</v>
          </cell>
          <cell r="F126">
            <v>3.3048018771394059E-5</v>
          </cell>
          <cell r="I126">
            <v>636.37125275478161</v>
          </cell>
          <cell r="J126">
            <v>528.67178881991208</v>
          </cell>
          <cell r="O126">
            <v>1104.754280428248</v>
          </cell>
          <cell r="P126">
            <v>8.0972009721620893E-4</v>
          </cell>
          <cell r="R126">
            <v>651.25733226767966</v>
          </cell>
          <cell r="S126">
            <v>453.49694816056831</v>
          </cell>
        </row>
        <row r="127">
          <cell r="B127">
            <v>39918</v>
          </cell>
          <cell r="E127">
            <v>1059.336689327798</v>
          </cell>
          <cell r="F127">
            <v>2.6437541308539162E-5</v>
          </cell>
          <cell r="I127">
            <v>636.37125275478161</v>
          </cell>
          <cell r="J127">
            <v>528.70679571627056</v>
          </cell>
          <cell r="O127">
            <v>1105.6488221715963</v>
          </cell>
          <cell r="P127">
            <v>-1.9545334582467115E-3</v>
          </cell>
          <cell r="R127">
            <v>653.02566269066733</v>
          </cell>
          <cell r="S127">
            <v>452.62315948092896</v>
          </cell>
        </row>
        <row r="128">
          <cell r="B128">
            <v>39919</v>
          </cell>
          <cell r="E128">
            <v>1055.0728493513227</v>
          </cell>
          <cell r="F128">
            <v>-4.0250092528947802E-3</v>
          </cell>
          <cell r="I128">
            <v>636.37125275478161</v>
          </cell>
          <cell r="J128">
            <v>523.37699574567637</v>
          </cell>
          <cell r="O128">
            <v>1103.4877945555909</v>
          </cell>
          <cell r="P128">
            <v>1.2366072659245439E-3</v>
          </cell>
          <cell r="R128">
            <v>653.02566269066733</v>
          </cell>
          <cell r="S128">
            <v>450.46213186492355</v>
          </cell>
        </row>
        <row r="129">
          <cell r="B129">
            <v>39920</v>
          </cell>
          <cell r="E129">
            <v>1046.8742342241426</v>
          </cell>
          <cell r="F129">
            <v>-7.7706625966356456E-3</v>
          </cell>
          <cell r="I129">
            <v>636.37125275478161</v>
          </cell>
          <cell r="J129">
            <v>513.12872683670116</v>
          </cell>
          <cell r="O129">
            <v>1104.8523755801973</v>
          </cell>
          <cell r="P129">
            <v>-9.5116643176130112E-4</v>
          </cell>
          <cell r="R129">
            <v>655.2184936597788</v>
          </cell>
          <cell r="S129">
            <v>449.6338819204185</v>
          </cell>
        </row>
        <row r="130">
          <cell r="B130">
            <v>39921</v>
          </cell>
          <cell r="E130">
            <v>1056.242079689699</v>
          </cell>
          <cell r="F130">
            <v>8.9483962440809681E-3</v>
          </cell>
          <cell r="I130">
            <v>636.37125275478161</v>
          </cell>
          <cell r="J130">
            <v>524.83853366864673</v>
          </cell>
          <cell r="O130">
            <v>1103.8014770884936</v>
          </cell>
          <cell r="P130">
            <v>-3.2633293443364858E-6</v>
          </cell>
          <cell r="R130">
            <v>655.2184936597788</v>
          </cell>
          <cell r="S130">
            <v>448.58298342871478</v>
          </cell>
        </row>
        <row r="131">
          <cell r="B131">
            <v>39922</v>
          </cell>
          <cell r="E131">
            <v>1062.7603637916673</v>
          </cell>
          <cell r="F131">
            <v>6.1712028211214137E-3</v>
          </cell>
          <cell r="I131">
            <v>636.37125275478161</v>
          </cell>
          <cell r="J131">
            <v>532.98638879610712</v>
          </cell>
          <cell r="O131">
            <v>1103.797875020743</v>
          </cell>
          <cell r="P131">
            <v>-3.2635185098481776E-6</v>
          </cell>
          <cell r="R131">
            <v>655.2184936597788</v>
          </cell>
          <cell r="S131">
            <v>448.57938136096425</v>
          </cell>
        </row>
        <row r="132">
          <cell r="B132">
            <v>39923</v>
          </cell>
          <cell r="E132">
            <v>1062.7953706880257</v>
          </cell>
          <cell r="F132">
            <v>3.2939595369915536E-5</v>
          </cell>
          <cell r="I132">
            <v>636.37125275478161</v>
          </cell>
          <cell r="J132">
            <v>533.03014741655511</v>
          </cell>
          <cell r="O132">
            <v>1103.7942727559468</v>
          </cell>
          <cell r="P132">
            <v>2.2839776847379148E-3</v>
          </cell>
          <cell r="R132">
            <v>657.86100760905811</v>
          </cell>
          <cell r="S132">
            <v>445.93326514688874</v>
          </cell>
        </row>
        <row r="133">
          <cell r="B133">
            <v>39924</v>
          </cell>
          <cell r="E133">
            <v>1062.8233762051125</v>
          </cell>
          <cell r="F133">
            <v>2.6350808310926209E-5</v>
          </cell>
          <cell r="I133">
            <v>636.37125275478161</v>
          </cell>
          <cell r="J133">
            <v>533.06515431291359</v>
          </cell>
          <cell r="O133">
            <v>1106.3153142434628</v>
          </cell>
          <cell r="P133">
            <v>-7.9856473612921464E-4</v>
          </cell>
          <cell r="R133">
            <v>660.47030507158547</v>
          </cell>
          <cell r="S133">
            <v>445.84500917187734</v>
          </cell>
        </row>
        <row r="134">
          <cell r="B134">
            <v>39925</v>
          </cell>
          <cell r="E134">
            <v>1062.858383101471</v>
          </cell>
          <cell r="F134">
            <v>3.2937642455208695E-5</v>
          </cell>
          <cell r="I134">
            <v>636.37125275478161</v>
          </cell>
          <cell r="J134">
            <v>533.10891293336169</v>
          </cell>
          <cell r="O134">
            <v>1105.4318498464684</v>
          </cell>
          <cell r="P134">
            <v>5.7082031050406257E-3</v>
          </cell>
          <cell r="R134">
            <v>660.47030507158547</v>
          </cell>
          <cell r="S134">
            <v>444.9615447748829</v>
          </cell>
        </row>
        <row r="135">
          <cell r="B135">
            <v>39926</v>
          </cell>
          <cell r="E135">
            <v>1066.8491692863495</v>
          </cell>
          <cell r="F135">
            <v>3.754767566713087E-3</v>
          </cell>
          <cell r="I135">
            <v>636.37125275478161</v>
          </cell>
          <cell r="J135">
            <v>538.09739566445978</v>
          </cell>
          <cell r="O135">
            <v>1111.7418793641727</v>
          </cell>
          <cell r="P135">
            <v>4.0374225131763839E-3</v>
          </cell>
          <cell r="R135">
            <v>661.48637640948346</v>
          </cell>
          <cell r="S135">
            <v>450.25550295468929</v>
          </cell>
        </row>
        <row r="136">
          <cell r="B136">
            <v>39927</v>
          </cell>
          <cell r="E136">
            <v>1066.884176182708</v>
          </cell>
          <cell r="F136">
            <v>3.2813351096199489E-5</v>
          </cell>
          <cell r="I136">
            <v>640.79156913450265</v>
          </cell>
          <cell r="J136">
            <v>532.61575881025669</v>
          </cell>
          <cell r="O136">
            <v>1116.2304510567585</v>
          </cell>
          <cell r="P136">
            <v>-4.5608687745591642E-3</v>
          </cell>
          <cell r="R136">
            <v>670.42991002791007</v>
          </cell>
          <cell r="S136">
            <v>445.80054102884844</v>
          </cell>
        </row>
        <row r="137">
          <cell r="B137">
            <v>39928</v>
          </cell>
          <cell r="E137">
            <v>1065.2598561916698</v>
          </cell>
          <cell r="F137">
            <v>-1.5224895328844214E-3</v>
          </cell>
          <cell r="I137">
            <v>640.79156913450265</v>
          </cell>
          <cell r="J137">
            <v>530.58535882145884</v>
          </cell>
          <cell r="O137">
            <v>1111.1394704473216</v>
          </cell>
          <cell r="P137">
            <v>-3.4374790958457258E-6</v>
          </cell>
          <cell r="R137">
            <v>670.42991002791007</v>
          </cell>
          <cell r="S137">
            <v>440.70956041941156</v>
          </cell>
        </row>
        <row r="138">
          <cell r="B138">
            <v>39929</v>
          </cell>
          <cell r="E138">
            <v>1065.3368713636587</v>
          </cell>
          <cell r="F138">
            <v>7.2297075254730659E-5</v>
          </cell>
          <cell r="I138">
            <v>640.79156913450265</v>
          </cell>
          <cell r="J138">
            <v>530.68162778644501</v>
          </cell>
          <cell r="O138">
            <v>1111.1356509286195</v>
          </cell>
          <cell r="P138">
            <v>-3.4376737987850456E-6</v>
          </cell>
          <cell r="R138">
            <v>670.42991002791007</v>
          </cell>
          <cell r="S138">
            <v>440.70574090070943</v>
          </cell>
        </row>
        <row r="139">
          <cell r="B139">
            <v>39930</v>
          </cell>
          <cell r="E139">
            <v>1067.8573679014767</v>
          </cell>
          <cell r="F139">
            <v>2.3659150505057256E-3</v>
          </cell>
          <cell r="I139">
            <v>640.94530302219323</v>
          </cell>
          <cell r="J139">
            <v>533.64008109910424</v>
          </cell>
          <cell r="O139">
            <v>1111.1318312067056</v>
          </cell>
          <cell r="P139">
            <v>-4.5589347131237551E-3</v>
          </cell>
          <cell r="R139">
            <v>670.42991002791007</v>
          </cell>
          <cell r="S139">
            <v>440.70192117879549</v>
          </cell>
        </row>
        <row r="140">
          <cell r="B140">
            <v>39931</v>
          </cell>
          <cell r="E140">
            <v>1067.8993761771069</v>
          </cell>
          <cell r="F140">
            <v>3.9338845142565308E-5</v>
          </cell>
          <cell r="I140">
            <v>647.0319523940741</v>
          </cell>
          <cell r="J140">
            <v>526.08427972879099</v>
          </cell>
          <cell r="O140">
            <v>1106.0662537305604</v>
          </cell>
          <cell r="P140">
            <v>-1.1041518491682499E-2</v>
          </cell>
          <cell r="R140">
            <v>676.31537594342819</v>
          </cell>
          <cell r="S140">
            <v>429.75087778713225</v>
          </cell>
        </row>
        <row r="141">
          <cell r="B141">
            <v>39932</v>
          </cell>
          <cell r="E141">
            <v>1067.9413844527373</v>
          </cell>
          <cell r="F141">
            <v>3.9337297658917303E-5</v>
          </cell>
          <cell r="I141">
            <v>647.0319523940741</v>
          </cell>
          <cell r="J141">
            <v>526.13679007332905</v>
          </cell>
          <cell r="O141">
            <v>1093.8536027369685</v>
          </cell>
          <cell r="P141">
            <v>1.1043243974641577E-2</v>
          </cell>
          <cell r="R141">
            <v>676.31537594342819</v>
          </cell>
          <cell r="S141">
            <v>417.53822679354028</v>
          </cell>
        </row>
        <row r="142">
          <cell r="B142">
            <v>39933</v>
          </cell>
          <cell r="E142">
            <v>1067.976391349096</v>
          </cell>
          <cell r="F142">
            <v>3.2779791913999368E-5</v>
          </cell>
          <cell r="I142">
            <v>647.0319523940741</v>
          </cell>
          <cell r="J142">
            <v>526.18054869377738</v>
          </cell>
          <cell r="O142">
            <v>1105.9332949445334</v>
          </cell>
          <cell r="P142">
            <v>8.8457213166750655E-3</v>
          </cell>
          <cell r="R142">
            <v>676.31537594342819</v>
          </cell>
          <cell r="S142">
            <v>429.61791900110518</v>
          </cell>
        </row>
        <row r="143">
          <cell r="B143">
            <v>39934</v>
          </cell>
          <cell r="E143">
            <v>1066.7861568729043</v>
          </cell>
          <cell r="F143">
            <v>-1.1144763927676852E-3</v>
          </cell>
          <cell r="I143">
            <v>647.0319523940741</v>
          </cell>
          <cell r="J143">
            <v>524.6927555985377</v>
          </cell>
          <cell r="O143">
            <v>1115.7160726664449</v>
          </cell>
          <cell r="P143">
            <v>-3.4880336789340672E-6</v>
          </cell>
          <cell r="R143">
            <v>676.31537594342819</v>
          </cell>
          <cell r="S143">
            <v>439.40069672301672</v>
          </cell>
        </row>
        <row r="144">
          <cell r="B144">
            <v>39935</v>
          </cell>
          <cell r="E144">
            <v>1069.4046727205262</v>
          </cell>
          <cell r="F144">
            <v>2.4545836396092833E-3</v>
          </cell>
          <cell r="I144">
            <v>647.0319523940741</v>
          </cell>
          <cell r="J144">
            <v>527.96590040806507</v>
          </cell>
          <cell r="O144">
            <v>1115.7121810112073</v>
          </cell>
          <cell r="P144">
            <v>-3.4882300115119429E-6</v>
          </cell>
          <cell r="R144">
            <v>676.31537594342819</v>
          </cell>
          <cell r="S144">
            <v>439.39680506777916</v>
          </cell>
        </row>
        <row r="145">
          <cell r="B145">
            <v>39936</v>
          </cell>
          <cell r="E145">
            <v>1061.2830727653347</v>
          </cell>
          <cell r="F145">
            <v>-7.5945057678964145E-3</v>
          </cell>
          <cell r="I145">
            <v>647.0319523940741</v>
          </cell>
          <cell r="J145">
            <v>517.8139004640758</v>
          </cell>
          <cell r="O145">
            <v>1115.7082891504933</v>
          </cell>
          <cell r="P145">
            <v>-3.4884263533321696E-6</v>
          </cell>
          <cell r="R145">
            <v>676.31537594342819</v>
          </cell>
          <cell r="S145">
            <v>439.39291320706513</v>
          </cell>
        </row>
        <row r="146">
          <cell r="B146">
            <v>39937</v>
          </cell>
          <cell r="E146">
            <v>1063.9295941300436</v>
          </cell>
          <cell r="F146">
            <v>2.4936997796572275E-3</v>
          </cell>
          <cell r="I146">
            <v>647.0319523940741</v>
          </cell>
          <cell r="J146">
            <v>521.12205216996188</v>
          </cell>
          <cell r="O146">
            <v>1115.7043970842949</v>
          </cell>
          <cell r="P146">
            <v>8.2533492071520768E-3</v>
          </cell>
          <cell r="R146">
            <v>676.31537594342819</v>
          </cell>
          <cell r="S146">
            <v>439.3890211408667</v>
          </cell>
        </row>
        <row r="147">
          <cell r="B147">
            <v>39938</v>
          </cell>
          <cell r="E147">
            <v>1063.9646010264023</v>
          </cell>
          <cell r="F147">
            <v>3.2903395630547949E-5</v>
          </cell>
          <cell r="I147">
            <v>647.0319523940741</v>
          </cell>
          <cell r="J147">
            <v>521.16581079041021</v>
          </cell>
          <cell r="O147">
            <v>1124.9126950853868</v>
          </cell>
          <cell r="P147">
            <v>-3.4008663138278019E-6</v>
          </cell>
          <cell r="R147">
            <v>676.31537594342819</v>
          </cell>
          <cell r="S147">
            <v>448.59731914195856</v>
          </cell>
        </row>
        <row r="148">
          <cell r="B148">
            <v>39939</v>
          </cell>
          <cell r="E148">
            <v>1064.0066093020325</v>
          </cell>
          <cell r="F148">
            <v>3.948277563905638E-5</v>
          </cell>
          <cell r="I148">
            <v>647.0319523940741</v>
          </cell>
          <cell r="J148">
            <v>521.21832113494804</v>
          </cell>
          <cell r="O148">
            <v>1124.9088694076961</v>
          </cell>
          <cell r="P148">
            <v>-1.9341729754571845E-3</v>
          </cell>
          <cell r="R148">
            <v>676.31537594342819</v>
          </cell>
          <cell r="S148">
            <v>448.59349346426791</v>
          </cell>
        </row>
        <row r="149">
          <cell r="B149">
            <v>39940</v>
          </cell>
          <cell r="E149">
            <v>1063.5725237871859</v>
          </cell>
          <cell r="F149">
            <v>-4.0797257371491378E-4</v>
          </cell>
          <cell r="I149">
            <v>647.0319523940741</v>
          </cell>
          <cell r="J149">
            <v>520.67571424138976</v>
          </cell>
          <cell r="O149">
            <v>1122.7331010726357</v>
          </cell>
          <cell r="P149">
            <v>2.0422531492786927E-3</v>
          </cell>
          <cell r="R149">
            <v>676.31537594342819</v>
          </cell>
          <cell r="S149">
            <v>446.4177251292075</v>
          </cell>
        </row>
        <row r="150">
          <cell r="B150">
            <v>39941</v>
          </cell>
          <cell r="E150">
            <v>1072.6043030477003</v>
          </cell>
          <cell r="F150">
            <v>8.4919260873287123E-3</v>
          </cell>
          <cell r="I150">
            <v>647.0319523940741</v>
          </cell>
          <cell r="J150">
            <v>531.96543831703275</v>
          </cell>
          <cell r="O150">
            <v>1125.0260062841007</v>
          </cell>
          <cell r="P150">
            <v>2.8813114056722208E-3</v>
          </cell>
          <cell r="R150">
            <v>676.31537594342819</v>
          </cell>
          <cell r="S150">
            <v>448.71063034067254</v>
          </cell>
        </row>
        <row r="151">
          <cell r="B151">
            <v>39942</v>
          </cell>
          <cell r="E151">
            <v>1074.1656106252931</v>
          </cell>
          <cell r="F151">
            <v>1.4556230784795844E-3</v>
          </cell>
          <cell r="I151">
            <v>647.0319523940741</v>
          </cell>
          <cell r="J151">
            <v>533.91707278902368</v>
          </cell>
          <cell r="O151">
            <v>1128.267556547685</v>
          </cell>
          <cell r="P151">
            <v>-3.3698199205547843E-6</v>
          </cell>
          <cell r="R151">
            <v>676.31537594342819</v>
          </cell>
          <cell r="S151">
            <v>451.9521806042568</v>
          </cell>
        </row>
        <row r="152">
          <cell r="B152">
            <v>39943</v>
          </cell>
          <cell r="E152">
            <v>1070.8189513334125</v>
          </cell>
          <cell r="F152">
            <v>-3.115589680749866E-3</v>
          </cell>
          <cell r="I152">
            <v>647.0319523940741</v>
          </cell>
          <cell r="J152">
            <v>529.73374867417306</v>
          </cell>
          <cell r="O152">
            <v>1128.2637544891973</v>
          </cell>
          <cell r="P152">
            <v>-3.3700125139161296E-6</v>
          </cell>
          <cell r="R152">
            <v>676.31537594342819</v>
          </cell>
          <cell r="S152">
            <v>451.94837854576906</v>
          </cell>
        </row>
        <row r="153">
          <cell r="B153">
            <v>39944</v>
          </cell>
          <cell r="E153">
            <v>1064.6087279194001</v>
          </cell>
          <cell r="F153">
            <v>-5.799508316769471E-3</v>
          </cell>
          <cell r="I153">
            <v>647.0319523940741</v>
          </cell>
          <cell r="J153">
            <v>521.97096940665745</v>
          </cell>
          <cell r="O153">
            <v>1128.2599522262256</v>
          </cell>
          <cell r="P153">
            <v>6.825335155530984E-4</v>
          </cell>
          <cell r="R153">
            <v>676.31537594342819</v>
          </cell>
          <cell r="S153">
            <v>451.94457628279736</v>
          </cell>
        </row>
        <row r="154">
          <cell r="B154">
            <v>39945</v>
          </cell>
          <cell r="E154">
            <v>1064.6507361950305</v>
          </cell>
          <cell r="F154">
            <v>3.9458887127995949E-5</v>
          </cell>
          <cell r="I154">
            <v>647.0319523940741</v>
          </cell>
          <cell r="J154">
            <v>522.02347975119551</v>
          </cell>
          <cell r="O154">
            <v>1129.0300274578763</v>
          </cell>
          <cell r="P154">
            <v>-3.5852883157600685E-3</v>
          </cell>
          <cell r="R154">
            <v>676.31537594342819</v>
          </cell>
          <cell r="S154">
            <v>452.71465151444806</v>
          </cell>
        </row>
        <row r="155">
          <cell r="B155">
            <v>39946</v>
          </cell>
          <cell r="E155">
            <v>1069.4046727205262</v>
          </cell>
          <cell r="F155">
            <v>4.4652545326609207E-3</v>
          </cell>
          <cell r="I155">
            <v>647.0319523940741</v>
          </cell>
          <cell r="J155">
            <v>527.96590040806507</v>
          </cell>
          <cell r="O155">
            <v>1124.9821292922893</v>
          </cell>
          <cell r="P155">
            <v>3.1253913343857968E-3</v>
          </cell>
          <cell r="R155">
            <v>676.31537594342819</v>
          </cell>
          <cell r="S155">
            <v>448.66675334886111</v>
          </cell>
        </row>
        <row r="156">
          <cell r="B156">
            <v>39947</v>
          </cell>
          <cell r="E156">
            <v>1061.2830727653347</v>
          </cell>
          <cell r="F156">
            <v>-7.5945057678964145E-3</v>
          </cell>
          <cell r="I156">
            <v>647.0319523940741</v>
          </cell>
          <cell r="J156">
            <v>517.8139004640758</v>
          </cell>
          <cell r="O156">
            <v>1128.4981386905183</v>
          </cell>
          <cell r="P156">
            <v>-1.073190611924755E-2</v>
          </cell>
          <cell r="R156">
            <v>676.31537594342819</v>
          </cell>
          <cell r="S156">
            <v>452.18276274709012</v>
          </cell>
        </row>
        <row r="157">
          <cell r="B157">
            <v>39948</v>
          </cell>
          <cell r="E157">
            <v>1063.9295941300436</v>
          </cell>
          <cell r="F157">
            <v>2.4936997796572275E-3</v>
          </cell>
          <cell r="I157">
            <v>647.0319523940741</v>
          </cell>
          <cell r="J157">
            <v>521.12205216996188</v>
          </cell>
          <cell r="O157">
            <v>1116.3872026103461</v>
          </cell>
          <cell r="P157">
            <v>3.3729480316061588E-3</v>
          </cell>
          <cell r="R157">
            <v>676.31537594342819</v>
          </cell>
          <cell r="S157">
            <v>440.0718266669179</v>
          </cell>
        </row>
        <row r="158">
          <cell r="B158">
            <v>39949</v>
          </cell>
          <cell r="E158">
            <v>1063.9646010264023</v>
          </cell>
          <cell r="F158">
            <v>3.2903395630547949E-5</v>
          </cell>
          <cell r="I158">
            <v>647.0319523940741</v>
          </cell>
          <cell r="J158">
            <v>521.16581079041021</v>
          </cell>
          <cell r="O158">
            <v>1120.1527186279011</v>
          </cell>
          <cell r="P158">
            <v>-3.4478711047882106E-6</v>
          </cell>
          <cell r="R158">
            <v>676.31537594342819</v>
          </cell>
          <cell r="S158">
            <v>443.8373426844729</v>
          </cell>
        </row>
        <row r="159">
          <cell r="B159">
            <v>39950</v>
          </cell>
          <cell r="E159">
            <v>1064.0066093020325</v>
          </cell>
          <cell r="F159">
            <v>3.948277563905638E-5</v>
          </cell>
          <cell r="I159">
            <v>647.0319523940741</v>
          </cell>
          <cell r="J159">
            <v>521.21832113494804</v>
          </cell>
          <cell r="O159">
            <v>1120.1488564857098</v>
          </cell>
          <cell r="P159">
            <v>-3.4480661987830672E-6</v>
          </cell>
          <cell r="R159">
            <v>676.31537594342819</v>
          </cell>
          <cell r="S159">
            <v>443.83348054228156</v>
          </cell>
        </row>
        <row r="160">
          <cell r="B160">
            <v>39951</v>
          </cell>
          <cell r="E160">
            <v>1063.5725237871859</v>
          </cell>
          <cell r="F160">
            <v>-4.0797257371491378E-4</v>
          </cell>
          <cell r="I160">
            <v>647.0319523940741</v>
          </cell>
          <cell r="J160">
            <v>520.67571424138976</v>
          </cell>
          <cell r="O160">
            <v>1120.1449941383</v>
          </cell>
          <cell r="P160">
            <v>-1.2068317311435795E-3</v>
          </cell>
          <cell r="R160">
            <v>676.31537594342819</v>
          </cell>
          <cell r="S160">
            <v>443.82961819487184</v>
          </cell>
        </row>
        <row r="161">
          <cell r="B161">
            <v>39952</v>
          </cell>
          <cell r="E161">
            <v>1072.6043030477003</v>
          </cell>
          <cell r="F161">
            <v>8.4919260873287123E-3</v>
          </cell>
          <cell r="I161">
            <v>647.0319523940741</v>
          </cell>
          <cell r="J161">
            <v>531.96543831703275</v>
          </cell>
          <cell r="O161">
            <v>1118.7931676158923</v>
          </cell>
          <cell r="P161">
            <v>1.2267924646620049E-2</v>
          </cell>
          <cell r="R161">
            <v>676.31537594342819</v>
          </cell>
          <cell r="S161">
            <v>442.47779167246415</v>
          </cell>
        </row>
        <row r="162">
          <cell r="B162">
            <v>39953</v>
          </cell>
          <cell r="E162">
            <v>1074.1656106252931</v>
          </cell>
          <cell r="F162">
            <v>1.4556230784795844E-3</v>
          </cell>
          <cell r="I162">
            <v>647.0319523940741</v>
          </cell>
          <cell r="J162">
            <v>533.91707278902368</v>
          </cell>
          <cell r="O162">
            <v>1132.5184378913573</v>
          </cell>
          <cell r="P162">
            <v>2.2889348131827809E-3</v>
          </cell>
          <cell r="R162">
            <v>676.31537594342819</v>
          </cell>
          <cell r="S162">
            <v>456.20306194792909</v>
          </cell>
        </row>
        <row r="163">
          <cell r="B163">
            <v>39954</v>
          </cell>
          <cell r="E163">
            <v>1070.8189513334125</v>
          </cell>
          <cell r="F163">
            <v>-3.115589680749866E-3</v>
          </cell>
          <cell r="I163">
            <v>647.0319523940741</v>
          </cell>
          <cell r="J163">
            <v>529.73374867417306</v>
          </cell>
          <cell r="O163">
            <v>1135.1106987704181</v>
          </cell>
          <cell r="P163">
            <v>-4.3574281982425985E-3</v>
          </cell>
          <cell r="R163">
            <v>676.31537594342819</v>
          </cell>
          <cell r="S163">
            <v>458.79532282698995</v>
          </cell>
        </row>
        <row r="164">
          <cell r="B164">
            <v>39955</v>
          </cell>
          <cell r="E164">
            <v>1064.6087279194001</v>
          </cell>
          <cell r="F164">
            <v>-5.799508316769471E-3</v>
          </cell>
          <cell r="I164">
            <v>647.0319523940741</v>
          </cell>
          <cell r="J164">
            <v>521.97096940665745</v>
          </cell>
          <cell r="O164">
            <v>1130.164535403469</v>
          </cell>
          <cell r="P164">
            <v>-6.2096792107538259E-3</v>
          </cell>
          <cell r="R164">
            <v>676.31537594342819</v>
          </cell>
          <cell r="S164">
            <v>453.84915946004082</v>
          </cell>
        </row>
        <row r="165">
          <cell r="B165">
            <v>39956</v>
          </cell>
          <cell r="E165">
            <v>1064.6507361950305</v>
          </cell>
          <cell r="F165">
            <v>3.9458887127995949E-5</v>
          </cell>
          <cell r="I165">
            <v>647.0319523940741</v>
          </cell>
          <cell r="J165">
            <v>522.02347975119551</v>
          </cell>
          <cell r="O165">
            <v>1123.1465761832428</v>
          </cell>
          <cell r="P165">
            <v>-3.4204547457360066E-6</v>
          </cell>
          <cell r="R165">
            <v>676.31537594342819</v>
          </cell>
          <cell r="S165">
            <v>446.83120023981462</v>
          </cell>
        </row>
        <row r="166">
          <cell r="B166">
            <v>39957</v>
          </cell>
          <cell r="E166">
            <v>1064.6927444706607</v>
          </cell>
          <cell r="F166">
            <v>3.9457330185444211E-5</v>
          </cell>
          <cell r="I166">
            <v>647.0319523940741</v>
          </cell>
          <cell r="J166">
            <v>522.07599009573323</v>
          </cell>
          <cell r="O166">
            <v>1123.1427345112061</v>
          </cell>
          <cell r="P166">
            <v>-3.4206489880277236E-6</v>
          </cell>
          <cell r="R166">
            <v>676.31537594342819</v>
          </cell>
          <cell r="S166">
            <v>446.82735856777788</v>
          </cell>
        </row>
        <row r="167">
          <cell r="B167">
            <v>39958</v>
          </cell>
          <cell r="E167">
            <v>1064.6927444706607</v>
          </cell>
          <cell r="F167">
            <v>0</v>
          </cell>
          <cell r="I167">
            <v>647.0319523940741</v>
          </cell>
          <cell r="J167">
            <v>522.07599009573323</v>
          </cell>
          <cell r="O167">
            <v>1123.1388926341479</v>
          </cell>
          <cell r="P167">
            <v>-9.8128367660193258E-4</v>
          </cell>
          <cell r="R167">
            <v>676.31537594342819</v>
          </cell>
          <cell r="S167">
            <v>446.82351669071966</v>
          </cell>
        </row>
        <row r="168">
          <cell r="B168">
            <v>39959</v>
          </cell>
          <cell r="E168">
            <v>1064.6927444706607</v>
          </cell>
          <cell r="F168">
            <v>0</v>
          </cell>
          <cell r="I168">
            <v>647.0319523940741</v>
          </cell>
          <cell r="J168">
            <v>522.07599009573323</v>
          </cell>
          <cell r="O168">
            <v>1122.0367747722491</v>
          </cell>
          <cell r="P168" t="e">
            <v>#N/A</v>
          </cell>
          <cell r="R168">
            <v>676.31537594342819</v>
          </cell>
          <cell r="S168">
            <v>445.72139882882095</v>
          </cell>
        </row>
        <row r="169">
          <cell r="B169">
            <v>39960</v>
          </cell>
          <cell r="E169">
            <v>1064.6927444706607</v>
          </cell>
          <cell r="F169">
            <v>0</v>
          </cell>
          <cell r="I169">
            <v>647.0319523940741</v>
          </cell>
          <cell r="J169">
            <v>522.07599009573323</v>
          </cell>
          <cell r="O169" t="e">
            <v>#N/A</v>
          </cell>
          <cell r="P169" t="e">
            <v>#N/A</v>
          </cell>
          <cell r="R169" t="e">
            <v>#N/A</v>
          </cell>
          <cell r="S169" t="e">
            <v>#N/A</v>
          </cell>
        </row>
        <row r="170">
          <cell r="E170">
            <v>1520.69</v>
          </cell>
        </row>
        <row r="171">
          <cell r="E171">
            <v>1520.69</v>
          </cell>
        </row>
      </sheetData>
      <sheetData sheetId="2" refreshError="1"/>
      <sheetData sheetId="3" refreshError="1"/>
      <sheetData sheetId="4" refreshError="1">
        <row r="16">
          <cell r="O16">
            <v>1000</v>
          </cell>
        </row>
        <row r="17">
          <cell r="O17">
            <v>1032.5177584846092</v>
          </cell>
        </row>
        <row r="18">
          <cell r="O18">
            <v>1032.0441988950274</v>
          </cell>
        </row>
        <row r="19">
          <cell r="O19">
            <v>1107.1823204419888</v>
          </cell>
        </row>
        <row r="20">
          <cell r="O20">
            <v>1154.6961325966849</v>
          </cell>
        </row>
        <row r="21">
          <cell r="O21">
            <v>1154.6961325966849</v>
          </cell>
        </row>
        <row r="22">
          <cell r="O22">
            <v>1154.6961325966849</v>
          </cell>
        </row>
        <row r="23">
          <cell r="O23">
            <v>1165.4301499605369</v>
          </cell>
        </row>
        <row r="24">
          <cell r="O24">
            <v>1171.2707182320448</v>
          </cell>
        </row>
        <row r="25">
          <cell r="O25">
            <v>1112.7071823204424</v>
          </cell>
        </row>
        <row r="26">
          <cell r="O26">
            <v>1110.9707971586429</v>
          </cell>
        </row>
        <row r="27">
          <cell r="O27">
            <v>1168.745067087609</v>
          </cell>
        </row>
        <row r="28">
          <cell r="O28">
            <v>1168.745067087609</v>
          </cell>
        </row>
        <row r="29">
          <cell r="O29">
            <v>1168.745067087609</v>
          </cell>
        </row>
        <row r="30">
          <cell r="O30">
            <v>1193.0544593528023</v>
          </cell>
        </row>
        <row r="31">
          <cell r="O31">
            <v>1202.2099447513813</v>
          </cell>
        </row>
        <row r="32">
          <cell r="O32">
            <v>1187.8453038674036</v>
          </cell>
        </row>
        <row r="33">
          <cell r="O33">
            <v>1205.8405682715077</v>
          </cell>
        </row>
        <row r="34">
          <cell r="O34">
            <v>1240.7261247040253</v>
          </cell>
        </row>
        <row r="35">
          <cell r="O35">
            <v>1240.7261247040253</v>
          </cell>
        </row>
        <row r="36">
          <cell r="O36">
            <v>1240.7261247040253</v>
          </cell>
        </row>
        <row r="37">
          <cell r="O37">
            <v>1254.4593528018945</v>
          </cell>
        </row>
        <row r="38">
          <cell r="O38">
            <v>1254.4593528018945</v>
          </cell>
        </row>
        <row r="39">
          <cell r="O39">
            <v>1254.4593528018945</v>
          </cell>
        </row>
        <row r="40">
          <cell r="O40">
            <v>1254.4593528018945</v>
          </cell>
        </row>
        <row r="41">
          <cell r="O41">
            <v>1178.2162588792426</v>
          </cell>
        </row>
        <row r="42">
          <cell r="O42">
            <v>1178.2162588792426</v>
          </cell>
        </row>
        <row r="43">
          <cell r="O43">
            <v>1178.2162588792426</v>
          </cell>
        </row>
        <row r="44">
          <cell r="O44">
            <v>1186.4246250986589</v>
          </cell>
        </row>
        <row r="45">
          <cell r="O45">
            <v>1175.0591949486984</v>
          </cell>
        </row>
        <row r="46">
          <cell r="O46">
            <v>1230.9392265193376</v>
          </cell>
        </row>
        <row r="47">
          <cell r="O47">
            <v>1219.731649565904</v>
          </cell>
        </row>
        <row r="48">
          <cell r="O48">
            <v>1210.7340173638522</v>
          </cell>
        </row>
        <row r="49">
          <cell r="O49">
            <v>1210.7340173638522</v>
          </cell>
        </row>
        <row r="50">
          <cell r="O50">
            <v>1210.7340173638522</v>
          </cell>
        </row>
        <row r="51">
          <cell r="O51">
            <v>1150.2762430939233</v>
          </cell>
        </row>
        <row r="52">
          <cell r="O52">
            <v>1165.114443567483</v>
          </cell>
        </row>
        <row r="53">
          <cell r="O53">
            <v>1143.4885556432525</v>
          </cell>
        </row>
        <row r="54">
          <cell r="O54">
            <v>1176.0063141278622</v>
          </cell>
        </row>
        <row r="55">
          <cell r="O55">
            <v>1182.4782951854784</v>
          </cell>
        </row>
        <row r="56">
          <cell r="O56">
            <v>1182.4782951854784</v>
          </cell>
        </row>
        <row r="57">
          <cell r="O57">
            <v>1182.4782951854784</v>
          </cell>
        </row>
        <row r="58">
          <cell r="O58">
            <v>1190.2131018153127</v>
          </cell>
        </row>
        <row r="59">
          <cell r="O59">
            <v>1188.318863456986</v>
          </cell>
        </row>
        <row r="60">
          <cell r="O60">
            <v>1198.1057616416742</v>
          </cell>
        </row>
        <row r="61">
          <cell r="O61">
            <v>1197.7900552486196</v>
          </cell>
        </row>
        <row r="62">
          <cell r="O62">
            <v>1200.9471191791645</v>
          </cell>
        </row>
        <row r="63">
          <cell r="O63">
            <v>1200.9471191791645</v>
          </cell>
        </row>
        <row r="64">
          <cell r="O64">
            <v>1200.9471191791645</v>
          </cell>
        </row>
        <row r="65">
          <cell r="O65">
            <v>1182.4782951854784</v>
          </cell>
        </row>
        <row r="66">
          <cell r="O66">
            <v>1205.367008681927</v>
          </cell>
        </row>
        <row r="67">
          <cell r="O67">
            <v>1174.1120757695355</v>
          </cell>
        </row>
        <row r="68">
          <cell r="O68">
            <v>1151.2233622730873</v>
          </cell>
        </row>
        <row r="69">
          <cell r="O69">
            <v>1150.7498026835055</v>
          </cell>
        </row>
        <row r="70">
          <cell r="O70">
            <v>1150.7498026835055</v>
          </cell>
        </row>
        <row r="71">
          <cell r="O71">
            <v>1150.7498026835055</v>
          </cell>
        </row>
        <row r="72">
          <cell r="O72">
            <v>1153.749013417523</v>
          </cell>
        </row>
        <row r="73">
          <cell r="O73">
            <v>1137.4901341752184</v>
          </cell>
        </row>
        <row r="74">
          <cell r="O74">
            <v>1138.7529597474361</v>
          </cell>
        </row>
        <row r="75">
          <cell r="O75">
            <v>1138.7529597474361</v>
          </cell>
        </row>
        <row r="76">
          <cell r="O76">
            <v>1102.4467245461731</v>
          </cell>
        </row>
        <row r="77">
          <cell r="O77">
            <v>1102.4467245461731</v>
          </cell>
        </row>
        <row r="78">
          <cell r="O78">
            <v>1102.4467245461731</v>
          </cell>
        </row>
        <row r="79">
          <cell r="O79">
            <v>1116.9692186266782</v>
          </cell>
        </row>
        <row r="80">
          <cell r="O80">
            <v>1122.8097868981854</v>
          </cell>
        </row>
        <row r="81">
          <cell r="O81">
            <v>1122.6519337016584</v>
          </cell>
        </row>
        <row r="82">
          <cell r="O82">
            <v>1143.9621152328345</v>
          </cell>
        </row>
        <row r="83">
          <cell r="O83">
            <v>1113.6543014996064</v>
          </cell>
        </row>
        <row r="84">
          <cell r="O84">
            <v>1113.6543014996064</v>
          </cell>
        </row>
        <row r="85">
          <cell r="O85">
            <v>1113.6543014996064</v>
          </cell>
        </row>
        <row r="86">
          <cell r="O86">
            <v>1071.6653512233634</v>
          </cell>
        </row>
        <row r="87">
          <cell r="O87">
            <v>1038.9897395422267</v>
          </cell>
        </row>
        <row r="88">
          <cell r="O88">
            <v>1068.5082872928187</v>
          </cell>
        </row>
        <row r="89">
          <cell r="O89">
            <v>1066.6140489344921</v>
          </cell>
        </row>
        <row r="90">
          <cell r="O90">
            <v>1059.1949486977123</v>
          </cell>
        </row>
        <row r="91">
          <cell r="O91">
            <v>1059.1949486977123</v>
          </cell>
        </row>
        <row r="92">
          <cell r="O92">
            <v>1059.1949486977123</v>
          </cell>
        </row>
        <row r="93">
          <cell r="O93">
            <v>1049.8816101026059</v>
          </cell>
        </row>
        <row r="94">
          <cell r="O94">
            <v>1043.7253354380439</v>
          </cell>
        </row>
        <row r="95">
          <cell r="O95">
            <v>1045.9352801894252</v>
          </cell>
        </row>
        <row r="96">
          <cell r="O96">
            <v>1033.4648776637739</v>
          </cell>
        </row>
        <row r="97">
          <cell r="O97">
            <v>1057.7742699289672</v>
          </cell>
        </row>
        <row r="98">
          <cell r="O98">
            <v>1057.7742699289672</v>
          </cell>
        </row>
        <row r="99">
          <cell r="O99">
            <v>1057.7742699289672</v>
          </cell>
        </row>
        <row r="100">
          <cell r="O100">
            <v>1074.0331491712723</v>
          </cell>
        </row>
        <row r="101">
          <cell r="O101">
            <v>1045.7774269928977</v>
          </cell>
        </row>
        <row r="102">
          <cell r="O102">
            <v>1038.2004735595906</v>
          </cell>
        </row>
        <row r="103">
          <cell r="O103">
            <v>1028.8871349644842</v>
          </cell>
        </row>
        <row r="104">
          <cell r="O104">
            <v>1028.5714285714294</v>
          </cell>
        </row>
        <row r="105">
          <cell r="O105">
            <v>1028.5714285714294</v>
          </cell>
        </row>
        <row r="106">
          <cell r="O106">
            <v>1028.5714285714294</v>
          </cell>
        </row>
        <row r="107">
          <cell r="O107">
            <v>1012.1546961325978</v>
          </cell>
        </row>
        <row r="108">
          <cell r="O108">
            <v>988.47671665351345</v>
          </cell>
        </row>
        <row r="109">
          <cell r="O109">
            <v>969.53433307024579</v>
          </cell>
        </row>
        <row r="110">
          <cell r="O110">
            <v>969.53433307024579</v>
          </cell>
        </row>
        <row r="111">
          <cell r="O111">
            <v>994.79084451460255</v>
          </cell>
        </row>
        <row r="112">
          <cell r="O112">
            <v>994.79084451460255</v>
          </cell>
        </row>
        <row r="113">
          <cell r="O113">
            <v>994.79084451460255</v>
          </cell>
        </row>
        <row r="114">
          <cell r="O114">
            <v>975.69060773480783</v>
          </cell>
        </row>
        <row r="115">
          <cell r="O115">
            <v>962.27308602999324</v>
          </cell>
        </row>
        <row r="116">
          <cell r="O116">
            <v>997.47434885556527</v>
          </cell>
        </row>
        <row r="117">
          <cell r="O117">
            <v>1011.049723756907</v>
          </cell>
        </row>
        <row r="118">
          <cell r="O118">
            <v>1014.2067876874517</v>
          </cell>
        </row>
        <row r="119">
          <cell r="O119">
            <v>1014.2067876874517</v>
          </cell>
        </row>
        <row r="120">
          <cell r="O120">
            <v>1014.2067876874517</v>
          </cell>
        </row>
        <row r="121">
          <cell r="O121">
            <v>996.84293606945641</v>
          </cell>
        </row>
        <row r="122">
          <cell r="O122">
            <v>1008.9976322020534</v>
          </cell>
        </row>
        <row r="123">
          <cell r="O123">
            <v>1063.7726913970023</v>
          </cell>
        </row>
        <row r="124">
          <cell r="O124">
            <v>1113.6543014996071</v>
          </cell>
        </row>
        <row r="125">
          <cell r="O125">
            <v>1098.9739542225745</v>
          </cell>
        </row>
        <row r="126">
          <cell r="O126">
            <v>1098.9739542225745</v>
          </cell>
        </row>
        <row r="127">
          <cell r="O127">
            <v>1098.9739542225745</v>
          </cell>
        </row>
        <row r="128">
          <cell r="O128">
            <v>1109.0765588003173</v>
          </cell>
        </row>
        <row r="129">
          <cell r="O129">
            <v>1098.1846882399384</v>
          </cell>
        </row>
        <row r="130">
          <cell r="O130">
            <v>1120.9155485398599</v>
          </cell>
        </row>
        <row r="131">
          <cell r="O131">
            <v>1110.8129439621171</v>
          </cell>
        </row>
        <row r="132">
          <cell r="O132">
            <v>1099.7632202052109</v>
          </cell>
        </row>
        <row r="133">
          <cell r="O133">
            <v>1099.7632202052109</v>
          </cell>
        </row>
        <row r="134">
          <cell r="O134">
            <v>1099.7632202052109</v>
          </cell>
        </row>
        <row r="135">
          <cell r="O135">
            <v>1143.6464088397811</v>
          </cell>
        </row>
        <row r="136">
          <cell r="O136">
            <v>1143.6464088397811</v>
          </cell>
        </row>
        <row r="137">
          <cell r="O137">
            <v>1156.9060773480687</v>
          </cell>
        </row>
        <row r="138">
          <cell r="O138">
            <v>1158.1689029202867</v>
          </cell>
        </row>
        <row r="139">
          <cell r="O139">
            <v>1160.3788476716679</v>
          </cell>
        </row>
        <row r="140">
          <cell r="O140">
            <v>1160.3788476716679</v>
          </cell>
        </row>
        <row r="141">
          <cell r="O141">
            <v>1160.3788476716679</v>
          </cell>
        </row>
        <row r="142">
          <cell r="O142">
            <v>1181.689029202844</v>
          </cell>
        </row>
        <row r="143">
          <cell r="O143">
            <v>1169.5343330702474</v>
          </cell>
        </row>
        <row r="144">
          <cell r="O144">
            <v>1144.9092344119995</v>
          </cell>
        </row>
        <row r="145">
          <cell r="O145">
            <v>1148.6977111286528</v>
          </cell>
        </row>
        <row r="146">
          <cell r="O146">
            <v>1151.5390686661433</v>
          </cell>
        </row>
        <row r="147">
          <cell r="O147">
            <v>1151.5390686661433</v>
          </cell>
        </row>
        <row r="148">
          <cell r="O148">
            <v>1151.5390686661433</v>
          </cell>
        </row>
        <row r="149">
          <cell r="O149">
            <v>1152.1704814522523</v>
          </cell>
        </row>
        <row r="150">
          <cell r="O150">
            <v>1146.1720599842179</v>
          </cell>
        </row>
        <row r="151">
          <cell r="O151">
            <v>1128.0189423835861</v>
          </cell>
        </row>
        <row r="152">
          <cell r="O152">
            <v>1179.4790844514628</v>
          </cell>
        </row>
        <row r="153">
          <cell r="O153">
            <v>1187.8453038674058</v>
          </cell>
        </row>
        <row r="154">
          <cell r="O154">
            <v>1187.8453038674058</v>
          </cell>
        </row>
        <row r="155">
          <cell r="O155">
            <v>1187.8453038674058</v>
          </cell>
        </row>
        <row r="156">
          <cell r="O156">
            <v>1223.5201262825599</v>
          </cell>
        </row>
        <row r="157">
          <cell r="O157">
            <v>1221.3101815311788</v>
          </cell>
        </row>
        <row r="158">
          <cell r="O158">
            <v>1228.5714285714314</v>
          </cell>
        </row>
        <row r="159">
          <cell r="O159">
            <v>1225.8879242304688</v>
          </cell>
        </row>
        <row r="160">
          <cell r="O160">
            <v>1228.2557221783775</v>
          </cell>
        </row>
        <row r="161">
          <cell r="O161">
            <v>1228.2557221783775</v>
          </cell>
        </row>
        <row r="162">
          <cell r="O162">
            <v>1228.2557221783775</v>
          </cell>
        </row>
        <row r="163">
          <cell r="O163">
            <v>1216.258879242308</v>
          </cell>
        </row>
        <row r="164">
          <cell r="O164">
            <v>1244.6724546172097</v>
          </cell>
        </row>
        <row r="165">
          <cell r="O165">
            <v>1236.4640883977936</v>
          </cell>
        </row>
        <row r="166">
          <cell r="O166">
            <v>1201.1049723756942</v>
          </cell>
        </row>
        <row r="167">
          <cell r="O167">
            <v>1189.2659826361519</v>
          </cell>
        </row>
        <row r="168">
          <cell r="O168">
            <v>1189.2659826361519</v>
          </cell>
        </row>
        <row r="169">
          <cell r="O169">
            <v>1189.2659826361519</v>
          </cell>
        </row>
        <row r="170">
          <cell r="O170">
            <v>1195.5801104972411</v>
          </cell>
        </row>
        <row r="171">
          <cell r="O171">
            <v>1170.165745856357</v>
          </cell>
        </row>
        <row r="172">
          <cell r="O172">
            <v>1170.165745856357</v>
          </cell>
        </row>
        <row r="173">
          <cell r="O173">
            <v>1177.1112865035552</v>
          </cell>
        </row>
        <row r="174">
          <cell r="O174">
            <v>1218.4688239936893</v>
          </cell>
        </row>
        <row r="175">
          <cell r="O175">
            <v>1218.4688239936893</v>
          </cell>
        </row>
        <row r="176">
          <cell r="O176">
            <v>1218.4688239936893</v>
          </cell>
        </row>
        <row r="177">
          <cell r="O177">
            <v>1188.1610102604611</v>
          </cell>
        </row>
        <row r="178">
          <cell r="O178">
            <v>1185.1617995264437</v>
          </cell>
        </row>
        <row r="179">
          <cell r="O179">
            <v>1198.105761641677</v>
          </cell>
        </row>
        <row r="180">
          <cell r="O180">
            <v>1194.7908445146047</v>
          </cell>
        </row>
        <row r="181">
          <cell r="O181">
            <v>1205.2091554854017</v>
          </cell>
        </row>
        <row r="182">
          <cell r="O182">
            <v>1205.2091554854017</v>
          </cell>
        </row>
        <row r="183">
          <cell r="O183">
            <v>1205.2091554854017</v>
          </cell>
        </row>
        <row r="184">
          <cell r="O184">
            <v>1181.5311760063171</v>
          </cell>
        </row>
        <row r="185">
          <cell r="O185">
            <v>1182.4782951854806</v>
          </cell>
        </row>
        <row r="186">
          <cell r="O186">
            <v>1155.3275453827969</v>
          </cell>
        </row>
        <row r="187">
          <cell r="O187">
            <v>1155.4853985793238</v>
          </cell>
        </row>
        <row r="188">
          <cell r="O188">
            <v>1161.6416732438854</v>
          </cell>
        </row>
        <row r="189">
          <cell r="O189">
            <v>1161.6416732438854</v>
          </cell>
        </row>
        <row r="190">
          <cell r="O190">
            <v>1161.6416732438854</v>
          </cell>
        </row>
        <row r="191">
          <cell r="O191">
            <v>1156.9060773480685</v>
          </cell>
        </row>
        <row r="192">
          <cell r="O192">
            <v>1141.1207576953452</v>
          </cell>
        </row>
        <row r="193">
          <cell r="O193">
            <v>1134.1752170481473</v>
          </cell>
        </row>
        <row r="194">
          <cell r="O194">
            <v>1130.7024467245478</v>
          </cell>
        </row>
        <row r="195">
          <cell r="O195">
            <v>1155.4853985793229</v>
          </cell>
        </row>
        <row r="196">
          <cell r="O196">
            <v>1155.4853985793229</v>
          </cell>
        </row>
        <row r="197">
          <cell r="O197">
            <v>1155.4853985793229</v>
          </cell>
        </row>
        <row r="198">
          <cell r="O198">
            <v>1158.6424625098678</v>
          </cell>
        </row>
        <row r="199">
          <cell r="O199">
            <v>1153.9068666140506</v>
          </cell>
        </row>
        <row r="200">
          <cell r="O200">
            <v>1161.010260457776</v>
          </cell>
        </row>
        <row r="201">
          <cell r="O201">
            <v>1153.591160220996</v>
          </cell>
        </row>
        <row r="202">
          <cell r="O202">
            <v>1123.5990528808225</v>
          </cell>
        </row>
        <row r="203">
          <cell r="O203">
            <v>1123.5990528808225</v>
          </cell>
        </row>
        <row r="204">
          <cell r="O204">
            <v>1123.5990528808225</v>
          </cell>
        </row>
        <row r="205">
          <cell r="O205">
            <v>1090.1341752170497</v>
          </cell>
        </row>
        <row r="206">
          <cell r="O206">
            <v>1086.3456985003959</v>
          </cell>
        </row>
        <row r="207">
          <cell r="O207">
            <v>1077.1902131018164</v>
          </cell>
        </row>
        <row r="208">
          <cell r="O208">
            <v>1087.2928176795592</v>
          </cell>
        </row>
        <row r="209">
          <cell r="O209">
            <v>1065.3512233622744</v>
          </cell>
        </row>
        <row r="210">
          <cell r="O210">
            <v>1065.3512233622744</v>
          </cell>
        </row>
        <row r="211">
          <cell r="O211">
            <v>1065.3512233622744</v>
          </cell>
        </row>
        <row r="212">
          <cell r="O212">
            <v>1065.9826361483838</v>
          </cell>
        </row>
        <row r="213">
          <cell r="O213">
            <v>1065.9826361483838</v>
          </cell>
        </row>
        <row r="214">
          <cell r="O214">
            <v>1049.5659037095518</v>
          </cell>
        </row>
        <row r="215">
          <cell r="O215">
            <v>1062.9834254143666</v>
          </cell>
        </row>
        <row r="216">
          <cell r="O216">
            <v>1046.724546172062</v>
          </cell>
        </row>
        <row r="217">
          <cell r="O217">
            <v>1046.724546172062</v>
          </cell>
        </row>
        <row r="218">
          <cell r="O218">
            <v>1046.724546172062</v>
          </cell>
        </row>
        <row r="219">
          <cell r="O219">
            <v>1023.6779794790864</v>
          </cell>
        </row>
        <row r="220">
          <cell r="O220">
            <v>1029.6764009471215</v>
          </cell>
        </row>
        <row r="221">
          <cell r="O221">
            <v>1028.8871349644853</v>
          </cell>
        </row>
        <row r="222">
          <cell r="O222">
            <v>1033.3070244672476</v>
          </cell>
        </row>
        <row r="223">
          <cell r="O223">
            <v>1056.985003946332</v>
          </cell>
        </row>
        <row r="224">
          <cell r="O224">
            <v>1056.985003946332</v>
          </cell>
        </row>
        <row r="225">
          <cell r="O225">
            <v>1056.985003946332</v>
          </cell>
        </row>
        <row r="226">
          <cell r="O226">
            <v>1041.5153906866637</v>
          </cell>
        </row>
        <row r="227">
          <cell r="O227">
            <v>1057.3007103393868</v>
          </cell>
        </row>
        <row r="228">
          <cell r="O228">
            <v>1100.5524861878473</v>
          </cell>
        </row>
        <row r="229">
          <cell r="O229">
            <v>1110.339384372536</v>
          </cell>
        </row>
        <row r="230">
          <cell r="O230">
            <v>1112.2336227308629</v>
          </cell>
        </row>
        <row r="231">
          <cell r="O231">
            <v>1112.2336227308629</v>
          </cell>
        </row>
        <row r="232">
          <cell r="O232">
            <v>1112.2336227308629</v>
          </cell>
        </row>
        <row r="233">
          <cell r="O233">
            <v>1112.2336227308629</v>
          </cell>
        </row>
        <row r="234">
          <cell r="O234">
            <v>1106.3930544593554</v>
          </cell>
        </row>
        <row r="235">
          <cell r="O235">
            <v>1103.2359905288108</v>
          </cell>
        </row>
        <row r="236">
          <cell r="O236">
            <v>1069.1397000789291</v>
          </cell>
        </row>
        <row r="237">
          <cell r="O237">
            <v>1081.6101026045803</v>
          </cell>
        </row>
        <row r="238">
          <cell r="O238">
            <v>1081.6101026045803</v>
          </cell>
        </row>
        <row r="239">
          <cell r="O239">
            <v>1081.6101026045803</v>
          </cell>
        </row>
        <row r="240">
          <cell r="O240">
            <v>1093.2912391475957</v>
          </cell>
        </row>
        <row r="241">
          <cell r="O241">
            <v>1124.3883188634602</v>
          </cell>
        </row>
        <row r="242">
          <cell r="O242">
            <v>1124.3883188634602</v>
          </cell>
        </row>
        <row r="243">
          <cell r="O243">
            <v>1130.2288871349674</v>
          </cell>
        </row>
        <row r="244">
          <cell r="O244">
            <v>1129.5974743488587</v>
          </cell>
        </row>
        <row r="245">
          <cell r="O245">
            <v>1129.5974743488587</v>
          </cell>
        </row>
        <row r="246">
          <cell r="O246">
            <v>1129.5974743488587</v>
          </cell>
        </row>
        <row r="247">
          <cell r="O247">
            <v>1102.2888713496477</v>
          </cell>
        </row>
        <row r="248">
          <cell r="O248">
            <v>1103.8674033149202</v>
          </cell>
        </row>
        <row r="249">
          <cell r="O249">
            <v>1116.9692186266802</v>
          </cell>
        </row>
        <row r="250">
          <cell r="O250">
            <v>1108.9187056037915</v>
          </cell>
        </row>
        <row r="251">
          <cell r="O251">
            <v>1109.0765588003192</v>
          </cell>
        </row>
        <row r="252">
          <cell r="O252">
            <v>1109.0765588003192</v>
          </cell>
        </row>
        <row r="253">
          <cell r="O253">
            <v>1109.0765588003192</v>
          </cell>
        </row>
        <row r="254">
          <cell r="O254">
            <v>1129.1239147592776</v>
          </cell>
        </row>
        <row r="255">
          <cell r="O255">
            <v>1124.2304656669332</v>
          </cell>
        </row>
        <row r="256">
          <cell r="O256">
            <v>1106.0773480663017</v>
          </cell>
        </row>
        <row r="257">
          <cell r="O257">
            <v>1101.973164956594</v>
          </cell>
        </row>
        <row r="258">
          <cell r="O258">
            <v>1064.2462509865861</v>
          </cell>
        </row>
        <row r="259">
          <cell r="O259">
            <v>1064.2462509865861</v>
          </cell>
        </row>
        <row r="260">
          <cell r="O260">
            <v>1064.2462509865861</v>
          </cell>
        </row>
        <row r="261">
          <cell r="O261">
            <v>1058.4056827150787</v>
          </cell>
        </row>
        <row r="262">
          <cell r="O262">
            <v>1092.6598263614874</v>
          </cell>
        </row>
        <row r="263">
          <cell r="O263">
            <v>1077.1902131018187</v>
          </cell>
        </row>
        <row r="264">
          <cell r="O264">
            <v>1077.0323599052915</v>
          </cell>
        </row>
        <row r="265">
          <cell r="O265">
            <v>1081.2943962115269</v>
          </cell>
        </row>
        <row r="266">
          <cell r="O266">
            <v>1081.2943962115269</v>
          </cell>
        </row>
        <row r="267">
          <cell r="O267">
            <v>1081.2943962115269</v>
          </cell>
        </row>
        <row r="268">
          <cell r="O268">
            <v>1070.8760852407299</v>
          </cell>
        </row>
        <row r="269">
          <cell r="O269">
            <v>1050.5130228887172</v>
          </cell>
        </row>
        <row r="270">
          <cell r="O270">
            <v>924.86187845304198</v>
          </cell>
        </row>
        <row r="271">
          <cell r="O271">
            <v>972.05998421468394</v>
          </cell>
        </row>
        <row r="272">
          <cell r="O272">
            <v>942.8571428571463</v>
          </cell>
        </row>
        <row r="273">
          <cell r="O273">
            <v>942.8571428571463</v>
          </cell>
        </row>
        <row r="274">
          <cell r="O274">
            <v>942.8571428571463</v>
          </cell>
        </row>
        <row r="275">
          <cell r="O275">
            <v>921.23125493291582</v>
          </cell>
        </row>
        <row r="276">
          <cell r="O276">
            <v>948.2241515390723</v>
          </cell>
        </row>
        <row r="277">
          <cell r="O277">
            <v>949.48697711129034</v>
          </cell>
        </row>
        <row r="278">
          <cell r="O278">
            <v>936.70086819258472</v>
          </cell>
        </row>
        <row r="279">
          <cell r="O279">
            <v>919.17916337806196</v>
          </cell>
        </row>
        <row r="280">
          <cell r="O280">
            <v>919.17916337806196</v>
          </cell>
        </row>
        <row r="281">
          <cell r="O281">
            <v>919.17916337806196</v>
          </cell>
        </row>
        <row r="282">
          <cell r="O282">
            <v>938.1215469613295</v>
          </cell>
        </row>
        <row r="283">
          <cell r="O283">
            <v>918.23204419889862</v>
          </cell>
        </row>
        <row r="284">
          <cell r="O284">
            <v>918.54775059195299</v>
          </cell>
        </row>
        <row r="285">
          <cell r="O285">
            <v>916.02209944751735</v>
          </cell>
        </row>
        <row r="286">
          <cell r="O286">
            <v>929.91318074191327</v>
          </cell>
        </row>
        <row r="287">
          <cell r="O287">
            <v>929.91318074191327</v>
          </cell>
        </row>
        <row r="288">
          <cell r="O288">
            <v>929.91318074191327</v>
          </cell>
        </row>
        <row r="289">
          <cell r="O289">
            <v>929.91318074191327</v>
          </cell>
        </row>
        <row r="290">
          <cell r="O290">
            <v>929.91318074191327</v>
          </cell>
        </row>
        <row r="291">
          <cell r="O291">
            <v>929.91318074191327</v>
          </cell>
        </row>
        <row r="292">
          <cell r="O292">
            <v>972.53354380426561</v>
          </cell>
        </row>
        <row r="293">
          <cell r="O293">
            <v>975.84846093133763</v>
          </cell>
        </row>
        <row r="294">
          <cell r="O294">
            <v>975.84846093133763</v>
          </cell>
        </row>
        <row r="295">
          <cell r="O295">
            <v>975.84846093133763</v>
          </cell>
        </row>
        <row r="296">
          <cell r="O296">
            <v>963.53591160221367</v>
          </cell>
        </row>
        <row r="297">
          <cell r="O297">
            <v>986.26677190213491</v>
          </cell>
        </row>
        <row r="298">
          <cell r="O298">
            <v>977.74269928966442</v>
          </cell>
        </row>
        <row r="299">
          <cell r="O299">
            <v>1005.6827150749843</v>
          </cell>
        </row>
        <row r="300">
          <cell r="O300">
            <v>1003.7884767166578</v>
          </cell>
        </row>
        <row r="301">
          <cell r="O301">
            <v>1003.7884767166578</v>
          </cell>
        </row>
        <row r="302">
          <cell r="O302">
            <v>1003.7884767166578</v>
          </cell>
        </row>
        <row r="303">
          <cell r="O303">
            <v>997.63220205209575</v>
          </cell>
        </row>
        <row r="304">
          <cell r="O304">
            <v>1013.4175217048189</v>
          </cell>
        </row>
        <row r="305">
          <cell r="O305">
            <v>1025.8879242304699</v>
          </cell>
        </row>
        <row r="306">
          <cell r="O306">
            <v>1018.7845303867448</v>
          </cell>
        </row>
        <row r="307">
          <cell r="O307">
            <v>1025.730071033943</v>
          </cell>
        </row>
        <row r="308">
          <cell r="O308">
            <v>1025.730071033943</v>
          </cell>
        </row>
        <row r="309">
          <cell r="O309">
            <v>1025.730071033943</v>
          </cell>
        </row>
        <row r="310">
          <cell r="O310">
            <v>1025.4143646408884</v>
          </cell>
        </row>
        <row r="311">
          <cell r="O311">
            <v>1030.3078137332327</v>
          </cell>
        </row>
        <row r="312">
          <cell r="O312">
            <v>1054.6172059984265</v>
          </cell>
        </row>
        <row r="313">
          <cell r="O313">
            <v>1055.8800315706442</v>
          </cell>
        </row>
        <row r="314">
          <cell r="O314">
            <v>1059.0370955011886</v>
          </cell>
        </row>
        <row r="315">
          <cell r="O315">
            <v>1059.0370955011886</v>
          </cell>
        </row>
        <row r="316">
          <cell r="O316">
            <v>1059.0370955011886</v>
          </cell>
        </row>
        <row r="317">
          <cell r="O317">
            <v>1069.1397000789309</v>
          </cell>
        </row>
        <row r="318">
          <cell r="O318">
            <v>1041.5153906866656</v>
          </cell>
        </row>
        <row r="319">
          <cell r="O319">
            <v>1048.7766377269181</v>
          </cell>
        </row>
        <row r="320">
          <cell r="O320">
            <v>1061.4048934490968</v>
          </cell>
        </row>
        <row r="321">
          <cell r="O321">
            <v>1074.8224151539116</v>
          </cell>
        </row>
        <row r="322">
          <cell r="O322">
            <v>1074.8224151539116</v>
          </cell>
        </row>
        <row r="323">
          <cell r="O323">
            <v>1074.8224151539116</v>
          </cell>
        </row>
        <row r="324">
          <cell r="O324">
            <v>1097.5532754538326</v>
          </cell>
        </row>
        <row r="325">
          <cell r="O325">
            <v>1105.4459352801941</v>
          </cell>
        </row>
        <row r="326">
          <cell r="O326">
            <v>1098.1846882399416</v>
          </cell>
        </row>
        <row r="327">
          <cell r="O327">
            <v>1121.5469613259713</v>
          </cell>
        </row>
        <row r="328">
          <cell r="O328">
            <v>1130.2288871349695</v>
          </cell>
        </row>
        <row r="329">
          <cell r="O329">
            <v>1130.2288871349695</v>
          </cell>
        </row>
        <row r="330">
          <cell r="O330">
            <v>1130.2288871349695</v>
          </cell>
        </row>
        <row r="331">
          <cell r="O331">
            <v>1144.7513812154748</v>
          </cell>
        </row>
        <row r="332">
          <cell r="O332">
            <v>1155.1696921862724</v>
          </cell>
        </row>
        <row r="333">
          <cell r="O333">
            <v>1192.1073401736444</v>
          </cell>
        </row>
        <row r="334">
          <cell r="O334">
            <v>1192.4230465666992</v>
          </cell>
        </row>
        <row r="335">
          <cell r="O335">
            <v>1201.4206787687508</v>
          </cell>
        </row>
        <row r="336">
          <cell r="O336">
            <v>1201.4206787687508</v>
          </cell>
        </row>
        <row r="337">
          <cell r="O337">
            <v>1201.4206787687508</v>
          </cell>
        </row>
        <row r="338">
          <cell r="O338">
            <v>1233.3070244672515</v>
          </cell>
        </row>
        <row r="339">
          <cell r="O339">
            <v>1209.7868981846941</v>
          </cell>
        </row>
        <row r="340">
          <cell r="O340">
            <v>1208.366219415949</v>
          </cell>
        </row>
        <row r="341">
          <cell r="O341">
            <v>1227.7821625887984</v>
          </cell>
        </row>
        <row r="342">
          <cell r="O342">
            <v>1271.5074980268412</v>
          </cell>
        </row>
        <row r="343">
          <cell r="O343">
            <v>1271.5074980268412</v>
          </cell>
        </row>
        <row r="344">
          <cell r="O344">
            <v>1271.5074980268412</v>
          </cell>
        </row>
        <row r="345">
          <cell r="O345">
            <v>1329.1239147592801</v>
          </cell>
        </row>
        <row r="346">
          <cell r="O346">
            <v>1320.4419889502824</v>
          </cell>
        </row>
        <row r="347">
          <cell r="O347">
            <v>1243.4096290449938</v>
          </cell>
        </row>
        <row r="348">
          <cell r="O348">
            <v>1232.3599052880875</v>
          </cell>
        </row>
        <row r="349">
          <cell r="O349">
            <v>1263.2991318074246</v>
          </cell>
        </row>
        <row r="350">
          <cell r="O350">
            <v>1263.2991318074246</v>
          </cell>
        </row>
        <row r="351">
          <cell r="O351">
            <v>1263.2991318074246</v>
          </cell>
        </row>
        <row r="352">
          <cell r="O352">
            <v>1275.927387529603</v>
          </cell>
        </row>
        <row r="353">
          <cell r="O353">
            <v>1275.1381215469669</v>
          </cell>
        </row>
        <row r="354">
          <cell r="O354">
            <v>1359.7474348855626</v>
          </cell>
        </row>
        <row r="355">
          <cell r="O355">
            <v>1355.0118389897457</v>
          </cell>
        </row>
        <row r="356">
          <cell r="O356">
            <v>1393.054459352808</v>
          </cell>
        </row>
        <row r="357">
          <cell r="O357">
            <v>1393.054459352808</v>
          </cell>
        </row>
        <row r="358">
          <cell r="O358">
            <v>1393.054459352808</v>
          </cell>
        </row>
        <row r="359">
          <cell r="O359">
            <v>1316.6535122336286</v>
          </cell>
        </row>
        <row r="360">
          <cell r="O360">
            <v>1320.2841357537548</v>
          </cell>
        </row>
        <row r="361">
          <cell r="O361">
            <v>1344.9092344120027</v>
          </cell>
        </row>
        <row r="362">
          <cell r="O362">
            <v>1331.6495659037153</v>
          </cell>
        </row>
        <row r="363">
          <cell r="O363">
            <v>1305.445935280195</v>
          </cell>
        </row>
        <row r="364">
          <cell r="O364">
            <v>1305.445935280195</v>
          </cell>
        </row>
        <row r="365">
          <cell r="O365">
            <v>1305.445935280195</v>
          </cell>
        </row>
        <row r="366">
          <cell r="O366">
            <v>1271.6653512233679</v>
          </cell>
        </row>
        <row r="367">
          <cell r="O367">
            <v>1265.6669297553333</v>
          </cell>
        </row>
        <row r="368">
          <cell r="O368">
            <v>1275.2959747434943</v>
          </cell>
        </row>
        <row r="369">
          <cell r="O369">
            <v>1310.8129439621214</v>
          </cell>
        </row>
        <row r="370">
          <cell r="O370">
            <v>1269.6132596685143</v>
          </cell>
        </row>
        <row r="371">
          <cell r="O371">
            <v>1269.6132596685143</v>
          </cell>
        </row>
        <row r="372">
          <cell r="O372">
            <v>1269.6132596685143</v>
          </cell>
        </row>
        <row r="373">
          <cell r="O373">
            <v>1273.8752959747492</v>
          </cell>
        </row>
        <row r="374">
          <cell r="O374">
            <v>1273.8752959747492</v>
          </cell>
        </row>
        <row r="375">
          <cell r="O375">
            <v>1290.6077348066353</v>
          </cell>
        </row>
        <row r="376">
          <cell r="O376">
            <v>1321.3891081294448</v>
          </cell>
        </row>
        <row r="377">
          <cell r="O377">
            <v>1372.8492501973215</v>
          </cell>
        </row>
        <row r="378">
          <cell r="O378">
            <v>1372.8492501973215</v>
          </cell>
        </row>
        <row r="379">
          <cell r="O379">
            <v>1372.8492501973215</v>
          </cell>
        </row>
        <row r="380">
          <cell r="O380">
            <v>1372.8492501973215</v>
          </cell>
        </row>
        <row r="381">
          <cell r="O381">
            <v>1372.8492501973215</v>
          </cell>
        </row>
        <row r="382">
          <cell r="O382">
            <v>1439.3054459352859</v>
          </cell>
        </row>
        <row r="383">
          <cell r="O383">
            <v>1444.6724546172113</v>
          </cell>
        </row>
        <row r="384">
          <cell r="O384">
            <v>1487.6085240726184</v>
          </cell>
        </row>
        <row r="385">
          <cell r="O385">
            <v>1487.6085240726184</v>
          </cell>
        </row>
        <row r="386">
          <cell r="O386">
            <v>1487.6085240726184</v>
          </cell>
        </row>
        <row r="387">
          <cell r="O387">
            <v>1492.8176795580168</v>
          </cell>
        </row>
        <row r="388">
          <cell r="O388">
            <v>1455.5643251775903</v>
          </cell>
        </row>
        <row r="389">
          <cell r="O389">
            <v>1490.765588003163</v>
          </cell>
        </row>
        <row r="390">
          <cell r="O390">
            <v>1435.9905288082141</v>
          </cell>
        </row>
        <row r="391">
          <cell r="O391">
            <v>1435.8326756116867</v>
          </cell>
        </row>
        <row r="392">
          <cell r="O392">
            <v>1435.8326756116867</v>
          </cell>
        </row>
        <row r="393">
          <cell r="O393">
            <v>1435.8326756116867</v>
          </cell>
        </row>
        <row r="394">
          <cell r="O394">
            <v>1473.5595895816946</v>
          </cell>
        </row>
        <row r="395">
          <cell r="O395">
            <v>1420.3630623520178</v>
          </cell>
        </row>
        <row r="396">
          <cell r="O396">
            <v>1404.7355958958221</v>
          </cell>
        </row>
        <row r="397">
          <cell r="O397">
            <v>1409.1554853985849</v>
          </cell>
        </row>
        <row r="398">
          <cell r="O398">
            <v>1399.0528808208421</v>
          </cell>
        </row>
        <row r="399">
          <cell r="O399">
            <v>1399.0528808208421</v>
          </cell>
        </row>
        <row r="400">
          <cell r="O400">
            <v>1399.0528808208421</v>
          </cell>
        </row>
        <row r="401">
          <cell r="O401">
            <v>1416.2588792423098</v>
          </cell>
        </row>
        <row r="402">
          <cell r="O402">
            <v>1430.7813733228154</v>
          </cell>
        </row>
        <row r="403">
          <cell r="O403">
            <v>1466.4561957379692</v>
          </cell>
        </row>
        <row r="404">
          <cell r="O404">
            <v>1497.7111286503603</v>
          </cell>
        </row>
        <row r="405">
          <cell r="O405">
            <v>1532.1231254932968</v>
          </cell>
        </row>
        <row r="406">
          <cell r="O406">
            <v>1532.1231254932968</v>
          </cell>
        </row>
        <row r="407">
          <cell r="O407">
            <v>1532.1231254932968</v>
          </cell>
        </row>
        <row r="408">
          <cell r="O408">
            <v>1537.8058405682773</v>
          </cell>
        </row>
        <row r="409">
          <cell r="O409">
            <v>1522.9676400947178</v>
          </cell>
        </row>
        <row r="410">
          <cell r="O410">
            <v>1473.4017363851674</v>
          </cell>
        </row>
        <row r="411">
          <cell r="O411">
            <v>1467.8768745067146</v>
          </cell>
        </row>
        <row r="412">
          <cell r="O412">
            <v>1459.5106550907715</v>
          </cell>
        </row>
        <row r="413">
          <cell r="O413">
            <v>1459.5106550907715</v>
          </cell>
        </row>
        <row r="414">
          <cell r="O414">
            <v>1459.5106550907715</v>
          </cell>
        </row>
        <row r="415">
          <cell r="O415">
            <v>1436.6219415943233</v>
          </cell>
        </row>
        <row r="416">
          <cell r="O416">
            <v>1457.6164167324446</v>
          </cell>
        </row>
        <row r="417">
          <cell r="O417">
            <v>1459.6685082872987</v>
          </cell>
        </row>
        <row r="418">
          <cell r="O418">
            <v>1432.3599052880879</v>
          </cell>
        </row>
        <row r="419">
          <cell r="O419">
            <v>1456.3535911602271</v>
          </cell>
        </row>
        <row r="420">
          <cell r="O420">
            <v>1456.3535911602271</v>
          </cell>
        </row>
        <row r="421">
          <cell r="O421">
            <v>1456.3535911602271</v>
          </cell>
        </row>
        <row r="422">
          <cell r="O422">
            <v>1456.3535911602271</v>
          </cell>
        </row>
        <row r="423">
          <cell r="O423">
            <v>1456.3535911602271</v>
          </cell>
        </row>
        <row r="424">
          <cell r="O424">
            <v>1456.3535911602271</v>
          </cell>
        </row>
        <row r="425">
          <cell r="O425">
            <v>1578.3741120757759</v>
          </cell>
        </row>
        <row r="426">
          <cell r="O426">
            <v>1546.9613259668572</v>
          </cell>
        </row>
        <row r="427">
          <cell r="O427">
            <v>1546.9613259668572</v>
          </cell>
        </row>
        <row r="428">
          <cell r="O428">
            <v>1546.9613259668572</v>
          </cell>
        </row>
        <row r="429">
          <cell r="O429">
            <v>1559.9052880820898</v>
          </cell>
        </row>
        <row r="430">
          <cell r="O430">
            <v>1543.96211523284</v>
          </cell>
        </row>
        <row r="431">
          <cell r="O431">
            <v>1532.9123914759339</v>
          </cell>
        </row>
        <row r="432">
          <cell r="O432">
            <v>1555.1696921862729</v>
          </cell>
        </row>
        <row r="433">
          <cell r="O433">
            <v>1564.4830307813795</v>
          </cell>
        </row>
        <row r="434">
          <cell r="O434">
            <v>1564.4830307813795</v>
          </cell>
        </row>
        <row r="435">
          <cell r="O435">
            <v>1564.4830307813795</v>
          </cell>
        </row>
        <row r="436">
          <cell r="O436">
            <v>1562.7466456195798</v>
          </cell>
        </row>
        <row r="437">
          <cell r="O437">
            <v>1582.1625887924297</v>
          </cell>
        </row>
        <row r="438">
          <cell r="O438">
            <v>1625.4143646408907</v>
          </cell>
        </row>
        <row r="439">
          <cell r="O439">
            <v>1619.8895027624374</v>
          </cell>
        </row>
        <row r="440">
          <cell r="O440">
            <v>1619.8895027624374</v>
          </cell>
        </row>
        <row r="441">
          <cell r="O441">
            <v>1619.8895027624374</v>
          </cell>
        </row>
        <row r="442">
          <cell r="O442">
            <v>1619.8895027624374</v>
          </cell>
        </row>
        <row r="443">
          <cell r="O443">
            <v>1648.145224940811</v>
          </cell>
        </row>
        <row r="444">
          <cell r="O444">
            <v>1665.5090765588068</v>
          </cell>
        </row>
        <row r="445">
          <cell r="O445">
            <v>1666.4561957379701</v>
          </cell>
        </row>
        <row r="446">
          <cell r="O446">
            <v>1636.1483820047422</v>
          </cell>
        </row>
        <row r="447">
          <cell r="O447">
            <v>1626.5193370165809</v>
          </cell>
        </row>
        <row r="448">
          <cell r="O448">
            <v>1626.5193370165809</v>
          </cell>
        </row>
        <row r="449">
          <cell r="O449">
            <v>1626.5193370165809</v>
          </cell>
        </row>
        <row r="450">
          <cell r="O450">
            <v>1627.3086029992169</v>
          </cell>
        </row>
        <row r="451">
          <cell r="O451">
            <v>1666.4561957379697</v>
          </cell>
        </row>
        <row r="452">
          <cell r="O452">
            <v>1672.2967640094771</v>
          </cell>
        </row>
        <row r="453">
          <cell r="O453">
            <v>1687.7663772691458</v>
          </cell>
        </row>
        <row r="454">
          <cell r="O454">
            <v>1689.9763220205268</v>
          </cell>
        </row>
        <row r="455">
          <cell r="O455">
            <v>1689.9763220205268</v>
          </cell>
        </row>
        <row r="456">
          <cell r="O456">
            <v>1689.9763220205268</v>
          </cell>
        </row>
        <row r="457">
          <cell r="O457">
            <v>1704.6566692975584</v>
          </cell>
        </row>
        <row r="458">
          <cell r="O458">
            <v>1745.8563535911651</v>
          </cell>
        </row>
        <row r="459">
          <cell r="O459">
            <v>1741.2786108918754</v>
          </cell>
        </row>
        <row r="460">
          <cell r="O460">
            <v>1737.8058405682764</v>
          </cell>
        </row>
        <row r="461">
          <cell r="O461">
            <v>1764.6408839779056</v>
          </cell>
        </row>
        <row r="462">
          <cell r="O462">
            <v>1764.6408839779056</v>
          </cell>
        </row>
        <row r="463">
          <cell r="O463">
            <v>1764.6408839779056</v>
          </cell>
        </row>
        <row r="464">
          <cell r="O464">
            <v>1727.3875295974792</v>
          </cell>
        </row>
        <row r="465">
          <cell r="O465">
            <v>1734.0173638516228</v>
          </cell>
        </row>
        <row r="466">
          <cell r="O466">
            <v>1778.6898184688291</v>
          </cell>
        </row>
        <row r="467">
          <cell r="O467">
            <v>1758.3267561168163</v>
          </cell>
        </row>
        <row r="468">
          <cell r="O468">
            <v>1765.4301499605415</v>
          </cell>
        </row>
        <row r="469">
          <cell r="O469">
            <v>1765.4301499605415</v>
          </cell>
        </row>
        <row r="470">
          <cell r="O470">
            <v>1765.4301499605415</v>
          </cell>
        </row>
        <row r="471">
          <cell r="O471">
            <v>1725.0197316495703</v>
          </cell>
        </row>
        <row r="472">
          <cell r="O472">
            <v>1787.5295974743531</v>
          </cell>
        </row>
        <row r="473">
          <cell r="O473">
            <v>1811.9968429360738</v>
          </cell>
        </row>
        <row r="474">
          <cell r="O474">
            <v>1807.8926598263658</v>
          </cell>
        </row>
        <row r="475">
          <cell r="O475">
            <v>1807.8926598263658</v>
          </cell>
        </row>
        <row r="476">
          <cell r="O476">
            <v>1807.8926598263658</v>
          </cell>
        </row>
        <row r="477">
          <cell r="O477">
            <v>1807.8926598263658</v>
          </cell>
        </row>
        <row r="478">
          <cell r="O478">
            <v>1769.2186266771944</v>
          </cell>
        </row>
        <row r="479">
          <cell r="O479">
            <v>1747.4348855564367</v>
          </cell>
        </row>
        <row r="480">
          <cell r="O480">
            <v>1683.820047355963</v>
          </cell>
        </row>
        <row r="481">
          <cell r="O481">
            <v>1696.921862667723</v>
          </cell>
        </row>
        <row r="482">
          <cell r="O482">
            <v>1728.6503551696967</v>
          </cell>
        </row>
        <row r="483">
          <cell r="O483">
            <v>1728.6503551696967</v>
          </cell>
        </row>
        <row r="484">
          <cell r="O484">
            <v>1728.6503551696967</v>
          </cell>
        </row>
        <row r="485">
          <cell r="O485">
            <v>1768.5872138910859</v>
          </cell>
        </row>
        <row r="486">
          <cell r="O486">
            <v>1783.2675611681184</v>
          </cell>
        </row>
        <row r="487">
          <cell r="O487">
            <v>1845.3038674033201</v>
          </cell>
        </row>
        <row r="488">
          <cell r="O488">
            <v>1857.3007103393893</v>
          </cell>
        </row>
        <row r="489">
          <cell r="O489">
            <v>1827.1507498026883</v>
          </cell>
        </row>
        <row r="490">
          <cell r="O490">
            <v>1827.1507498026883</v>
          </cell>
        </row>
        <row r="491">
          <cell r="O491">
            <v>1827.1507498026883</v>
          </cell>
        </row>
        <row r="492">
          <cell r="O492">
            <v>1825.2565114443614</v>
          </cell>
        </row>
        <row r="493">
          <cell r="O493">
            <v>1841.5153906866667</v>
          </cell>
        </row>
        <row r="494">
          <cell r="O494">
            <v>1826.3614838200524</v>
          </cell>
        </row>
        <row r="495">
          <cell r="O495">
            <v>1742.2257300710387</v>
          </cell>
        </row>
        <row r="496">
          <cell r="O496">
            <v>1729.2817679558057</v>
          </cell>
        </row>
        <row r="497">
          <cell r="O497">
            <v>1729.2817679558057</v>
          </cell>
        </row>
        <row r="498">
          <cell r="O498">
            <v>1729.2817679558057</v>
          </cell>
        </row>
        <row r="499">
          <cell r="O499">
            <v>1667.087608524077</v>
          </cell>
        </row>
        <row r="500">
          <cell r="O500">
            <v>1679.4001578532007</v>
          </cell>
        </row>
        <row r="501">
          <cell r="O501">
            <v>1679.4001578532007</v>
          </cell>
        </row>
        <row r="502">
          <cell r="O502">
            <v>1707.1823204419934</v>
          </cell>
        </row>
        <row r="503">
          <cell r="O503">
            <v>1697.7111286503596</v>
          </cell>
        </row>
        <row r="504">
          <cell r="O504">
            <v>1697.7111286503596</v>
          </cell>
        </row>
        <row r="505">
          <cell r="O505">
            <v>1697.7111286503596</v>
          </cell>
        </row>
        <row r="506">
          <cell r="O506">
            <v>1633.7805840568312</v>
          </cell>
        </row>
        <row r="507">
          <cell r="O507">
            <v>1636.6219415943217</v>
          </cell>
        </row>
        <row r="508">
          <cell r="O508">
            <v>1673.5595895816939</v>
          </cell>
        </row>
        <row r="509">
          <cell r="O509">
            <v>1656.1957379636988</v>
          </cell>
        </row>
        <row r="510">
          <cell r="O510">
            <v>1613.733228097874</v>
          </cell>
        </row>
        <row r="511">
          <cell r="O511">
            <v>1613.733228097874</v>
          </cell>
        </row>
        <row r="512">
          <cell r="O512">
            <v>1613.733228097874</v>
          </cell>
        </row>
        <row r="513">
          <cell r="O513">
            <v>1623.2044198895073</v>
          </cell>
        </row>
        <row r="514">
          <cell r="O514">
            <v>1662.3520126282606</v>
          </cell>
        </row>
        <row r="515">
          <cell r="O515">
            <v>1715.0749802683554</v>
          </cell>
        </row>
        <row r="516">
          <cell r="O516">
            <v>1705.6037884767215</v>
          </cell>
        </row>
        <row r="517">
          <cell r="O517">
            <v>1742.0678768745115</v>
          </cell>
        </row>
        <row r="518">
          <cell r="O518">
            <v>1742.0678768745115</v>
          </cell>
        </row>
        <row r="519">
          <cell r="O519">
            <v>1742.0678768745115</v>
          </cell>
        </row>
        <row r="520">
          <cell r="O520">
            <v>1719.1791633780631</v>
          </cell>
        </row>
        <row r="521">
          <cell r="O521">
            <v>1660.4577742699337</v>
          </cell>
        </row>
        <row r="522">
          <cell r="O522">
            <v>1716.8113654301546</v>
          </cell>
        </row>
        <row r="523">
          <cell r="O523">
            <v>1679.4001578532011</v>
          </cell>
        </row>
        <row r="524">
          <cell r="O524">
            <v>1702.28887134965</v>
          </cell>
        </row>
        <row r="525">
          <cell r="O525">
            <v>1702.28887134965</v>
          </cell>
        </row>
        <row r="526">
          <cell r="O526">
            <v>1702.28887134965</v>
          </cell>
        </row>
        <row r="527">
          <cell r="O527">
            <v>1674.1910023678029</v>
          </cell>
        </row>
        <row r="528">
          <cell r="O528">
            <v>1694.7119179163426</v>
          </cell>
        </row>
        <row r="529">
          <cell r="O529">
            <v>1667.7190213101867</v>
          </cell>
        </row>
        <row r="530">
          <cell r="O530">
            <v>1630.3078137332329</v>
          </cell>
        </row>
        <row r="531">
          <cell r="O531">
            <v>1591.1602209944797</v>
          </cell>
        </row>
        <row r="532">
          <cell r="O532">
            <v>1591.1602209944797</v>
          </cell>
        </row>
        <row r="533">
          <cell r="O533">
            <v>1591.1602209944797</v>
          </cell>
        </row>
        <row r="534">
          <cell r="O534">
            <v>1608.9976322020573</v>
          </cell>
        </row>
        <row r="535">
          <cell r="O535">
            <v>1611.2075769534383</v>
          </cell>
        </row>
        <row r="536">
          <cell r="O536">
            <v>1614.6803472770375</v>
          </cell>
        </row>
        <row r="537">
          <cell r="O537">
            <v>1614.6803472770375</v>
          </cell>
        </row>
        <row r="538">
          <cell r="O538">
            <v>1584.3725335438091</v>
          </cell>
        </row>
        <row r="539">
          <cell r="O539">
            <v>1584.3725335438091</v>
          </cell>
        </row>
        <row r="540">
          <cell r="O540">
            <v>1584.3725335438091</v>
          </cell>
        </row>
        <row r="541">
          <cell r="O541">
            <v>1616.4167324388363</v>
          </cell>
        </row>
        <row r="542">
          <cell r="O542">
            <v>1620.5209155485443</v>
          </cell>
        </row>
        <row r="543">
          <cell r="O543">
            <v>1628.0978689818512</v>
          </cell>
        </row>
        <row r="544">
          <cell r="O544">
            <v>1628.0978689818512</v>
          </cell>
        </row>
        <row r="545">
          <cell r="O545">
            <v>1626.6771902131063</v>
          </cell>
        </row>
        <row r="546">
          <cell r="O546">
            <v>1626.6771902131063</v>
          </cell>
        </row>
        <row r="547">
          <cell r="O547">
            <v>1626.6771902131063</v>
          </cell>
        </row>
        <row r="548">
          <cell r="O548">
            <v>1600.4735595895863</v>
          </cell>
        </row>
        <row r="549">
          <cell r="O549">
            <v>1601.8942383583319</v>
          </cell>
        </row>
        <row r="550">
          <cell r="O550">
            <v>1537.9636937648038</v>
          </cell>
        </row>
        <row r="551">
          <cell r="O551">
            <v>1538.595106550913</v>
          </cell>
        </row>
        <row r="552">
          <cell r="O552">
            <v>1542.5414364640937</v>
          </cell>
        </row>
        <row r="553">
          <cell r="O553">
            <v>1542.5414364640937</v>
          </cell>
        </row>
        <row r="554">
          <cell r="O554">
            <v>1542.5414364640937</v>
          </cell>
        </row>
        <row r="555">
          <cell r="O555">
            <v>1524.5461720599897</v>
          </cell>
        </row>
        <row r="556">
          <cell r="O556">
            <v>1504.1831097079773</v>
          </cell>
        </row>
        <row r="557">
          <cell r="O557">
            <v>1398.7371744277871</v>
          </cell>
        </row>
        <row r="558">
          <cell r="O558">
            <v>1416.2588792423096</v>
          </cell>
        </row>
        <row r="559">
          <cell r="O559">
            <v>1478.92659826362</v>
          </cell>
        </row>
        <row r="560">
          <cell r="O560">
            <v>1478.92659826362</v>
          </cell>
        </row>
        <row r="561">
          <cell r="O561">
            <v>1478.92659826362</v>
          </cell>
        </row>
        <row r="562">
          <cell r="O562">
            <v>1478.92659826362</v>
          </cell>
        </row>
        <row r="563">
          <cell r="O563">
            <v>1485.0828729281818</v>
          </cell>
        </row>
        <row r="564">
          <cell r="O564">
            <v>1497.5532754538326</v>
          </cell>
        </row>
        <row r="565">
          <cell r="O565">
            <v>1528.3346487766421</v>
          </cell>
        </row>
        <row r="566">
          <cell r="O566">
            <v>1568.1136543015045</v>
          </cell>
        </row>
        <row r="567">
          <cell r="O567">
            <v>1568.1136543015045</v>
          </cell>
        </row>
        <row r="568">
          <cell r="O568">
            <v>1568.1136543015045</v>
          </cell>
        </row>
        <row r="569">
          <cell r="O569">
            <v>1557.379636937653</v>
          </cell>
        </row>
        <row r="570">
          <cell r="O570">
            <v>1595.1065509076607</v>
          </cell>
        </row>
        <row r="571">
          <cell r="O571">
            <v>1576.3220205209204</v>
          </cell>
        </row>
        <row r="572">
          <cell r="O572">
            <v>1513.9700078926646</v>
          </cell>
        </row>
        <row r="573">
          <cell r="O573">
            <v>1573.7963693764848</v>
          </cell>
        </row>
        <row r="574">
          <cell r="O574">
            <v>1573.7963693764848</v>
          </cell>
        </row>
        <row r="575">
          <cell r="O575">
            <v>1573.7963693764848</v>
          </cell>
        </row>
        <row r="576">
          <cell r="O576">
            <v>1555.0118389897445</v>
          </cell>
        </row>
        <row r="577">
          <cell r="O577">
            <v>1531.6495659037148</v>
          </cell>
        </row>
        <row r="578">
          <cell r="O578">
            <v>1531.6495659037148</v>
          </cell>
        </row>
        <row r="579">
          <cell r="O579">
            <v>1536.8587213891137</v>
          </cell>
        </row>
        <row r="580">
          <cell r="O580">
            <v>1498.0268350434151</v>
          </cell>
        </row>
        <row r="581">
          <cell r="O581">
            <v>1498.0268350434151</v>
          </cell>
        </row>
        <row r="582">
          <cell r="O582">
            <v>1498.0268350434151</v>
          </cell>
        </row>
        <row r="583">
          <cell r="O583">
            <v>1431.8863456985055</v>
          </cell>
        </row>
        <row r="584">
          <cell r="O584">
            <v>1476.8745067087659</v>
          </cell>
        </row>
        <row r="585">
          <cell r="O585">
            <v>1432.9913180741958</v>
          </cell>
        </row>
        <row r="586">
          <cell r="O586">
            <v>1433.9384372533591</v>
          </cell>
        </row>
        <row r="587">
          <cell r="O587">
            <v>1379.3212312549372</v>
          </cell>
        </row>
        <row r="588">
          <cell r="O588">
            <v>1379.3212312549372</v>
          </cell>
        </row>
        <row r="589">
          <cell r="O589">
            <v>1379.3212312549372</v>
          </cell>
        </row>
        <row r="590">
          <cell r="O590">
            <v>1385.9510655090808</v>
          </cell>
        </row>
        <row r="591">
          <cell r="O591">
            <v>1435.6748224151581</v>
          </cell>
        </row>
        <row r="592">
          <cell r="O592">
            <v>1423.2044198895069</v>
          </cell>
        </row>
        <row r="593">
          <cell r="O593">
            <v>1401.262825572222</v>
          </cell>
        </row>
        <row r="594">
          <cell r="O594">
            <v>1386.1089187056082</v>
          </cell>
        </row>
        <row r="595">
          <cell r="O595">
            <v>1386.1089187056082</v>
          </cell>
        </row>
        <row r="596">
          <cell r="O596">
            <v>1386.1089187056082</v>
          </cell>
        </row>
        <row r="597">
          <cell r="O597">
            <v>1335.1223362273129</v>
          </cell>
        </row>
        <row r="598">
          <cell r="O598">
            <v>1332.5966850828772</v>
          </cell>
        </row>
        <row r="599">
          <cell r="O599">
            <v>1341.7521704814565</v>
          </cell>
        </row>
        <row r="600">
          <cell r="O600">
            <v>1350.9076558800359</v>
          </cell>
        </row>
        <row r="601">
          <cell r="O601">
            <v>1367.0086819258136</v>
          </cell>
        </row>
        <row r="602">
          <cell r="O602">
            <v>1367.0086819258136</v>
          </cell>
        </row>
        <row r="603">
          <cell r="O603">
            <v>1367.0086819258136</v>
          </cell>
        </row>
        <row r="604">
          <cell r="O604">
            <v>1372.0599842146851</v>
          </cell>
        </row>
        <row r="605">
          <cell r="O605">
            <v>1401.7363851618047</v>
          </cell>
        </row>
        <row r="606">
          <cell r="O606">
            <v>1407.8926598263665</v>
          </cell>
        </row>
        <row r="607">
          <cell r="O607">
            <v>1407.8926598263665</v>
          </cell>
        </row>
        <row r="608">
          <cell r="O608">
            <v>1423.9936858721444</v>
          </cell>
        </row>
        <row r="609">
          <cell r="O609">
            <v>1423.9936858721444</v>
          </cell>
        </row>
        <row r="610">
          <cell r="O610">
            <v>1423.9936858721444</v>
          </cell>
        </row>
        <row r="611">
          <cell r="O611">
            <v>1423.3622730860357</v>
          </cell>
        </row>
        <row r="612">
          <cell r="O612">
            <v>1463.6148382004797</v>
          </cell>
        </row>
        <row r="613">
          <cell r="O613">
            <v>1481.2943962115298</v>
          </cell>
        </row>
        <row r="614">
          <cell r="O614">
            <v>1481.6101026045842</v>
          </cell>
        </row>
        <row r="615">
          <cell r="O615">
            <v>1471.5074980268419</v>
          </cell>
        </row>
        <row r="616">
          <cell r="O616">
            <v>1471.5074980268419</v>
          </cell>
        </row>
        <row r="617">
          <cell r="O617">
            <v>1471.5074980268419</v>
          </cell>
        </row>
        <row r="618">
          <cell r="O618">
            <v>1458.5635359116091</v>
          </cell>
        </row>
        <row r="619">
          <cell r="O619">
            <v>1435.2012628255789</v>
          </cell>
        </row>
        <row r="620">
          <cell r="O620">
            <v>1434.7277032359971</v>
          </cell>
        </row>
        <row r="621">
          <cell r="O621">
            <v>1437.4112075769599</v>
          </cell>
        </row>
        <row r="622">
          <cell r="O622">
            <v>1460.9313338595175</v>
          </cell>
        </row>
        <row r="623">
          <cell r="O623">
            <v>1460.9313338595175</v>
          </cell>
        </row>
        <row r="624">
          <cell r="O624">
            <v>1460.9313338595175</v>
          </cell>
        </row>
        <row r="625">
          <cell r="O625">
            <v>1492.344119968436</v>
          </cell>
        </row>
        <row r="626">
          <cell r="O626">
            <v>1468.1925808997696</v>
          </cell>
        </row>
        <row r="627">
          <cell r="O627">
            <v>1431.2549329123974</v>
          </cell>
        </row>
        <row r="628">
          <cell r="O628">
            <v>1424.6250986582536</v>
          </cell>
        </row>
        <row r="629">
          <cell r="O629">
            <v>1401.104972375696</v>
          </cell>
        </row>
        <row r="630">
          <cell r="O630">
            <v>1401.104972375696</v>
          </cell>
        </row>
        <row r="631">
          <cell r="O631">
            <v>1401.104972375696</v>
          </cell>
        </row>
        <row r="632">
          <cell r="O632">
            <v>1382.4782951854829</v>
          </cell>
        </row>
        <row r="633">
          <cell r="O633">
            <v>1415.4696132596744</v>
          </cell>
        </row>
        <row r="634">
          <cell r="O634">
            <v>1438.6740331491769</v>
          </cell>
        </row>
        <row r="635">
          <cell r="O635">
            <v>1470.0868192580956</v>
          </cell>
        </row>
        <row r="636">
          <cell r="O636">
            <v>1425.4143646408895</v>
          </cell>
        </row>
        <row r="637">
          <cell r="O637">
            <v>1425.4143646408895</v>
          </cell>
        </row>
        <row r="638">
          <cell r="O638">
            <v>1425.4143646408895</v>
          </cell>
        </row>
        <row r="639">
          <cell r="O639">
            <v>1395.8958168902973</v>
          </cell>
        </row>
        <row r="640">
          <cell r="O640">
            <v>1442.3046566693029</v>
          </cell>
        </row>
        <row r="641">
          <cell r="O641">
            <v>1395.4222573007155</v>
          </cell>
        </row>
        <row r="642">
          <cell r="O642">
            <v>1395.5801104972429</v>
          </cell>
        </row>
        <row r="643">
          <cell r="O643">
            <v>1395.5801104972429</v>
          </cell>
        </row>
        <row r="644">
          <cell r="O644">
            <v>1395.5801104972429</v>
          </cell>
        </row>
        <row r="645">
          <cell r="O645">
            <v>1395.5801104972429</v>
          </cell>
        </row>
        <row r="646">
          <cell r="O646">
            <v>1344.5935280189476</v>
          </cell>
        </row>
        <row r="647">
          <cell r="O647">
            <v>1332.1231254932966</v>
          </cell>
        </row>
        <row r="648">
          <cell r="O648">
            <v>1303.8674033149221</v>
          </cell>
        </row>
        <row r="649">
          <cell r="O649">
            <v>1313.9700078926651</v>
          </cell>
        </row>
        <row r="650">
          <cell r="O650">
            <v>1316.969218626683</v>
          </cell>
        </row>
        <row r="651">
          <cell r="O651">
            <v>1316.969218626683</v>
          </cell>
        </row>
        <row r="652">
          <cell r="O652">
            <v>1316.969218626683</v>
          </cell>
        </row>
        <row r="653">
          <cell r="O653">
            <v>1284.4514601420733</v>
          </cell>
        </row>
        <row r="654">
          <cell r="O654">
            <v>1294.8697711128705</v>
          </cell>
        </row>
        <row r="655">
          <cell r="O655">
            <v>1286.5035516969272</v>
          </cell>
        </row>
        <row r="656">
          <cell r="O656">
            <v>1286.5035516969272</v>
          </cell>
        </row>
        <row r="657">
          <cell r="O657">
            <v>1292.9755327545436</v>
          </cell>
        </row>
        <row r="658">
          <cell r="O658">
            <v>1292.9755327545436</v>
          </cell>
        </row>
        <row r="659">
          <cell r="O659">
            <v>1292.9755327545436</v>
          </cell>
        </row>
        <row r="660">
          <cell r="O660">
            <v>1244.3567482241567</v>
          </cell>
        </row>
        <row r="661">
          <cell r="O661">
            <v>1261.0891870560431</v>
          </cell>
        </row>
        <row r="662">
          <cell r="O662">
            <v>1231.5706393054509</v>
          </cell>
        </row>
        <row r="663">
          <cell r="O663">
            <v>1157.8531965272343</v>
          </cell>
        </row>
        <row r="664">
          <cell r="O664">
            <v>1165.9037095501228</v>
          </cell>
        </row>
        <row r="665">
          <cell r="O665">
            <v>1165.9037095501228</v>
          </cell>
        </row>
        <row r="666">
          <cell r="O666">
            <v>1165.9037095501228</v>
          </cell>
        </row>
        <row r="667">
          <cell r="O667">
            <v>1219.7316495659081</v>
          </cell>
        </row>
        <row r="668">
          <cell r="O668">
            <v>1250.3551696921907</v>
          </cell>
        </row>
        <row r="669">
          <cell r="O669">
            <v>1264.4041041831144</v>
          </cell>
        </row>
        <row r="670">
          <cell r="O670">
            <v>1281.1365430150008</v>
          </cell>
        </row>
        <row r="671">
          <cell r="O671">
            <v>1333.8595106550961</v>
          </cell>
        </row>
        <row r="672">
          <cell r="O672">
            <v>1333.8595106550961</v>
          </cell>
        </row>
        <row r="673">
          <cell r="O673">
            <v>1333.8595106550961</v>
          </cell>
        </row>
        <row r="674">
          <cell r="O674">
            <v>1296.1325966850879</v>
          </cell>
        </row>
        <row r="675">
          <cell r="O675">
            <v>1268.1925808997682</v>
          </cell>
        </row>
        <row r="676">
          <cell r="O676">
            <v>1306.5509076558851</v>
          </cell>
        </row>
        <row r="677">
          <cell r="O677">
            <v>1301.9731649565956</v>
          </cell>
        </row>
        <row r="678">
          <cell r="O678">
            <v>1304.6566692975584</v>
          </cell>
        </row>
        <row r="679">
          <cell r="O679">
            <v>1304.6566692975584</v>
          </cell>
        </row>
        <row r="680">
          <cell r="O680">
            <v>1304.6566692975584</v>
          </cell>
        </row>
        <row r="681">
          <cell r="O681">
            <v>1351.3812154696184</v>
          </cell>
        </row>
        <row r="682">
          <cell r="O682">
            <v>1340.6471981057666</v>
          </cell>
        </row>
        <row r="683">
          <cell r="O683">
            <v>1309.7079715864293</v>
          </cell>
        </row>
        <row r="684">
          <cell r="O684">
            <v>1311.7600631412834</v>
          </cell>
        </row>
        <row r="685">
          <cell r="O685">
            <v>1288.8713496448349</v>
          </cell>
        </row>
        <row r="686">
          <cell r="O686">
            <v>1288.8713496448349</v>
          </cell>
        </row>
        <row r="687">
          <cell r="O687">
            <v>1288.8713496448349</v>
          </cell>
        </row>
        <row r="688">
          <cell r="O688">
            <v>1342.3835832675661</v>
          </cell>
        </row>
        <row r="689">
          <cell r="O689">
            <v>1326.1247040252615</v>
          </cell>
        </row>
        <row r="690">
          <cell r="O690">
            <v>1363.8516179952694</v>
          </cell>
        </row>
        <row r="691">
          <cell r="O691">
            <v>1361.4838200473607</v>
          </cell>
        </row>
        <row r="692">
          <cell r="O692">
            <v>1348.8555643251825</v>
          </cell>
        </row>
        <row r="693">
          <cell r="O693">
            <v>1348.8555643251825</v>
          </cell>
        </row>
        <row r="694">
          <cell r="O694">
            <v>1348.8555643251825</v>
          </cell>
        </row>
        <row r="695">
          <cell r="O695">
            <v>1312.5493291239195</v>
          </cell>
        </row>
        <row r="696">
          <cell r="O696">
            <v>1306.0773480663029</v>
          </cell>
        </row>
        <row r="697">
          <cell r="O697">
            <v>1304.656669297558</v>
          </cell>
        </row>
        <row r="698">
          <cell r="O698">
            <v>1301.0260457774316</v>
          </cell>
        </row>
        <row r="699">
          <cell r="O699">
            <v>1345.8563535911649</v>
          </cell>
        </row>
        <row r="700">
          <cell r="O700">
            <v>1345.8563535911649</v>
          </cell>
        </row>
        <row r="701">
          <cell r="O701">
            <v>1345.8563535911649</v>
          </cell>
        </row>
        <row r="702">
          <cell r="O702">
            <v>1333.543804262041</v>
          </cell>
        </row>
        <row r="703">
          <cell r="O703">
            <v>1342.6992896606203</v>
          </cell>
        </row>
        <row r="704">
          <cell r="O704">
            <v>1365.4301499605413</v>
          </cell>
        </row>
        <row r="705">
          <cell r="O705">
            <v>1383.5832675611728</v>
          </cell>
        </row>
        <row r="706">
          <cell r="O706">
            <v>1388.6345698500438</v>
          </cell>
        </row>
        <row r="707">
          <cell r="O707">
            <v>1388.6345698500438</v>
          </cell>
        </row>
        <row r="708">
          <cell r="O708">
            <v>1388.6345698500438</v>
          </cell>
        </row>
        <row r="709">
          <cell r="O709">
            <v>1415.6274664562</v>
          </cell>
        </row>
        <row r="710">
          <cell r="O710">
            <v>1406.6298342541477</v>
          </cell>
        </row>
        <row r="711">
          <cell r="O711">
            <v>1418.6266771902169</v>
          </cell>
        </row>
        <row r="712">
          <cell r="O712">
            <v>1432.0441988950315</v>
          </cell>
        </row>
        <row r="713">
          <cell r="O713">
            <v>1453.0386740331533</v>
          </cell>
        </row>
        <row r="714">
          <cell r="O714">
            <v>1453.0386740331533</v>
          </cell>
        </row>
        <row r="715">
          <cell r="O715">
            <v>1453.0386740331533</v>
          </cell>
        </row>
        <row r="716">
          <cell r="O716">
            <v>1462.8255722178417</v>
          </cell>
        </row>
        <row r="717">
          <cell r="O717">
            <v>1476.2430939226556</v>
          </cell>
        </row>
        <row r="718">
          <cell r="O718">
            <v>1430.4656669297588</v>
          </cell>
        </row>
        <row r="719">
          <cell r="O719">
            <v>1447.1981057616458</v>
          </cell>
        </row>
        <row r="720">
          <cell r="O720">
            <v>1436.9376479873758</v>
          </cell>
        </row>
        <row r="721">
          <cell r="O721">
            <v>1436.9376479873758</v>
          </cell>
        </row>
        <row r="722">
          <cell r="O722">
            <v>1436.9376479873758</v>
          </cell>
        </row>
        <row r="723">
          <cell r="O723">
            <v>1418.1531176006354</v>
          </cell>
        </row>
        <row r="724">
          <cell r="O724">
            <v>1405.2091554854023</v>
          </cell>
        </row>
        <row r="725">
          <cell r="O725">
            <v>1397.1586424625136</v>
          </cell>
        </row>
        <row r="726">
          <cell r="O726">
            <v>1433.4648776637764</v>
          </cell>
        </row>
        <row r="727">
          <cell r="O727">
            <v>1417.6795580110536</v>
          </cell>
        </row>
        <row r="728">
          <cell r="O728">
            <v>1417.6795580110536</v>
          </cell>
        </row>
        <row r="729">
          <cell r="O729">
            <v>1417.6795580110536</v>
          </cell>
        </row>
        <row r="730">
          <cell r="O730">
            <v>1384.6882399368624</v>
          </cell>
        </row>
        <row r="731">
          <cell r="O731">
            <v>1410.7340173638549</v>
          </cell>
        </row>
        <row r="732">
          <cell r="O732">
            <v>1421.4680347277069</v>
          </cell>
        </row>
        <row r="733">
          <cell r="O733">
            <v>1421.4680347277069</v>
          </cell>
        </row>
        <row r="734">
          <cell r="O734">
            <v>1423.6779794790882</v>
          </cell>
        </row>
        <row r="735">
          <cell r="O735">
            <v>1423.6779794790882</v>
          </cell>
        </row>
        <row r="736">
          <cell r="O736">
            <v>1423.6779794790882</v>
          </cell>
        </row>
        <row r="737">
          <cell r="O737">
            <v>1388.6345698500431</v>
          </cell>
        </row>
        <row r="738">
          <cell r="O738">
            <v>1362.4309392265232</v>
          </cell>
        </row>
        <row r="739">
          <cell r="O739">
            <v>1362.4309392265232</v>
          </cell>
        </row>
        <row r="740">
          <cell r="O740">
            <v>1351.0655090765626</v>
          </cell>
        </row>
        <row r="741">
          <cell r="O741">
            <v>1321.5469613259709</v>
          </cell>
        </row>
        <row r="742">
          <cell r="O742">
            <v>1321.5469613259709</v>
          </cell>
        </row>
        <row r="743">
          <cell r="O743">
            <v>1321.5469613259709</v>
          </cell>
        </row>
        <row r="744">
          <cell r="O744">
            <v>1260.7734806629874</v>
          </cell>
        </row>
        <row r="745">
          <cell r="O745">
            <v>1260.7734806629874</v>
          </cell>
        </row>
        <row r="746">
          <cell r="O746">
            <v>1260.7734806629874</v>
          </cell>
        </row>
        <row r="747">
          <cell r="O747">
            <v>1274.1910023678017</v>
          </cell>
        </row>
        <row r="748">
          <cell r="O748">
            <v>1328.3346487766421</v>
          </cell>
        </row>
        <row r="749">
          <cell r="O749">
            <v>1328.3346487766421</v>
          </cell>
        </row>
        <row r="750">
          <cell r="O750">
            <v>1328.3346487766421</v>
          </cell>
        </row>
        <row r="751">
          <cell r="O751">
            <v>1340.4893449092388</v>
          </cell>
        </row>
        <row r="752">
          <cell r="O752">
            <v>1310.6550907655921</v>
          </cell>
        </row>
        <row r="753">
          <cell r="O753">
            <v>1309.7079715864288</v>
          </cell>
        </row>
        <row r="754">
          <cell r="O754">
            <v>1263.4569850039502</v>
          </cell>
        </row>
        <row r="755">
          <cell r="O755">
            <v>1261.7205998421505</v>
          </cell>
        </row>
        <row r="756">
          <cell r="O756">
            <v>1261.7205998421505</v>
          </cell>
        </row>
        <row r="757">
          <cell r="O757">
            <v>1261.7205998421505</v>
          </cell>
        </row>
        <row r="758">
          <cell r="O758">
            <v>1303.5516969218661</v>
          </cell>
        </row>
        <row r="759">
          <cell r="O759">
            <v>1306.8666140489379</v>
          </cell>
        </row>
        <row r="760">
          <cell r="O760">
            <v>1302.6045777427025</v>
          </cell>
        </row>
        <row r="761">
          <cell r="O761">
            <v>1303.5516969218661</v>
          </cell>
        </row>
        <row r="762">
          <cell r="O762">
            <v>1277.9794790844549</v>
          </cell>
        </row>
        <row r="763">
          <cell r="O763">
            <v>1277.9794790844549</v>
          </cell>
        </row>
        <row r="764">
          <cell r="O764">
            <v>1277.9794790844549</v>
          </cell>
        </row>
        <row r="765">
          <cell r="O765">
            <v>1274.1910023678015</v>
          </cell>
        </row>
        <row r="766">
          <cell r="O766">
            <v>1270.7182320442025</v>
          </cell>
        </row>
        <row r="767">
          <cell r="O767">
            <v>1250.6708760852443</v>
          </cell>
        </row>
        <row r="768">
          <cell r="O768">
            <v>1256.0378847671702</v>
          </cell>
        </row>
        <row r="769">
          <cell r="O769">
            <v>1223.9936858721428</v>
          </cell>
        </row>
        <row r="770">
          <cell r="O770">
            <v>1223.9936858721428</v>
          </cell>
        </row>
        <row r="771">
          <cell r="O771">
            <v>1223.9936858721428</v>
          </cell>
        </row>
        <row r="772">
          <cell r="O772">
            <v>1191.0023677979516</v>
          </cell>
        </row>
        <row r="773">
          <cell r="O773">
            <v>1206.9455406472021</v>
          </cell>
        </row>
        <row r="774">
          <cell r="O774">
            <v>1170.4814522494119</v>
          </cell>
        </row>
        <row r="775">
          <cell r="O775">
            <v>1187.3717442778252</v>
          </cell>
        </row>
        <row r="776">
          <cell r="O776">
            <v>1187.3717442778252</v>
          </cell>
        </row>
        <row r="777">
          <cell r="O777">
            <v>1187.3717442778252</v>
          </cell>
        </row>
        <row r="778">
          <cell r="O778">
            <v>1187.3717442778252</v>
          </cell>
        </row>
        <row r="779">
          <cell r="O779">
            <v>1204.4198895027657</v>
          </cell>
        </row>
        <row r="780">
          <cell r="O780">
            <v>1210.7340173638549</v>
          </cell>
        </row>
        <row r="781">
          <cell r="O781">
            <v>1203.3149171270752</v>
          </cell>
        </row>
        <row r="782">
          <cell r="O782">
            <v>1179.7947908445178</v>
          </cell>
        </row>
        <row r="783">
          <cell r="O783">
            <v>1155.0118389897425</v>
          </cell>
        </row>
        <row r="784">
          <cell r="O784">
            <v>1155.0118389897425</v>
          </cell>
        </row>
        <row r="785">
          <cell r="O785">
            <v>1155.0118389897425</v>
          </cell>
        </row>
        <row r="786">
          <cell r="O786">
            <v>1154.8539857932151</v>
          </cell>
        </row>
        <row r="787">
          <cell r="O787">
            <v>1152.4861878453069</v>
          </cell>
        </row>
        <row r="788">
          <cell r="O788">
            <v>1168.4293606945569</v>
          </cell>
        </row>
        <row r="789">
          <cell r="O789">
            <v>1151.0655090765617</v>
          </cell>
        </row>
        <row r="790">
          <cell r="O790">
            <v>1150.1183898973984</v>
          </cell>
        </row>
        <row r="791">
          <cell r="O791">
            <v>1150.1183898973984</v>
          </cell>
        </row>
        <row r="792">
          <cell r="O792">
            <v>1150.1183898973984</v>
          </cell>
        </row>
        <row r="793">
          <cell r="O793">
            <v>1204.7355958958201</v>
          </cell>
        </row>
        <row r="794">
          <cell r="O794">
            <v>1208.3662194159469</v>
          </cell>
        </row>
        <row r="795">
          <cell r="O795">
            <v>1203.1570639305485</v>
          </cell>
        </row>
        <row r="796">
          <cell r="O796">
            <v>1213.7332280978724</v>
          </cell>
        </row>
        <row r="797">
          <cell r="O797">
            <v>1209.3133385951101</v>
          </cell>
        </row>
        <row r="798">
          <cell r="O798">
            <v>1209.3133385951101</v>
          </cell>
        </row>
        <row r="799">
          <cell r="O799">
            <v>1209.3133385951101</v>
          </cell>
        </row>
        <row r="800">
          <cell r="O800">
            <v>1236.3062352012662</v>
          </cell>
        </row>
        <row r="801">
          <cell r="O801">
            <v>1185.9510655090799</v>
          </cell>
        </row>
        <row r="802">
          <cell r="O802">
            <v>1181.2154696132629</v>
          </cell>
        </row>
        <row r="803">
          <cell r="O803">
            <v>1164.9565903709581</v>
          </cell>
        </row>
        <row r="804">
          <cell r="O804">
            <v>1149.9605367008712</v>
          </cell>
        </row>
        <row r="805">
          <cell r="O805">
            <v>1149.9605367008712</v>
          </cell>
        </row>
        <row r="806">
          <cell r="O806">
            <v>1149.9605367008712</v>
          </cell>
        </row>
        <row r="807">
          <cell r="O807">
            <v>1181.8468823993717</v>
          </cell>
        </row>
        <row r="808">
          <cell r="O808">
            <v>1153.43330702447</v>
          </cell>
        </row>
        <row r="809">
          <cell r="O809">
            <v>1119.9684293606974</v>
          </cell>
        </row>
        <row r="810">
          <cell r="O810">
            <v>1110.8129439621182</v>
          </cell>
        </row>
        <row r="811">
          <cell r="O811">
            <v>1094.396211523286</v>
          </cell>
        </row>
        <row r="812">
          <cell r="O812">
            <v>1094.396211523286</v>
          </cell>
        </row>
        <row r="813">
          <cell r="O813">
            <v>1094.396211523286</v>
          </cell>
        </row>
        <row r="814">
          <cell r="O814">
            <v>1093.2912391475954</v>
          </cell>
        </row>
        <row r="815">
          <cell r="O815">
            <v>1070.0868192580926</v>
          </cell>
        </row>
        <row r="816">
          <cell r="O816">
            <v>1067.8768745067114</v>
          </cell>
        </row>
        <row r="817">
          <cell r="O817">
            <v>1070.876085240729</v>
          </cell>
        </row>
        <row r="818">
          <cell r="O818">
            <v>1081.4522494080531</v>
          </cell>
        </row>
        <row r="819">
          <cell r="O819">
            <v>1081.4522494080531</v>
          </cell>
        </row>
        <row r="820">
          <cell r="O820">
            <v>1081.4522494080531</v>
          </cell>
        </row>
        <row r="821">
          <cell r="O821">
            <v>1036.1483820047379</v>
          </cell>
        </row>
        <row r="822">
          <cell r="O822">
            <v>1081.1365430149983</v>
          </cell>
        </row>
        <row r="823">
          <cell r="O823">
            <v>1089.9763220205232</v>
          </cell>
        </row>
        <row r="824">
          <cell r="O824">
            <v>1142.8571428571452</v>
          </cell>
        </row>
        <row r="825">
          <cell r="O825">
            <v>1158.1689029202867</v>
          </cell>
        </row>
        <row r="826">
          <cell r="O826">
            <v>1158.1689029202867</v>
          </cell>
        </row>
        <row r="827">
          <cell r="O827">
            <v>1158.1689029202867</v>
          </cell>
        </row>
        <row r="828">
          <cell r="O828">
            <v>1145.6985003946354</v>
          </cell>
        </row>
        <row r="829">
          <cell r="O829">
            <v>1116.0220994475162</v>
          </cell>
        </row>
        <row r="830">
          <cell r="O830">
            <v>1114.1278610891893</v>
          </cell>
        </row>
        <row r="831">
          <cell r="O831">
            <v>1102.1310181531196</v>
          </cell>
        </row>
        <row r="832">
          <cell r="O832">
            <v>1117.1270718232063</v>
          </cell>
        </row>
        <row r="833">
          <cell r="O833">
            <v>1117.1270718232063</v>
          </cell>
        </row>
        <row r="834">
          <cell r="O834">
            <v>1117.1270718232063</v>
          </cell>
        </row>
        <row r="835">
          <cell r="O835">
            <v>1074.1910023677995</v>
          </cell>
        </row>
        <row r="836">
          <cell r="O836">
            <v>1079.715864246253</v>
          </cell>
        </row>
        <row r="837">
          <cell r="O837">
            <v>1089.1870560378866</v>
          </cell>
        </row>
        <row r="838">
          <cell r="O838">
            <v>1093.6069455406491</v>
          </cell>
        </row>
        <row r="839">
          <cell r="O839">
            <v>1120.5998421468055</v>
          </cell>
        </row>
        <row r="840">
          <cell r="O840">
            <v>1120.5998421468055</v>
          </cell>
        </row>
        <row r="841">
          <cell r="O841">
            <v>1120.5998421468055</v>
          </cell>
        </row>
        <row r="842">
          <cell r="O842">
            <v>1178.058405682717</v>
          </cell>
        </row>
        <row r="843">
          <cell r="O843">
            <v>1181.2154696132613</v>
          </cell>
        </row>
        <row r="844">
          <cell r="O844">
            <v>1143.6464088397806</v>
          </cell>
        </row>
        <row r="845">
          <cell r="O845">
            <v>1161.1681136543032</v>
          </cell>
        </row>
        <row r="846">
          <cell r="O846">
            <v>1171.5864246251003</v>
          </cell>
        </row>
        <row r="847">
          <cell r="O847">
            <v>1171.5864246251003</v>
          </cell>
        </row>
        <row r="848">
          <cell r="O848">
            <v>1171.5864246251003</v>
          </cell>
        </row>
        <row r="849">
          <cell r="O849">
            <v>1195.7379636937665</v>
          </cell>
        </row>
        <row r="850">
          <cell r="O850">
            <v>1217.5217048145241</v>
          </cell>
        </row>
        <row r="851">
          <cell r="O851">
            <v>1251.1444356748243</v>
          </cell>
        </row>
        <row r="852">
          <cell r="O852">
            <v>1232.9913180741926</v>
          </cell>
        </row>
        <row r="853">
          <cell r="O853">
            <v>1257.61641673244</v>
          </cell>
        </row>
        <row r="854">
          <cell r="O854">
            <v>1257.61641673244</v>
          </cell>
        </row>
        <row r="855">
          <cell r="O855">
            <v>1257.61641673244</v>
          </cell>
        </row>
        <row r="856">
          <cell r="O856">
            <v>1247.9873717442792</v>
          </cell>
        </row>
        <row r="857">
          <cell r="O857">
            <v>1210.8918705603796</v>
          </cell>
        </row>
        <row r="858">
          <cell r="O858">
            <v>1200.6314127861101</v>
          </cell>
        </row>
        <row r="859">
          <cell r="O859">
            <v>1180.5840568271519</v>
          </cell>
        </row>
        <row r="860">
          <cell r="O860">
            <v>1137.6479873717451</v>
          </cell>
        </row>
        <row r="861">
          <cell r="O861">
            <v>1137.6479873717451</v>
          </cell>
        </row>
        <row r="862">
          <cell r="O862">
            <v>1137.6479873717451</v>
          </cell>
        </row>
        <row r="863">
          <cell r="O863">
            <v>1143.0149960536712</v>
          </cell>
        </row>
        <row r="864">
          <cell r="O864">
            <v>1202.052091554855</v>
          </cell>
        </row>
        <row r="865">
          <cell r="O865">
            <v>1206.7876874506719</v>
          </cell>
        </row>
        <row r="866">
          <cell r="O866">
            <v>1206.7876874506719</v>
          </cell>
        </row>
        <row r="867">
          <cell r="O867">
            <v>1201.5785319652734</v>
          </cell>
        </row>
        <row r="868">
          <cell r="O868">
            <v>1201.5785319652734</v>
          </cell>
        </row>
        <row r="869">
          <cell r="O869">
            <v>1201.5785319652734</v>
          </cell>
        </row>
        <row r="870">
          <cell r="O870">
            <v>1201.5785319652734</v>
          </cell>
        </row>
        <row r="871">
          <cell r="O871">
            <v>1215.6274664561968</v>
          </cell>
        </row>
        <row r="872">
          <cell r="O872">
            <v>1244.6724546172068</v>
          </cell>
        </row>
        <row r="873">
          <cell r="O873">
            <v>1244.6724546172068</v>
          </cell>
        </row>
        <row r="874">
          <cell r="O874">
            <v>1245.4617205998434</v>
          </cell>
        </row>
        <row r="875">
          <cell r="O875">
            <v>1245.4617205998434</v>
          </cell>
        </row>
        <row r="876">
          <cell r="O876">
            <v>1245.4617205998434</v>
          </cell>
        </row>
        <row r="877">
          <cell r="O877">
            <v>1269.9289660615641</v>
          </cell>
        </row>
        <row r="878">
          <cell r="O878">
            <v>1234.2541436464103</v>
          </cell>
        </row>
        <row r="879">
          <cell r="O879">
            <v>1224.4672454617221</v>
          </cell>
        </row>
        <row r="880">
          <cell r="O880">
            <v>1243.8831886345718</v>
          </cell>
        </row>
        <row r="881">
          <cell r="O881">
            <v>1224.3093922651954</v>
          </cell>
        </row>
        <row r="882">
          <cell r="O882">
            <v>1224.3093922651954</v>
          </cell>
        </row>
        <row r="883">
          <cell r="O883">
            <v>1224.3093922651954</v>
          </cell>
        </row>
        <row r="884">
          <cell r="O884">
            <v>1193.8437253354398</v>
          </cell>
        </row>
        <row r="885">
          <cell r="O885">
            <v>1205.9984214680369</v>
          </cell>
        </row>
        <row r="886">
          <cell r="O886">
            <v>1202.2099447513833</v>
          </cell>
        </row>
        <row r="887">
          <cell r="O887">
            <v>1190.6866614048956</v>
          </cell>
        </row>
        <row r="888">
          <cell r="O888">
            <v>1224.3093922651956</v>
          </cell>
        </row>
        <row r="889">
          <cell r="O889">
            <v>1224.3093922651956</v>
          </cell>
        </row>
        <row r="890">
          <cell r="O890">
            <v>1224.3093922651956</v>
          </cell>
        </row>
        <row r="891">
          <cell r="O891">
            <v>1237.4112075769558</v>
          </cell>
        </row>
        <row r="892">
          <cell r="O892">
            <v>1230.3078137332304</v>
          </cell>
        </row>
        <row r="893">
          <cell r="O893">
            <v>1259.9842146803494</v>
          </cell>
        </row>
        <row r="894">
          <cell r="O894">
            <v>1269.1397000789284</v>
          </cell>
        </row>
        <row r="895">
          <cell r="O895">
            <v>1271.191791633782</v>
          </cell>
        </row>
        <row r="896">
          <cell r="O896">
            <v>1271.191791633782</v>
          </cell>
        </row>
        <row r="897">
          <cell r="O897">
            <v>1271.191791633782</v>
          </cell>
        </row>
        <row r="898">
          <cell r="O898">
            <v>1303.0781373322825</v>
          </cell>
        </row>
        <row r="899">
          <cell r="O899">
            <v>1277.8216258879258</v>
          </cell>
        </row>
        <row r="900">
          <cell r="O900">
            <v>1284.925019731651</v>
          </cell>
        </row>
        <row r="901">
          <cell r="O901">
            <v>1290.2920284135769</v>
          </cell>
        </row>
        <row r="902">
          <cell r="O902">
            <v>1290.2920284135769</v>
          </cell>
        </row>
        <row r="903">
          <cell r="O903">
            <v>1290.2920284135769</v>
          </cell>
        </row>
        <row r="904">
          <cell r="O904">
            <v>1290.2920284135769</v>
          </cell>
        </row>
        <row r="905">
          <cell r="O905">
            <v>1307.971586424627</v>
          </cell>
        </row>
        <row r="906">
          <cell r="O906">
            <v>1306.5509076558819</v>
          </cell>
        </row>
        <row r="907">
          <cell r="O907">
            <v>1309.076558800318</v>
          </cell>
        </row>
        <row r="908">
          <cell r="O908">
            <v>1323.1254932912409</v>
          </cell>
        </row>
        <row r="909">
          <cell r="O909">
            <v>1338.4372533543822</v>
          </cell>
        </row>
        <row r="910">
          <cell r="O910">
            <v>1338.4372533543822</v>
          </cell>
        </row>
        <row r="911">
          <cell r="O911">
            <v>1338.4372533543822</v>
          </cell>
        </row>
        <row r="912">
          <cell r="O912">
            <v>1321.5469613259686</v>
          </cell>
        </row>
        <row r="913">
          <cell r="O913">
            <v>1356.2746645619595</v>
          </cell>
        </row>
        <row r="914">
          <cell r="O914">
            <v>1358.1689029202862</v>
          </cell>
        </row>
        <row r="915">
          <cell r="O915">
            <v>1390.8445146014224</v>
          </cell>
        </row>
        <row r="916">
          <cell r="O916">
            <v>1382.0047355958973</v>
          </cell>
        </row>
        <row r="917">
          <cell r="O917">
            <v>1382.0047355958973</v>
          </cell>
        </row>
        <row r="918">
          <cell r="O918">
            <v>1382.0047355958973</v>
          </cell>
        </row>
        <row r="919">
          <cell r="O919">
            <v>1358.4846093133401</v>
          </cell>
        </row>
        <row r="920">
          <cell r="O920">
            <v>1336.5430149960553</v>
          </cell>
        </row>
        <row r="921">
          <cell r="O921">
            <v>1358.168902920286</v>
          </cell>
        </row>
        <row r="922">
          <cell r="O922">
            <v>1363.3780584056842</v>
          </cell>
        </row>
        <row r="923">
          <cell r="O923">
            <v>1365.9037095501199</v>
          </cell>
        </row>
        <row r="924">
          <cell r="O924">
            <v>1365.9037095501199</v>
          </cell>
        </row>
        <row r="925">
          <cell r="O925">
            <v>1365.9037095501199</v>
          </cell>
        </row>
        <row r="926">
          <cell r="O926">
            <v>1349.1712707182337</v>
          </cell>
        </row>
        <row r="927">
          <cell r="O927">
            <v>1359.9052880820852</v>
          </cell>
        </row>
        <row r="928">
          <cell r="O928">
            <v>1382.9518547750608</v>
          </cell>
        </row>
        <row r="929">
          <cell r="O929">
            <v>1384.846093133388</v>
          </cell>
        </row>
        <row r="930">
          <cell r="O930">
            <v>1398.4214680347302</v>
          </cell>
        </row>
        <row r="931">
          <cell r="O931">
            <v>1398.4214680347302</v>
          </cell>
        </row>
        <row r="932">
          <cell r="O932">
            <v>1398.4214680347302</v>
          </cell>
        </row>
        <row r="933">
          <cell r="O933">
            <v>1421.7837411207599</v>
          </cell>
        </row>
        <row r="934">
          <cell r="O934">
            <v>1431.5706393054486</v>
          </cell>
        </row>
        <row r="935">
          <cell r="O935">
            <v>1425.0986582478324</v>
          </cell>
        </row>
        <row r="936">
          <cell r="O936">
            <v>1414.5224940805083</v>
          </cell>
        </row>
        <row r="937">
          <cell r="O937">
            <v>1423.0465666929788</v>
          </cell>
        </row>
        <row r="938">
          <cell r="O938">
            <v>1423.0465666929788</v>
          </cell>
        </row>
        <row r="939">
          <cell r="O939">
            <v>1423.0465666929788</v>
          </cell>
        </row>
        <row r="940">
          <cell r="O940">
            <v>1457.300710339387</v>
          </cell>
        </row>
        <row r="941">
          <cell r="O941">
            <v>1442.9360694554091</v>
          </cell>
        </row>
        <row r="942">
          <cell r="O942">
            <v>1450.6708760852439</v>
          </cell>
        </row>
        <row r="943">
          <cell r="O943">
            <v>1450.6708760852439</v>
          </cell>
        </row>
        <row r="944">
          <cell r="O944">
            <v>1414.8382004735627</v>
          </cell>
        </row>
        <row r="945">
          <cell r="O945">
            <v>1414.8382004735627</v>
          </cell>
        </row>
        <row r="946">
          <cell r="O946">
            <v>1414.8382004735627</v>
          </cell>
        </row>
        <row r="947">
          <cell r="O947">
            <v>1402.9992107340204</v>
          </cell>
        </row>
        <row r="948">
          <cell r="O948">
            <v>1417.5217048145255</v>
          </cell>
        </row>
        <row r="949">
          <cell r="O949">
            <v>1408.2083662194186</v>
          </cell>
        </row>
        <row r="950">
          <cell r="O950">
            <v>1422.4151539068689</v>
          </cell>
        </row>
        <row r="951">
          <cell r="O951">
            <v>1426.0457774269955</v>
          </cell>
        </row>
        <row r="952">
          <cell r="O952">
            <v>1426.0457774269955</v>
          </cell>
        </row>
        <row r="953">
          <cell r="O953">
            <v>1426.0457774269955</v>
          </cell>
        </row>
        <row r="954">
          <cell r="O954">
            <v>1453.1965272296791</v>
          </cell>
        </row>
        <row r="955">
          <cell r="O955">
            <v>1463.7726913970032</v>
          </cell>
        </row>
        <row r="956">
          <cell r="O956">
            <v>1445.3038674033176</v>
          </cell>
        </row>
        <row r="957">
          <cell r="O957">
            <v>1444.6724546172084</v>
          </cell>
        </row>
        <row r="958">
          <cell r="O958">
            <v>1475.2959747434911</v>
          </cell>
        </row>
        <row r="959">
          <cell r="O959">
            <v>1475.2959747434911</v>
          </cell>
        </row>
        <row r="960">
          <cell r="O960">
            <v>1475.2959747434911</v>
          </cell>
        </row>
        <row r="961">
          <cell r="O961">
            <v>1457.1428571428598</v>
          </cell>
        </row>
        <row r="962">
          <cell r="O962">
            <v>1464.246250986585</v>
          </cell>
        </row>
        <row r="963">
          <cell r="O963">
            <v>1433.9384372533571</v>
          </cell>
        </row>
        <row r="964">
          <cell r="O964">
            <v>1437.4112075769565</v>
          </cell>
        </row>
        <row r="965">
          <cell r="O965">
            <v>1424.4672454617237</v>
          </cell>
        </row>
        <row r="966">
          <cell r="O966">
            <v>1424.4672454617237</v>
          </cell>
        </row>
        <row r="967">
          <cell r="O967">
            <v>1424.4672454617237</v>
          </cell>
        </row>
        <row r="968">
          <cell r="O968">
            <v>1426.8350434096317</v>
          </cell>
        </row>
        <row r="969">
          <cell r="O969">
            <v>1419.4159431728517</v>
          </cell>
        </row>
        <row r="970">
          <cell r="O970">
            <v>1443.7253354380455</v>
          </cell>
        </row>
        <row r="971">
          <cell r="O971">
            <v>1474.0331491712734</v>
          </cell>
        </row>
        <row r="972">
          <cell r="O972">
            <v>1474.0331491712734</v>
          </cell>
        </row>
        <row r="973">
          <cell r="O973">
            <v>1474.0331491712734</v>
          </cell>
        </row>
        <row r="974">
          <cell r="O974">
            <v>1474.0331491712734</v>
          </cell>
        </row>
        <row r="975">
          <cell r="O975">
            <v>1479.5580110497262</v>
          </cell>
        </row>
        <row r="976">
          <cell r="O976">
            <v>1502.7624309392286</v>
          </cell>
        </row>
        <row r="977">
          <cell r="O977">
            <v>1497.5532754538301</v>
          </cell>
        </row>
        <row r="978">
          <cell r="O978">
            <v>1534.0173638516198</v>
          </cell>
        </row>
        <row r="979">
          <cell r="O979">
            <v>1534.8066298342562</v>
          </cell>
        </row>
        <row r="980">
          <cell r="O980">
            <v>1534.8066298342562</v>
          </cell>
        </row>
        <row r="981">
          <cell r="O981">
            <v>1534.8066298342562</v>
          </cell>
        </row>
        <row r="982">
          <cell r="O982">
            <v>1538.2794001578552</v>
          </cell>
        </row>
        <row r="983">
          <cell r="O983">
            <v>1529.7553275453845</v>
          </cell>
        </row>
        <row r="984">
          <cell r="O984">
            <v>1541.2786108918724</v>
          </cell>
        </row>
        <row r="985">
          <cell r="O985">
            <v>1526.5982636148399</v>
          </cell>
        </row>
        <row r="986">
          <cell r="O986">
            <v>1540.4893449092367</v>
          </cell>
        </row>
        <row r="987">
          <cell r="O987">
            <v>1540.4893449092367</v>
          </cell>
        </row>
        <row r="988">
          <cell r="O988">
            <v>1540.4893449092367</v>
          </cell>
        </row>
        <row r="989">
          <cell r="O989">
            <v>1550.5919494869793</v>
          </cell>
        </row>
        <row r="990">
          <cell r="O990">
            <v>1555.4853985793236</v>
          </cell>
        </row>
        <row r="991">
          <cell r="O991">
            <v>1555.3275453827964</v>
          </cell>
        </row>
        <row r="992">
          <cell r="O992">
            <v>1551.0655090765613</v>
          </cell>
        </row>
        <row r="993">
          <cell r="O993">
            <v>1545.8563535911628</v>
          </cell>
        </row>
        <row r="994">
          <cell r="O994">
            <v>1545.8563535911628</v>
          </cell>
        </row>
        <row r="995">
          <cell r="O995">
            <v>1545.8563535911628</v>
          </cell>
        </row>
        <row r="996">
          <cell r="O996">
            <v>1545.2249408050536</v>
          </cell>
        </row>
        <row r="997">
          <cell r="O997">
            <v>1560.6945540647223</v>
          </cell>
        </row>
        <row r="998">
          <cell r="O998">
            <v>1560.6945540647223</v>
          </cell>
        </row>
        <row r="999">
          <cell r="O999">
            <v>1560.6945540647223</v>
          </cell>
        </row>
        <row r="1000">
          <cell r="O1000">
            <v>1560.6945540647223</v>
          </cell>
        </row>
        <row r="1001">
          <cell r="O1001">
            <v>1560.6945540647223</v>
          </cell>
        </row>
        <row r="1002">
          <cell r="O1002">
            <v>1560.6945540647223</v>
          </cell>
        </row>
        <row r="1003">
          <cell r="O1003">
            <v>1530.228887134967</v>
          </cell>
        </row>
        <row r="1004">
          <cell r="O1004">
            <v>1550.9076558800343</v>
          </cell>
        </row>
        <row r="1005">
          <cell r="O1005">
            <v>1558.0110497237597</v>
          </cell>
        </row>
        <row r="1006">
          <cell r="O1006">
            <v>1539.5422257300741</v>
          </cell>
        </row>
        <row r="1007">
          <cell r="O1007">
            <v>1517.4427782162616</v>
          </cell>
        </row>
        <row r="1008">
          <cell r="O1008">
            <v>1517.4427782162616</v>
          </cell>
        </row>
        <row r="1009">
          <cell r="O1009">
            <v>1517.4427782162616</v>
          </cell>
        </row>
        <row r="1010">
          <cell r="O1010">
            <v>1448.7766377269165</v>
          </cell>
        </row>
        <row r="1011">
          <cell r="O1011">
            <v>1456.9850039463322</v>
          </cell>
        </row>
        <row r="1012">
          <cell r="O1012">
            <v>1469.4554064719837</v>
          </cell>
        </row>
        <row r="1013">
          <cell r="O1013">
            <v>1446.8823993685894</v>
          </cell>
        </row>
        <row r="1014">
          <cell r="O1014">
            <v>1412.9439621152349</v>
          </cell>
        </row>
        <row r="1015">
          <cell r="O1015">
            <v>1412.9439621152349</v>
          </cell>
        </row>
        <row r="1016">
          <cell r="O1016">
            <v>1412.9439621152349</v>
          </cell>
        </row>
        <row r="1017">
          <cell r="O1017">
            <v>1410.734017363854</v>
          </cell>
        </row>
        <row r="1018">
          <cell r="O1018">
            <v>1413.575374901344</v>
          </cell>
        </row>
        <row r="1019">
          <cell r="O1019">
            <v>1430.6235201262848</v>
          </cell>
        </row>
        <row r="1020">
          <cell r="O1020">
            <v>1453.0386740331514</v>
          </cell>
        </row>
        <row r="1021">
          <cell r="O1021">
            <v>1453.0386740331514</v>
          </cell>
        </row>
        <row r="1022">
          <cell r="O1022">
            <v>1453.0386740331514</v>
          </cell>
        </row>
        <row r="1023">
          <cell r="O1023">
            <v>1453.0386740331514</v>
          </cell>
        </row>
        <row r="1024">
          <cell r="O1024">
            <v>1468.9818468824019</v>
          </cell>
        </row>
        <row r="1025">
          <cell r="O1025">
            <v>1478.2951854775081</v>
          </cell>
        </row>
        <row r="1026">
          <cell r="O1026">
            <v>1469.6132596685104</v>
          </cell>
        </row>
        <row r="1027">
          <cell r="O1027">
            <v>1499.4475138121566</v>
          </cell>
        </row>
        <row r="1028">
          <cell r="O1028">
            <v>1546.6456195737985</v>
          </cell>
        </row>
        <row r="1029">
          <cell r="O1029">
            <v>1546.6456195737985</v>
          </cell>
        </row>
        <row r="1030">
          <cell r="O1030">
            <v>1546.6456195737985</v>
          </cell>
        </row>
        <row r="1031">
          <cell r="O1031">
            <v>1543.6464088397813</v>
          </cell>
        </row>
        <row r="1032">
          <cell r="O1032">
            <v>1564.4830307813756</v>
          </cell>
        </row>
        <row r="1033">
          <cell r="O1033">
            <v>1559.4317284925046</v>
          </cell>
        </row>
        <row r="1034">
          <cell r="O1034">
            <v>1587.3717442778241</v>
          </cell>
        </row>
        <row r="1035">
          <cell r="O1035">
            <v>1567.9558011049746</v>
          </cell>
        </row>
        <row r="1036">
          <cell r="O1036">
            <v>1567.9558011049746</v>
          </cell>
        </row>
        <row r="1037">
          <cell r="O1037">
            <v>1567.9558011049746</v>
          </cell>
        </row>
        <row r="1038">
          <cell r="O1038">
            <v>1587.6874506708784</v>
          </cell>
        </row>
        <row r="1039">
          <cell r="O1039">
            <v>1594.9486977111317</v>
          </cell>
        </row>
        <row r="1040">
          <cell r="O1040">
            <v>1594.1594317284955</v>
          </cell>
        </row>
        <row r="1041">
          <cell r="O1041">
            <v>1540.4893449092376</v>
          </cell>
        </row>
        <row r="1042">
          <cell r="O1042">
            <v>1527.0718232044228</v>
          </cell>
        </row>
        <row r="1043">
          <cell r="O1043">
            <v>1527.0718232044228</v>
          </cell>
        </row>
        <row r="1044">
          <cell r="O1044">
            <v>1527.0718232044228</v>
          </cell>
        </row>
        <row r="1045">
          <cell r="O1045">
            <v>1556.7482241515424</v>
          </cell>
        </row>
        <row r="1046">
          <cell r="O1046">
            <v>1586.8981846882434</v>
          </cell>
        </row>
        <row r="1047">
          <cell r="O1047">
            <v>1595.8958168902959</v>
          </cell>
        </row>
        <row r="1048">
          <cell r="O1048">
            <v>1609.7868981846927</v>
          </cell>
        </row>
        <row r="1049">
          <cell r="O1049">
            <v>1601.262825572222</v>
          </cell>
        </row>
        <row r="1050">
          <cell r="O1050">
            <v>1601.262825572222</v>
          </cell>
        </row>
        <row r="1051">
          <cell r="O1051">
            <v>1601.262825572222</v>
          </cell>
        </row>
        <row r="1052">
          <cell r="O1052">
            <v>1621.783741120762</v>
          </cell>
        </row>
        <row r="1053">
          <cell r="O1053">
            <v>1630.4656669297601</v>
          </cell>
        </row>
        <row r="1054">
          <cell r="O1054">
            <v>1650.5130228887188</v>
          </cell>
        </row>
        <row r="1055">
          <cell r="O1055">
            <v>1615.785319652728</v>
          </cell>
        </row>
        <row r="1056">
          <cell r="O1056">
            <v>1645.3038674033201</v>
          </cell>
        </row>
        <row r="1057">
          <cell r="O1057">
            <v>1645.3038674033201</v>
          </cell>
        </row>
        <row r="1058">
          <cell r="O1058">
            <v>1645.3038674033201</v>
          </cell>
        </row>
        <row r="1059">
          <cell r="O1059">
            <v>1628.413575374906</v>
          </cell>
        </row>
        <row r="1060">
          <cell r="O1060">
            <v>1610.4183109708017</v>
          </cell>
        </row>
        <row r="1061">
          <cell r="O1061">
            <v>1632.3599052880872</v>
          </cell>
        </row>
        <row r="1062">
          <cell r="O1062">
            <v>1671.5074980268403</v>
          </cell>
        </row>
        <row r="1063">
          <cell r="O1063">
            <v>1662.98342541437</v>
          </cell>
        </row>
        <row r="1064">
          <cell r="O1064">
            <v>1662.98342541437</v>
          </cell>
        </row>
        <row r="1065">
          <cell r="O1065">
            <v>1662.98342541437</v>
          </cell>
        </row>
        <row r="1066">
          <cell r="O1066">
            <v>1629.2028413575426</v>
          </cell>
        </row>
        <row r="1067">
          <cell r="O1067">
            <v>1643.4096290449934</v>
          </cell>
        </row>
        <row r="1068">
          <cell r="O1068">
            <v>1581.2154696132645</v>
          </cell>
        </row>
        <row r="1069">
          <cell r="O1069">
            <v>1575.3749013417569</v>
          </cell>
        </row>
        <row r="1070">
          <cell r="O1070">
            <v>1577.5848460931386</v>
          </cell>
        </row>
        <row r="1071">
          <cell r="O1071">
            <v>1577.5848460931386</v>
          </cell>
        </row>
        <row r="1072">
          <cell r="O1072">
            <v>1577.5848460931386</v>
          </cell>
        </row>
        <row r="1073">
          <cell r="O1073">
            <v>1540.805051302294</v>
          </cell>
        </row>
        <row r="1074">
          <cell r="O1074">
            <v>1573.9542225730122</v>
          </cell>
        </row>
        <row r="1075">
          <cell r="O1075">
            <v>1603.7884767166584</v>
          </cell>
        </row>
        <row r="1076">
          <cell r="O1076">
            <v>1603.7884767166584</v>
          </cell>
        </row>
        <row r="1077">
          <cell r="O1077">
            <v>1635.5169692186316</v>
          </cell>
        </row>
        <row r="1078">
          <cell r="O1078">
            <v>1635.5169692186316</v>
          </cell>
        </row>
        <row r="1079">
          <cell r="O1079">
            <v>1635.5169692186316</v>
          </cell>
        </row>
        <row r="1080">
          <cell r="O1080">
            <v>1655.8800315706444</v>
          </cell>
        </row>
        <row r="1081">
          <cell r="O1081">
            <v>1655.2486187845354</v>
          </cell>
        </row>
        <row r="1082">
          <cell r="O1082">
            <v>1654.1436464088451</v>
          </cell>
        </row>
        <row r="1083">
          <cell r="O1083">
            <v>1641.5153906866663</v>
          </cell>
        </row>
        <row r="1084">
          <cell r="O1084">
            <v>1608.0505130228937</v>
          </cell>
        </row>
        <row r="1085">
          <cell r="O1085">
            <v>1608.0505130228937</v>
          </cell>
        </row>
        <row r="1086">
          <cell r="O1086">
            <v>1608.0505130228937</v>
          </cell>
        </row>
        <row r="1087">
          <cell r="O1087">
            <v>1599.0528808208419</v>
          </cell>
        </row>
        <row r="1088">
          <cell r="O1088">
            <v>1604.4198895027675</v>
          </cell>
        </row>
        <row r="1089">
          <cell r="O1089">
            <v>1620.994475138127</v>
          </cell>
        </row>
        <row r="1090">
          <cell r="O1090">
            <v>1611.9968429360747</v>
          </cell>
        </row>
        <row r="1091">
          <cell r="O1091">
            <v>1646.7245461720649</v>
          </cell>
        </row>
        <row r="1092">
          <cell r="O1092">
            <v>1646.7245461720649</v>
          </cell>
        </row>
        <row r="1093">
          <cell r="O1093">
            <v>1646.7245461720649</v>
          </cell>
        </row>
        <row r="1094">
          <cell r="O1094">
            <v>1680.8208366219469</v>
          </cell>
        </row>
        <row r="1095">
          <cell r="O1095">
            <v>1653.6700868192634</v>
          </cell>
        </row>
        <row r="1096">
          <cell r="O1096">
            <v>1626.6771902131072</v>
          </cell>
        </row>
        <row r="1097">
          <cell r="O1097">
            <v>1648.776637726919</v>
          </cell>
        </row>
        <row r="1098">
          <cell r="O1098">
            <v>1658.0899763220257</v>
          </cell>
        </row>
        <row r="1099">
          <cell r="O1099">
            <v>1658.0899763220257</v>
          </cell>
        </row>
        <row r="1100">
          <cell r="O1100">
            <v>1658.0899763220257</v>
          </cell>
        </row>
        <row r="1101">
          <cell r="O1101">
            <v>1644.1988950276291</v>
          </cell>
        </row>
        <row r="1102">
          <cell r="O1102">
            <v>1639.9368587213939</v>
          </cell>
        </row>
        <row r="1103">
          <cell r="O1103">
            <v>1622.257300710344</v>
          </cell>
        </row>
        <row r="1104">
          <cell r="O1104">
            <v>1622.257300710344</v>
          </cell>
        </row>
        <row r="1105">
          <cell r="O1105">
            <v>1616.8902920284186</v>
          </cell>
        </row>
        <row r="1106">
          <cell r="O1106">
            <v>1616.8902920284186</v>
          </cell>
        </row>
        <row r="1107">
          <cell r="O1107">
            <v>1616.8902920284186</v>
          </cell>
        </row>
        <row r="1108">
          <cell r="O1108">
            <v>1622.573007103399</v>
          </cell>
        </row>
        <row r="1109">
          <cell r="O1109">
            <v>1660.7734806629883</v>
          </cell>
        </row>
        <row r="1110">
          <cell r="O1110">
            <v>1660.7734806629883</v>
          </cell>
        </row>
        <row r="1111">
          <cell r="O1111">
            <v>1660.7734806629883</v>
          </cell>
        </row>
        <row r="1112">
          <cell r="O1112">
            <v>1683.5043409629097</v>
          </cell>
        </row>
        <row r="1113">
          <cell r="O1113">
            <v>1683.5043409629097</v>
          </cell>
        </row>
        <row r="1114">
          <cell r="O1114">
            <v>1683.5043409629097</v>
          </cell>
        </row>
        <row r="1115">
          <cell r="O1115">
            <v>1690.1341752170526</v>
          </cell>
        </row>
        <row r="1116">
          <cell r="O1116">
            <v>1687.4506708760898</v>
          </cell>
        </row>
        <row r="1117">
          <cell r="O1117">
            <v>1697.5532754538322</v>
          </cell>
        </row>
        <row r="1118">
          <cell r="O1118">
            <v>1692.1862667719063</v>
          </cell>
        </row>
        <row r="1119">
          <cell r="O1119">
            <v>1740.489344909239</v>
          </cell>
        </row>
        <row r="1120">
          <cell r="O1120">
            <v>1740.489344909239</v>
          </cell>
        </row>
        <row r="1121">
          <cell r="O1121">
            <v>1740.489344909239</v>
          </cell>
        </row>
        <row r="1122">
          <cell r="O1122">
            <v>1753.7490134175259</v>
          </cell>
        </row>
        <row r="1123">
          <cell r="O1123">
            <v>1747.5927387529641</v>
          </cell>
        </row>
        <row r="1124">
          <cell r="O1124">
            <v>1751.8547750591995</v>
          </cell>
        </row>
        <row r="1125">
          <cell r="O1125">
            <v>1741.7521704814567</v>
          </cell>
        </row>
        <row r="1126">
          <cell r="O1126">
            <v>1746.3299131807466</v>
          </cell>
        </row>
        <row r="1127">
          <cell r="O1127">
            <v>1746.3299131807466</v>
          </cell>
        </row>
        <row r="1128">
          <cell r="O1128">
            <v>1746.3299131807466</v>
          </cell>
        </row>
        <row r="1129">
          <cell r="O1129">
            <v>1767.3243883188682</v>
          </cell>
        </row>
        <row r="1130">
          <cell r="O1130">
            <v>1777.9005524861927</v>
          </cell>
        </row>
        <row r="1131">
          <cell r="O1131">
            <v>1777.9005524861927</v>
          </cell>
        </row>
        <row r="1132">
          <cell r="O1132">
            <v>1777.9005524861927</v>
          </cell>
        </row>
        <row r="1133">
          <cell r="O1133">
            <v>1777.9005524861927</v>
          </cell>
        </row>
        <row r="1134">
          <cell r="O1134">
            <v>1777.9005524861927</v>
          </cell>
        </row>
        <row r="1135">
          <cell r="O1135">
            <v>1777.9005524861927</v>
          </cell>
        </row>
        <row r="1136">
          <cell r="O1136">
            <v>1794.4751381215517</v>
          </cell>
        </row>
        <row r="1137">
          <cell r="O1137">
            <v>1784.0568271507545</v>
          </cell>
        </row>
        <row r="1138">
          <cell r="O1138">
            <v>1777.2691397000838</v>
          </cell>
        </row>
        <row r="1139">
          <cell r="O1139">
            <v>1762.5887924230517</v>
          </cell>
        </row>
        <row r="1140">
          <cell r="O1140">
            <v>1750.4340962904553</v>
          </cell>
        </row>
        <row r="1141">
          <cell r="O1141">
            <v>1750.4340962904553</v>
          </cell>
        </row>
        <row r="1142">
          <cell r="O1142">
            <v>1750.4340962904553</v>
          </cell>
        </row>
        <row r="1143">
          <cell r="O1143">
            <v>1762.9044988161063</v>
          </cell>
        </row>
        <row r="1144">
          <cell r="O1144">
            <v>1730.2288871349697</v>
          </cell>
        </row>
        <row r="1145">
          <cell r="O1145">
            <v>1719.9684293606997</v>
          </cell>
        </row>
        <row r="1146">
          <cell r="O1146">
            <v>1732.7545382794056</v>
          </cell>
        </row>
        <row r="1147">
          <cell r="O1147">
            <v>1754.6961325966904</v>
          </cell>
        </row>
        <row r="1148">
          <cell r="O1148">
            <v>1754.6961325966904</v>
          </cell>
        </row>
        <row r="1149">
          <cell r="O1149">
            <v>1754.6961325966904</v>
          </cell>
        </row>
        <row r="1150">
          <cell r="O1150">
            <v>1786.5824782951915</v>
          </cell>
        </row>
        <row r="1151">
          <cell r="O1151">
            <v>1791.0023677979539</v>
          </cell>
        </row>
        <row r="1152">
          <cell r="O1152">
            <v>1814.0489344909297</v>
          </cell>
        </row>
        <row r="1153">
          <cell r="O1153">
            <v>1818.4688239936922</v>
          </cell>
        </row>
        <row r="1154">
          <cell r="O1154">
            <v>1827.1507498026895</v>
          </cell>
        </row>
        <row r="1155">
          <cell r="O1155">
            <v>1827.1507498026895</v>
          </cell>
        </row>
        <row r="1156">
          <cell r="O1156">
            <v>1827.1507498026895</v>
          </cell>
        </row>
        <row r="1157">
          <cell r="O1157">
            <v>1825.2565114443628</v>
          </cell>
        </row>
        <row r="1158">
          <cell r="O1158">
            <v>1831.5706393054516</v>
          </cell>
        </row>
        <row r="1159">
          <cell r="O1159">
            <v>1813.2596685082926</v>
          </cell>
        </row>
        <row r="1160">
          <cell r="O1160">
            <v>1825.5722178374167</v>
          </cell>
        </row>
        <row r="1161">
          <cell r="O1161">
            <v>1815.7853196527285</v>
          </cell>
        </row>
        <row r="1162">
          <cell r="O1162">
            <v>1815.7853196527285</v>
          </cell>
        </row>
        <row r="1163">
          <cell r="O1163">
            <v>1815.7853196527285</v>
          </cell>
        </row>
        <row r="1164">
          <cell r="O1164">
            <v>1816.1010260457833</v>
          </cell>
        </row>
        <row r="1165">
          <cell r="O1165">
            <v>1788.7924230465728</v>
          </cell>
        </row>
        <row r="1166">
          <cell r="O1166">
            <v>1793.6858721389169</v>
          </cell>
        </row>
        <row r="1167">
          <cell r="O1167">
            <v>1790.6866614048997</v>
          </cell>
        </row>
        <row r="1168">
          <cell r="O1168">
            <v>1829.8342541436527</v>
          </cell>
        </row>
        <row r="1169">
          <cell r="O1169">
            <v>1829.8342541436527</v>
          </cell>
        </row>
        <row r="1170">
          <cell r="O1170">
            <v>1829.8342541436527</v>
          </cell>
        </row>
        <row r="1171">
          <cell r="O1171">
            <v>1829.8342541436527</v>
          </cell>
        </row>
        <row r="1172">
          <cell r="O1172">
            <v>1863.7726913970071</v>
          </cell>
        </row>
        <row r="1173">
          <cell r="O1173">
            <v>1855.8800315706458</v>
          </cell>
        </row>
        <row r="1174">
          <cell r="O1174">
            <v>1882.8729281768026</v>
          </cell>
        </row>
        <row r="1175">
          <cell r="O1175">
            <v>1876.5588003157129</v>
          </cell>
        </row>
        <row r="1176">
          <cell r="O1176">
            <v>1876.5588003157129</v>
          </cell>
        </row>
        <row r="1177">
          <cell r="O1177">
            <v>1876.5588003157129</v>
          </cell>
        </row>
        <row r="1178">
          <cell r="O1178">
            <v>1864.2462509865888</v>
          </cell>
        </row>
        <row r="1179">
          <cell r="O1179">
            <v>1844.0410418311035</v>
          </cell>
        </row>
        <row r="1180">
          <cell r="O1180">
            <v>1811.2075769534397</v>
          </cell>
        </row>
        <row r="1181">
          <cell r="O1181">
            <v>1797.474348855571</v>
          </cell>
        </row>
        <row r="1182">
          <cell r="O1182">
            <v>1755.8011049723818</v>
          </cell>
        </row>
        <row r="1183">
          <cell r="O1183">
            <v>1755.8011049723818</v>
          </cell>
        </row>
        <row r="1184">
          <cell r="O1184">
            <v>1755.8011049723818</v>
          </cell>
        </row>
        <row r="1185">
          <cell r="O1185">
            <v>1762.1152328334708</v>
          </cell>
        </row>
        <row r="1186">
          <cell r="O1186">
            <v>1759.9052880820896</v>
          </cell>
        </row>
        <row r="1187">
          <cell r="O1187">
            <v>1808.2083662194218</v>
          </cell>
        </row>
        <row r="1188">
          <cell r="O1188">
            <v>1808.2083662194218</v>
          </cell>
        </row>
        <row r="1189">
          <cell r="O1189">
            <v>1831.412786108925</v>
          </cell>
        </row>
        <row r="1190">
          <cell r="O1190">
            <v>1831.412786108925</v>
          </cell>
        </row>
        <row r="1191">
          <cell r="O1191">
            <v>1831.412786108925</v>
          </cell>
        </row>
        <row r="1192">
          <cell r="O1192">
            <v>1788.6345698500454</v>
          </cell>
        </row>
        <row r="1193">
          <cell r="O1193">
            <v>1795.106550907662</v>
          </cell>
        </row>
        <row r="1194">
          <cell r="O1194">
            <v>1786.5824782951913</v>
          </cell>
        </row>
        <row r="1195">
          <cell r="O1195">
            <v>1770.4814522494132</v>
          </cell>
        </row>
        <row r="1196">
          <cell r="O1196">
            <v>1793.8437253354439</v>
          </cell>
        </row>
        <row r="1197">
          <cell r="O1197">
            <v>1793.8437253354439</v>
          </cell>
        </row>
        <row r="1198">
          <cell r="O1198">
            <v>1793.8437253354439</v>
          </cell>
        </row>
        <row r="1199">
          <cell r="O1199">
            <v>1816.8902920284195</v>
          </cell>
        </row>
        <row r="1200">
          <cell r="O1200">
            <v>1814.9960536700926</v>
          </cell>
        </row>
        <row r="1201">
          <cell r="O1201">
            <v>1830.7813733228154</v>
          </cell>
        </row>
        <row r="1202">
          <cell r="O1202">
            <v>1836.4640883977952</v>
          </cell>
        </row>
        <row r="1203">
          <cell r="O1203">
            <v>1836.6219415943224</v>
          </cell>
        </row>
        <row r="1204">
          <cell r="O1204">
            <v>1836.6219415943224</v>
          </cell>
        </row>
        <row r="1205">
          <cell r="O1205">
            <v>1836.6219415943224</v>
          </cell>
        </row>
        <row r="1206">
          <cell r="O1206">
            <v>1836.6219415943224</v>
          </cell>
        </row>
        <row r="1207">
          <cell r="O1207">
            <v>1887.45067087609</v>
          </cell>
        </row>
        <row r="1208">
          <cell r="O1208">
            <v>1895.0276243093977</v>
          </cell>
        </row>
        <row r="1209">
          <cell r="O1209">
            <v>1910.6550907655928</v>
          </cell>
        </row>
        <row r="1210">
          <cell r="O1210">
            <v>1882.7150749802729</v>
          </cell>
        </row>
        <row r="1211">
          <cell r="O1211">
            <v>1882.7150749802729</v>
          </cell>
        </row>
        <row r="1212">
          <cell r="O1212">
            <v>1882.7150749802729</v>
          </cell>
        </row>
        <row r="1213">
          <cell r="O1213">
            <v>1909.8658247829565</v>
          </cell>
        </row>
        <row r="1214">
          <cell r="O1214">
            <v>1904.4988161010306</v>
          </cell>
        </row>
        <row r="1215">
          <cell r="O1215">
            <v>1903.551696921867</v>
          </cell>
        </row>
        <row r="1216">
          <cell r="O1216">
            <v>1903.551696921867</v>
          </cell>
        </row>
        <row r="1217">
          <cell r="O1217">
            <v>1862.1941594317329</v>
          </cell>
        </row>
        <row r="1218">
          <cell r="O1218">
            <v>1862.1941594317329</v>
          </cell>
        </row>
        <row r="1219">
          <cell r="O1219">
            <v>1862.1941594317329</v>
          </cell>
        </row>
        <row r="1220">
          <cell r="O1220">
            <v>1870.4025256511491</v>
          </cell>
        </row>
        <row r="1221">
          <cell r="O1221">
            <v>1903.7095501183949</v>
          </cell>
        </row>
        <row r="1222">
          <cell r="O1222">
            <v>1924.7040252565168</v>
          </cell>
        </row>
        <row r="1223">
          <cell r="O1223">
            <v>1906.235201262831</v>
          </cell>
        </row>
        <row r="1224">
          <cell r="O1224">
            <v>1932.7545382794051</v>
          </cell>
        </row>
        <row r="1225">
          <cell r="O1225">
            <v>1932.7545382794051</v>
          </cell>
        </row>
        <row r="1226">
          <cell r="O1226">
            <v>1932.7545382794051</v>
          </cell>
        </row>
        <row r="1227">
          <cell r="O1227">
            <v>1898.9739542225777</v>
          </cell>
        </row>
        <row r="1228">
          <cell r="O1228">
            <v>1889.5027624309441</v>
          </cell>
        </row>
        <row r="1229">
          <cell r="O1229">
            <v>1854.4593528018986</v>
          </cell>
        </row>
        <row r="1230">
          <cell r="O1230">
            <v>1799.6842936069497</v>
          </cell>
        </row>
        <row r="1231">
          <cell r="O1231">
            <v>1774.2699289660659</v>
          </cell>
        </row>
        <row r="1232">
          <cell r="O1232">
            <v>1774.2699289660659</v>
          </cell>
        </row>
        <row r="1233">
          <cell r="O1233">
            <v>1774.2699289660659</v>
          </cell>
        </row>
        <row r="1234">
          <cell r="O1234">
            <v>1781.2154696132641</v>
          </cell>
        </row>
        <row r="1235">
          <cell r="O1235">
            <v>1782.4782951854818</v>
          </cell>
        </row>
        <row r="1236">
          <cell r="O1236">
            <v>1782.4782951854818</v>
          </cell>
        </row>
        <row r="1237">
          <cell r="O1237">
            <v>1720.1262825572255</v>
          </cell>
        </row>
        <row r="1238">
          <cell r="O1238">
            <v>1726.5982636148417</v>
          </cell>
        </row>
        <row r="1239">
          <cell r="O1239">
            <v>1726.5982636148417</v>
          </cell>
        </row>
        <row r="1240">
          <cell r="O1240">
            <v>1726.5982636148417</v>
          </cell>
        </row>
        <row r="1241">
          <cell r="O1241">
            <v>1624.9408050513057</v>
          </cell>
        </row>
        <row r="1242">
          <cell r="O1242">
            <v>1621.6258879242341</v>
          </cell>
        </row>
        <row r="1243">
          <cell r="O1243">
            <v>1674.0331491712743</v>
          </cell>
        </row>
        <row r="1244">
          <cell r="O1244">
            <v>1612.3125493291275</v>
          </cell>
        </row>
        <row r="1245">
          <cell r="O1245">
            <v>1564.4830307813766</v>
          </cell>
        </row>
        <row r="1246">
          <cell r="O1246">
            <v>1564.4830307813766</v>
          </cell>
        </row>
        <row r="1247">
          <cell r="O1247">
            <v>1564.4830307813766</v>
          </cell>
        </row>
        <row r="1248">
          <cell r="O1248">
            <v>1484.609313338598</v>
          </cell>
        </row>
        <row r="1249">
          <cell r="O1249">
            <v>1516.8113654301528</v>
          </cell>
        </row>
        <row r="1250">
          <cell r="O1250">
            <v>1593.0544593528048</v>
          </cell>
        </row>
        <row r="1251">
          <cell r="O1251">
            <v>1573.1649565903738</v>
          </cell>
        </row>
        <row r="1252">
          <cell r="O1252">
            <v>1612.1546961325994</v>
          </cell>
        </row>
        <row r="1253">
          <cell r="O1253">
            <v>1612.1546961325994</v>
          </cell>
        </row>
        <row r="1254">
          <cell r="O1254">
            <v>1612.1546961325994</v>
          </cell>
        </row>
        <row r="1255">
          <cell r="O1255">
            <v>1636.6219415943197</v>
          </cell>
        </row>
        <row r="1256">
          <cell r="O1256">
            <v>1604.4198895027646</v>
          </cell>
        </row>
        <row r="1257">
          <cell r="O1257">
            <v>1604.4198895027646</v>
          </cell>
        </row>
        <row r="1258">
          <cell r="O1258">
            <v>1643.0939226519354</v>
          </cell>
        </row>
        <row r="1259">
          <cell r="O1259">
            <v>1670.4025256511454</v>
          </cell>
        </row>
        <row r="1260">
          <cell r="O1260">
            <v>1670.4025256511454</v>
          </cell>
        </row>
        <row r="1261">
          <cell r="O1261">
            <v>1670.4025256511454</v>
          </cell>
        </row>
        <row r="1262">
          <cell r="O1262">
            <v>1643.8831886345711</v>
          </cell>
        </row>
        <row r="1263">
          <cell r="O1263">
            <v>1669.1397000789277</v>
          </cell>
        </row>
        <row r="1264">
          <cell r="O1264">
            <v>1642.6203630623531</v>
          </cell>
        </row>
        <row r="1265">
          <cell r="O1265">
            <v>1570.7971586424637</v>
          </cell>
        </row>
        <row r="1266">
          <cell r="O1266">
            <v>1593.528018942385</v>
          </cell>
        </row>
        <row r="1267">
          <cell r="O1267">
            <v>1593.528018942385</v>
          </cell>
        </row>
        <row r="1268">
          <cell r="O1268">
            <v>1593.528018942385</v>
          </cell>
        </row>
        <row r="1269">
          <cell r="O1269">
            <v>1657.7742699289672</v>
          </cell>
        </row>
        <row r="1270">
          <cell r="O1270">
            <v>1653.1965272296779</v>
          </cell>
        </row>
        <row r="1271">
          <cell r="O1271">
            <v>1619.4159431728508</v>
          </cell>
        </row>
        <row r="1272">
          <cell r="O1272">
            <v>1587.6874506708778</v>
          </cell>
        </row>
        <row r="1273">
          <cell r="O1273">
            <v>1521.5469613259684</v>
          </cell>
        </row>
        <row r="1274">
          <cell r="O1274">
            <v>1521.5469613259684</v>
          </cell>
        </row>
        <row r="1275">
          <cell r="O1275">
            <v>1521.5469613259684</v>
          </cell>
        </row>
        <row r="1276">
          <cell r="O1276">
            <v>1498.026835043411</v>
          </cell>
        </row>
        <row r="1277">
          <cell r="O1277">
            <v>1527.7032359905302</v>
          </cell>
        </row>
        <row r="1278">
          <cell r="O1278">
            <v>1528.6503551696942</v>
          </cell>
        </row>
        <row r="1279">
          <cell r="O1279">
            <v>1547.277032359907</v>
          </cell>
        </row>
        <row r="1280">
          <cell r="O1280">
            <v>1511.2865035516984</v>
          </cell>
        </row>
        <row r="1281">
          <cell r="O1281">
            <v>1511.2865035516984</v>
          </cell>
        </row>
        <row r="1282">
          <cell r="O1282">
            <v>1511.2865035516984</v>
          </cell>
        </row>
        <row r="1283">
          <cell r="O1283">
            <v>1528.0189423835845</v>
          </cell>
        </row>
        <row r="1284">
          <cell r="O1284">
            <v>1522.9676400947133</v>
          </cell>
        </row>
        <row r="1285">
          <cell r="O1285">
            <v>1508.4451460142081</v>
          </cell>
        </row>
        <row r="1286">
          <cell r="O1286">
            <v>1560.3788476716663</v>
          </cell>
        </row>
        <row r="1287">
          <cell r="O1287">
            <v>1595.5801104972386</v>
          </cell>
        </row>
        <row r="1288">
          <cell r="O1288">
            <v>1595.5801104972386</v>
          </cell>
        </row>
        <row r="1289">
          <cell r="O1289">
            <v>1595.5801104972386</v>
          </cell>
        </row>
        <row r="1290">
          <cell r="O1290">
            <v>1576.1641673243892</v>
          </cell>
        </row>
        <row r="1291">
          <cell r="O1291">
            <v>1591.3180741910037</v>
          </cell>
        </row>
        <row r="1292">
          <cell r="O1292">
            <v>1607.734806629835</v>
          </cell>
        </row>
        <row r="1293">
          <cell r="O1293">
            <v>1591.160220994476</v>
          </cell>
        </row>
        <row r="1294">
          <cell r="O1294">
            <v>1543.014996053671</v>
          </cell>
        </row>
        <row r="1295">
          <cell r="O1295">
            <v>1543.014996053671</v>
          </cell>
        </row>
        <row r="1296">
          <cell r="O1296">
            <v>1543.014996053671</v>
          </cell>
        </row>
        <row r="1297">
          <cell r="O1297">
            <v>1545.5406471981062</v>
          </cell>
        </row>
        <row r="1298">
          <cell r="O1298">
            <v>1549.9605367008687</v>
          </cell>
        </row>
        <row r="1299">
          <cell r="O1299">
            <v>1554.2225730071032</v>
          </cell>
        </row>
        <row r="1300">
          <cell r="O1300">
            <v>1511.9179163378058</v>
          </cell>
        </row>
        <row r="1301">
          <cell r="O1301">
            <v>1523.4411996842937</v>
          </cell>
        </row>
        <row r="1302">
          <cell r="O1302">
            <v>1523.4411996842937</v>
          </cell>
        </row>
        <row r="1303">
          <cell r="O1303">
            <v>1523.4411996842937</v>
          </cell>
        </row>
        <row r="1304">
          <cell r="O1304">
            <v>1522.4940805051303</v>
          </cell>
        </row>
        <row r="1305">
          <cell r="O1305">
            <v>1532.912391475928</v>
          </cell>
        </row>
        <row r="1306">
          <cell r="O1306">
            <v>1501.0260457774277</v>
          </cell>
        </row>
        <row r="1307">
          <cell r="O1307">
            <v>1493.9226519337024</v>
          </cell>
        </row>
        <row r="1308">
          <cell r="O1308">
            <v>1509.0765588003162</v>
          </cell>
        </row>
        <row r="1309">
          <cell r="O1309">
            <v>1509.0765588003162</v>
          </cell>
        </row>
        <row r="1310">
          <cell r="O1310">
            <v>1509.0765588003162</v>
          </cell>
        </row>
        <row r="1311">
          <cell r="O1311">
            <v>1532.9123914759282</v>
          </cell>
        </row>
        <row r="1312">
          <cell r="O1312">
            <v>1504.1831097079728</v>
          </cell>
        </row>
        <row r="1313">
          <cell r="O1313">
            <v>1539.2265193370179</v>
          </cell>
        </row>
        <row r="1314">
          <cell r="O1314">
            <v>1516.653512233624</v>
          </cell>
        </row>
        <row r="1315">
          <cell r="O1315">
            <v>1505.6037884767179</v>
          </cell>
        </row>
        <row r="1316">
          <cell r="O1316">
            <v>1505.6037884767179</v>
          </cell>
        </row>
        <row r="1317">
          <cell r="O1317">
            <v>1505.6037884767179</v>
          </cell>
        </row>
        <row r="1318">
          <cell r="O1318">
            <v>1503.078137332282</v>
          </cell>
        </row>
        <row r="1319">
          <cell r="O1319">
            <v>1510.0236779794807</v>
          </cell>
        </row>
        <row r="1320">
          <cell r="O1320">
            <v>1524.0726124704045</v>
          </cell>
        </row>
        <row r="1321">
          <cell r="O1321">
            <v>1493.1333859510676</v>
          </cell>
        </row>
        <row r="1322">
          <cell r="O1322">
            <v>1503.8674033149196</v>
          </cell>
        </row>
        <row r="1323">
          <cell r="O1323">
            <v>1503.8674033149196</v>
          </cell>
        </row>
        <row r="1324">
          <cell r="O1324">
            <v>1503.8674033149196</v>
          </cell>
        </row>
        <row r="1325">
          <cell r="O1325">
            <v>1471.0339384372558</v>
          </cell>
        </row>
        <row r="1326">
          <cell r="O1326">
            <v>1487.1349644830332</v>
          </cell>
        </row>
        <row r="1327">
          <cell r="O1327">
            <v>1493.1333859510685</v>
          </cell>
        </row>
        <row r="1328">
          <cell r="O1328">
            <v>1520.284135753752</v>
          </cell>
        </row>
        <row r="1329">
          <cell r="O1329">
            <v>1497.0797158642492</v>
          </cell>
        </row>
        <row r="1330">
          <cell r="O1330">
            <v>1497.0797158642492</v>
          </cell>
        </row>
        <row r="1331">
          <cell r="O1331">
            <v>1497.0797158642492</v>
          </cell>
        </row>
        <row r="1332">
          <cell r="O1332">
            <v>1516.6535122336259</v>
          </cell>
        </row>
        <row r="1333">
          <cell r="O1333">
            <v>1526.7561168113689</v>
          </cell>
        </row>
        <row r="1334">
          <cell r="O1334">
            <v>1534.8066298342576</v>
          </cell>
        </row>
        <row r="1335">
          <cell r="O1335">
            <v>1563.5359116022137</v>
          </cell>
        </row>
        <row r="1336">
          <cell r="O1336">
            <v>1580.899763220209</v>
          </cell>
        </row>
        <row r="1337">
          <cell r="O1337">
            <v>1580.899763220209</v>
          </cell>
        </row>
        <row r="1338">
          <cell r="O1338">
            <v>1580.899763220209</v>
          </cell>
        </row>
        <row r="1339">
          <cell r="O1339">
            <v>1574.112075769538</v>
          </cell>
        </row>
        <row r="1340">
          <cell r="O1340">
            <v>1562.2730860299957</v>
          </cell>
        </row>
        <row r="1341">
          <cell r="O1341">
            <v>1570.3235990528844</v>
          </cell>
        </row>
        <row r="1342">
          <cell r="O1342">
            <v>1597.1586424625136</v>
          </cell>
        </row>
        <row r="1343">
          <cell r="O1343">
            <v>1592.1073401736419</v>
          </cell>
        </row>
        <row r="1344">
          <cell r="O1344">
            <v>1592.1073401736419</v>
          </cell>
        </row>
        <row r="1345">
          <cell r="O1345">
            <v>1592.1073401736419</v>
          </cell>
        </row>
        <row r="1346">
          <cell r="O1346">
            <v>1593.0544593528052</v>
          </cell>
        </row>
        <row r="1347">
          <cell r="O1347">
            <v>1602.2099447513842</v>
          </cell>
        </row>
        <row r="1348">
          <cell r="O1348">
            <v>1623.8358326756145</v>
          </cell>
        </row>
        <row r="1349">
          <cell r="O1349">
            <v>1629.8342541436491</v>
          </cell>
        </row>
        <row r="1350">
          <cell r="O1350">
            <v>1631.8863456985025</v>
          </cell>
        </row>
        <row r="1351">
          <cell r="O1351">
            <v>1631.8863456985025</v>
          </cell>
        </row>
        <row r="1352">
          <cell r="O1352">
            <v>1631.8863456985025</v>
          </cell>
        </row>
        <row r="1353">
          <cell r="O1353">
            <v>1626.9928966061584</v>
          </cell>
        </row>
        <row r="1354">
          <cell r="O1354">
            <v>1624.1515390686684</v>
          </cell>
        </row>
        <row r="1355">
          <cell r="O1355">
            <v>1652.5651144435701</v>
          </cell>
        </row>
        <row r="1356">
          <cell r="O1356">
            <v>1667.8768745067114</v>
          </cell>
        </row>
        <row r="1357">
          <cell r="O1357">
            <v>1654.9329123914786</v>
          </cell>
        </row>
        <row r="1358">
          <cell r="O1358">
            <v>1654.9329123914786</v>
          </cell>
        </row>
        <row r="1359">
          <cell r="O1359">
            <v>1654.9329123914786</v>
          </cell>
        </row>
        <row r="1360">
          <cell r="O1360">
            <v>1665.6669297553301</v>
          </cell>
        </row>
        <row r="1361">
          <cell r="O1361">
            <v>1656.9850039463324</v>
          </cell>
        </row>
        <row r="1362">
          <cell r="O1362">
            <v>1648.6187845303891</v>
          </cell>
        </row>
        <row r="1363">
          <cell r="O1363">
            <v>1663.6148382004765</v>
          </cell>
        </row>
        <row r="1364">
          <cell r="O1364">
            <v>1694.0805051302311</v>
          </cell>
        </row>
        <row r="1365">
          <cell r="O1365">
            <v>1694.0805051302311</v>
          </cell>
        </row>
        <row r="1366">
          <cell r="O1366">
            <v>1694.0805051302311</v>
          </cell>
        </row>
        <row r="1367">
          <cell r="O1367">
            <v>1729.4396211523308</v>
          </cell>
        </row>
        <row r="1368">
          <cell r="O1368">
            <v>1724.8618784530413</v>
          </cell>
        </row>
        <row r="1369">
          <cell r="O1369">
            <v>1724.8618784530413</v>
          </cell>
        </row>
        <row r="1370">
          <cell r="O1370">
            <v>1739.5422257300743</v>
          </cell>
        </row>
        <row r="1371">
          <cell r="O1371">
            <v>1725.6511444356779</v>
          </cell>
        </row>
        <row r="1372">
          <cell r="O1372">
            <v>1725.6511444356779</v>
          </cell>
        </row>
        <row r="1373">
          <cell r="O1373">
            <v>1725.6511444356779</v>
          </cell>
        </row>
        <row r="1374">
          <cell r="O1374">
            <v>1742.3835832675647</v>
          </cell>
        </row>
        <row r="1375">
          <cell r="O1375">
            <v>1743.0149960536735</v>
          </cell>
        </row>
        <row r="1376">
          <cell r="O1376">
            <v>1697.3954222573043</v>
          </cell>
        </row>
        <row r="1377">
          <cell r="O1377">
            <v>1688.0820836621976</v>
          </cell>
        </row>
        <row r="1378">
          <cell r="O1378">
            <v>1694.2383583267597</v>
          </cell>
        </row>
        <row r="1379">
          <cell r="O1379">
            <v>1694.2383583267597</v>
          </cell>
        </row>
        <row r="1380">
          <cell r="O1380">
            <v>1694.2383583267597</v>
          </cell>
        </row>
        <row r="1381">
          <cell r="O1381">
            <v>1694.2383583267597</v>
          </cell>
        </row>
        <row r="1382">
          <cell r="O1382">
            <v>1694.2383583267597</v>
          </cell>
        </row>
        <row r="1383">
          <cell r="O1383">
            <v>1694.2383583267597</v>
          </cell>
        </row>
        <row r="1384">
          <cell r="O1384">
            <v>1699.9210734017402</v>
          </cell>
        </row>
        <row r="1385">
          <cell r="O1385">
            <v>1727.2296764009513</v>
          </cell>
        </row>
        <row r="1386">
          <cell r="O1386">
            <v>1727.2296764009513</v>
          </cell>
        </row>
        <row r="1387">
          <cell r="O1387">
            <v>1727.2296764009513</v>
          </cell>
        </row>
        <row r="1388">
          <cell r="O1388">
            <v>1799.8421468034778</v>
          </cell>
        </row>
        <row r="1389">
          <cell r="O1389">
            <v>1800.1578531965324</v>
          </cell>
        </row>
        <row r="1390">
          <cell r="O1390">
            <v>1806.471981057621</v>
          </cell>
        </row>
        <row r="1391">
          <cell r="O1391">
            <v>1802.209944751386</v>
          </cell>
        </row>
        <row r="1392">
          <cell r="O1392">
            <v>1796.685082872933</v>
          </cell>
        </row>
        <row r="1393">
          <cell r="O1393">
            <v>1796.685082872933</v>
          </cell>
        </row>
        <row r="1394">
          <cell r="O1394">
            <v>1796.685082872933</v>
          </cell>
        </row>
        <row r="1395">
          <cell r="O1395">
            <v>1796.685082872933</v>
          </cell>
        </row>
        <row r="1396">
          <cell r="O1396">
            <v>1743.8042620363108</v>
          </cell>
        </row>
        <row r="1397">
          <cell r="O1397">
            <v>1743.0149960536746</v>
          </cell>
        </row>
        <row r="1398">
          <cell r="O1398">
            <v>1723.2833464877713</v>
          </cell>
        </row>
        <row r="1399">
          <cell r="O1399">
            <v>1711.4443567482292</v>
          </cell>
        </row>
        <row r="1400">
          <cell r="O1400">
            <v>1711.4443567482292</v>
          </cell>
        </row>
        <row r="1401">
          <cell r="O1401">
            <v>1711.4443567482292</v>
          </cell>
        </row>
        <row r="1402">
          <cell r="O1402">
            <v>1724.3883188634618</v>
          </cell>
        </row>
        <row r="1403">
          <cell r="O1403">
            <v>1740.1736385161846</v>
          </cell>
        </row>
        <row r="1404">
          <cell r="O1404">
            <v>1687.9242304656716</v>
          </cell>
        </row>
        <row r="1405">
          <cell r="O1405">
            <v>1669.7711128650399</v>
          </cell>
        </row>
        <row r="1406">
          <cell r="O1406">
            <v>1685.872138910818</v>
          </cell>
        </row>
        <row r="1407">
          <cell r="O1407">
            <v>1685.872138910818</v>
          </cell>
        </row>
        <row r="1408">
          <cell r="O1408">
            <v>1685.872138910818</v>
          </cell>
        </row>
        <row r="1409">
          <cell r="O1409">
            <v>1643.7253354380478</v>
          </cell>
        </row>
        <row r="1410">
          <cell r="O1410">
            <v>1657.1428571428626</v>
          </cell>
        </row>
        <row r="1411">
          <cell r="O1411">
            <v>1651.6179952644093</v>
          </cell>
        </row>
        <row r="1412">
          <cell r="O1412">
            <v>1701.1838989739592</v>
          </cell>
        </row>
        <row r="1413">
          <cell r="O1413">
            <v>1704.6566692975582</v>
          </cell>
        </row>
        <row r="1414">
          <cell r="O1414">
            <v>1704.6566692975582</v>
          </cell>
        </row>
        <row r="1415">
          <cell r="O1415">
            <v>1704.6566692975582</v>
          </cell>
        </row>
        <row r="1416">
          <cell r="O1416">
            <v>1707.4980268350487</v>
          </cell>
        </row>
        <row r="1417">
          <cell r="O1417">
            <v>1731.176006314133</v>
          </cell>
        </row>
        <row r="1418">
          <cell r="O1418">
            <v>1761.325966850834</v>
          </cell>
        </row>
        <row r="1419">
          <cell r="O1419">
            <v>1741.1207576953484</v>
          </cell>
        </row>
        <row r="1420">
          <cell r="O1420">
            <v>1760.3788476716707</v>
          </cell>
        </row>
        <row r="1421">
          <cell r="O1421">
            <v>1760.3788476716707</v>
          </cell>
        </row>
        <row r="1422">
          <cell r="O1422">
            <v>1760.3788476716707</v>
          </cell>
        </row>
        <row r="1423">
          <cell r="O1423">
            <v>1725.9668508287346</v>
          </cell>
        </row>
        <row r="1424">
          <cell r="O1424">
            <v>1721.2312549329179</v>
          </cell>
        </row>
        <row r="1425">
          <cell r="O1425">
            <v>1755.1696921862726</v>
          </cell>
        </row>
        <row r="1426">
          <cell r="O1426">
            <v>1755.9589581689088</v>
          </cell>
        </row>
        <row r="1427">
          <cell r="O1427">
            <v>1790.2131018153177</v>
          </cell>
        </row>
        <row r="1428">
          <cell r="O1428">
            <v>1790.2131018153177</v>
          </cell>
        </row>
        <row r="1429">
          <cell r="O1429">
            <v>1790.2131018153177</v>
          </cell>
        </row>
        <row r="1430">
          <cell r="O1430">
            <v>1800.947119179169</v>
          </cell>
        </row>
        <row r="1431">
          <cell r="O1431">
            <v>1788.4767166535175</v>
          </cell>
        </row>
        <row r="1432">
          <cell r="O1432">
            <v>1809.1554853985847</v>
          </cell>
        </row>
        <row r="1433">
          <cell r="O1433">
            <v>1788.9502762430991</v>
          </cell>
        </row>
        <row r="1434">
          <cell r="O1434">
            <v>1769.0607734806681</v>
          </cell>
        </row>
        <row r="1435">
          <cell r="O1435">
            <v>1769.0607734806681</v>
          </cell>
        </row>
        <row r="1436">
          <cell r="O1436">
            <v>1769.0607734806681</v>
          </cell>
        </row>
        <row r="1437">
          <cell r="O1437">
            <v>1733.7016574585687</v>
          </cell>
        </row>
        <row r="1438">
          <cell r="O1438">
            <v>1755.0118389897448</v>
          </cell>
        </row>
        <row r="1439">
          <cell r="O1439">
            <v>1779.6369376479927</v>
          </cell>
        </row>
        <row r="1440">
          <cell r="O1440">
            <v>1777.269139700084</v>
          </cell>
        </row>
        <row r="1441">
          <cell r="O1441">
            <v>1747.1191791633833</v>
          </cell>
        </row>
        <row r="1442">
          <cell r="O1442">
            <v>1747.1191791633833</v>
          </cell>
        </row>
        <row r="1443">
          <cell r="O1443">
            <v>1747.1191791633833</v>
          </cell>
        </row>
        <row r="1444">
          <cell r="O1444">
            <v>1761.9573796369425</v>
          </cell>
        </row>
        <row r="1445">
          <cell r="O1445">
            <v>1790.0552486187894</v>
          </cell>
        </row>
        <row r="1446">
          <cell r="O1446">
            <v>1785.1617995264453</v>
          </cell>
        </row>
        <row r="1447">
          <cell r="O1447">
            <v>1800.4735595895866</v>
          </cell>
        </row>
        <row r="1448">
          <cell r="O1448">
            <v>1798.8950276243143</v>
          </cell>
        </row>
        <row r="1449">
          <cell r="O1449">
            <v>1798.8950276243143</v>
          </cell>
        </row>
        <row r="1450">
          <cell r="O1450">
            <v>1798.8950276243143</v>
          </cell>
        </row>
        <row r="1451">
          <cell r="O1451">
            <v>1773.7963693764848</v>
          </cell>
        </row>
        <row r="1452">
          <cell r="O1452">
            <v>1752.3283346487813</v>
          </cell>
        </row>
        <row r="1453">
          <cell r="O1453">
            <v>1770.4814522494125</v>
          </cell>
        </row>
        <row r="1454">
          <cell r="O1454">
            <v>1750.276243093927</v>
          </cell>
        </row>
        <row r="1455">
          <cell r="O1455">
            <v>1713.8121546961365</v>
          </cell>
        </row>
        <row r="1456">
          <cell r="O1456">
            <v>1713.8121546961365</v>
          </cell>
        </row>
        <row r="1457">
          <cell r="O1457">
            <v>1713.8121546961365</v>
          </cell>
        </row>
        <row r="1458">
          <cell r="O1458">
            <v>1710.497237569065</v>
          </cell>
        </row>
        <row r="1459">
          <cell r="O1459">
            <v>1726.5982636148419</v>
          </cell>
        </row>
        <row r="1460">
          <cell r="O1460">
            <v>1765.9037095501228</v>
          </cell>
        </row>
        <row r="1461">
          <cell r="O1461">
            <v>1776.0063141278656</v>
          </cell>
        </row>
        <row r="1462">
          <cell r="O1462">
            <v>1777.9005524861921</v>
          </cell>
        </row>
        <row r="1463">
          <cell r="O1463">
            <v>1777.9005524861921</v>
          </cell>
        </row>
        <row r="1464">
          <cell r="O1464">
            <v>1777.9005524861921</v>
          </cell>
        </row>
        <row r="1465">
          <cell r="O1465">
            <v>1790.8445146014246</v>
          </cell>
        </row>
        <row r="1466">
          <cell r="O1466">
            <v>1791.791633780588</v>
          </cell>
        </row>
        <row r="1467">
          <cell r="O1467">
            <v>1794.1594317284964</v>
          </cell>
        </row>
        <row r="1468">
          <cell r="O1468">
            <v>1776.4798737174467</v>
          </cell>
        </row>
        <row r="1469">
          <cell r="O1469">
            <v>1786.1089187056084</v>
          </cell>
        </row>
        <row r="1470">
          <cell r="O1470">
            <v>1786.1089187056084</v>
          </cell>
        </row>
        <row r="1471">
          <cell r="O1471">
            <v>1786.1089187056084</v>
          </cell>
        </row>
        <row r="1472">
          <cell r="O1472">
            <v>1783.7411207576999</v>
          </cell>
        </row>
        <row r="1473">
          <cell r="O1473">
            <v>1787.6874506708807</v>
          </cell>
        </row>
        <row r="1474">
          <cell r="O1474">
            <v>1797.0007892659874</v>
          </cell>
        </row>
        <row r="1475">
          <cell r="O1475">
            <v>1819.258089976327</v>
          </cell>
        </row>
        <row r="1476">
          <cell r="O1476">
            <v>1819.258089976327</v>
          </cell>
        </row>
        <row r="1477">
          <cell r="O1477">
            <v>1819.258089976327</v>
          </cell>
        </row>
        <row r="1478">
          <cell r="O1478">
            <v>1819.258089976327</v>
          </cell>
        </row>
        <row r="1479">
          <cell r="O1479">
            <v>1820.9944751381263</v>
          </cell>
        </row>
        <row r="1480">
          <cell r="O1480">
            <v>1811.6811365430199</v>
          </cell>
        </row>
        <row r="1481">
          <cell r="O1481">
            <v>1809.7868981846934</v>
          </cell>
        </row>
        <row r="1482">
          <cell r="O1482">
            <v>1782.7940015785371</v>
          </cell>
        </row>
        <row r="1483">
          <cell r="O1483">
            <v>1779.1633780584109</v>
          </cell>
        </row>
        <row r="1484">
          <cell r="O1484">
            <v>1779.1633780584109</v>
          </cell>
        </row>
        <row r="1485">
          <cell r="O1485">
            <v>1779.1633780584109</v>
          </cell>
        </row>
        <row r="1486">
          <cell r="O1486">
            <v>1788.0031570639355</v>
          </cell>
        </row>
        <row r="1487">
          <cell r="O1487">
            <v>1809.9447513812206</v>
          </cell>
        </row>
        <row r="1488">
          <cell r="O1488">
            <v>1800.9471191791686</v>
          </cell>
        </row>
        <row r="1489">
          <cell r="O1489">
            <v>1815.4696132596741</v>
          </cell>
        </row>
        <row r="1490">
          <cell r="O1490">
            <v>1859.8263614838256</v>
          </cell>
        </row>
        <row r="1491">
          <cell r="O1491">
            <v>1859.8263614838256</v>
          </cell>
        </row>
        <row r="1492">
          <cell r="O1492">
            <v>1859.8263614838256</v>
          </cell>
        </row>
        <row r="1493">
          <cell r="O1493">
            <v>1892.8176795580175</v>
          </cell>
        </row>
        <row r="1494">
          <cell r="O1494">
            <v>1886.3456985004009</v>
          </cell>
        </row>
        <row r="1495">
          <cell r="O1495">
            <v>1876.8745067087673</v>
          </cell>
        </row>
        <row r="1496">
          <cell r="O1496">
            <v>1862.9834254143711</v>
          </cell>
        </row>
        <row r="1497">
          <cell r="O1497">
            <v>1884.7671665351286</v>
          </cell>
        </row>
        <row r="1498">
          <cell r="O1498">
            <v>1884.7671665351286</v>
          </cell>
        </row>
        <row r="1499">
          <cell r="O1499">
            <v>1884.7671665351286</v>
          </cell>
        </row>
        <row r="1500">
          <cell r="O1500">
            <v>1891.5548539857991</v>
          </cell>
        </row>
        <row r="1501">
          <cell r="O1501">
            <v>1877.032359905294</v>
          </cell>
        </row>
        <row r="1502">
          <cell r="O1502">
            <v>1902.2888713496513</v>
          </cell>
        </row>
        <row r="1503">
          <cell r="O1503">
            <v>1896.7640094711983</v>
          </cell>
        </row>
        <row r="1504">
          <cell r="O1504">
            <v>1888.7134964483096</v>
          </cell>
        </row>
        <row r="1505">
          <cell r="O1505">
            <v>1888.7134964483096</v>
          </cell>
        </row>
        <row r="1506">
          <cell r="O1506">
            <v>1888.7134964483096</v>
          </cell>
        </row>
        <row r="1507">
          <cell r="O1507">
            <v>1910.9707971586495</v>
          </cell>
        </row>
        <row r="1508">
          <cell r="O1508">
            <v>1894.2383583267631</v>
          </cell>
        </row>
        <row r="1509">
          <cell r="O1509">
            <v>1890.1341752170551</v>
          </cell>
        </row>
        <row r="1510">
          <cell r="O1510">
            <v>1904.3409629045059</v>
          </cell>
        </row>
        <row r="1511">
          <cell r="O1511">
            <v>1914.7592738753028</v>
          </cell>
        </row>
        <row r="1512">
          <cell r="O1512">
            <v>1914.7592738753028</v>
          </cell>
        </row>
        <row r="1513">
          <cell r="O1513">
            <v>1914.7592738753028</v>
          </cell>
        </row>
        <row r="1514">
          <cell r="O1514">
            <v>1944.7513812154773</v>
          </cell>
        </row>
        <row r="1515">
          <cell r="O1515">
            <v>1944.7513812154773</v>
          </cell>
        </row>
        <row r="1516">
          <cell r="O1516">
            <v>1944.7513812154773</v>
          </cell>
        </row>
        <row r="1517">
          <cell r="O1517">
            <v>1944.7513812154773</v>
          </cell>
        </row>
        <row r="1518">
          <cell r="O1518">
            <v>1939.0686661404968</v>
          </cell>
        </row>
        <row r="1519">
          <cell r="O1519">
            <v>1939.0686661404968</v>
          </cell>
        </row>
        <row r="1520">
          <cell r="O1520">
            <v>1939.0686661404968</v>
          </cell>
        </row>
        <row r="1521">
          <cell r="O1521">
            <v>1972.217837411215</v>
          </cell>
        </row>
        <row r="1522">
          <cell r="O1522">
            <v>1980.7419100236857</v>
          </cell>
        </row>
        <row r="1523">
          <cell r="O1523">
            <v>1986.5824782951927</v>
          </cell>
        </row>
        <row r="1524">
          <cell r="O1524">
            <v>1987.8453038674111</v>
          </cell>
        </row>
        <row r="1525">
          <cell r="O1525">
            <v>2011.523283346495</v>
          </cell>
        </row>
        <row r="1526">
          <cell r="O1526">
            <v>2011.523283346495</v>
          </cell>
        </row>
        <row r="1527">
          <cell r="O1527">
            <v>2011.523283346495</v>
          </cell>
        </row>
        <row r="1528">
          <cell r="O1528">
            <v>2021.9415943172921</v>
          </cell>
        </row>
        <row r="1529">
          <cell r="O1529">
            <v>2000.631412786116</v>
          </cell>
        </row>
        <row r="1530">
          <cell r="O1530">
            <v>1981.5311760063209</v>
          </cell>
        </row>
        <row r="1531">
          <cell r="O1531">
            <v>2017.5217048145291</v>
          </cell>
        </row>
        <row r="1532">
          <cell r="O1532">
            <v>2038.3583267561239</v>
          </cell>
        </row>
        <row r="1533">
          <cell r="O1533">
            <v>2038.3583267561239</v>
          </cell>
        </row>
        <row r="1534">
          <cell r="O1534">
            <v>2038.3583267561239</v>
          </cell>
        </row>
        <row r="1535">
          <cell r="O1535">
            <v>2065.5090765588075</v>
          </cell>
        </row>
        <row r="1536">
          <cell r="O1536">
            <v>2065.5090765588075</v>
          </cell>
        </row>
        <row r="1537">
          <cell r="O1537">
            <v>2054.3014996053739</v>
          </cell>
        </row>
        <row r="1538">
          <cell r="O1538">
            <v>2061.7205998421541</v>
          </cell>
        </row>
        <row r="1539">
          <cell r="O1539">
            <v>2061.7205998421541</v>
          </cell>
        </row>
        <row r="1540">
          <cell r="O1540">
            <v>2061.7205998421541</v>
          </cell>
        </row>
        <row r="1541">
          <cell r="O1541">
            <v>2061.7205998421541</v>
          </cell>
        </row>
        <row r="1542">
          <cell r="O1542">
            <v>2053.827940015793</v>
          </cell>
        </row>
        <row r="1543">
          <cell r="O1543">
            <v>2039.6211523283423</v>
          </cell>
        </row>
        <row r="1544">
          <cell r="O1544">
            <v>2056.1957379637015</v>
          </cell>
        </row>
        <row r="1545">
          <cell r="O1545">
            <v>2032.5177584846167</v>
          </cell>
        </row>
        <row r="1546">
          <cell r="O1546">
            <v>2083.1886345698581</v>
          </cell>
        </row>
        <row r="1547">
          <cell r="O1547">
            <v>2083.1886345698581</v>
          </cell>
        </row>
        <row r="1548">
          <cell r="O1548">
            <v>2083.1886345698581</v>
          </cell>
        </row>
        <row r="1549">
          <cell r="O1549">
            <v>2075.2959747434966</v>
          </cell>
        </row>
        <row r="1550">
          <cell r="O1550">
            <v>2019.7316495659115</v>
          </cell>
        </row>
        <row r="1551">
          <cell r="O1551">
            <v>2023.2044198895101</v>
          </cell>
        </row>
        <row r="1552">
          <cell r="O1552">
            <v>1999.6842936069534</v>
          </cell>
        </row>
        <row r="1553">
          <cell r="O1553">
            <v>2001.8942383583337</v>
          </cell>
        </row>
        <row r="1554">
          <cell r="O1554">
            <v>2001.8942383583337</v>
          </cell>
        </row>
        <row r="1555">
          <cell r="O1555">
            <v>2001.8942383583337</v>
          </cell>
        </row>
        <row r="1556">
          <cell r="O1556">
            <v>2002.2099447513879</v>
          </cell>
        </row>
        <row r="1557">
          <cell r="O1557">
            <v>2002.6835043409696</v>
          </cell>
        </row>
        <row r="1558">
          <cell r="O1558">
            <v>1975.6906077348128</v>
          </cell>
        </row>
        <row r="1559">
          <cell r="O1559">
            <v>1954.2225730071095</v>
          </cell>
        </row>
        <row r="1560">
          <cell r="O1560">
            <v>1974.2699289660677</v>
          </cell>
        </row>
        <row r="1561">
          <cell r="O1561">
            <v>1974.2699289660677</v>
          </cell>
        </row>
        <row r="1562">
          <cell r="O1562">
            <v>1974.2699289660677</v>
          </cell>
        </row>
        <row r="1563">
          <cell r="O1563">
            <v>2000.315706393061</v>
          </cell>
        </row>
        <row r="1564">
          <cell r="O1564">
            <v>1959.4317284925087</v>
          </cell>
        </row>
        <row r="1565">
          <cell r="O1565">
            <v>1949.3291239147661</v>
          </cell>
        </row>
        <row r="1566">
          <cell r="O1566">
            <v>1969.6921862667796</v>
          </cell>
        </row>
        <row r="1567">
          <cell r="O1567">
            <v>2002.8413575374975</v>
          </cell>
        </row>
        <row r="1568">
          <cell r="O1568">
            <v>2002.8413575374975</v>
          </cell>
        </row>
        <row r="1569">
          <cell r="O1569">
            <v>2002.8413575374975</v>
          </cell>
        </row>
        <row r="1570">
          <cell r="O1570">
            <v>2008.2083662194232</v>
          </cell>
        </row>
        <row r="1571">
          <cell r="O1571">
            <v>2008.2083662194232</v>
          </cell>
        </row>
        <row r="1572">
          <cell r="O1572">
            <v>2018.1531176006386</v>
          </cell>
        </row>
        <row r="1573">
          <cell r="O1573">
            <v>2019.2580899763291</v>
          </cell>
        </row>
        <row r="1574">
          <cell r="O1574">
            <v>2027.4664561957447</v>
          </cell>
        </row>
        <row r="1575">
          <cell r="O1575">
            <v>2027.4664561957447</v>
          </cell>
        </row>
        <row r="1576">
          <cell r="O1576">
            <v>2027.4664561957447</v>
          </cell>
        </row>
        <row r="1577">
          <cell r="O1577">
            <v>2014.0489344909306</v>
          </cell>
        </row>
        <row r="1578">
          <cell r="O1578">
            <v>2008.5240726124775</v>
          </cell>
        </row>
        <row r="1579">
          <cell r="O1579">
            <v>2009.1554853985863</v>
          </cell>
        </row>
        <row r="1580">
          <cell r="O1580">
            <v>1946.1720599842213</v>
          </cell>
        </row>
        <row r="1581">
          <cell r="O1581">
            <v>1932.2809786898247</v>
          </cell>
        </row>
        <row r="1582">
          <cell r="O1582">
            <v>1932.2809786898247</v>
          </cell>
        </row>
        <row r="1583">
          <cell r="O1583">
            <v>1932.2809786898247</v>
          </cell>
        </row>
        <row r="1584">
          <cell r="O1584">
            <v>1890.4498816101088</v>
          </cell>
        </row>
        <row r="1585">
          <cell r="O1585">
            <v>1902.1310181531237</v>
          </cell>
        </row>
        <row r="1586">
          <cell r="O1586">
            <v>1910.8129439621214</v>
          </cell>
        </row>
        <row r="1587">
          <cell r="O1587">
            <v>1914.9171270718293</v>
          </cell>
        </row>
        <row r="1588">
          <cell r="O1588">
            <v>1915.7063930544655</v>
          </cell>
        </row>
        <row r="1589">
          <cell r="O1589">
            <v>1915.7063930544655</v>
          </cell>
        </row>
        <row r="1590">
          <cell r="O1590">
            <v>1915.7063930544655</v>
          </cell>
        </row>
        <row r="1591">
          <cell r="O1591">
            <v>1927.0718232044258</v>
          </cell>
        </row>
        <row r="1592">
          <cell r="O1592">
            <v>1924.5461720599901</v>
          </cell>
        </row>
        <row r="1593">
          <cell r="O1593">
            <v>1893.6069455406528</v>
          </cell>
        </row>
        <row r="1594">
          <cell r="O1594">
            <v>1868.3504340962963</v>
          </cell>
        </row>
        <row r="1595">
          <cell r="O1595">
            <v>1856.0378847671723</v>
          </cell>
        </row>
        <row r="1596">
          <cell r="O1596">
            <v>1856.0378847671723</v>
          </cell>
        </row>
        <row r="1597">
          <cell r="O1597">
            <v>1856.0378847671723</v>
          </cell>
        </row>
        <row r="1598">
          <cell r="O1598">
            <v>1869.9289660615691</v>
          </cell>
        </row>
        <row r="1599">
          <cell r="O1599">
            <v>1860.9313338595168</v>
          </cell>
        </row>
        <row r="1600">
          <cell r="O1600">
            <v>1893.449092344126</v>
          </cell>
        </row>
        <row r="1601">
          <cell r="O1601">
            <v>1893.449092344126</v>
          </cell>
        </row>
        <row r="1602">
          <cell r="O1602">
            <v>1914.1278610891936</v>
          </cell>
        </row>
        <row r="1603">
          <cell r="O1603">
            <v>1914.1278610891936</v>
          </cell>
        </row>
        <row r="1604">
          <cell r="O1604">
            <v>1914.1278610891936</v>
          </cell>
        </row>
        <row r="1605">
          <cell r="O1605">
            <v>1901.8153117600696</v>
          </cell>
        </row>
        <row r="1606">
          <cell r="O1606">
            <v>1900.5524861878519</v>
          </cell>
        </row>
        <row r="1607">
          <cell r="O1607">
            <v>1878.7687450670942</v>
          </cell>
        </row>
        <row r="1608">
          <cell r="O1608">
            <v>1873.5595895816955</v>
          </cell>
        </row>
        <row r="1609">
          <cell r="O1609">
            <v>1876.4009471191857</v>
          </cell>
        </row>
        <row r="1610">
          <cell r="O1610">
            <v>1876.4009471191857</v>
          </cell>
        </row>
        <row r="1611">
          <cell r="O1611">
            <v>1876.4009471191857</v>
          </cell>
        </row>
        <row r="1612">
          <cell r="O1612">
            <v>1888.7134964483093</v>
          </cell>
        </row>
        <row r="1613">
          <cell r="O1613">
            <v>1886.5035516969278</v>
          </cell>
        </row>
        <row r="1614">
          <cell r="O1614">
            <v>1895.5011838989797</v>
          </cell>
        </row>
        <row r="1615">
          <cell r="O1615">
            <v>1942.2257300710405</v>
          </cell>
        </row>
        <row r="1616">
          <cell r="O1616">
            <v>1941.9100236779857</v>
          </cell>
        </row>
        <row r="1617">
          <cell r="O1617">
            <v>1941.9100236779857</v>
          </cell>
        </row>
        <row r="1618">
          <cell r="O1618">
            <v>1941.9100236779857</v>
          </cell>
        </row>
        <row r="1619">
          <cell r="O1619">
            <v>1939.542225730077</v>
          </cell>
        </row>
        <row r="1620">
          <cell r="O1620">
            <v>1940.173638516186</v>
          </cell>
        </row>
        <row r="1621">
          <cell r="O1621">
            <v>1915.8642462509924</v>
          </cell>
        </row>
        <row r="1622">
          <cell r="O1622">
            <v>1921.0734017363911</v>
          </cell>
        </row>
        <row r="1623">
          <cell r="O1623">
            <v>1955.643251775854</v>
          </cell>
        </row>
        <row r="1624">
          <cell r="O1624">
            <v>1955.643251775854</v>
          </cell>
        </row>
        <row r="1625">
          <cell r="O1625">
            <v>1955.643251775854</v>
          </cell>
        </row>
        <row r="1626">
          <cell r="O1626">
            <v>1967.482241515396</v>
          </cell>
        </row>
        <row r="1627">
          <cell r="O1627">
            <v>1970.6393054459406</v>
          </cell>
        </row>
        <row r="1628">
          <cell r="O1628">
            <v>1971.5864246251044</v>
          </cell>
        </row>
        <row r="1629">
          <cell r="O1629">
            <v>1973.7963693764857</v>
          </cell>
        </row>
        <row r="1630">
          <cell r="O1630">
            <v>1984.2146803472824</v>
          </cell>
        </row>
        <row r="1631">
          <cell r="O1631">
            <v>1984.2146803472824</v>
          </cell>
        </row>
        <row r="1632">
          <cell r="O1632">
            <v>1984.2146803472824</v>
          </cell>
        </row>
        <row r="1633">
          <cell r="O1633">
            <v>1984.2146803472824</v>
          </cell>
        </row>
        <row r="1634">
          <cell r="O1634">
            <v>1969.8500394633043</v>
          </cell>
        </row>
        <row r="1635">
          <cell r="O1635">
            <v>1982.9518547750649</v>
          </cell>
        </row>
        <row r="1636">
          <cell r="O1636">
            <v>2008.2083662194214</v>
          </cell>
        </row>
        <row r="1637">
          <cell r="O1637">
            <v>2015.4696132596737</v>
          </cell>
        </row>
        <row r="1638">
          <cell r="O1638">
            <v>2015.4696132596737</v>
          </cell>
        </row>
        <row r="1639">
          <cell r="O1639">
            <v>2015.4696132596737</v>
          </cell>
        </row>
        <row r="1640">
          <cell r="O1640">
            <v>2014.9960536700917</v>
          </cell>
        </row>
        <row r="1641">
          <cell r="O1641">
            <v>2003.1570639305496</v>
          </cell>
        </row>
        <row r="1642">
          <cell r="O1642">
            <v>2040.5682715075031</v>
          </cell>
        </row>
        <row r="1643">
          <cell r="O1643">
            <v>2040.5682715075031</v>
          </cell>
        </row>
        <row r="1644">
          <cell r="O1644">
            <v>2041.5153906866669</v>
          </cell>
        </row>
        <row r="1645">
          <cell r="O1645">
            <v>2041.5153906866669</v>
          </cell>
        </row>
        <row r="1646">
          <cell r="O1646">
            <v>2041.5153906866669</v>
          </cell>
        </row>
        <row r="1647">
          <cell r="O1647">
            <v>2023.2044198895076</v>
          </cell>
        </row>
        <row r="1648">
          <cell r="O1648">
            <v>2015.1539068666191</v>
          </cell>
        </row>
        <row r="1649">
          <cell r="O1649">
            <v>2040.0947119179216</v>
          </cell>
        </row>
        <row r="1650">
          <cell r="O1650">
            <v>2058.2478295185529</v>
          </cell>
        </row>
        <row r="1651">
          <cell r="O1651">
            <v>2037.5690607734859</v>
          </cell>
        </row>
        <row r="1652">
          <cell r="O1652">
            <v>2037.5690607734859</v>
          </cell>
        </row>
        <row r="1653">
          <cell r="O1653">
            <v>2037.5690607734859</v>
          </cell>
        </row>
        <row r="1654">
          <cell r="O1654">
            <v>2011.8389897395471</v>
          </cell>
        </row>
        <row r="1655">
          <cell r="O1655">
            <v>2019.2580899763266</v>
          </cell>
        </row>
        <row r="1656">
          <cell r="O1656">
            <v>2026.9928966061607</v>
          </cell>
        </row>
        <row r="1657">
          <cell r="O1657">
            <v>2043.0939226519386</v>
          </cell>
        </row>
        <row r="1658">
          <cell r="O1658">
            <v>2061.404893449097</v>
          </cell>
        </row>
        <row r="1659">
          <cell r="O1659">
            <v>2061.404893449097</v>
          </cell>
        </row>
        <row r="1660">
          <cell r="O1660">
            <v>2061.404893449097</v>
          </cell>
        </row>
        <row r="1661">
          <cell r="O1661">
            <v>2067.087608524077</v>
          </cell>
        </row>
        <row r="1662">
          <cell r="O1662">
            <v>2060.6156274664609</v>
          </cell>
        </row>
        <row r="1663">
          <cell r="O1663">
            <v>2062.352012628261</v>
          </cell>
        </row>
        <row r="1664">
          <cell r="O1664">
            <v>2079.2423046566737</v>
          </cell>
        </row>
        <row r="1665">
          <cell r="O1665">
            <v>2072.2967640094762</v>
          </cell>
        </row>
        <row r="1666">
          <cell r="O1666">
            <v>2072.2967640094762</v>
          </cell>
        </row>
        <row r="1667">
          <cell r="O1667">
            <v>2072.2967640094762</v>
          </cell>
        </row>
        <row r="1668">
          <cell r="O1668">
            <v>2113.3385951065557</v>
          </cell>
        </row>
        <row r="1669">
          <cell r="O1669">
            <v>2119.3370165745901</v>
          </cell>
        </row>
        <row r="1670">
          <cell r="O1670">
            <v>2134.9644830307857</v>
          </cell>
        </row>
        <row r="1671">
          <cell r="O1671">
            <v>2162.2730860299966</v>
          </cell>
        </row>
        <row r="1672">
          <cell r="O1672">
            <v>2154.3804262036356</v>
          </cell>
        </row>
        <row r="1673">
          <cell r="O1673">
            <v>2154.3804262036356</v>
          </cell>
        </row>
        <row r="1674">
          <cell r="O1674">
            <v>2154.3804262036356</v>
          </cell>
        </row>
        <row r="1675">
          <cell r="O1675">
            <v>2159.1160220994525</v>
          </cell>
        </row>
        <row r="1676">
          <cell r="O1676">
            <v>2188.7924230465715</v>
          </cell>
        </row>
        <row r="1677">
          <cell r="O1677">
            <v>2187.3717442778266</v>
          </cell>
        </row>
        <row r="1678">
          <cell r="O1678">
            <v>2188.1610102604632</v>
          </cell>
        </row>
        <row r="1679">
          <cell r="O1679">
            <v>2184.2146803472824</v>
          </cell>
        </row>
        <row r="1680">
          <cell r="O1680">
            <v>2184.2146803472824</v>
          </cell>
        </row>
        <row r="1681">
          <cell r="O1681">
            <v>2184.2146803472824</v>
          </cell>
        </row>
        <row r="1682">
          <cell r="O1682">
            <v>2218.6266771902187</v>
          </cell>
        </row>
        <row r="1683">
          <cell r="O1683">
            <v>2218.3109707971644</v>
          </cell>
        </row>
        <row r="1684">
          <cell r="O1684">
            <v>2221.4680347277085</v>
          </cell>
        </row>
        <row r="1685">
          <cell r="O1685">
            <v>2247.513812154702</v>
          </cell>
        </row>
        <row r="1686">
          <cell r="O1686">
            <v>2262.352012628261</v>
          </cell>
        </row>
        <row r="1687">
          <cell r="O1687">
            <v>2262.352012628261</v>
          </cell>
        </row>
        <row r="1688">
          <cell r="O1688">
            <v>2262.352012628261</v>
          </cell>
        </row>
        <row r="1689">
          <cell r="O1689">
            <v>2272.4546172060036</v>
          </cell>
        </row>
        <row r="1690">
          <cell r="O1690">
            <v>2277.8216258879293</v>
          </cell>
        </row>
        <row r="1691">
          <cell r="O1691">
            <v>2276.4009471191844</v>
          </cell>
        </row>
        <row r="1692">
          <cell r="O1692">
            <v>2265.5090765588052</v>
          </cell>
        </row>
        <row r="1693">
          <cell r="O1693">
            <v>2220.9944751381258</v>
          </cell>
        </row>
        <row r="1694">
          <cell r="O1694">
            <v>2220.9944751381258</v>
          </cell>
        </row>
        <row r="1695">
          <cell r="O1695">
            <v>2220.9944751381258</v>
          </cell>
        </row>
        <row r="1696">
          <cell r="O1696">
            <v>2217.6795580110543</v>
          </cell>
        </row>
        <row r="1697">
          <cell r="O1697">
            <v>2243.2517758484646</v>
          </cell>
        </row>
        <row r="1698">
          <cell r="O1698">
            <v>2252.565114443571</v>
          </cell>
        </row>
        <row r="1699">
          <cell r="O1699">
            <v>2294.3962115232862</v>
          </cell>
        </row>
        <row r="1700">
          <cell r="O1700">
            <v>2305.2880820836654</v>
          </cell>
        </row>
        <row r="1701">
          <cell r="O1701">
            <v>2305.2880820836654</v>
          </cell>
        </row>
        <row r="1702">
          <cell r="O1702">
            <v>2305.2880820836654</v>
          </cell>
        </row>
        <row r="1703">
          <cell r="O1703">
            <v>2305.2880820836654</v>
          </cell>
        </row>
        <row r="1704">
          <cell r="O1704">
            <v>2277.8216258879274</v>
          </cell>
        </row>
        <row r="1705">
          <cell r="O1705">
            <v>2271.0339384372564</v>
          </cell>
        </row>
        <row r="1706">
          <cell r="O1706">
            <v>2228.2557221783768</v>
          </cell>
        </row>
        <row r="1707">
          <cell r="O1707">
            <v>2220.6787687450701</v>
          </cell>
        </row>
        <row r="1708">
          <cell r="O1708">
            <v>2220.6787687450701</v>
          </cell>
        </row>
        <row r="1709">
          <cell r="O1709">
            <v>2220.6787687450701</v>
          </cell>
        </row>
        <row r="1710">
          <cell r="O1710">
            <v>2279.4001578532002</v>
          </cell>
        </row>
        <row r="1711">
          <cell r="O1711">
            <v>2277.3480662983461</v>
          </cell>
        </row>
        <row r="1712">
          <cell r="O1712">
            <v>2229.992107340177</v>
          </cell>
        </row>
        <row r="1713">
          <cell r="O1713">
            <v>2237.5690607734846</v>
          </cell>
        </row>
        <row r="1714">
          <cell r="O1714">
            <v>2215.6274664561997</v>
          </cell>
        </row>
        <row r="1715">
          <cell r="O1715">
            <v>2215.6274664561997</v>
          </cell>
        </row>
        <row r="1716">
          <cell r="O1716">
            <v>2215.6274664561997</v>
          </cell>
        </row>
        <row r="1717">
          <cell r="O1717">
            <v>2169.2186266771937</v>
          </cell>
        </row>
        <row r="1718">
          <cell r="O1718">
            <v>2189.1081294396245</v>
          </cell>
        </row>
        <row r="1719">
          <cell r="O1719">
            <v>2211.3654301499637</v>
          </cell>
        </row>
        <row r="1720">
          <cell r="O1720">
            <v>2259.3528018942416</v>
          </cell>
        </row>
        <row r="1721">
          <cell r="O1721">
            <v>2277.8216258879274</v>
          </cell>
        </row>
        <row r="1722">
          <cell r="O1722">
            <v>2277.8216258879274</v>
          </cell>
        </row>
        <row r="1723">
          <cell r="O1723">
            <v>2277.8216258879274</v>
          </cell>
        </row>
        <row r="1724">
          <cell r="O1724">
            <v>2274.0331491712736</v>
          </cell>
        </row>
        <row r="1725">
          <cell r="O1725">
            <v>2292.1862667719056</v>
          </cell>
        </row>
        <row r="1726">
          <cell r="O1726">
            <v>2335.4380426203661</v>
          </cell>
        </row>
        <row r="1727">
          <cell r="O1727">
            <v>2342.699289660618</v>
          </cell>
        </row>
        <row r="1728">
          <cell r="O1728">
            <v>2357.3796369376505</v>
          </cell>
        </row>
        <row r="1729">
          <cell r="O1729">
            <v>2357.3796369376505</v>
          </cell>
        </row>
        <row r="1730">
          <cell r="O1730">
            <v>2357.3796369376505</v>
          </cell>
        </row>
        <row r="1731">
          <cell r="O1731">
            <v>2369.8500394633015</v>
          </cell>
        </row>
        <row r="1732">
          <cell r="O1732">
            <v>2372.3756906077374</v>
          </cell>
        </row>
        <row r="1733">
          <cell r="O1733">
            <v>2399.8421468034753</v>
          </cell>
        </row>
        <row r="1734">
          <cell r="O1734">
            <v>2399.2107340173661</v>
          </cell>
        </row>
        <row r="1735">
          <cell r="O1735">
            <v>2408.0505130228912</v>
          </cell>
        </row>
        <row r="1736">
          <cell r="O1736">
            <v>2408.0505130228912</v>
          </cell>
        </row>
        <row r="1737">
          <cell r="O1737">
            <v>2408.0505130228912</v>
          </cell>
        </row>
        <row r="1738">
          <cell r="O1738">
            <v>2408.0505130228912</v>
          </cell>
        </row>
        <row r="1739">
          <cell r="O1739">
            <v>2441.8310970797183</v>
          </cell>
        </row>
        <row r="1740">
          <cell r="O1740">
            <v>2452.0915548539888</v>
          </cell>
        </row>
        <row r="1741">
          <cell r="O1741">
            <v>2457.9321231254962</v>
          </cell>
        </row>
        <row r="1742">
          <cell r="O1742">
            <v>2405.5248618784553</v>
          </cell>
        </row>
        <row r="1743">
          <cell r="O1743">
            <v>2405.5248618784553</v>
          </cell>
        </row>
        <row r="1744">
          <cell r="O1744">
            <v>2405.5248618784553</v>
          </cell>
        </row>
        <row r="1745">
          <cell r="O1745">
            <v>2468.6661404893466</v>
          </cell>
        </row>
        <row r="1746">
          <cell r="O1746">
            <v>2470.7182320442012</v>
          </cell>
        </row>
        <row r="1747">
          <cell r="O1747">
            <v>2507.9715864246273</v>
          </cell>
        </row>
        <row r="1748">
          <cell r="O1748">
            <v>2510.8129439621175</v>
          </cell>
        </row>
        <row r="1749">
          <cell r="O1749">
            <v>2486.9771112865055</v>
          </cell>
        </row>
        <row r="1750">
          <cell r="O1750">
            <v>2486.9771112865055</v>
          </cell>
        </row>
        <row r="1751">
          <cell r="O1751">
            <v>2486.9771112865055</v>
          </cell>
        </row>
        <row r="1752">
          <cell r="O1752">
            <v>2486.9771112865055</v>
          </cell>
        </row>
        <row r="1753">
          <cell r="O1753">
            <v>2532.438831886348</v>
          </cell>
        </row>
        <row r="1754">
          <cell r="O1754">
            <v>2495.6590370955032</v>
          </cell>
        </row>
        <row r="1755">
          <cell r="O1755">
            <v>2441.1996842936092</v>
          </cell>
        </row>
        <row r="1756">
          <cell r="O1756">
            <v>2437.2533543804284</v>
          </cell>
        </row>
        <row r="1757">
          <cell r="O1757">
            <v>2437.2533543804284</v>
          </cell>
        </row>
        <row r="1758">
          <cell r="O1758">
            <v>2437.2533543804284</v>
          </cell>
        </row>
        <row r="1759">
          <cell r="O1759">
            <v>2491.2391475927411</v>
          </cell>
        </row>
        <row r="1760">
          <cell r="O1760">
            <v>2526.5982636148406</v>
          </cell>
        </row>
        <row r="1761">
          <cell r="O1761">
            <v>2467.7190213101844</v>
          </cell>
        </row>
        <row r="1762">
          <cell r="O1762">
            <v>2412.7861089187081</v>
          </cell>
        </row>
        <row r="1763">
          <cell r="O1763">
            <v>2406.9455406472007</v>
          </cell>
        </row>
        <row r="1764">
          <cell r="O1764">
            <v>2406.9455406472007</v>
          </cell>
        </row>
        <row r="1765">
          <cell r="O1765">
            <v>2406.9455406472007</v>
          </cell>
        </row>
        <row r="1766">
          <cell r="O1766">
            <v>2381.2154696132625</v>
          </cell>
        </row>
        <row r="1767">
          <cell r="O1767">
            <v>2403.4727703236017</v>
          </cell>
        </row>
        <row r="1768">
          <cell r="O1768">
            <v>2337.963693764802</v>
          </cell>
        </row>
        <row r="1769">
          <cell r="O1769">
            <v>2358.4846093133415</v>
          </cell>
        </row>
        <row r="1770">
          <cell r="O1770">
            <v>2402.8413575374925</v>
          </cell>
        </row>
        <row r="1771">
          <cell r="O1771">
            <v>2402.8413575374925</v>
          </cell>
        </row>
        <row r="1772">
          <cell r="O1772">
            <v>2402.8413575374925</v>
          </cell>
        </row>
        <row r="1773">
          <cell r="O1773">
            <v>2403.6306235201296</v>
          </cell>
        </row>
        <row r="1774">
          <cell r="O1774">
            <v>2395.5801104972411</v>
          </cell>
        </row>
        <row r="1775">
          <cell r="O1775">
            <v>2390.6866614048968</v>
          </cell>
        </row>
        <row r="1776">
          <cell r="O1776">
            <v>2365.9037095501217</v>
          </cell>
        </row>
        <row r="1777">
          <cell r="O1777">
            <v>2313.3385951065547</v>
          </cell>
        </row>
        <row r="1778">
          <cell r="O1778">
            <v>2313.3385951065547</v>
          </cell>
        </row>
        <row r="1779">
          <cell r="O1779">
            <v>2313.3385951065547</v>
          </cell>
        </row>
        <row r="1780">
          <cell r="O1780">
            <v>2349.4869771112903</v>
          </cell>
        </row>
        <row r="1781">
          <cell r="O1781">
            <v>2414.8382004735631</v>
          </cell>
        </row>
        <row r="1782">
          <cell r="O1782">
            <v>2456.1957379636974</v>
          </cell>
        </row>
        <row r="1783">
          <cell r="O1783">
            <v>2476.5588003157104</v>
          </cell>
        </row>
        <row r="1784">
          <cell r="O1784">
            <v>2482.7150749802731</v>
          </cell>
        </row>
        <row r="1785">
          <cell r="O1785">
            <v>2482.7150749802731</v>
          </cell>
        </row>
        <row r="1786">
          <cell r="O1786">
            <v>2482.7150749802731</v>
          </cell>
        </row>
        <row r="1787">
          <cell r="O1787">
            <v>2474.3488555643298</v>
          </cell>
        </row>
        <row r="1788">
          <cell r="O1788">
            <v>2489.6606156274711</v>
          </cell>
        </row>
        <row r="1789">
          <cell r="O1789">
            <v>2492.02841357538</v>
          </cell>
        </row>
        <row r="1790">
          <cell r="O1790">
            <v>2504.9723756906128</v>
          </cell>
        </row>
        <row r="1791">
          <cell r="O1791">
            <v>2554.2225730071077</v>
          </cell>
        </row>
        <row r="1792">
          <cell r="O1792">
            <v>2554.2225730071077</v>
          </cell>
        </row>
        <row r="1793">
          <cell r="O1793">
            <v>2554.2225730071077</v>
          </cell>
        </row>
        <row r="1794">
          <cell r="O1794">
            <v>2557.5374901341793</v>
          </cell>
        </row>
        <row r="1795">
          <cell r="O1795">
            <v>2549.171270718236</v>
          </cell>
        </row>
        <row r="1796">
          <cell r="O1796">
            <v>2576.7955801105009</v>
          </cell>
        </row>
        <row r="1797">
          <cell r="O1797">
            <v>2579.0055248618814</v>
          </cell>
        </row>
        <row r="1798">
          <cell r="O1798">
            <v>2584.6882399368624</v>
          </cell>
        </row>
        <row r="1799">
          <cell r="O1799">
            <v>2584.6882399368624</v>
          </cell>
        </row>
        <row r="1800">
          <cell r="O1800">
            <v>2584.6882399368624</v>
          </cell>
        </row>
        <row r="1801">
          <cell r="O1801">
            <v>2574.5856353591194</v>
          </cell>
        </row>
        <row r="1802">
          <cell r="O1802">
            <v>2520.5998421468066</v>
          </cell>
        </row>
        <row r="1803">
          <cell r="O1803">
            <v>2596.2115232833498</v>
          </cell>
        </row>
        <row r="1804">
          <cell r="O1804">
            <v>2613.4175217048182</v>
          </cell>
        </row>
        <row r="1805">
          <cell r="O1805">
            <v>2612.6282557221821</v>
          </cell>
        </row>
        <row r="1806">
          <cell r="O1806">
            <v>2612.6282557221821</v>
          </cell>
        </row>
        <row r="1807">
          <cell r="O1807">
            <v>2612.6282557221821</v>
          </cell>
        </row>
        <row r="1808">
          <cell r="O1808">
            <v>2612.7861089187099</v>
          </cell>
        </row>
        <row r="1809">
          <cell r="O1809">
            <v>2584.0568271507536</v>
          </cell>
        </row>
        <row r="1810">
          <cell r="O1810">
            <v>2619.57379636938</v>
          </cell>
        </row>
        <row r="1811">
          <cell r="O1811">
            <v>2635.6748224151575</v>
          </cell>
        </row>
        <row r="1812">
          <cell r="O1812">
            <v>2644.9881610102643</v>
          </cell>
        </row>
        <row r="1813">
          <cell r="O1813">
            <v>2644.9881610102643</v>
          </cell>
        </row>
        <row r="1814">
          <cell r="O1814">
            <v>2644.9881610102643</v>
          </cell>
        </row>
        <row r="1815">
          <cell r="O1815">
            <v>2655.5643251775882</v>
          </cell>
        </row>
        <row r="1816">
          <cell r="O1816">
            <v>2671.5074980268382</v>
          </cell>
        </row>
        <row r="1817">
          <cell r="O1817">
            <v>2686.8192580899795</v>
          </cell>
        </row>
        <row r="1818">
          <cell r="O1818">
            <v>2685.5564325177611</v>
          </cell>
        </row>
        <row r="1819">
          <cell r="O1819">
            <v>2670.2446724546198</v>
          </cell>
        </row>
        <row r="1820">
          <cell r="O1820">
            <v>2670.2446724546198</v>
          </cell>
        </row>
        <row r="1821">
          <cell r="O1821">
            <v>2670.2446724546198</v>
          </cell>
        </row>
        <row r="1822">
          <cell r="O1822">
            <v>2704.8145224940827</v>
          </cell>
        </row>
        <row r="1823">
          <cell r="O1823">
            <v>2709.5501183899005</v>
          </cell>
        </row>
        <row r="1824">
          <cell r="O1824">
            <v>2701.657458563539</v>
          </cell>
        </row>
        <row r="1825">
          <cell r="O1825">
            <v>2708.1294396211551</v>
          </cell>
        </row>
        <row r="1826">
          <cell r="O1826">
            <v>2674.8224151539098</v>
          </cell>
        </row>
        <row r="1827">
          <cell r="O1827">
            <v>2674.8224151539098</v>
          </cell>
        </row>
        <row r="1828">
          <cell r="O1828">
            <v>2674.8224151539098</v>
          </cell>
        </row>
        <row r="1829">
          <cell r="O1829">
            <v>2713.6543014996078</v>
          </cell>
        </row>
        <row r="1830">
          <cell r="O1830">
            <v>2715.8642462509897</v>
          </cell>
        </row>
        <row r="1831">
          <cell r="O1831">
            <v>2745.8563535911635</v>
          </cell>
        </row>
        <row r="1832">
          <cell r="O1832">
            <v>2744.9092344119999</v>
          </cell>
        </row>
        <row r="1833">
          <cell r="O1833">
            <v>2764.1673243883229</v>
          </cell>
        </row>
        <row r="1834">
          <cell r="O1834">
            <v>2764.1673243883229</v>
          </cell>
        </row>
        <row r="1835">
          <cell r="O1835">
            <v>2764.1673243883229</v>
          </cell>
        </row>
        <row r="1836">
          <cell r="O1836">
            <v>2782.4782951854822</v>
          </cell>
        </row>
        <row r="1837">
          <cell r="O1837">
            <v>2797.1586424625143</v>
          </cell>
        </row>
        <row r="1838">
          <cell r="O1838">
            <v>2780.7419100236825</v>
          </cell>
        </row>
        <row r="1839">
          <cell r="O1839">
            <v>2800.7892659826416</v>
          </cell>
        </row>
        <row r="1840">
          <cell r="O1840">
            <v>2800.7892659826416</v>
          </cell>
        </row>
        <row r="1841">
          <cell r="O1841">
            <v>2800.7892659826416</v>
          </cell>
        </row>
        <row r="1842">
          <cell r="O1842">
            <v>2800.7892659826416</v>
          </cell>
        </row>
        <row r="1843">
          <cell r="O1843">
            <v>2814.3646408839822</v>
          </cell>
        </row>
        <row r="1844">
          <cell r="O1844">
            <v>2822.5730071033977</v>
          </cell>
        </row>
        <row r="1845">
          <cell r="O1845">
            <v>2839.9368587213921</v>
          </cell>
        </row>
        <row r="1846">
          <cell r="O1846">
            <v>2822.7308602999237</v>
          </cell>
        </row>
        <row r="1847">
          <cell r="O1847">
            <v>2855.0907655880064</v>
          </cell>
        </row>
        <row r="1848">
          <cell r="O1848">
            <v>2855.0907655880064</v>
          </cell>
        </row>
        <row r="1849">
          <cell r="O1849">
            <v>2855.0907655880064</v>
          </cell>
        </row>
        <row r="1850">
          <cell r="O1850">
            <v>2846.0931333859544</v>
          </cell>
        </row>
        <row r="1851">
          <cell r="O1851">
            <v>2825.2565114443591</v>
          </cell>
        </row>
        <row r="1852">
          <cell r="O1852">
            <v>2820.3630623520157</v>
          </cell>
        </row>
        <row r="1853">
          <cell r="O1853">
            <v>2835.8326756116844</v>
          </cell>
        </row>
        <row r="1854">
          <cell r="O1854">
            <v>2868.3504340962936</v>
          </cell>
        </row>
        <row r="1855">
          <cell r="O1855">
            <v>2868.3504340962936</v>
          </cell>
        </row>
        <row r="1856">
          <cell r="O1856">
            <v>2868.3504340962936</v>
          </cell>
        </row>
        <row r="1857">
          <cell r="O1857">
            <v>2879.084451460144</v>
          </cell>
        </row>
        <row r="1858">
          <cell r="O1858">
            <v>2814.0489344909256</v>
          </cell>
        </row>
        <row r="1859">
          <cell r="O1859">
            <v>2743.6464088397811</v>
          </cell>
        </row>
        <row r="1860">
          <cell r="O1860">
            <v>2761.3259668508308</v>
          </cell>
        </row>
        <row r="1861">
          <cell r="O1861">
            <v>2692.9755327545404</v>
          </cell>
        </row>
        <row r="1862">
          <cell r="O1862">
            <v>2692.9755327545404</v>
          </cell>
        </row>
        <row r="1863">
          <cell r="O1863">
            <v>2692.9755327545404</v>
          </cell>
        </row>
        <row r="1864">
          <cell r="O1864">
            <v>2652.5651144435692</v>
          </cell>
        </row>
        <row r="1865">
          <cell r="O1865">
            <v>2711.7600631412806</v>
          </cell>
        </row>
        <row r="1866">
          <cell r="O1866">
            <v>2739.0686661404925</v>
          </cell>
        </row>
        <row r="1867">
          <cell r="O1867">
            <v>2757.8531965272327</v>
          </cell>
        </row>
        <row r="1868">
          <cell r="O1868">
            <v>2819.8895027624339</v>
          </cell>
        </row>
        <row r="1869">
          <cell r="O1869">
            <v>2819.8895027624339</v>
          </cell>
        </row>
        <row r="1870">
          <cell r="O1870">
            <v>2819.8895027624339</v>
          </cell>
        </row>
        <row r="1871">
          <cell r="O1871">
            <v>2819.8895027624339</v>
          </cell>
        </row>
        <row r="1872">
          <cell r="O1872">
            <v>2851.6179952644075</v>
          </cell>
        </row>
        <row r="1873">
          <cell r="O1873">
            <v>2810.8918705603814</v>
          </cell>
        </row>
        <row r="1874">
          <cell r="O1874">
            <v>2808.524072612473</v>
          </cell>
        </row>
        <row r="1875">
          <cell r="O1875">
            <v>2725.6511444356775</v>
          </cell>
        </row>
        <row r="1876">
          <cell r="O1876">
            <v>2725.6511444356775</v>
          </cell>
        </row>
        <row r="1877">
          <cell r="O1877">
            <v>2725.6511444356775</v>
          </cell>
        </row>
        <row r="1878">
          <cell r="O1878">
            <v>2741.2786108918731</v>
          </cell>
        </row>
        <row r="1879">
          <cell r="O1879">
            <v>2721.2312549329145</v>
          </cell>
        </row>
        <row r="1880">
          <cell r="O1880">
            <v>2674.6645619573815</v>
          </cell>
        </row>
        <row r="1881">
          <cell r="O1881">
            <v>2698.1846882399386</v>
          </cell>
        </row>
        <row r="1882">
          <cell r="O1882">
            <v>2725.8089976322044</v>
          </cell>
        </row>
        <row r="1883">
          <cell r="O1883">
            <v>2725.8089976322044</v>
          </cell>
        </row>
        <row r="1884">
          <cell r="O1884">
            <v>2725.8089976322044</v>
          </cell>
        </row>
        <row r="1885">
          <cell r="O1885">
            <v>2693.1333859510678</v>
          </cell>
        </row>
        <row r="1886">
          <cell r="O1886">
            <v>2709.5501183898987</v>
          </cell>
        </row>
        <row r="1887">
          <cell r="O1887">
            <v>2656.8271507498039</v>
          </cell>
        </row>
        <row r="1888">
          <cell r="O1888">
            <v>2680.3472770323615</v>
          </cell>
        </row>
        <row r="1889">
          <cell r="O1889">
            <v>2721.3891081294419</v>
          </cell>
        </row>
        <row r="1890">
          <cell r="O1890">
            <v>2721.3891081294419</v>
          </cell>
        </row>
        <row r="1891">
          <cell r="O1891">
            <v>2721.3891081294419</v>
          </cell>
        </row>
        <row r="1892">
          <cell r="O1892">
            <v>2751.0655090765608</v>
          </cell>
        </row>
        <row r="1893">
          <cell r="O1893">
            <v>2747.277032359907</v>
          </cell>
        </row>
        <row r="1894">
          <cell r="O1894">
            <v>2734.9644830307834</v>
          </cell>
        </row>
        <row r="1895">
          <cell r="O1895">
            <v>2781.0576164167355</v>
          </cell>
        </row>
        <row r="1896">
          <cell r="O1896">
            <v>2793.3701657458596</v>
          </cell>
        </row>
        <row r="1897">
          <cell r="O1897">
            <v>2793.3701657458596</v>
          </cell>
        </row>
        <row r="1898">
          <cell r="O1898">
            <v>2793.3701657458596</v>
          </cell>
        </row>
        <row r="1899">
          <cell r="O1899">
            <v>2811.3654301499632</v>
          </cell>
        </row>
        <row r="1900">
          <cell r="O1900">
            <v>2801.1049723756928</v>
          </cell>
        </row>
        <row r="1901">
          <cell r="O1901">
            <v>2801.1049723756928</v>
          </cell>
        </row>
        <row r="1902">
          <cell r="O1902">
            <v>2791.633780584059</v>
          </cell>
        </row>
        <row r="1903">
          <cell r="O1903">
            <v>2709.8658247829544</v>
          </cell>
        </row>
        <row r="1904">
          <cell r="O1904">
            <v>2709.8658247829544</v>
          </cell>
        </row>
        <row r="1905">
          <cell r="O1905">
            <v>2709.8658247829544</v>
          </cell>
        </row>
        <row r="1906">
          <cell r="O1906">
            <v>2744.4356748224182</v>
          </cell>
        </row>
        <row r="1907">
          <cell r="O1907">
            <v>2685.5564325177606</v>
          </cell>
        </row>
        <row r="1908">
          <cell r="O1908">
            <v>2679.7158642462537</v>
          </cell>
        </row>
        <row r="1909">
          <cell r="O1909">
            <v>2670.4025256511472</v>
          </cell>
        </row>
        <row r="1910">
          <cell r="O1910">
            <v>2689.3449092344154</v>
          </cell>
        </row>
        <row r="1911">
          <cell r="O1911">
            <v>2689.3449092344154</v>
          </cell>
        </row>
        <row r="1912">
          <cell r="O1912">
            <v>2689.3449092344154</v>
          </cell>
        </row>
        <row r="1913">
          <cell r="O1913">
            <v>2728.0189423835864</v>
          </cell>
        </row>
        <row r="1914">
          <cell r="O1914">
            <v>2700.8681925809024</v>
          </cell>
        </row>
        <row r="1915">
          <cell r="O1915">
            <v>2719.4948697711152</v>
          </cell>
        </row>
        <row r="1916">
          <cell r="O1916">
            <v>2725.4932912391496</v>
          </cell>
        </row>
        <row r="1917">
          <cell r="O1917">
            <v>2738.4372533543824</v>
          </cell>
        </row>
        <row r="1918">
          <cell r="O1918">
            <v>2738.4372533543824</v>
          </cell>
        </row>
        <row r="1919">
          <cell r="O1919">
            <v>2738.4372533543824</v>
          </cell>
        </row>
        <row r="1920">
          <cell r="O1920">
            <v>2750.7498026835065</v>
          </cell>
        </row>
        <row r="1921">
          <cell r="O1921">
            <v>2728.8082083662216</v>
          </cell>
        </row>
        <row r="1922">
          <cell r="O1922">
            <v>2672.1389108129461</v>
          </cell>
        </row>
        <row r="1923">
          <cell r="O1923">
            <v>2678.4530386740357</v>
          </cell>
        </row>
        <row r="1924">
          <cell r="O1924">
            <v>2697.079715864249</v>
          </cell>
        </row>
        <row r="1925">
          <cell r="O1925">
            <v>2697.079715864249</v>
          </cell>
        </row>
        <row r="1926">
          <cell r="O1926">
            <v>2697.079715864249</v>
          </cell>
        </row>
        <row r="1927">
          <cell r="O1927">
            <v>2722.0205209155502</v>
          </cell>
        </row>
        <row r="1928">
          <cell r="O1928">
            <v>2727.2296764009498</v>
          </cell>
        </row>
        <row r="1929">
          <cell r="O1929">
            <v>2730.2288871349665</v>
          </cell>
        </row>
        <row r="1930">
          <cell r="O1930">
            <v>2740.489344909236</v>
          </cell>
        </row>
        <row r="1931">
          <cell r="O1931">
            <v>2781.5311760063155</v>
          </cell>
        </row>
        <row r="1932">
          <cell r="O1932">
            <v>2781.5311760063155</v>
          </cell>
        </row>
        <row r="1933">
          <cell r="O1933">
            <v>2781.5311760063155</v>
          </cell>
        </row>
        <row r="1934">
          <cell r="O1934">
            <v>2823.8358326756124</v>
          </cell>
        </row>
        <row r="1935">
          <cell r="O1935">
            <v>2837.7269139700093</v>
          </cell>
        </row>
        <row r="1936">
          <cell r="O1936">
            <v>2840.883977900553</v>
          </cell>
        </row>
        <row r="1937">
          <cell r="O1937">
            <v>2858.7213891081301</v>
          </cell>
        </row>
        <row r="1938">
          <cell r="O1938">
            <v>2872.454617206</v>
          </cell>
        </row>
        <row r="1939">
          <cell r="O1939">
            <v>2872.454617206</v>
          </cell>
        </row>
        <row r="1940">
          <cell r="O1940">
            <v>2872.454617206</v>
          </cell>
        </row>
        <row r="1941">
          <cell r="O1941">
            <v>2862.0363062352026</v>
          </cell>
        </row>
        <row r="1942">
          <cell r="O1942">
            <v>2835.2012628255738</v>
          </cell>
        </row>
        <row r="1943">
          <cell r="O1943">
            <v>2827.6243093922672</v>
          </cell>
        </row>
        <row r="1944">
          <cell r="O1944">
            <v>2871.5074980268359</v>
          </cell>
        </row>
        <row r="1945">
          <cell r="O1945">
            <v>2930.8602999210743</v>
          </cell>
        </row>
        <row r="1946">
          <cell r="O1946">
            <v>2930.8602999210743</v>
          </cell>
        </row>
        <row r="1947">
          <cell r="O1947">
            <v>2930.8602999210743</v>
          </cell>
        </row>
        <row r="1948">
          <cell r="O1948">
            <v>2909.2344119968443</v>
          </cell>
        </row>
        <row r="1949">
          <cell r="O1949">
            <v>2918.7056037884768</v>
          </cell>
        </row>
        <row r="1950">
          <cell r="O1950">
            <v>2941.4364640883978</v>
          </cell>
        </row>
        <row r="1951">
          <cell r="O1951">
            <v>2933.8595106550906</v>
          </cell>
        </row>
        <row r="1952">
          <cell r="O1952">
            <v>2970.7971586424624</v>
          </cell>
        </row>
        <row r="1953">
          <cell r="O1953">
            <v>2970.7971586424624</v>
          </cell>
        </row>
        <row r="1954">
          <cell r="O1954">
            <v>2970.7971586424624</v>
          </cell>
        </row>
        <row r="1955">
          <cell r="O1955">
            <v>2926.7561168113652</v>
          </cell>
        </row>
        <row r="1956">
          <cell r="O1956">
            <v>2928.8082083662198</v>
          </cell>
        </row>
        <row r="1957">
          <cell r="O1957">
            <v>2973.0071033938452</v>
          </cell>
        </row>
        <row r="1958">
          <cell r="O1958">
            <v>2973.9542225730088</v>
          </cell>
        </row>
        <row r="1959">
          <cell r="O1959">
            <v>2906.0773480663001</v>
          </cell>
        </row>
        <row r="1960">
          <cell r="O1960">
            <v>2906.0773480663001</v>
          </cell>
        </row>
        <row r="1961">
          <cell r="O1961">
            <v>2906.0773480663001</v>
          </cell>
        </row>
        <row r="1962">
          <cell r="O1962">
            <v>2906.0773480663001</v>
          </cell>
        </row>
        <row r="1963">
          <cell r="O1963">
            <v>2938.7529597474372</v>
          </cell>
        </row>
        <row r="1964">
          <cell r="O1964">
            <v>2936.5430149960557</v>
          </cell>
        </row>
        <row r="1965">
          <cell r="O1965">
            <v>2951.5390686661431</v>
          </cell>
        </row>
        <row r="1966">
          <cell r="O1966">
            <v>2951.5390686661431</v>
          </cell>
        </row>
        <row r="1967">
          <cell r="O1967">
            <v>2951.5390686661431</v>
          </cell>
        </row>
        <row r="1968">
          <cell r="O1968">
            <v>2951.5390686661431</v>
          </cell>
        </row>
        <row r="1969">
          <cell r="O1969">
            <v>2980.1104972375706</v>
          </cell>
        </row>
        <row r="1970">
          <cell r="O1970">
            <v>2975.6906077348085</v>
          </cell>
        </row>
        <row r="1971">
          <cell r="O1971">
            <v>2977.4269928966087</v>
          </cell>
        </row>
        <row r="1972">
          <cell r="O1972">
            <v>3002.3677979479116</v>
          </cell>
        </row>
        <row r="1973">
          <cell r="O1973">
            <v>2956.1168113654339</v>
          </cell>
        </row>
        <row r="1974">
          <cell r="O1974">
            <v>2956.1168113654339</v>
          </cell>
        </row>
        <row r="1975">
          <cell r="O1975">
            <v>2956.1168113654339</v>
          </cell>
        </row>
        <row r="1976">
          <cell r="O1976">
            <v>2889.9763220205245</v>
          </cell>
        </row>
        <row r="1977">
          <cell r="O1977">
            <v>2825.5722178374144</v>
          </cell>
        </row>
        <row r="1978">
          <cell r="O1978">
            <v>2868.0347277032392</v>
          </cell>
        </row>
        <row r="1979">
          <cell r="O1979">
            <v>2796.842936069459</v>
          </cell>
        </row>
        <row r="1980">
          <cell r="O1980">
            <v>2808.8397790055278</v>
          </cell>
        </row>
        <row r="1981">
          <cell r="O1981">
            <v>2808.8397790055278</v>
          </cell>
        </row>
        <row r="1982">
          <cell r="O1982">
            <v>2808.8397790055278</v>
          </cell>
        </row>
        <row r="1983">
          <cell r="O1983">
            <v>2740.33149171271</v>
          </cell>
        </row>
        <row r="1984">
          <cell r="O1984">
            <v>2727.3875295974772</v>
          </cell>
        </row>
        <row r="1985">
          <cell r="O1985">
            <v>2736.5430149960571</v>
          </cell>
        </row>
        <row r="1986">
          <cell r="O1986">
            <v>2657.1428571428605</v>
          </cell>
        </row>
        <row r="1987">
          <cell r="O1987">
            <v>2712.3914759273912</v>
          </cell>
        </row>
        <row r="1988">
          <cell r="O1988">
            <v>2712.3914759273912</v>
          </cell>
        </row>
        <row r="1989">
          <cell r="O1989">
            <v>2712.3914759273912</v>
          </cell>
        </row>
        <row r="1990">
          <cell r="O1990">
            <v>2725.1775848460966</v>
          </cell>
        </row>
        <row r="1991">
          <cell r="O1991">
            <v>2699.4475138121584</v>
          </cell>
        </row>
        <row r="1992">
          <cell r="O1992">
            <v>2699.4475138121584</v>
          </cell>
        </row>
        <row r="1993">
          <cell r="O1993">
            <v>2652.4072612470441</v>
          </cell>
        </row>
        <row r="1994">
          <cell r="O1994">
            <v>2681.1365430149995</v>
          </cell>
        </row>
        <row r="1995">
          <cell r="O1995">
            <v>2681.1365430149995</v>
          </cell>
        </row>
        <row r="1996">
          <cell r="O1996">
            <v>2681.1365430149995</v>
          </cell>
        </row>
        <row r="1997">
          <cell r="O1997">
            <v>2665.035516969222</v>
          </cell>
        </row>
        <row r="1998">
          <cell r="O1998">
            <v>2665.035516969222</v>
          </cell>
        </row>
        <row r="1999">
          <cell r="O1999">
            <v>2591.4759273875329</v>
          </cell>
        </row>
        <row r="2000">
          <cell r="O2000">
            <v>2495.8168902920315</v>
          </cell>
        </row>
        <row r="2001">
          <cell r="O2001">
            <v>2519.4948697711161</v>
          </cell>
        </row>
        <row r="2002">
          <cell r="O2002">
            <v>2519.4948697711161</v>
          </cell>
        </row>
        <row r="2003">
          <cell r="O2003">
            <v>2519.4948697711161</v>
          </cell>
        </row>
        <row r="2004">
          <cell r="O2004">
            <v>2526.4404104183145</v>
          </cell>
        </row>
        <row r="2005">
          <cell r="O2005">
            <v>2453.5122336227346</v>
          </cell>
        </row>
        <row r="2006">
          <cell r="O2006">
            <v>2489.3449092344158</v>
          </cell>
        </row>
        <row r="2007">
          <cell r="O2007">
            <v>2483.9779005524902</v>
          </cell>
        </row>
        <row r="2008">
          <cell r="O2008">
            <v>2573.7963693764841</v>
          </cell>
        </row>
        <row r="2009">
          <cell r="O2009">
            <v>2573.7963693764841</v>
          </cell>
        </row>
        <row r="2010">
          <cell r="O2010">
            <v>2573.7963693764841</v>
          </cell>
        </row>
        <row r="2011">
          <cell r="O2011">
            <v>2553.9068666140524</v>
          </cell>
        </row>
        <row r="2012">
          <cell r="O2012">
            <v>2501.657458563539</v>
          </cell>
        </row>
        <row r="2013">
          <cell r="O2013">
            <v>2504.0252565114474</v>
          </cell>
        </row>
        <row r="2014">
          <cell r="O2014">
            <v>2528.8082083662216</v>
          </cell>
        </row>
        <row r="2015">
          <cell r="O2015">
            <v>2507.9715864246277</v>
          </cell>
        </row>
        <row r="2016">
          <cell r="O2016">
            <v>2507.9715864246277</v>
          </cell>
        </row>
        <row r="2017">
          <cell r="O2017">
            <v>2507.9715864246277</v>
          </cell>
        </row>
        <row r="2018">
          <cell r="O2018">
            <v>2528.4925019731681</v>
          </cell>
        </row>
        <row r="2019">
          <cell r="O2019">
            <v>2547.1191791633814</v>
          </cell>
        </row>
        <row r="2020">
          <cell r="O2020">
            <v>2528.4925019731681</v>
          </cell>
        </row>
        <row r="2021">
          <cell r="O2021">
            <v>2577.7426992896635</v>
          </cell>
        </row>
        <row r="2022">
          <cell r="O2022">
            <v>2643.2517758484641</v>
          </cell>
        </row>
        <row r="2023">
          <cell r="O2023">
            <v>2643.2517758484641</v>
          </cell>
        </row>
        <row r="2024">
          <cell r="O2024">
            <v>2643.2517758484641</v>
          </cell>
        </row>
        <row r="2025">
          <cell r="O2025">
            <v>2641.3575374901375</v>
          </cell>
        </row>
        <row r="2026">
          <cell r="O2026">
            <v>2622.7308602999246</v>
          </cell>
        </row>
        <row r="2027">
          <cell r="O2027">
            <v>2612.6282557221816</v>
          </cell>
        </row>
        <row r="2028">
          <cell r="O2028">
            <v>2580.4262036306268</v>
          </cell>
        </row>
        <row r="2029">
          <cell r="O2029">
            <v>2599.8421468034758</v>
          </cell>
        </row>
        <row r="2030">
          <cell r="O2030">
            <v>2599.8421468034758</v>
          </cell>
        </row>
        <row r="2031">
          <cell r="O2031">
            <v>2599.8421468034758</v>
          </cell>
        </row>
        <row r="2032">
          <cell r="O2032">
            <v>2656.195737963697</v>
          </cell>
        </row>
        <row r="2033">
          <cell r="O2033">
            <v>2659.0370955011867</v>
          </cell>
        </row>
        <row r="2034">
          <cell r="O2034">
            <v>2650.8287292817708</v>
          </cell>
        </row>
        <row r="2035">
          <cell r="O2035">
            <v>2625.8879242304688</v>
          </cell>
        </row>
        <row r="2036">
          <cell r="O2036">
            <v>2562.4309392265222</v>
          </cell>
        </row>
        <row r="2037">
          <cell r="O2037">
            <v>2562.4309392265222</v>
          </cell>
        </row>
        <row r="2038">
          <cell r="O2038">
            <v>2562.4309392265222</v>
          </cell>
        </row>
        <row r="2039">
          <cell r="O2039">
            <v>2562.4309392265222</v>
          </cell>
        </row>
        <row r="2040">
          <cell r="O2040">
            <v>2520.7576953433336</v>
          </cell>
        </row>
        <row r="2041">
          <cell r="O2041">
            <v>2521.8626677190246</v>
          </cell>
        </row>
        <row r="2042">
          <cell r="O2042">
            <v>2606.3141278610924</v>
          </cell>
        </row>
        <row r="2043">
          <cell r="O2043">
            <v>2604.5777426992931</v>
          </cell>
        </row>
        <row r="2044">
          <cell r="O2044">
            <v>2604.5777426992931</v>
          </cell>
        </row>
        <row r="2045">
          <cell r="O2045">
            <v>2604.5777426992931</v>
          </cell>
        </row>
        <row r="2046">
          <cell r="O2046">
            <v>2587.6874506708791</v>
          </cell>
        </row>
        <row r="2047">
          <cell r="O2047">
            <v>2624.3093922651969</v>
          </cell>
        </row>
        <row r="2048">
          <cell r="O2048">
            <v>2621.941594317288</v>
          </cell>
        </row>
        <row r="2049">
          <cell r="O2049">
            <v>2660.1420678768777</v>
          </cell>
        </row>
        <row r="2050">
          <cell r="O2050">
            <v>2660.4577742699312</v>
          </cell>
        </row>
        <row r="2051">
          <cell r="O2051">
            <v>2660.4577742699312</v>
          </cell>
        </row>
        <row r="2052">
          <cell r="O2052">
            <v>2660.4577742699312</v>
          </cell>
        </row>
        <row r="2053">
          <cell r="O2053">
            <v>2659.9842146803494</v>
          </cell>
        </row>
        <row r="2054">
          <cell r="O2054">
            <v>2638.3583267561189</v>
          </cell>
        </row>
        <row r="2055">
          <cell r="O2055">
            <v>2656.1957379636965</v>
          </cell>
        </row>
        <row r="2056">
          <cell r="O2056">
            <v>2650.9865824782983</v>
          </cell>
        </row>
        <row r="2057">
          <cell r="O2057">
            <v>2678.4530386740357</v>
          </cell>
        </row>
        <row r="2058">
          <cell r="O2058">
            <v>2678.4530386740357</v>
          </cell>
        </row>
        <row r="2059">
          <cell r="O2059">
            <v>2678.4530386740357</v>
          </cell>
        </row>
        <row r="2060">
          <cell r="O2060">
            <v>2645.7774269928991</v>
          </cell>
        </row>
        <row r="2061">
          <cell r="O2061">
            <v>2694.2383583267583</v>
          </cell>
        </row>
        <row r="2062">
          <cell r="O2062">
            <v>2701.0260457774298</v>
          </cell>
        </row>
        <row r="2063">
          <cell r="O2063">
            <v>2674.6645619573819</v>
          </cell>
        </row>
        <row r="2064">
          <cell r="O2064">
            <v>2646.4088397790078</v>
          </cell>
        </row>
        <row r="2065">
          <cell r="O2065">
            <v>2646.4088397790078</v>
          </cell>
        </row>
        <row r="2066">
          <cell r="O2066">
            <v>2646.4088397790078</v>
          </cell>
        </row>
        <row r="2067">
          <cell r="O2067">
            <v>2654.9329123914781</v>
          </cell>
        </row>
        <row r="2068">
          <cell r="O2068">
            <v>2654.9329123914781</v>
          </cell>
        </row>
        <row r="2069">
          <cell r="O2069">
            <v>2699.4475138121566</v>
          </cell>
        </row>
        <row r="2070">
          <cell r="O2070">
            <v>2725.3354380426231</v>
          </cell>
        </row>
        <row r="2071">
          <cell r="O2071">
            <v>2733.5438042620381</v>
          </cell>
        </row>
        <row r="2072">
          <cell r="O2072">
            <v>2733.5438042620381</v>
          </cell>
        </row>
        <row r="2073">
          <cell r="O2073">
            <v>2733.5438042620381</v>
          </cell>
        </row>
        <row r="2074">
          <cell r="O2074">
            <v>2714.4435674822435</v>
          </cell>
        </row>
        <row r="2075">
          <cell r="O2075">
            <v>2743.6464088397811</v>
          </cell>
        </row>
        <row r="2076">
          <cell r="O2076">
            <v>2720.2841357537509</v>
          </cell>
        </row>
        <row r="2077">
          <cell r="O2077">
            <v>2700.5524861878475</v>
          </cell>
        </row>
        <row r="2078">
          <cell r="O2078">
            <v>2729.5974743488573</v>
          </cell>
        </row>
        <row r="2079">
          <cell r="O2079">
            <v>2729.5974743488573</v>
          </cell>
        </row>
        <row r="2080">
          <cell r="O2080">
            <v>2729.5974743488573</v>
          </cell>
        </row>
        <row r="2081">
          <cell r="O2081">
            <v>2725.1775848460948</v>
          </cell>
        </row>
        <row r="2082">
          <cell r="O2082">
            <v>2759.1160220994493</v>
          </cell>
        </row>
        <row r="2083">
          <cell r="O2083">
            <v>2749.1712707182342</v>
          </cell>
        </row>
        <row r="2084">
          <cell r="O2084">
            <v>2769.3764798737193</v>
          </cell>
        </row>
        <row r="2085">
          <cell r="O2085">
            <v>2778.0584056827174</v>
          </cell>
        </row>
        <row r="2086">
          <cell r="O2086">
            <v>2778.0584056827174</v>
          </cell>
        </row>
        <row r="2087">
          <cell r="O2087">
            <v>2778.0584056827174</v>
          </cell>
        </row>
        <row r="2088">
          <cell r="O2088">
            <v>2783.2675611681157</v>
          </cell>
        </row>
        <row r="2089">
          <cell r="O2089">
            <v>2790.0552486187867</v>
          </cell>
        </row>
        <row r="2090">
          <cell r="O2090">
            <v>2781.2154696132616</v>
          </cell>
        </row>
        <row r="2091">
          <cell r="O2091">
            <v>2769.2186266771928</v>
          </cell>
        </row>
        <row r="2092">
          <cell r="O2092">
            <v>2774.7434885556463</v>
          </cell>
        </row>
        <row r="2093">
          <cell r="O2093">
            <v>2774.7434885556463</v>
          </cell>
        </row>
        <row r="2094">
          <cell r="O2094">
            <v>2774.7434885556463</v>
          </cell>
        </row>
        <row r="2095">
          <cell r="O2095">
            <v>2730.8602999210771</v>
          </cell>
        </row>
        <row r="2096">
          <cell r="O2096">
            <v>2719.4948697711156</v>
          </cell>
        </row>
        <row r="2097">
          <cell r="O2097">
            <v>2729.7553275453856</v>
          </cell>
        </row>
        <row r="2098">
          <cell r="O2098">
            <v>2783.7411207576979</v>
          </cell>
        </row>
        <row r="2099">
          <cell r="O2099">
            <v>2786.2667719021338</v>
          </cell>
        </row>
        <row r="2100">
          <cell r="O2100">
            <v>2786.2667719021338</v>
          </cell>
        </row>
        <row r="2101">
          <cell r="O2101">
            <v>2786.2667719021338</v>
          </cell>
        </row>
        <row r="2102">
          <cell r="O2102">
            <v>2814.2067876874535</v>
          </cell>
        </row>
        <row r="2103">
          <cell r="O2103">
            <v>2814.8382004735618</v>
          </cell>
        </row>
        <row r="2104">
          <cell r="O2104">
            <v>2799.368587213894</v>
          </cell>
        </row>
        <row r="2105">
          <cell r="O2105">
            <v>2798.8950276243122</v>
          </cell>
        </row>
        <row r="2106">
          <cell r="O2106">
            <v>2762.4309392265218</v>
          </cell>
        </row>
        <row r="2107">
          <cell r="O2107">
            <v>2762.4309392265218</v>
          </cell>
        </row>
        <row r="2108">
          <cell r="O2108">
            <v>2762.4309392265218</v>
          </cell>
        </row>
        <row r="2109">
          <cell r="O2109">
            <v>2778.6898184688266</v>
          </cell>
        </row>
        <row r="2110">
          <cell r="O2110">
            <v>2755.8011049723782</v>
          </cell>
        </row>
        <row r="2111">
          <cell r="O2111">
            <v>2789.8973954222593</v>
          </cell>
        </row>
        <row r="2112">
          <cell r="O2112">
            <v>2813.101815311762</v>
          </cell>
        </row>
        <row r="2113">
          <cell r="O2113">
            <v>2810.5761641673262</v>
          </cell>
        </row>
        <row r="2114">
          <cell r="O2114">
            <v>2810.5761641673262</v>
          </cell>
        </row>
        <row r="2115">
          <cell r="O2115">
            <v>2810.5761641673262</v>
          </cell>
        </row>
        <row r="2116">
          <cell r="O2116">
            <v>2817.0481452249423</v>
          </cell>
        </row>
        <row r="2117">
          <cell r="O2117">
            <v>2817.0481452249423</v>
          </cell>
        </row>
        <row r="2118">
          <cell r="O2118">
            <v>2770.007892659828</v>
          </cell>
        </row>
        <row r="2119">
          <cell r="O2119">
            <v>2770.007892659828</v>
          </cell>
        </row>
        <row r="2120">
          <cell r="O2120">
            <v>2770.007892659828</v>
          </cell>
        </row>
        <row r="2121">
          <cell r="O2121">
            <v>2770.007892659828</v>
          </cell>
        </row>
        <row r="2122">
          <cell r="O2122">
            <v>2770.007892659828</v>
          </cell>
        </row>
        <row r="2123">
          <cell r="O2123">
            <v>2711.6022099447532</v>
          </cell>
        </row>
        <row r="2124">
          <cell r="O2124">
            <v>2727.3875295974767</v>
          </cell>
        </row>
        <row r="2125">
          <cell r="O2125">
            <v>2723.1254932912416</v>
          </cell>
        </row>
        <row r="2126">
          <cell r="O2126">
            <v>2732.4388318863475</v>
          </cell>
        </row>
        <row r="2127">
          <cell r="O2127">
            <v>2769.0607734806645</v>
          </cell>
        </row>
        <row r="2128">
          <cell r="O2128">
            <v>2769.0607734806645</v>
          </cell>
        </row>
        <row r="2129">
          <cell r="O2129">
            <v>2769.0607734806645</v>
          </cell>
        </row>
        <row r="2130">
          <cell r="O2130">
            <v>2786.2667719021333</v>
          </cell>
        </row>
        <row r="2131">
          <cell r="O2131">
            <v>2775.8484609313359</v>
          </cell>
        </row>
        <row r="2132">
          <cell r="O2132">
            <v>2781.2154696132616</v>
          </cell>
        </row>
        <row r="2133">
          <cell r="O2133">
            <v>2779.9526440410436</v>
          </cell>
        </row>
        <row r="2134">
          <cell r="O2134">
            <v>2799.52644041042</v>
          </cell>
        </row>
        <row r="2135">
          <cell r="O2135">
            <v>2799.52644041042</v>
          </cell>
        </row>
        <row r="2136">
          <cell r="O2136">
            <v>2799.52644041042</v>
          </cell>
        </row>
        <row r="2137">
          <cell r="O2137">
            <v>2799.684293606947</v>
          </cell>
        </row>
        <row r="2138">
          <cell r="O2138">
            <v>2801.7363851618006</v>
          </cell>
        </row>
        <row r="2139">
          <cell r="O2139">
            <v>2812.9439621152333</v>
          </cell>
        </row>
        <row r="2140">
          <cell r="O2140">
            <v>2818.1531176006324</v>
          </cell>
        </row>
        <row r="2141">
          <cell r="O2141">
            <v>2807.4191002367802</v>
          </cell>
        </row>
        <row r="2142">
          <cell r="O2142">
            <v>2807.4191002367802</v>
          </cell>
        </row>
        <row r="2143">
          <cell r="O2143">
            <v>2807.4191002367802</v>
          </cell>
        </row>
        <row r="2144">
          <cell r="O2144">
            <v>2778.0584056827156</v>
          </cell>
        </row>
        <row r="2145">
          <cell r="O2145">
            <v>2791.4759273875297</v>
          </cell>
        </row>
        <row r="2146">
          <cell r="O2146">
            <v>2808.8397790055255</v>
          </cell>
        </row>
        <row r="2147">
          <cell r="O2147">
            <v>2829.0449881610111</v>
          </cell>
        </row>
        <row r="2148">
          <cell r="O2148">
            <v>2827.7821625887937</v>
          </cell>
        </row>
        <row r="2149">
          <cell r="O2149">
            <v>2827.7821625887937</v>
          </cell>
        </row>
        <row r="2150">
          <cell r="O2150">
            <v>2827.7821625887937</v>
          </cell>
        </row>
        <row r="2151">
          <cell r="O2151">
            <v>2816.2588792423053</v>
          </cell>
        </row>
        <row r="2152">
          <cell r="O2152">
            <v>2832.6756116811366</v>
          </cell>
        </row>
        <row r="2153">
          <cell r="O2153">
            <v>2819.4159431728503</v>
          </cell>
        </row>
        <row r="2154">
          <cell r="O2154">
            <v>2862.0363062352021</v>
          </cell>
        </row>
        <row r="2155">
          <cell r="O2155">
            <v>2853.6700868192588</v>
          </cell>
        </row>
        <row r="2156">
          <cell r="O2156">
            <v>2853.6700868192588</v>
          </cell>
        </row>
        <row r="2157">
          <cell r="O2157">
            <v>2853.6700868192588</v>
          </cell>
        </row>
        <row r="2158">
          <cell r="O2158">
            <v>2856.0378847671673</v>
          </cell>
        </row>
        <row r="2159">
          <cell r="O2159">
            <v>2877.6637726913978</v>
          </cell>
        </row>
        <row r="2160">
          <cell r="O2160">
            <v>2887.1349644830316</v>
          </cell>
        </row>
        <row r="2161">
          <cell r="O2161">
            <v>2883.8200473559596</v>
          </cell>
        </row>
        <row r="2162">
          <cell r="O2162">
            <v>2887.7663772691408</v>
          </cell>
        </row>
        <row r="2163">
          <cell r="O2163">
            <v>2887.7663772691408</v>
          </cell>
        </row>
        <row r="2164">
          <cell r="O2164">
            <v>2887.7663772691408</v>
          </cell>
        </row>
        <row r="2165">
          <cell r="O2165">
            <v>2866.6140489344925</v>
          </cell>
        </row>
        <row r="2166">
          <cell r="O2166">
            <v>2873.8752959747453</v>
          </cell>
        </row>
        <row r="2167">
          <cell r="O2167">
            <v>2908.2872928176816</v>
          </cell>
        </row>
        <row r="2168">
          <cell r="O2168">
            <v>2900.8681925809024</v>
          </cell>
        </row>
        <row r="2169">
          <cell r="O2169">
            <v>2903.0781373322839</v>
          </cell>
        </row>
        <row r="2170">
          <cell r="O2170">
            <v>2903.0781373322839</v>
          </cell>
        </row>
        <row r="2171">
          <cell r="O2171">
            <v>2903.0781373322839</v>
          </cell>
        </row>
        <row r="2172">
          <cell r="O2172">
            <v>2908.7608524072648</v>
          </cell>
        </row>
        <row r="2173">
          <cell r="O2173">
            <v>2879.5580110497262</v>
          </cell>
        </row>
        <row r="2174">
          <cell r="O2174">
            <v>2901.3417521704851</v>
          </cell>
        </row>
        <row r="2175">
          <cell r="O2175">
            <v>2919.652722967644</v>
          </cell>
        </row>
        <row r="2176">
          <cell r="O2176">
            <v>2924.7040252565148</v>
          </cell>
        </row>
        <row r="2177">
          <cell r="O2177">
            <v>2924.7040252565148</v>
          </cell>
        </row>
        <row r="2178">
          <cell r="O2178">
            <v>2924.7040252565148</v>
          </cell>
        </row>
        <row r="2179">
          <cell r="O2179">
            <v>2909.392265193374</v>
          </cell>
        </row>
        <row r="2180">
          <cell r="O2180">
            <v>2897.0797158642495</v>
          </cell>
        </row>
        <row r="2181">
          <cell r="O2181">
            <v>2882.3993685872165</v>
          </cell>
        </row>
        <row r="2182">
          <cell r="O2182">
            <v>2875.9273875295999</v>
          </cell>
        </row>
        <row r="2183">
          <cell r="O2183">
            <v>2833.3070244672481</v>
          </cell>
        </row>
        <row r="2184">
          <cell r="O2184">
            <v>2833.3070244672481</v>
          </cell>
        </row>
        <row r="2185">
          <cell r="O2185">
            <v>2833.3070244672481</v>
          </cell>
        </row>
        <row r="2186">
          <cell r="O2186">
            <v>2833.464877663775</v>
          </cell>
        </row>
        <row r="2187">
          <cell r="O2187">
            <v>2808.6819258089999</v>
          </cell>
        </row>
        <row r="2188">
          <cell r="O2188">
            <v>2821.6258879242323</v>
          </cell>
        </row>
        <row r="2189">
          <cell r="O2189">
            <v>2897.7111286503573</v>
          </cell>
        </row>
        <row r="2190">
          <cell r="O2190">
            <v>2901.6574585635381</v>
          </cell>
        </row>
        <row r="2191">
          <cell r="O2191">
            <v>2901.6574585635381</v>
          </cell>
        </row>
        <row r="2192">
          <cell r="O2192">
            <v>2901.6574585635381</v>
          </cell>
        </row>
        <row r="2193">
          <cell r="O2193">
            <v>2926.2825572217862</v>
          </cell>
        </row>
        <row r="2194">
          <cell r="O2194">
            <v>2914.4435674822435</v>
          </cell>
        </row>
        <row r="2195">
          <cell r="O2195">
            <v>2944.5935280189442</v>
          </cell>
        </row>
        <row r="2196">
          <cell r="O2196">
            <v>2933.0702446724563</v>
          </cell>
        </row>
        <row r="2197">
          <cell r="O2197">
            <v>2935.7537490134191</v>
          </cell>
        </row>
        <row r="2198">
          <cell r="O2198">
            <v>2935.7537490134191</v>
          </cell>
        </row>
        <row r="2199">
          <cell r="O2199">
            <v>2935.7537490134191</v>
          </cell>
        </row>
        <row r="2200">
          <cell r="O2200">
            <v>2935.7537490134191</v>
          </cell>
        </row>
        <row r="2201">
          <cell r="O2201">
            <v>2930.0710339384391</v>
          </cell>
        </row>
        <row r="2202">
          <cell r="O2202">
            <v>2909.2344119968448</v>
          </cell>
        </row>
        <row r="2203">
          <cell r="O2203">
            <v>2926.4404104183113</v>
          </cell>
        </row>
        <row r="2204">
          <cell r="O2204">
            <v>2926.4404104183113</v>
          </cell>
        </row>
        <row r="2205">
          <cell r="O2205">
            <v>2926.4404104183113</v>
          </cell>
        </row>
        <row r="2206">
          <cell r="O2206">
            <v>2926.4404104183113</v>
          </cell>
        </row>
        <row r="2207">
          <cell r="O2207">
            <v>2926.4404104183113</v>
          </cell>
        </row>
        <row r="2208">
          <cell r="O2208">
            <v>2931.3338595106547</v>
          </cell>
        </row>
        <row r="2209">
          <cell r="O2209">
            <v>2874.980268350434</v>
          </cell>
        </row>
        <row r="2210">
          <cell r="O2210">
            <v>2849.5659037095497</v>
          </cell>
        </row>
        <row r="2211">
          <cell r="O2211">
            <v>2827.1507498026835</v>
          </cell>
        </row>
        <row r="2212">
          <cell r="O2212">
            <v>2827.1507498026835</v>
          </cell>
        </row>
        <row r="2213">
          <cell r="O2213">
            <v>2827.1507498026835</v>
          </cell>
        </row>
        <row r="2214">
          <cell r="O2214">
            <v>2795.2644041041831</v>
          </cell>
        </row>
        <row r="2215">
          <cell r="O2215">
            <v>2802.2099447513806</v>
          </cell>
        </row>
        <row r="2216">
          <cell r="O2216">
            <v>2762.2730860299916</v>
          </cell>
        </row>
        <row r="2217">
          <cell r="O2217">
            <v>2782.3204419889498</v>
          </cell>
        </row>
        <row r="2218">
          <cell r="O2218">
            <v>2831.2549329123913</v>
          </cell>
        </row>
        <row r="2219">
          <cell r="O2219">
            <v>2831.2549329123913</v>
          </cell>
        </row>
        <row r="2220">
          <cell r="O2220">
            <v>2831.2549329123913</v>
          </cell>
        </row>
        <row r="2221">
          <cell r="O2221">
            <v>2838.5161799526436</v>
          </cell>
        </row>
        <row r="2222">
          <cell r="O2222">
            <v>2837.0955011838983</v>
          </cell>
        </row>
        <row r="2223">
          <cell r="O2223">
            <v>2817.6795580110493</v>
          </cell>
        </row>
        <row r="2224">
          <cell r="O2224">
            <v>2827.4664561957379</v>
          </cell>
        </row>
        <row r="2225">
          <cell r="O2225">
            <v>2781.846882399368</v>
          </cell>
        </row>
        <row r="2226">
          <cell r="O2226">
            <v>2781.846882399368</v>
          </cell>
        </row>
        <row r="2227">
          <cell r="O2227">
            <v>2781.846882399368</v>
          </cell>
        </row>
        <row r="2228">
          <cell r="O2228">
            <v>2791.3180741910014</v>
          </cell>
        </row>
        <row r="2229">
          <cell r="O2229">
            <v>2792.4230465666915</v>
          </cell>
        </row>
        <row r="2230">
          <cell r="O2230">
            <v>2831.4127861089173</v>
          </cell>
        </row>
        <row r="2231">
          <cell r="O2231">
            <v>2827.4664561957366</v>
          </cell>
        </row>
        <row r="2232">
          <cell r="O2232">
            <v>2803.1570639305432</v>
          </cell>
        </row>
        <row r="2233">
          <cell r="O2233">
            <v>2803.1570639305432</v>
          </cell>
        </row>
        <row r="2234">
          <cell r="O2234">
            <v>2803.1570639305432</v>
          </cell>
        </row>
        <row r="2235">
          <cell r="O2235">
            <v>2784.6882399368569</v>
          </cell>
        </row>
        <row r="2236">
          <cell r="O2236">
            <v>2801.1049723756887</v>
          </cell>
        </row>
        <row r="2237">
          <cell r="O2237">
            <v>2778.0584056827138</v>
          </cell>
        </row>
        <row r="2238">
          <cell r="O2238">
            <v>2827.1507498026817</v>
          </cell>
        </row>
        <row r="2239">
          <cell r="O2239">
            <v>2891.8705603788458</v>
          </cell>
        </row>
        <row r="2240">
          <cell r="O2240">
            <v>2891.8705603788458</v>
          </cell>
        </row>
        <row r="2241">
          <cell r="O2241">
            <v>2891.8705603788458</v>
          </cell>
        </row>
        <row r="2242">
          <cell r="O2242">
            <v>2900.2367797947886</v>
          </cell>
        </row>
        <row r="2243">
          <cell r="O2243">
            <v>2921.7048145224912</v>
          </cell>
        </row>
        <row r="2244">
          <cell r="O2244">
            <v>2915.0749802683476</v>
          </cell>
        </row>
        <row r="2245">
          <cell r="O2245">
            <v>2908.4451460142036</v>
          </cell>
        </row>
        <row r="2246">
          <cell r="O2246">
            <v>2915.8642462509833</v>
          </cell>
        </row>
        <row r="2247">
          <cell r="O2247">
            <v>2915.8642462509833</v>
          </cell>
        </row>
        <row r="2248">
          <cell r="O2248">
            <v>2915.8642462509833</v>
          </cell>
        </row>
        <row r="2249">
          <cell r="O2249">
            <v>2885.5564325177556</v>
          </cell>
        </row>
        <row r="2250">
          <cell r="O2250">
            <v>2893.2912391475902</v>
          </cell>
        </row>
        <row r="2251">
          <cell r="O2251">
            <v>2931.6495659037073</v>
          </cell>
        </row>
        <row r="2252">
          <cell r="O2252">
            <v>2949.0134175217026</v>
          </cell>
        </row>
        <row r="2253">
          <cell r="O2253">
            <v>2960.8524072612454</v>
          </cell>
        </row>
        <row r="2254">
          <cell r="O2254">
            <v>2960.8524072612454</v>
          </cell>
        </row>
        <row r="2255">
          <cell r="O2255">
            <v>2960.8524072612454</v>
          </cell>
        </row>
        <row r="2256">
          <cell r="O2256">
            <v>2960.8524072612454</v>
          </cell>
        </row>
        <row r="2257">
          <cell r="O2257">
            <v>2969.5343330702422</v>
          </cell>
        </row>
        <row r="2258">
          <cell r="O2258">
            <v>2966.0615627466432</v>
          </cell>
        </row>
        <row r="2259">
          <cell r="O2259">
            <v>2994.7908445145986</v>
          </cell>
        </row>
        <row r="2260">
          <cell r="O2260">
            <v>3002.2099447513779</v>
          </cell>
        </row>
        <row r="2261">
          <cell r="O2261">
            <v>3002.2099447513779</v>
          </cell>
        </row>
        <row r="2262">
          <cell r="O2262">
            <v>3002.2099447513779</v>
          </cell>
        </row>
        <row r="2263">
          <cell r="O2263">
            <v>3001.1049723756873</v>
          </cell>
        </row>
        <row r="2264">
          <cell r="O2264">
            <v>2970.007892659823</v>
          </cell>
        </row>
        <row r="2265">
          <cell r="O2265">
            <v>2891.8705603788435</v>
          </cell>
        </row>
        <row r="2266">
          <cell r="O2266">
            <v>2891.8705603788435</v>
          </cell>
        </row>
        <row r="2267">
          <cell r="O2267">
            <v>2885.2407261247004</v>
          </cell>
        </row>
        <row r="2268">
          <cell r="O2268">
            <v>2885.2407261247004</v>
          </cell>
        </row>
        <row r="2269">
          <cell r="O2269">
            <v>2885.2407261247004</v>
          </cell>
        </row>
        <row r="2270">
          <cell r="O2270">
            <v>2804.8934490923402</v>
          </cell>
        </row>
        <row r="2271">
          <cell r="O2271">
            <v>2860.7734806629796</v>
          </cell>
        </row>
        <row r="2272">
          <cell r="O2272">
            <v>2878.6108918705572</v>
          </cell>
        </row>
        <row r="2273">
          <cell r="O2273">
            <v>2903.5516969218584</v>
          </cell>
        </row>
        <row r="2274">
          <cell r="O2274">
            <v>2902.4467245461674</v>
          </cell>
        </row>
        <row r="2275">
          <cell r="O2275">
            <v>2902.4467245461674</v>
          </cell>
        </row>
        <row r="2276">
          <cell r="O2276">
            <v>2902.4467245461674</v>
          </cell>
        </row>
        <row r="2277">
          <cell r="O2277">
            <v>2941.7521704814476</v>
          </cell>
        </row>
        <row r="2278">
          <cell r="O2278">
            <v>2931.6495659037046</v>
          </cell>
        </row>
        <row r="2279">
          <cell r="O2279">
            <v>2869.9289660615577</v>
          </cell>
        </row>
        <row r="2280">
          <cell r="O2280">
            <v>2910.9707971586367</v>
          </cell>
        </row>
        <row r="2281">
          <cell r="O2281">
            <v>2911.1286503551637</v>
          </cell>
        </row>
        <row r="2282">
          <cell r="O2282">
            <v>2911.1286503551637</v>
          </cell>
        </row>
        <row r="2283">
          <cell r="O2283">
            <v>2911.1286503551637</v>
          </cell>
        </row>
        <row r="2284">
          <cell r="O2284">
            <v>2940.9629044988105</v>
          </cell>
        </row>
        <row r="2285">
          <cell r="O2285">
            <v>2941.4364640883923</v>
          </cell>
        </row>
        <row r="2286">
          <cell r="O2286">
            <v>2939.85793212312</v>
          </cell>
        </row>
        <row r="2287">
          <cell r="O2287">
            <v>2954.2225730070982</v>
          </cell>
        </row>
        <row r="2288">
          <cell r="O2288">
            <v>2950.1183898973895</v>
          </cell>
        </row>
        <row r="2289">
          <cell r="O2289">
            <v>2950.1183898973895</v>
          </cell>
        </row>
        <row r="2290">
          <cell r="O2290">
            <v>2950.1183898973895</v>
          </cell>
        </row>
        <row r="2291">
          <cell r="O2291">
            <v>2954.8539857932069</v>
          </cell>
        </row>
        <row r="2292">
          <cell r="O2292">
            <v>2962.588792423041</v>
          </cell>
        </row>
        <row r="2293">
          <cell r="O2293">
            <v>2935.4380426203579</v>
          </cell>
        </row>
        <row r="2294">
          <cell r="O2294">
            <v>2958.8003157063877</v>
          </cell>
        </row>
        <row r="2295">
          <cell r="O2295">
            <v>2961.3259668508226</v>
          </cell>
        </row>
        <row r="2296">
          <cell r="O2296">
            <v>2961.3259668508226</v>
          </cell>
        </row>
        <row r="2297">
          <cell r="O2297">
            <v>2961.3259668508226</v>
          </cell>
        </row>
        <row r="2298">
          <cell r="O2298">
            <v>2976.479873717436</v>
          </cell>
        </row>
        <row r="2299">
          <cell r="O2299">
            <v>2985.3196527229607</v>
          </cell>
        </row>
        <row r="2300">
          <cell r="O2300">
            <v>3027.1507498026767</v>
          </cell>
        </row>
        <row r="2301">
          <cell r="O2301">
            <v>3021.4680347276962</v>
          </cell>
        </row>
        <row r="2302">
          <cell r="O2302">
            <v>3024.9408050512957</v>
          </cell>
        </row>
        <row r="2303">
          <cell r="O2303">
            <v>3024.9408050512957</v>
          </cell>
        </row>
        <row r="2304">
          <cell r="O2304">
            <v>3024.9408050512957</v>
          </cell>
        </row>
        <row r="2305">
          <cell r="O2305">
            <v>3059.9842146803398</v>
          </cell>
        </row>
        <row r="2306">
          <cell r="O2306">
            <v>3055.2486187845234</v>
          </cell>
        </row>
        <row r="2307">
          <cell r="O2307">
            <v>3082.3993685872065</v>
          </cell>
        </row>
        <row r="2308">
          <cell r="O2308">
            <v>3106.7087608523998</v>
          </cell>
        </row>
        <row r="2309">
          <cell r="O2309">
            <v>3091.5548539857859</v>
          </cell>
        </row>
        <row r="2310">
          <cell r="O2310">
            <v>3091.5548539857859</v>
          </cell>
        </row>
        <row r="2311">
          <cell r="O2311">
            <v>3091.5548539857859</v>
          </cell>
        </row>
        <row r="2312">
          <cell r="O2312">
            <v>3111.2865035516897</v>
          </cell>
        </row>
        <row r="2313">
          <cell r="O2313">
            <v>3102.9202841357474</v>
          </cell>
        </row>
        <row r="2314">
          <cell r="O2314">
            <v>3114.6014206787622</v>
          </cell>
        </row>
        <row r="2315">
          <cell r="O2315">
            <v>3071.6653512233556</v>
          </cell>
        </row>
        <row r="2316">
          <cell r="O2316">
            <v>3113.4964483030717</v>
          </cell>
        </row>
        <row r="2317">
          <cell r="O2317">
            <v>3113.4964483030717</v>
          </cell>
        </row>
        <row r="2318">
          <cell r="O2318">
            <v>3113.4964483030717</v>
          </cell>
        </row>
        <row r="2319">
          <cell r="O2319">
            <v>3135.2801894238291</v>
          </cell>
        </row>
        <row r="2320">
          <cell r="O2320">
            <v>3157.3796369376419</v>
          </cell>
        </row>
        <row r="2321">
          <cell r="O2321">
            <v>3132.2809786898124</v>
          </cell>
        </row>
        <row r="2322">
          <cell r="O2322">
            <v>3153.1176006314063</v>
          </cell>
        </row>
        <row r="2323">
          <cell r="O2323">
            <v>3129.9131807419035</v>
          </cell>
        </row>
        <row r="2324">
          <cell r="O2324">
            <v>3129.9131807419035</v>
          </cell>
        </row>
        <row r="2325">
          <cell r="O2325">
            <v>3129.9131807419035</v>
          </cell>
        </row>
        <row r="2326">
          <cell r="O2326">
            <v>3134.1752170481391</v>
          </cell>
        </row>
        <row r="2327">
          <cell r="O2327">
            <v>3134.1752170481391</v>
          </cell>
        </row>
        <row r="2328">
          <cell r="O2328">
            <v>3154.8539857932055</v>
          </cell>
        </row>
        <row r="2329">
          <cell r="O2329">
            <v>3167.6400947119105</v>
          </cell>
        </row>
        <row r="2330">
          <cell r="O2330">
            <v>3181.6890292028343</v>
          </cell>
        </row>
        <row r="2331">
          <cell r="O2331">
            <v>3181.6890292028343</v>
          </cell>
        </row>
        <row r="2332">
          <cell r="O2332">
            <v>3181.6890292028343</v>
          </cell>
        </row>
        <row r="2333">
          <cell r="O2333">
            <v>3213.4175217048078</v>
          </cell>
        </row>
        <row r="2334">
          <cell r="O2334">
            <v>3212.4704025256442</v>
          </cell>
        </row>
        <row r="2335">
          <cell r="O2335">
            <v>3232.3599052880745</v>
          </cell>
        </row>
        <row r="2336">
          <cell r="O2336">
            <v>3244.0410418310885</v>
          </cell>
        </row>
        <row r="2337">
          <cell r="O2337">
            <v>3252.7229676400862</v>
          </cell>
        </row>
        <row r="2338">
          <cell r="O2338">
            <v>3252.7229676400862</v>
          </cell>
        </row>
        <row r="2339">
          <cell r="O2339">
            <v>3252.7229676400862</v>
          </cell>
        </row>
        <row r="2340">
          <cell r="O2340">
            <v>3256.1957379636847</v>
          </cell>
        </row>
        <row r="2341">
          <cell r="O2341">
            <v>3223.6779794790759</v>
          </cell>
        </row>
        <row r="2342">
          <cell r="O2342">
            <v>3245.7774269928877</v>
          </cell>
        </row>
        <row r="2343">
          <cell r="O2343">
            <v>3273.0860299920978</v>
          </cell>
        </row>
        <row r="2344">
          <cell r="O2344">
            <v>3262.6677190213013</v>
          </cell>
        </row>
        <row r="2345">
          <cell r="O2345">
            <v>3262.6677190213013</v>
          </cell>
        </row>
        <row r="2346">
          <cell r="O2346">
            <v>3262.6677190213013</v>
          </cell>
        </row>
        <row r="2347">
          <cell r="O2347">
            <v>3295.0276243093831</v>
          </cell>
        </row>
        <row r="2348">
          <cell r="O2348">
            <v>3325.808997632194</v>
          </cell>
        </row>
        <row r="2349">
          <cell r="O2349">
            <v>3333.0702446724472</v>
          </cell>
        </row>
        <row r="2350">
          <cell r="O2350">
            <v>3333.0702446724472</v>
          </cell>
        </row>
        <row r="2351">
          <cell r="O2351">
            <v>3323.4411996842869</v>
          </cell>
        </row>
        <row r="2352">
          <cell r="O2352">
            <v>3323.4411996842869</v>
          </cell>
        </row>
        <row r="2353">
          <cell r="O2353">
            <v>3323.4411996842869</v>
          </cell>
        </row>
        <row r="2354">
          <cell r="O2354">
            <v>3344.5935280189351</v>
          </cell>
        </row>
        <row r="2355">
          <cell r="O2355">
            <v>3347.4348855564244</v>
          </cell>
        </row>
        <row r="2356">
          <cell r="O2356">
            <v>3342.699289660608</v>
          </cell>
        </row>
        <row r="2357">
          <cell r="O2357">
            <v>3416.7324388318775</v>
          </cell>
        </row>
        <row r="2358">
          <cell r="O2358">
            <v>3452.8808208366131</v>
          </cell>
        </row>
        <row r="2359">
          <cell r="O2359">
            <v>3452.8808208366131</v>
          </cell>
        </row>
        <row r="2360">
          <cell r="O2360">
            <v>3452.8808208366131</v>
          </cell>
        </row>
        <row r="2361">
          <cell r="O2361">
            <v>3502.7624309392172</v>
          </cell>
        </row>
        <row r="2362">
          <cell r="O2362">
            <v>3510.1815311759965</v>
          </cell>
        </row>
        <row r="2363">
          <cell r="O2363">
            <v>3510.1815311759965</v>
          </cell>
        </row>
        <row r="2364">
          <cell r="O2364">
            <v>3522.809786898174</v>
          </cell>
        </row>
        <row r="2365">
          <cell r="O2365">
            <v>3469.6132596684984</v>
          </cell>
        </row>
        <row r="2366">
          <cell r="O2366">
            <v>3469.6132596684984</v>
          </cell>
        </row>
        <row r="2367">
          <cell r="O2367">
            <v>3469.6132596684984</v>
          </cell>
        </row>
        <row r="2368">
          <cell r="O2368">
            <v>3447.3559589581582</v>
          </cell>
        </row>
        <row r="2369">
          <cell r="O2369">
            <v>3471.8232044198799</v>
          </cell>
        </row>
        <row r="2370">
          <cell r="O2370">
            <v>3450.5130228887037</v>
          </cell>
        </row>
        <row r="2371">
          <cell r="O2371">
            <v>3543.1728492501879</v>
          </cell>
        </row>
        <row r="2372">
          <cell r="O2372">
            <v>3545.5406471980968</v>
          </cell>
        </row>
        <row r="2373">
          <cell r="O2373">
            <v>3545.5406471980968</v>
          </cell>
        </row>
        <row r="2374">
          <cell r="O2374">
            <v>3545.5406471980968</v>
          </cell>
        </row>
        <row r="2375">
          <cell r="O2375">
            <v>3611.6811365430049</v>
          </cell>
        </row>
        <row r="2376">
          <cell r="O2376">
            <v>3615.4696132596569</v>
          </cell>
        </row>
        <row r="2377">
          <cell r="O2377">
            <v>3576.6377269139593</v>
          </cell>
        </row>
        <row r="2378">
          <cell r="O2378">
            <v>3596.0536700868083</v>
          </cell>
        </row>
        <row r="2379">
          <cell r="O2379">
            <v>3550.9076558800207</v>
          </cell>
        </row>
        <row r="2380">
          <cell r="O2380">
            <v>3550.9076558800207</v>
          </cell>
        </row>
        <row r="2381">
          <cell r="O2381">
            <v>3550.9076558800207</v>
          </cell>
        </row>
        <row r="2382">
          <cell r="O2382">
            <v>3526.4404104182995</v>
          </cell>
        </row>
        <row r="2383">
          <cell r="O2383">
            <v>3511.1286503551582</v>
          </cell>
        </row>
        <row r="2384">
          <cell r="O2384">
            <v>3478.2951854774947</v>
          </cell>
        </row>
        <row r="2385">
          <cell r="O2385">
            <v>3513.8121546961211</v>
          </cell>
        </row>
        <row r="2386">
          <cell r="O2386">
            <v>3493.449092344109</v>
          </cell>
        </row>
        <row r="2387">
          <cell r="O2387">
            <v>3493.449092344109</v>
          </cell>
        </row>
        <row r="2388">
          <cell r="O2388">
            <v>3493.449092344109</v>
          </cell>
        </row>
        <row r="2389">
          <cell r="O2389">
            <v>3547.7505919494761</v>
          </cell>
        </row>
        <row r="2390">
          <cell r="O2390">
            <v>3619.4159431728385</v>
          </cell>
        </row>
        <row r="2391">
          <cell r="O2391">
            <v>3684.7671665351118</v>
          </cell>
        </row>
        <row r="2392">
          <cell r="O2392">
            <v>3705.6037884767061</v>
          </cell>
        </row>
        <row r="2393">
          <cell r="O2393">
            <v>3733.5438042620244</v>
          </cell>
        </row>
        <row r="2394">
          <cell r="O2394">
            <v>3733.5438042620244</v>
          </cell>
        </row>
        <row r="2395">
          <cell r="O2395">
            <v>3733.5438042620244</v>
          </cell>
        </row>
        <row r="2396">
          <cell r="O2396">
            <v>3783.4254143646285</v>
          </cell>
        </row>
        <row r="2397">
          <cell r="O2397">
            <v>3804.5777426992772</v>
          </cell>
        </row>
        <row r="2398">
          <cell r="O2398">
            <v>3795.7379636937521</v>
          </cell>
        </row>
        <row r="2399">
          <cell r="O2399">
            <v>3833.6227308602874</v>
          </cell>
        </row>
        <row r="2400">
          <cell r="O2400">
            <v>3949.3291239147457</v>
          </cell>
        </row>
        <row r="2401">
          <cell r="O2401">
            <v>3949.3291239147457</v>
          </cell>
        </row>
        <row r="2402">
          <cell r="O2402">
            <v>3949.3291239147457</v>
          </cell>
        </row>
        <row r="2403">
          <cell r="O2403">
            <v>3913.3385951065379</v>
          </cell>
        </row>
        <row r="2404">
          <cell r="O2404">
            <v>3913.3385951065379</v>
          </cell>
        </row>
        <row r="2405">
          <cell r="O2405">
            <v>3866.1404893448962</v>
          </cell>
        </row>
        <row r="2406">
          <cell r="O2406">
            <v>3878.4530386740203</v>
          </cell>
        </row>
        <row r="2407">
          <cell r="O2407">
            <v>3969.2186266771773</v>
          </cell>
        </row>
        <row r="2408">
          <cell r="O2408">
            <v>3969.2186266771773</v>
          </cell>
        </row>
        <row r="2409">
          <cell r="O2409">
            <v>3969.2186266771773</v>
          </cell>
        </row>
        <row r="2410">
          <cell r="O2410">
            <v>3982.3204419889385</v>
          </cell>
        </row>
        <row r="2411">
          <cell r="O2411">
            <v>3987.5295974743385</v>
          </cell>
        </row>
        <row r="2412">
          <cell r="O2412">
            <v>4008.3662194159324</v>
          </cell>
        </row>
        <row r="2413">
          <cell r="O2413">
            <v>3926.5982636148274</v>
          </cell>
        </row>
        <row r="2414">
          <cell r="O2414">
            <v>3762.2730860299816</v>
          </cell>
        </row>
        <row r="2415">
          <cell r="O2415">
            <v>3762.2730860299816</v>
          </cell>
        </row>
        <row r="2416">
          <cell r="O2416">
            <v>3762.2730860299816</v>
          </cell>
        </row>
        <row r="2417">
          <cell r="O2417">
            <v>3810.418310970786</v>
          </cell>
        </row>
        <row r="2418">
          <cell r="O2418">
            <v>3856.6692975532642</v>
          </cell>
        </row>
        <row r="2419">
          <cell r="O2419">
            <v>3699.4475138121434</v>
          </cell>
        </row>
        <row r="2420">
          <cell r="O2420">
            <v>3691.2391475927279</v>
          </cell>
        </row>
        <row r="2421">
          <cell r="O2421">
            <v>3739.7000789265867</v>
          </cell>
        </row>
        <row r="2422">
          <cell r="O2422">
            <v>3739.7000789265867</v>
          </cell>
        </row>
        <row r="2423">
          <cell r="O2423">
            <v>3739.7000789265867</v>
          </cell>
        </row>
        <row r="2424">
          <cell r="O2424">
            <v>3692.501973164945</v>
          </cell>
        </row>
        <row r="2425">
          <cell r="O2425">
            <v>3701.6574585635249</v>
          </cell>
        </row>
        <row r="2426">
          <cell r="O2426">
            <v>3789.5816890291912</v>
          </cell>
        </row>
        <row r="2427">
          <cell r="O2427">
            <v>3804.2620363062233</v>
          </cell>
        </row>
        <row r="2428">
          <cell r="O2428">
            <v>3641.3575374901234</v>
          </cell>
        </row>
        <row r="2429">
          <cell r="O2429">
            <v>3641.3575374901234</v>
          </cell>
        </row>
        <row r="2430">
          <cell r="O2430">
            <v>3641.3575374901234</v>
          </cell>
        </row>
        <row r="2431">
          <cell r="O2431">
            <v>3691.8705603788362</v>
          </cell>
        </row>
        <row r="2432">
          <cell r="O2432">
            <v>3637.7269139699961</v>
          </cell>
        </row>
        <row r="2433">
          <cell r="O2433">
            <v>3637.7269139699961</v>
          </cell>
        </row>
        <row r="2434">
          <cell r="O2434">
            <v>3404.4198895027512</v>
          </cell>
        </row>
        <row r="2435">
          <cell r="O2435">
            <v>3292.3441199684185</v>
          </cell>
        </row>
        <row r="2436">
          <cell r="O2436">
            <v>3292.3441199684185</v>
          </cell>
        </row>
        <row r="2437">
          <cell r="O2437">
            <v>3292.3441199684185</v>
          </cell>
        </row>
        <row r="2438">
          <cell r="O2438">
            <v>3468.3504340962791</v>
          </cell>
        </row>
        <row r="2439">
          <cell r="O2439">
            <v>3475.6116811365328</v>
          </cell>
        </row>
        <row r="2440">
          <cell r="O2440">
            <v>3523.9147592738659</v>
          </cell>
        </row>
        <row r="2441">
          <cell r="O2441">
            <v>3608.5240726124612</v>
          </cell>
        </row>
        <row r="2442">
          <cell r="O2442">
            <v>3586.1089187055954</v>
          </cell>
        </row>
        <row r="2443">
          <cell r="O2443">
            <v>3586.1089187055954</v>
          </cell>
        </row>
        <row r="2444">
          <cell r="O2444">
            <v>3586.1089187055954</v>
          </cell>
        </row>
        <row r="2445">
          <cell r="O2445">
            <v>3609.3133385950987</v>
          </cell>
        </row>
        <row r="2446">
          <cell r="O2446">
            <v>3668.1925808997548</v>
          </cell>
        </row>
        <row r="2447">
          <cell r="O2447">
            <v>3667.2454617205913</v>
          </cell>
        </row>
        <row r="2448">
          <cell r="O2448">
            <v>3697.2375690607651</v>
          </cell>
        </row>
        <row r="2449">
          <cell r="O2449">
            <v>3761.3259668508199</v>
          </cell>
        </row>
        <row r="2450">
          <cell r="O2450">
            <v>3761.3259668508199</v>
          </cell>
        </row>
        <row r="2451">
          <cell r="O2451">
            <v>3761.3259668508199</v>
          </cell>
        </row>
        <row r="2452">
          <cell r="O2452">
            <v>3768.2715074980165</v>
          </cell>
        </row>
        <row r="2453">
          <cell r="O2453">
            <v>3755.4853985793115</v>
          </cell>
        </row>
        <row r="2454">
          <cell r="O2454">
            <v>3734.964483030772</v>
          </cell>
        </row>
        <row r="2455">
          <cell r="O2455">
            <v>3782.3204419889407</v>
          </cell>
        </row>
        <row r="2456">
          <cell r="O2456">
            <v>3771.4285714285616</v>
          </cell>
        </row>
        <row r="2457">
          <cell r="O2457">
            <v>3771.4285714285616</v>
          </cell>
        </row>
        <row r="2458">
          <cell r="O2458">
            <v>3771.4285714285616</v>
          </cell>
        </row>
        <row r="2459">
          <cell r="O2459">
            <v>3669.139700078917</v>
          </cell>
        </row>
        <row r="2460">
          <cell r="O2460">
            <v>3695.6590370954927</v>
          </cell>
        </row>
        <row r="2461">
          <cell r="O2461">
            <v>3621.7837411207493</v>
          </cell>
        </row>
        <row r="2462">
          <cell r="O2462">
            <v>3691.5548539857855</v>
          </cell>
        </row>
        <row r="2463">
          <cell r="O2463">
            <v>3733.8595106550815</v>
          </cell>
        </row>
        <row r="2464">
          <cell r="O2464">
            <v>3733.8595106550815</v>
          </cell>
        </row>
        <row r="2465">
          <cell r="O2465">
            <v>3733.8595106550815</v>
          </cell>
        </row>
        <row r="2466">
          <cell r="O2466">
            <v>3736.7008681925722</v>
          </cell>
        </row>
        <row r="2467">
          <cell r="O2467">
            <v>3668.8239936858636</v>
          </cell>
        </row>
        <row r="2468">
          <cell r="O2468">
            <v>3805.5248618784444</v>
          </cell>
        </row>
        <row r="2469">
          <cell r="O2469">
            <v>3826.6771902130931</v>
          </cell>
        </row>
        <row r="2470">
          <cell r="O2470">
            <v>3842.9360694553975</v>
          </cell>
        </row>
        <row r="2471">
          <cell r="O2471">
            <v>3842.9360694553975</v>
          </cell>
        </row>
        <row r="2472">
          <cell r="O2472">
            <v>3842.9360694553975</v>
          </cell>
        </row>
        <row r="2473">
          <cell r="O2473">
            <v>3842.9360694553975</v>
          </cell>
        </row>
        <row r="2474">
          <cell r="O2474">
            <v>3842.9360694553975</v>
          </cell>
        </row>
        <row r="2475">
          <cell r="O2475">
            <v>3842.9360694553975</v>
          </cell>
        </row>
        <row r="2476">
          <cell r="O2476">
            <v>3900.5524861878371</v>
          </cell>
        </row>
        <row r="2477">
          <cell r="O2477">
            <v>3902.1310181531094</v>
          </cell>
        </row>
        <row r="2478">
          <cell r="O2478">
            <v>3902.1310181531094</v>
          </cell>
        </row>
        <row r="2479">
          <cell r="O2479">
            <v>3902.1310181531094</v>
          </cell>
        </row>
        <row r="2480">
          <cell r="O2480">
            <v>3935.2801894238282</v>
          </cell>
        </row>
        <row r="2481">
          <cell r="O2481">
            <v>4053.6700868192493</v>
          </cell>
        </row>
        <row r="2482">
          <cell r="O2482">
            <v>4053.6700868192493</v>
          </cell>
        </row>
        <row r="2483">
          <cell r="O2483">
            <v>4023.9936858721294</v>
          </cell>
        </row>
        <row r="2484">
          <cell r="O2484">
            <v>4003.6306235201168</v>
          </cell>
        </row>
        <row r="2485">
          <cell r="O2485">
            <v>4003.6306235201168</v>
          </cell>
        </row>
        <row r="2486">
          <cell r="O2486">
            <v>4003.6306235201168</v>
          </cell>
        </row>
        <row r="2487">
          <cell r="O2487">
            <v>4038.9897395422163</v>
          </cell>
        </row>
        <row r="2488">
          <cell r="O2488">
            <v>4044.0410418310876</v>
          </cell>
        </row>
        <row r="2489">
          <cell r="O2489">
            <v>4100.8681925808905</v>
          </cell>
        </row>
        <row r="2490">
          <cell r="O2490">
            <v>4132.9123914759184</v>
          </cell>
        </row>
        <row r="2491">
          <cell r="O2491">
            <v>4061.7205998421382</v>
          </cell>
        </row>
        <row r="2492">
          <cell r="O2492">
            <v>4061.7205998421382</v>
          </cell>
        </row>
        <row r="2493">
          <cell r="O2493">
            <v>4061.7205998421382</v>
          </cell>
        </row>
        <row r="2494">
          <cell r="O2494">
            <v>4067.5611681136443</v>
          </cell>
        </row>
        <row r="2495">
          <cell r="O2495">
            <v>4000.4735595895718</v>
          </cell>
        </row>
        <row r="2496">
          <cell r="O2496">
            <v>3953.9068666140383</v>
          </cell>
        </row>
        <row r="2497">
          <cell r="O2497">
            <v>3987.3717442778097</v>
          </cell>
        </row>
        <row r="2498">
          <cell r="O2498">
            <v>3920.2841357537372</v>
          </cell>
        </row>
        <row r="2499">
          <cell r="O2499">
            <v>3920.2841357537372</v>
          </cell>
        </row>
        <row r="2500">
          <cell r="O2500">
            <v>3920.2841357537372</v>
          </cell>
        </row>
        <row r="2501">
          <cell r="O2501">
            <v>3787.5295974743376</v>
          </cell>
        </row>
        <row r="2502">
          <cell r="O2502">
            <v>3865.8247829518423</v>
          </cell>
        </row>
        <row r="2503">
          <cell r="O2503">
            <v>3840.7261247040133</v>
          </cell>
        </row>
        <row r="2504">
          <cell r="O2504">
            <v>3927.3875295974626</v>
          </cell>
        </row>
        <row r="2505">
          <cell r="O2505">
            <v>4035.5169692186146</v>
          </cell>
        </row>
        <row r="2506">
          <cell r="O2506">
            <v>4035.5169692186146</v>
          </cell>
        </row>
        <row r="2507">
          <cell r="O2507">
            <v>4035.5169692186146</v>
          </cell>
        </row>
        <row r="2508">
          <cell r="O2508">
            <v>4110.4972375690486</v>
          </cell>
        </row>
        <row r="2509">
          <cell r="O2509">
            <v>4086.3456985003822</v>
          </cell>
        </row>
        <row r="2510">
          <cell r="O2510">
            <v>4110.8129439621025</v>
          </cell>
        </row>
        <row r="2511">
          <cell r="O2511">
            <v>4116.1799526440282</v>
          </cell>
        </row>
        <row r="2512">
          <cell r="O2512">
            <v>4021.1523283346355</v>
          </cell>
        </row>
        <row r="2513">
          <cell r="O2513">
            <v>4021.1523283346355</v>
          </cell>
        </row>
        <row r="2514">
          <cell r="O2514">
            <v>4021.1523283346355</v>
          </cell>
        </row>
        <row r="2515">
          <cell r="O2515">
            <v>4008.0505130228757</v>
          </cell>
        </row>
        <row r="2516">
          <cell r="O2516">
            <v>4092.1862667718897</v>
          </cell>
        </row>
        <row r="2517">
          <cell r="O2517">
            <v>4084.2936069455291</v>
          </cell>
        </row>
        <row r="2518">
          <cell r="O2518">
            <v>3945.8563535911485</v>
          </cell>
        </row>
        <row r="2519">
          <cell r="O2519">
            <v>3981.2154696132466</v>
          </cell>
        </row>
        <row r="2520">
          <cell r="O2520">
            <v>3981.2154696132466</v>
          </cell>
        </row>
        <row r="2521">
          <cell r="O2521">
            <v>3981.2154696132466</v>
          </cell>
        </row>
        <row r="2522">
          <cell r="O2522">
            <v>3849.8816101025914</v>
          </cell>
        </row>
        <row r="2523">
          <cell r="O2523">
            <v>3863.141278610879</v>
          </cell>
        </row>
        <row r="2524">
          <cell r="O2524">
            <v>3949.6448303078014</v>
          </cell>
        </row>
        <row r="2525">
          <cell r="O2525">
            <v>3905.130228887122</v>
          </cell>
        </row>
        <row r="2526">
          <cell r="O2526">
            <v>3853.6700868192456</v>
          </cell>
        </row>
        <row r="2527">
          <cell r="O2527">
            <v>3853.6700868192456</v>
          </cell>
        </row>
        <row r="2528">
          <cell r="O2528">
            <v>3853.6700868192456</v>
          </cell>
        </row>
        <row r="2529">
          <cell r="O2529">
            <v>3785.0039463299004</v>
          </cell>
        </row>
        <row r="2530">
          <cell r="O2530">
            <v>3739.7000789265858</v>
          </cell>
        </row>
        <row r="2531">
          <cell r="O2531">
            <v>3612.3125493291122</v>
          </cell>
        </row>
        <row r="2532">
          <cell r="O2532">
            <v>3600.6314127860969</v>
          </cell>
        </row>
        <row r="2533">
          <cell r="O2533">
            <v>3560.2209944751266</v>
          </cell>
        </row>
        <row r="2534">
          <cell r="O2534">
            <v>3560.2209944751266</v>
          </cell>
        </row>
        <row r="2535">
          <cell r="O2535">
            <v>3560.2209944751266</v>
          </cell>
        </row>
        <row r="2536">
          <cell r="O2536">
            <v>3725.4932912391355</v>
          </cell>
        </row>
        <row r="2537">
          <cell r="O2537">
            <v>3731.3338595106416</v>
          </cell>
        </row>
        <row r="2538">
          <cell r="O2538">
            <v>3675.9273875295839</v>
          </cell>
        </row>
        <row r="2539">
          <cell r="O2539">
            <v>3767.640094711905</v>
          </cell>
        </row>
        <row r="2540">
          <cell r="O2540">
            <v>3818.6266771902006</v>
          </cell>
        </row>
        <row r="2541">
          <cell r="O2541">
            <v>3818.6266771902006</v>
          </cell>
        </row>
        <row r="2542">
          <cell r="O2542">
            <v>3818.6266771902006</v>
          </cell>
        </row>
        <row r="2543">
          <cell r="O2543">
            <v>3813.8910812943841</v>
          </cell>
        </row>
        <row r="2544">
          <cell r="O2544">
            <v>3852.2494080505012</v>
          </cell>
        </row>
        <row r="2545">
          <cell r="O2545">
            <v>3899.4475138121425</v>
          </cell>
        </row>
        <row r="2546">
          <cell r="O2546">
            <v>3940.4893449092224</v>
          </cell>
        </row>
        <row r="2547">
          <cell r="O2547">
            <v>3904.972375690596</v>
          </cell>
        </row>
        <row r="2548">
          <cell r="O2548">
            <v>3904.972375690596</v>
          </cell>
        </row>
        <row r="2549">
          <cell r="O2549">
            <v>3904.972375690596</v>
          </cell>
        </row>
        <row r="2550">
          <cell r="O2550">
            <v>3855.5643251775741</v>
          </cell>
        </row>
        <row r="2551">
          <cell r="O2551">
            <v>3896.6061562746527</v>
          </cell>
        </row>
        <row r="2552">
          <cell r="O2552">
            <v>3901.3417521704714</v>
          </cell>
        </row>
        <row r="2553">
          <cell r="O2553">
            <v>3870.718232044188</v>
          </cell>
        </row>
        <row r="2554">
          <cell r="O2554">
            <v>3812.1546961325862</v>
          </cell>
        </row>
        <row r="2555">
          <cell r="O2555">
            <v>3812.1546961325862</v>
          </cell>
        </row>
        <row r="2556">
          <cell r="O2556">
            <v>3812.1546961325862</v>
          </cell>
        </row>
        <row r="2557">
          <cell r="O2557">
            <v>3698.9739542225625</v>
          </cell>
        </row>
        <row r="2558">
          <cell r="O2558">
            <v>3735.5958958168794</v>
          </cell>
        </row>
        <row r="2559">
          <cell r="O2559">
            <v>3735.5958958168794</v>
          </cell>
        </row>
        <row r="2560">
          <cell r="O2560">
            <v>3700.0789265982526</v>
          </cell>
        </row>
        <row r="2561">
          <cell r="O2561">
            <v>3782.1625887924115</v>
          </cell>
        </row>
        <row r="2562">
          <cell r="O2562">
            <v>3782.1625887924115</v>
          </cell>
        </row>
        <row r="2563">
          <cell r="O2563">
            <v>3782.1625887924115</v>
          </cell>
        </row>
        <row r="2564">
          <cell r="O2564">
            <v>3869.6132596684965</v>
          </cell>
        </row>
        <row r="2565">
          <cell r="O2565">
            <v>3869.6132596684965</v>
          </cell>
        </row>
        <row r="2566">
          <cell r="O2566">
            <v>3843.4096290449766</v>
          </cell>
        </row>
        <row r="2567">
          <cell r="O2567">
            <v>3841.8310970797047</v>
          </cell>
        </row>
        <row r="2568">
          <cell r="O2568">
            <v>3808.5240726124593</v>
          </cell>
        </row>
        <row r="2569">
          <cell r="O2569">
            <v>3808.5240726124593</v>
          </cell>
        </row>
        <row r="2570">
          <cell r="O2570">
            <v>3808.5240726124593</v>
          </cell>
        </row>
        <row r="2571">
          <cell r="O2571">
            <v>3808.5240726124593</v>
          </cell>
        </row>
        <row r="2572">
          <cell r="O2572">
            <v>3808.5240726124593</v>
          </cell>
        </row>
        <row r="2573">
          <cell r="O2573">
            <v>3714.2857142857038</v>
          </cell>
        </row>
        <row r="2574">
          <cell r="O2574">
            <v>3704.3409629044882</v>
          </cell>
        </row>
        <row r="2575">
          <cell r="O2575">
            <v>3721.704814522484</v>
          </cell>
        </row>
        <row r="2576">
          <cell r="O2576">
            <v>3721.704814522484</v>
          </cell>
        </row>
        <row r="2577">
          <cell r="O2577">
            <v>3721.704814522484</v>
          </cell>
        </row>
        <row r="2578">
          <cell r="O2578">
            <v>3646.4088397789956</v>
          </cell>
        </row>
        <row r="2579">
          <cell r="O2579">
            <v>3635.9905288081977</v>
          </cell>
        </row>
        <row r="2580">
          <cell r="O2580">
            <v>3670.5603788476601</v>
          </cell>
        </row>
        <row r="2581">
          <cell r="O2581">
            <v>3622.2573007103274</v>
          </cell>
        </row>
        <row r="2582">
          <cell r="O2582">
            <v>3542.3835832675495</v>
          </cell>
        </row>
        <row r="2583">
          <cell r="O2583">
            <v>3542.3835832675495</v>
          </cell>
        </row>
        <row r="2584">
          <cell r="O2584">
            <v>3542.3835832675495</v>
          </cell>
        </row>
        <row r="2585">
          <cell r="O2585">
            <v>3517.1270718231931</v>
          </cell>
        </row>
        <row r="2586">
          <cell r="O2586">
            <v>3487.1349644830198</v>
          </cell>
        </row>
        <row r="2587">
          <cell r="O2587">
            <v>3407.5769534332958</v>
          </cell>
        </row>
        <row r="2588">
          <cell r="O2588">
            <v>3454.3014996053557</v>
          </cell>
        </row>
        <row r="2589">
          <cell r="O2589">
            <v>3470.7182320441871</v>
          </cell>
        </row>
        <row r="2590">
          <cell r="O2590">
            <v>3470.7182320441871</v>
          </cell>
        </row>
        <row r="2591">
          <cell r="O2591">
            <v>3470.7182320441871</v>
          </cell>
        </row>
        <row r="2592">
          <cell r="O2592">
            <v>3371.7442778216146</v>
          </cell>
        </row>
        <row r="2593">
          <cell r="O2593">
            <v>3228.8871349644728</v>
          </cell>
        </row>
        <row r="2594">
          <cell r="O2594">
            <v>3271.1917916337698</v>
          </cell>
        </row>
        <row r="2595">
          <cell r="O2595">
            <v>3333.8595106550792</v>
          </cell>
        </row>
        <row r="2596">
          <cell r="O2596">
            <v>3394.7908445145908</v>
          </cell>
        </row>
        <row r="2597">
          <cell r="O2597">
            <v>3394.7908445145908</v>
          </cell>
        </row>
        <row r="2598">
          <cell r="O2598">
            <v>3394.7908445145908</v>
          </cell>
        </row>
        <row r="2599">
          <cell r="O2599">
            <v>3259.9842146803376</v>
          </cell>
        </row>
        <row r="2600">
          <cell r="O2600">
            <v>3295.9747434885467</v>
          </cell>
        </row>
        <row r="2601">
          <cell r="O2601">
            <v>3212.312549329115</v>
          </cell>
        </row>
        <row r="2602">
          <cell r="O2602">
            <v>3279.7158642462418</v>
          </cell>
        </row>
        <row r="2603">
          <cell r="O2603">
            <v>3300.3946329913088</v>
          </cell>
        </row>
        <row r="2604">
          <cell r="O2604">
            <v>3300.3946329913088</v>
          </cell>
        </row>
        <row r="2605">
          <cell r="O2605">
            <v>3300.3946329913088</v>
          </cell>
        </row>
        <row r="2606">
          <cell r="O2606">
            <v>3413.2596685082767</v>
          </cell>
        </row>
        <row r="2607">
          <cell r="O2607">
            <v>3423.9936858721289</v>
          </cell>
        </row>
        <row r="2608">
          <cell r="O2608">
            <v>3423.9936858721289</v>
          </cell>
        </row>
        <row r="2609">
          <cell r="O2609">
            <v>3423.9936858721289</v>
          </cell>
        </row>
        <row r="2610">
          <cell r="O2610">
            <v>3423.9936858721289</v>
          </cell>
        </row>
        <row r="2611">
          <cell r="O2611">
            <v>3423.9936858721289</v>
          </cell>
        </row>
        <row r="2612">
          <cell r="O2612">
            <v>3423.9936858721289</v>
          </cell>
        </row>
        <row r="2613">
          <cell r="O2613">
            <v>3297.8689818468724</v>
          </cell>
        </row>
        <row r="2614">
          <cell r="O2614">
            <v>3299.2896606156173</v>
          </cell>
        </row>
        <row r="2615">
          <cell r="O2615">
            <v>3276.4009471191689</v>
          </cell>
        </row>
        <row r="2616">
          <cell r="O2616">
            <v>3412.7861089186945</v>
          </cell>
        </row>
        <row r="2617">
          <cell r="O2617">
            <v>3399.8421468034621</v>
          </cell>
        </row>
        <row r="2618">
          <cell r="O2618">
            <v>3399.8421468034621</v>
          </cell>
        </row>
        <row r="2619">
          <cell r="O2619">
            <v>3399.8421468034621</v>
          </cell>
        </row>
        <row r="2620">
          <cell r="O2620">
            <v>3401.1049723756792</v>
          </cell>
        </row>
        <row r="2621">
          <cell r="O2621">
            <v>3447.040252565102</v>
          </cell>
        </row>
        <row r="2622">
          <cell r="O2622">
            <v>3375.532754538267</v>
          </cell>
        </row>
        <row r="2623">
          <cell r="O2623">
            <v>3415.6274664561834</v>
          </cell>
        </row>
        <row r="2624">
          <cell r="O2624">
            <v>3373.7963693764682</v>
          </cell>
        </row>
        <row r="2625">
          <cell r="O2625">
            <v>3373.7963693764682</v>
          </cell>
        </row>
        <row r="2626">
          <cell r="O2626">
            <v>3373.7963693764682</v>
          </cell>
        </row>
        <row r="2627">
          <cell r="O2627">
            <v>3426.5193370165621</v>
          </cell>
        </row>
        <row r="2628">
          <cell r="O2628">
            <v>3428.8871349644705</v>
          </cell>
        </row>
        <row r="2629">
          <cell r="O2629">
            <v>3454.932912391464</v>
          </cell>
        </row>
        <row r="2630">
          <cell r="O2630">
            <v>3482.0836621941471</v>
          </cell>
        </row>
        <row r="2631">
          <cell r="O2631">
            <v>3423.0465666929631</v>
          </cell>
        </row>
        <row r="2632">
          <cell r="O2632">
            <v>3423.0465666929631</v>
          </cell>
        </row>
        <row r="2633">
          <cell r="O2633">
            <v>3423.0465666929631</v>
          </cell>
        </row>
        <row r="2634">
          <cell r="O2634">
            <v>3342.2257300710221</v>
          </cell>
        </row>
        <row r="2635">
          <cell r="O2635">
            <v>3348.6977111286387</v>
          </cell>
        </row>
        <row r="2636">
          <cell r="O2636">
            <v>3348.6977111286387</v>
          </cell>
        </row>
        <row r="2637">
          <cell r="O2637">
            <v>3392.5808997632089</v>
          </cell>
        </row>
        <row r="2638">
          <cell r="O2638">
            <v>3323.9147592738641</v>
          </cell>
        </row>
        <row r="2639">
          <cell r="O2639">
            <v>3323.9147592738641</v>
          </cell>
        </row>
        <row r="2640">
          <cell r="O2640">
            <v>3323.9147592738641</v>
          </cell>
        </row>
        <row r="2641">
          <cell r="O2641">
            <v>3256.3535911602098</v>
          </cell>
        </row>
        <row r="2642">
          <cell r="O2642">
            <v>3284.29360694553</v>
          </cell>
        </row>
        <row r="2643">
          <cell r="O2643">
            <v>3322.6519337016471</v>
          </cell>
        </row>
        <row r="2644">
          <cell r="O2644">
            <v>3226.8350434096187</v>
          </cell>
        </row>
        <row r="2645">
          <cell r="O2645">
            <v>3198.5793212312451</v>
          </cell>
        </row>
        <row r="2646">
          <cell r="O2646">
            <v>3198.5793212312451</v>
          </cell>
        </row>
        <row r="2647">
          <cell r="O2647">
            <v>3198.5793212312451</v>
          </cell>
        </row>
        <row r="2648">
          <cell r="O2648">
            <v>3152.0126282557121</v>
          </cell>
        </row>
        <row r="2649">
          <cell r="O2649">
            <v>3185.3196527229575</v>
          </cell>
        </row>
        <row r="2650">
          <cell r="O2650">
            <v>3259.3528018942288</v>
          </cell>
        </row>
        <row r="2651">
          <cell r="O2651">
            <v>3261.5627466456099</v>
          </cell>
        </row>
        <row r="2652">
          <cell r="O2652">
            <v>3310.0236779794695</v>
          </cell>
        </row>
        <row r="2653">
          <cell r="O2653">
            <v>3310.0236779794695</v>
          </cell>
        </row>
        <row r="2654">
          <cell r="O2654">
            <v>3310.0236779794695</v>
          </cell>
        </row>
        <row r="2655">
          <cell r="O2655">
            <v>3330.7024467245365</v>
          </cell>
        </row>
        <row r="2656">
          <cell r="O2656">
            <v>3373.7963693764696</v>
          </cell>
        </row>
        <row r="2657">
          <cell r="O2657">
            <v>3384.5303867403213</v>
          </cell>
        </row>
        <row r="2658">
          <cell r="O2658">
            <v>3375.6906077347958</v>
          </cell>
        </row>
        <row r="2659">
          <cell r="O2659">
            <v>3428.8871349644714</v>
          </cell>
        </row>
        <row r="2660">
          <cell r="O2660">
            <v>3428.8871349644714</v>
          </cell>
        </row>
        <row r="2661">
          <cell r="O2661">
            <v>3428.8871349644714</v>
          </cell>
        </row>
        <row r="2662">
          <cell r="O2662">
            <v>3435.674822415142</v>
          </cell>
        </row>
        <row r="2663">
          <cell r="O2663">
            <v>3438.2004735595783</v>
          </cell>
        </row>
        <row r="2664">
          <cell r="O2664">
            <v>3532.12312549328</v>
          </cell>
        </row>
        <row r="2665">
          <cell r="O2665">
            <v>3583.1097079715751</v>
          </cell>
        </row>
        <row r="2666">
          <cell r="O2666">
            <v>3582.4782951854659</v>
          </cell>
        </row>
        <row r="2667">
          <cell r="O2667">
            <v>3582.4782951854659</v>
          </cell>
        </row>
        <row r="2668">
          <cell r="O2668">
            <v>3582.4782951854659</v>
          </cell>
        </row>
        <row r="2669">
          <cell r="O2669">
            <v>3595.7379636937526</v>
          </cell>
        </row>
        <row r="2670">
          <cell r="O2670">
            <v>3553.2754538279278</v>
          </cell>
        </row>
        <row r="2671">
          <cell r="O2671">
            <v>3553.2754538279278</v>
          </cell>
        </row>
        <row r="2672">
          <cell r="O2672">
            <v>3574.4277821625774</v>
          </cell>
        </row>
        <row r="2673">
          <cell r="O2673">
            <v>3611.681136543004</v>
          </cell>
        </row>
        <row r="2674">
          <cell r="O2674">
            <v>3611.681136543004</v>
          </cell>
        </row>
        <row r="2675">
          <cell r="O2675">
            <v>3611.681136543004</v>
          </cell>
        </row>
        <row r="2676">
          <cell r="O2676">
            <v>3544.4356748224036</v>
          </cell>
        </row>
        <row r="2677">
          <cell r="O2677">
            <v>3528.1767955800997</v>
          </cell>
        </row>
        <row r="2678">
          <cell r="O2678">
            <v>3557.3796369376373</v>
          </cell>
        </row>
        <row r="2679">
          <cell r="O2679">
            <v>3582.9518547750486</v>
          </cell>
        </row>
        <row r="2680">
          <cell r="O2680">
            <v>3587.2138910812832</v>
          </cell>
        </row>
        <row r="2681">
          <cell r="O2681">
            <v>3587.2138910812832</v>
          </cell>
        </row>
        <row r="2682">
          <cell r="O2682">
            <v>3587.2138910812832</v>
          </cell>
        </row>
        <row r="2683">
          <cell r="O2683">
            <v>3648.1452249407944</v>
          </cell>
        </row>
        <row r="2684">
          <cell r="O2684">
            <v>3618.310970797148</v>
          </cell>
        </row>
        <row r="2685">
          <cell r="O2685">
            <v>3639.4632991317967</v>
          </cell>
        </row>
        <row r="2686">
          <cell r="O2686">
            <v>3642.7782162588687</v>
          </cell>
        </row>
        <row r="2687">
          <cell r="O2687">
            <v>3702.6045777426889</v>
          </cell>
        </row>
        <row r="2688">
          <cell r="O2688">
            <v>3702.6045777426889</v>
          </cell>
        </row>
        <row r="2689">
          <cell r="O2689">
            <v>3702.6045777426889</v>
          </cell>
        </row>
        <row r="2690">
          <cell r="O2690">
            <v>3709.0765588003051</v>
          </cell>
        </row>
        <row r="2691">
          <cell r="O2691">
            <v>3681.7679558010946</v>
          </cell>
        </row>
        <row r="2692">
          <cell r="O2692">
            <v>3709.5501183898868</v>
          </cell>
        </row>
        <row r="2693">
          <cell r="O2693">
            <v>3709.5501183898868</v>
          </cell>
        </row>
        <row r="2694">
          <cell r="O2694">
            <v>3759.7474348855467</v>
          </cell>
        </row>
        <row r="2695">
          <cell r="O2695">
            <v>3759.7474348855467</v>
          </cell>
        </row>
        <row r="2696">
          <cell r="O2696">
            <v>3759.7474348855467</v>
          </cell>
        </row>
        <row r="2697">
          <cell r="O2697">
            <v>3759.7474348855467</v>
          </cell>
        </row>
        <row r="2698">
          <cell r="O2698">
            <v>3781.0576164167237</v>
          </cell>
        </row>
        <row r="2699">
          <cell r="O2699">
            <v>3767.3243883188552</v>
          </cell>
        </row>
        <row r="2700">
          <cell r="O2700">
            <v>3746.9613259668427</v>
          </cell>
        </row>
        <row r="2701">
          <cell r="O2701">
            <v>3693.4490923441117</v>
          </cell>
        </row>
        <row r="2702">
          <cell r="O2702">
            <v>3693.4490923441117</v>
          </cell>
        </row>
        <row r="2703">
          <cell r="O2703">
            <v>3693.4490923441117</v>
          </cell>
        </row>
        <row r="2704">
          <cell r="O2704">
            <v>3693.4490923441117</v>
          </cell>
        </row>
        <row r="2705">
          <cell r="O2705">
            <v>3741.4364640883887</v>
          </cell>
        </row>
        <row r="2706">
          <cell r="O2706">
            <v>3741.7521704814435</v>
          </cell>
        </row>
        <row r="2707">
          <cell r="O2707">
            <v>3837.5690607734718</v>
          </cell>
        </row>
        <row r="2708">
          <cell r="O2708">
            <v>3844.3567482241424</v>
          </cell>
        </row>
        <row r="2709">
          <cell r="O2709">
            <v>3844.3567482241424</v>
          </cell>
        </row>
        <row r="2710">
          <cell r="O2710">
            <v>3844.3567482241424</v>
          </cell>
        </row>
        <row r="2711">
          <cell r="O2711">
            <v>3830.623520126273</v>
          </cell>
        </row>
        <row r="2712">
          <cell r="O2712">
            <v>3798.2636148381916</v>
          </cell>
        </row>
        <row r="2713">
          <cell r="O2713">
            <v>3743.4885556432432</v>
          </cell>
        </row>
        <row r="2714">
          <cell r="O2714">
            <v>3714.4435674822334</v>
          </cell>
        </row>
        <row r="2715">
          <cell r="O2715">
            <v>3695.9747434885476</v>
          </cell>
        </row>
        <row r="2716">
          <cell r="O2716">
            <v>3695.9747434885476</v>
          </cell>
        </row>
        <row r="2717">
          <cell r="O2717">
            <v>3695.9747434885476</v>
          </cell>
        </row>
        <row r="2718">
          <cell r="O2718">
            <v>3637.4112075769453</v>
          </cell>
        </row>
        <row r="2719">
          <cell r="O2719">
            <v>3693.2912391475857</v>
          </cell>
        </row>
        <row r="2720">
          <cell r="O2720">
            <v>3649.0923441199611</v>
          </cell>
        </row>
        <row r="2721">
          <cell r="O2721">
            <v>3731.4917127071744</v>
          </cell>
        </row>
        <row r="2722">
          <cell r="O2722">
            <v>3748.3820047355875</v>
          </cell>
        </row>
        <row r="2723">
          <cell r="O2723">
            <v>3748.3820047355875</v>
          </cell>
        </row>
        <row r="2724">
          <cell r="O2724">
            <v>3748.3820047355875</v>
          </cell>
        </row>
        <row r="2725">
          <cell r="O2725">
            <v>3737.6479873717358</v>
          </cell>
        </row>
        <row r="2726">
          <cell r="O2726">
            <v>3680.1894238358245</v>
          </cell>
        </row>
        <row r="2727">
          <cell r="O2727">
            <v>3710.970797158634</v>
          </cell>
        </row>
        <row r="2728">
          <cell r="O2728">
            <v>3705.7616416732349</v>
          </cell>
        </row>
        <row r="2729">
          <cell r="O2729">
            <v>3705.7616416732349</v>
          </cell>
        </row>
        <row r="2730">
          <cell r="O2730">
            <v>3705.7616416732349</v>
          </cell>
        </row>
        <row r="2731">
          <cell r="O2731">
            <v>3705.7616416732349</v>
          </cell>
        </row>
        <row r="2732">
          <cell r="O2732">
            <v>3651.93370165745</v>
          </cell>
        </row>
        <row r="2733">
          <cell r="O2733">
            <v>3576.3220205209082</v>
          </cell>
        </row>
        <row r="2734">
          <cell r="O2734">
            <v>3589.8973954222488</v>
          </cell>
        </row>
        <row r="2735">
          <cell r="O2735">
            <v>3491.2391475927302</v>
          </cell>
        </row>
        <row r="2736">
          <cell r="O2736">
            <v>3516.8113654301419</v>
          </cell>
        </row>
        <row r="2737">
          <cell r="O2737">
            <v>3516.8113654301419</v>
          </cell>
        </row>
        <row r="2738">
          <cell r="O2738">
            <v>3516.8113654301419</v>
          </cell>
        </row>
        <row r="2739">
          <cell r="O2739">
            <v>3550.2762430939133</v>
          </cell>
        </row>
        <row r="2740">
          <cell r="O2740">
            <v>3530.5445935280095</v>
          </cell>
        </row>
        <row r="2741">
          <cell r="O2741">
            <v>3576.9534333070146</v>
          </cell>
        </row>
        <row r="2742">
          <cell r="O2742">
            <v>3504.8145224940713</v>
          </cell>
        </row>
        <row r="2743">
          <cell r="O2743">
            <v>3481.7679558010964</v>
          </cell>
        </row>
        <row r="2744">
          <cell r="O2744">
            <v>3481.7679558010964</v>
          </cell>
        </row>
        <row r="2745">
          <cell r="O2745">
            <v>3481.7679558010964</v>
          </cell>
        </row>
        <row r="2746">
          <cell r="O2746">
            <v>3449.2501973164872</v>
          </cell>
        </row>
        <row r="2747">
          <cell r="O2747">
            <v>3440.7261247040169</v>
          </cell>
        </row>
        <row r="2748">
          <cell r="O2748">
            <v>3456.1957379636856</v>
          </cell>
        </row>
        <row r="2749">
          <cell r="O2749">
            <v>3458.8792423046489</v>
          </cell>
        </row>
        <row r="2750">
          <cell r="O2750">
            <v>3387.3717442778138</v>
          </cell>
        </row>
        <row r="2751">
          <cell r="O2751">
            <v>3387.3717442778138</v>
          </cell>
        </row>
        <row r="2752">
          <cell r="O2752">
            <v>3387.3717442778138</v>
          </cell>
        </row>
        <row r="2753">
          <cell r="O2753">
            <v>3370.4814522494003</v>
          </cell>
        </row>
        <row r="2754">
          <cell r="O2754">
            <v>3362.5887924230387</v>
          </cell>
        </row>
        <row r="2755">
          <cell r="O2755">
            <v>3282.7150749802604</v>
          </cell>
        </row>
        <row r="2756">
          <cell r="O2756">
            <v>3247.198105761634</v>
          </cell>
        </row>
        <row r="2757">
          <cell r="O2757">
            <v>3184.5303867403236</v>
          </cell>
        </row>
        <row r="2758">
          <cell r="O2758">
            <v>3184.5303867403236</v>
          </cell>
        </row>
        <row r="2759">
          <cell r="O2759">
            <v>3184.5303867403236</v>
          </cell>
        </row>
        <row r="2760">
          <cell r="O2760">
            <v>3194.001578531957</v>
          </cell>
        </row>
        <row r="2761">
          <cell r="O2761">
            <v>3102.1310181531094</v>
          </cell>
        </row>
        <row r="2762">
          <cell r="O2762">
            <v>3071.9810576164091</v>
          </cell>
        </row>
        <row r="2763">
          <cell r="O2763">
            <v>3099.2896606156191</v>
          </cell>
        </row>
        <row r="2764">
          <cell r="O2764">
            <v>3158.9581689029119</v>
          </cell>
        </row>
        <row r="2765">
          <cell r="O2765">
            <v>3158.9581689029119</v>
          </cell>
        </row>
        <row r="2766">
          <cell r="O2766">
            <v>3158.9581689029119</v>
          </cell>
        </row>
        <row r="2767">
          <cell r="O2767">
            <v>3143.1728492501898</v>
          </cell>
        </row>
        <row r="2768">
          <cell r="O2768">
            <v>3046.7245461720522</v>
          </cell>
        </row>
        <row r="2769">
          <cell r="O2769">
            <v>3038.3583267561089</v>
          </cell>
        </row>
        <row r="2770">
          <cell r="O2770">
            <v>3076.4009471191721</v>
          </cell>
        </row>
        <row r="2771">
          <cell r="O2771">
            <v>3044.3567482241447</v>
          </cell>
        </row>
        <row r="2772">
          <cell r="O2772">
            <v>3044.3567482241447</v>
          </cell>
        </row>
        <row r="2773">
          <cell r="O2773">
            <v>3044.3567482241447</v>
          </cell>
        </row>
        <row r="2774">
          <cell r="O2774">
            <v>3157.0639305445866</v>
          </cell>
        </row>
        <row r="2775">
          <cell r="O2775">
            <v>3153.4333070244606</v>
          </cell>
        </row>
        <row r="2776">
          <cell r="O2776">
            <v>3214.5224940804992</v>
          </cell>
        </row>
        <row r="2777">
          <cell r="O2777">
            <v>3288.7134964482975</v>
          </cell>
        </row>
        <row r="2778">
          <cell r="O2778">
            <v>3224.4672454617157</v>
          </cell>
        </row>
        <row r="2779">
          <cell r="O2779">
            <v>3224.4672454617157</v>
          </cell>
        </row>
        <row r="2780">
          <cell r="O2780">
            <v>3224.4672454617157</v>
          </cell>
        </row>
        <row r="2781">
          <cell r="O2781">
            <v>3219.7316495658988</v>
          </cell>
        </row>
        <row r="2782">
          <cell r="O2782">
            <v>3155.485398579317</v>
          </cell>
        </row>
        <row r="2783">
          <cell r="O2783">
            <v>3185.7932123125447</v>
          </cell>
        </row>
        <row r="2784">
          <cell r="O2784">
            <v>3222.0994475138077</v>
          </cell>
        </row>
        <row r="2785">
          <cell r="O2785">
            <v>3179.6369376479824</v>
          </cell>
        </row>
        <row r="2786">
          <cell r="O2786">
            <v>3179.6369376479824</v>
          </cell>
        </row>
        <row r="2787">
          <cell r="O2787">
            <v>3179.6369376479824</v>
          </cell>
        </row>
        <row r="2788">
          <cell r="O2788">
            <v>3118.5477505919448</v>
          </cell>
        </row>
        <row r="2789">
          <cell r="O2789">
            <v>3100.8681925808946</v>
          </cell>
        </row>
        <row r="2790">
          <cell r="O2790">
            <v>3193.0544593527957</v>
          </cell>
        </row>
        <row r="2791">
          <cell r="O2791">
            <v>3161.9573796369314</v>
          </cell>
        </row>
        <row r="2792">
          <cell r="O2792">
            <v>3169.0607734806572</v>
          </cell>
        </row>
        <row r="2793">
          <cell r="O2793">
            <v>3169.0607734806572</v>
          </cell>
        </row>
        <row r="2794">
          <cell r="O2794">
            <v>3169.0607734806572</v>
          </cell>
        </row>
        <row r="2795">
          <cell r="O2795">
            <v>3195.2644041041772</v>
          </cell>
        </row>
        <row r="2796">
          <cell r="O2796">
            <v>3190.5288082083598</v>
          </cell>
        </row>
        <row r="2797">
          <cell r="O2797">
            <v>3161.1681136542943</v>
          </cell>
        </row>
        <row r="2798">
          <cell r="O2798">
            <v>3180.7419100236712</v>
          </cell>
        </row>
        <row r="2799">
          <cell r="O2799">
            <v>3180.7419100236712</v>
          </cell>
        </row>
        <row r="2800">
          <cell r="O2800">
            <v>3180.7419100236712</v>
          </cell>
        </row>
        <row r="2801">
          <cell r="O2801">
            <v>3180.7419100236712</v>
          </cell>
        </row>
        <row r="2802">
          <cell r="O2802">
            <v>3172.3756906077278</v>
          </cell>
        </row>
        <row r="2803">
          <cell r="O2803">
            <v>3118.5477505919425</v>
          </cell>
        </row>
        <row r="2804">
          <cell r="O2804">
            <v>3115.2328334648705</v>
          </cell>
        </row>
        <row r="2805">
          <cell r="O2805">
            <v>3059.9842146803398</v>
          </cell>
        </row>
        <row r="2806">
          <cell r="O2806">
            <v>3031.4127861089119</v>
          </cell>
        </row>
        <row r="2807">
          <cell r="O2807">
            <v>3031.4127861089119</v>
          </cell>
        </row>
        <row r="2808">
          <cell r="O2808">
            <v>3031.4127861089119</v>
          </cell>
        </row>
        <row r="2809">
          <cell r="O2809">
            <v>3046.4088397789988</v>
          </cell>
        </row>
        <row r="2810">
          <cell r="O2810">
            <v>3020.678768745061</v>
          </cell>
        </row>
        <row r="2811">
          <cell r="O2811">
            <v>3024.4672454617144</v>
          </cell>
        </row>
        <row r="2812">
          <cell r="O2812">
            <v>2979.4790844514541</v>
          </cell>
        </row>
        <row r="2813">
          <cell r="O2813">
            <v>2982.7940015785252</v>
          </cell>
        </row>
        <row r="2814">
          <cell r="O2814">
            <v>2982.7940015785252</v>
          </cell>
        </row>
        <row r="2815">
          <cell r="O2815">
            <v>2982.7940015785252</v>
          </cell>
        </row>
        <row r="2816">
          <cell r="O2816">
            <v>2874.9802683504277</v>
          </cell>
        </row>
        <row r="2817">
          <cell r="O2817">
            <v>2879.4001578531902</v>
          </cell>
        </row>
        <row r="2818">
          <cell r="O2818">
            <v>2910.181531176001</v>
          </cell>
        </row>
        <row r="2819">
          <cell r="O2819">
            <v>2897.7111286503491</v>
          </cell>
        </row>
        <row r="2820">
          <cell r="O2820">
            <v>2849.0923441199629</v>
          </cell>
        </row>
        <row r="2821">
          <cell r="O2821">
            <v>2849.0923441199629</v>
          </cell>
        </row>
        <row r="2822">
          <cell r="O2822">
            <v>2849.0923441199629</v>
          </cell>
        </row>
        <row r="2823">
          <cell r="O2823">
            <v>2998.7371744277752</v>
          </cell>
        </row>
        <row r="2824">
          <cell r="O2824">
            <v>2951.6969218626609</v>
          </cell>
        </row>
        <row r="2825">
          <cell r="O2825">
            <v>2975.5327545382734</v>
          </cell>
        </row>
        <row r="2826">
          <cell r="O2826">
            <v>2924.5461720599778</v>
          </cell>
        </row>
        <row r="2827">
          <cell r="O2827">
            <v>2997.6322020520856</v>
          </cell>
        </row>
        <row r="2828">
          <cell r="O2828">
            <v>2997.6322020520856</v>
          </cell>
        </row>
        <row r="2829">
          <cell r="O2829">
            <v>2997.6322020520856</v>
          </cell>
        </row>
        <row r="2830">
          <cell r="O2830">
            <v>2997.6322020520856</v>
          </cell>
        </row>
        <row r="2831">
          <cell r="O2831">
            <v>2825.5722178374053</v>
          </cell>
        </row>
        <row r="2832">
          <cell r="O2832">
            <v>2897.2375690607673</v>
          </cell>
        </row>
        <row r="2833">
          <cell r="O2833">
            <v>2829.5185477505861</v>
          </cell>
        </row>
        <row r="2834">
          <cell r="O2834">
            <v>2972.5335438042557</v>
          </cell>
        </row>
        <row r="2835">
          <cell r="O2835">
            <v>2972.5335438042557</v>
          </cell>
        </row>
        <row r="2836">
          <cell r="O2836">
            <v>2972.5335438042557</v>
          </cell>
        </row>
        <row r="2837">
          <cell r="O2837">
            <v>2985.9510655090708</v>
          </cell>
        </row>
        <row r="2838">
          <cell r="O2838">
            <v>3024.1515390686614</v>
          </cell>
        </row>
        <row r="2839">
          <cell r="O2839">
            <v>3049.4080505130178</v>
          </cell>
        </row>
        <row r="2840">
          <cell r="O2840">
            <v>3060.2999210733969</v>
          </cell>
        </row>
        <row r="2841">
          <cell r="O2841">
            <v>3008.6819258089922</v>
          </cell>
        </row>
        <row r="2842">
          <cell r="O2842">
            <v>3008.6819258089922</v>
          </cell>
        </row>
        <row r="2843">
          <cell r="O2843">
            <v>3008.6819258089922</v>
          </cell>
        </row>
        <row r="2844">
          <cell r="O2844">
            <v>2969.2186266771846</v>
          </cell>
        </row>
        <row r="2845">
          <cell r="O2845">
            <v>2945.8563535911549</v>
          </cell>
        </row>
        <row r="2846">
          <cell r="O2846">
            <v>2928.4925019731595</v>
          </cell>
        </row>
        <row r="2847">
          <cell r="O2847">
            <v>2883.9779005524811</v>
          </cell>
        </row>
        <row r="2848">
          <cell r="O2848">
            <v>2883.9779005524811</v>
          </cell>
        </row>
        <row r="2849">
          <cell r="O2849">
            <v>2883.9779005524811</v>
          </cell>
        </row>
        <row r="2850">
          <cell r="O2850">
            <v>2883.9779005524811</v>
          </cell>
        </row>
        <row r="2851">
          <cell r="O2851">
            <v>2762.9044988160967</v>
          </cell>
        </row>
        <row r="2852">
          <cell r="O2852">
            <v>2785.4775059194899</v>
          </cell>
        </row>
        <row r="2853">
          <cell r="O2853">
            <v>2638.674033149166</v>
          </cell>
        </row>
        <row r="2854">
          <cell r="O2854">
            <v>2665.5090765587947</v>
          </cell>
        </row>
        <row r="2855">
          <cell r="O2855">
            <v>2558.011049723752</v>
          </cell>
        </row>
        <row r="2856">
          <cell r="O2856">
            <v>2558.011049723752</v>
          </cell>
        </row>
        <row r="2857">
          <cell r="O2857">
            <v>2558.011049723752</v>
          </cell>
        </row>
        <row r="2858">
          <cell r="O2858">
            <v>2650.5130228887078</v>
          </cell>
        </row>
        <row r="2859">
          <cell r="O2859">
            <v>2812.1546961325894</v>
          </cell>
        </row>
        <row r="2860">
          <cell r="O2860">
            <v>2751.0655090765517</v>
          </cell>
        </row>
        <row r="2861">
          <cell r="O2861">
            <v>2488.2399368587148</v>
          </cell>
        </row>
        <row r="2862">
          <cell r="O2862">
            <v>2416.101026045772</v>
          </cell>
        </row>
        <row r="2863">
          <cell r="O2863">
            <v>2416.101026045772</v>
          </cell>
        </row>
        <row r="2864">
          <cell r="O2864">
            <v>2416.101026045772</v>
          </cell>
        </row>
        <row r="2865">
          <cell r="O2865">
            <v>2486.3456985003891</v>
          </cell>
        </row>
        <row r="2866">
          <cell r="O2866">
            <v>2459.3528018942329</v>
          </cell>
        </row>
        <row r="2867">
          <cell r="O2867">
            <v>2338.2794001578477</v>
          </cell>
        </row>
        <row r="2868">
          <cell r="O2868">
            <v>2170.0078926598212</v>
          </cell>
        </row>
        <row r="2869">
          <cell r="O2869">
            <v>1945.8563535911558</v>
          </cell>
        </row>
        <row r="2870">
          <cell r="O2870">
            <v>1945.8563535911558</v>
          </cell>
        </row>
        <row r="2871">
          <cell r="O2871">
            <v>1945.8563535911558</v>
          </cell>
        </row>
        <row r="2872">
          <cell r="O2872">
            <v>1987.8453038673981</v>
          </cell>
        </row>
        <row r="2873">
          <cell r="O2873">
            <v>2090.2920284135694</v>
          </cell>
        </row>
        <row r="2874">
          <cell r="O2874">
            <v>2031.2549329123858</v>
          </cell>
        </row>
        <row r="2875">
          <cell r="O2875">
            <v>2279.7158642462437</v>
          </cell>
        </row>
        <row r="2876">
          <cell r="O2876">
            <v>2328.3346487766303</v>
          </cell>
        </row>
        <row r="2877">
          <cell r="O2877">
            <v>2328.3346487766303</v>
          </cell>
        </row>
        <row r="2878">
          <cell r="O2878">
            <v>2328.3346487766303</v>
          </cell>
        </row>
        <row r="2879">
          <cell r="O2879">
            <v>2349.0134175216972</v>
          </cell>
        </row>
        <row r="2880">
          <cell r="O2880">
            <v>2393.5280189423761</v>
          </cell>
        </row>
        <row r="2881">
          <cell r="O2881">
            <v>2445.6195737963621</v>
          </cell>
        </row>
        <row r="2882">
          <cell r="O2882">
            <v>2263.1412786108849</v>
          </cell>
        </row>
        <row r="2883">
          <cell r="O2883">
            <v>2343.1728492501902</v>
          </cell>
        </row>
        <row r="2884">
          <cell r="O2884">
            <v>2343.1728492501902</v>
          </cell>
        </row>
        <row r="2885">
          <cell r="O2885">
            <v>2343.1728492501902</v>
          </cell>
        </row>
        <row r="2886">
          <cell r="O2886">
            <v>2381.0576164167251</v>
          </cell>
        </row>
        <row r="2887">
          <cell r="O2887">
            <v>2331.0181531175936</v>
          </cell>
        </row>
        <row r="2888">
          <cell r="O2888">
            <v>2324.7040252565048</v>
          </cell>
        </row>
        <row r="2889">
          <cell r="O2889">
            <v>2252.5651144435601</v>
          </cell>
        </row>
        <row r="2890">
          <cell r="O2890">
            <v>2245.6195737963621</v>
          </cell>
        </row>
        <row r="2891">
          <cell r="O2891">
            <v>2245.6195737963621</v>
          </cell>
        </row>
        <row r="2892">
          <cell r="O2892">
            <v>2245.6195737963621</v>
          </cell>
        </row>
        <row r="2893">
          <cell r="O2893">
            <v>2218.9423835832604</v>
          </cell>
        </row>
        <row r="2894">
          <cell r="O2894">
            <v>2129.1239147592673</v>
          </cell>
        </row>
        <row r="2895">
          <cell r="O2895">
            <v>2088.871349644824</v>
          </cell>
        </row>
        <row r="2896">
          <cell r="O2896">
            <v>1950.1183898973895</v>
          </cell>
        </row>
        <row r="2897">
          <cell r="O2897">
            <v>2064.0883977900485</v>
          </cell>
        </row>
        <row r="2898">
          <cell r="O2898">
            <v>2064.0883977900485</v>
          </cell>
        </row>
        <row r="2899">
          <cell r="O2899">
            <v>2064.0883977900485</v>
          </cell>
        </row>
        <row r="2900">
          <cell r="O2900">
            <v>1989.2659826361421</v>
          </cell>
        </row>
        <row r="2901">
          <cell r="O2901">
            <v>2020.6787687450603</v>
          </cell>
        </row>
        <row r="2902">
          <cell r="O2902">
            <v>2123.1254932912325</v>
          </cell>
        </row>
        <row r="2903">
          <cell r="O2903">
            <v>2196.8429360694486</v>
          </cell>
        </row>
        <row r="2904">
          <cell r="O2904">
            <v>2220.3630623520057</v>
          </cell>
        </row>
        <row r="2905">
          <cell r="O2905">
            <v>2220.3630623520057</v>
          </cell>
        </row>
        <row r="2906">
          <cell r="O2906">
            <v>2220.3630623520057</v>
          </cell>
        </row>
        <row r="2907">
          <cell r="O2907">
            <v>2183.5832675611614</v>
          </cell>
        </row>
        <row r="2908">
          <cell r="O2908">
            <v>2110.4972375690536</v>
          </cell>
        </row>
        <row r="2909">
          <cell r="O2909">
            <v>2109.2344119968361</v>
          </cell>
        </row>
        <row r="2910">
          <cell r="O2910">
            <v>2074.6645619573728</v>
          </cell>
        </row>
        <row r="2911">
          <cell r="O2911">
            <v>2120.4419889502692</v>
          </cell>
        </row>
        <row r="2912">
          <cell r="O2912">
            <v>2120.4419889502692</v>
          </cell>
        </row>
        <row r="2913">
          <cell r="O2913">
            <v>2120.4419889502692</v>
          </cell>
        </row>
        <row r="2914">
          <cell r="O2914">
            <v>2287.1349644830225</v>
          </cell>
        </row>
        <row r="2915">
          <cell r="O2915">
            <v>2292.0284135753668</v>
          </cell>
        </row>
        <row r="2916">
          <cell r="O2916">
            <v>2379.3212312549249</v>
          </cell>
        </row>
        <row r="2917">
          <cell r="O2917">
            <v>2398.2636148381921</v>
          </cell>
        </row>
        <row r="2918">
          <cell r="O2918">
            <v>2279.0844514601345</v>
          </cell>
        </row>
        <row r="2919">
          <cell r="O2919">
            <v>2279.0844514601345</v>
          </cell>
        </row>
        <row r="2920">
          <cell r="O2920">
            <v>2279.0844514601345</v>
          </cell>
        </row>
        <row r="2921">
          <cell r="O2921">
            <v>2390.370955011831</v>
          </cell>
        </row>
        <row r="2922">
          <cell r="O2922">
            <v>2389.1081294396131</v>
          </cell>
        </row>
        <row r="2923">
          <cell r="O2923">
            <v>2409.1554853985713</v>
          </cell>
        </row>
        <row r="2924">
          <cell r="O2924">
            <v>2418.9423835832595</v>
          </cell>
        </row>
        <row r="2925">
          <cell r="O2925">
            <v>2432.517758484601</v>
          </cell>
        </row>
        <row r="2926">
          <cell r="O2926">
            <v>2432.517758484601</v>
          </cell>
        </row>
        <row r="2927">
          <cell r="O2927">
            <v>2432.517758484601</v>
          </cell>
        </row>
        <row r="2928">
          <cell r="O2928">
            <v>2430.6235201262739</v>
          </cell>
        </row>
        <row r="2929">
          <cell r="O2929">
            <v>2350.9076558800239</v>
          </cell>
        </row>
        <row r="2930">
          <cell r="O2930">
            <v>2320.7576953433231</v>
          </cell>
        </row>
        <row r="2931">
          <cell r="O2931">
            <v>2320.7576953433231</v>
          </cell>
        </row>
        <row r="2932">
          <cell r="O2932">
            <v>2301.6574585635281</v>
          </cell>
        </row>
        <row r="2933">
          <cell r="O2933">
            <v>2301.6574585635281</v>
          </cell>
        </row>
        <row r="2934">
          <cell r="O2934">
            <v>2301.6574585635281</v>
          </cell>
        </row>
        <row r="2935">
          <cell r="O2935">
            <v>2300.2367797947827</v>
          </cell>
        </row>
        <row r="2936">
          <cell r="O2936">
            <v>2310.1815311759979</v>
          </cell>
        </row>
        <row r="2937">
          <cell r="O2937">
            <v>2310.1815311759979</v>
          </cell>
        </row>
        <row r="2938">
          <cell r="O2938">
            <v>2310.1815311759979</v>
          </cell>
        </row>
        <row r="2939">
          <cell r="O2939">
            <v>2385.951065509068</v>
          </cell>
        </row>
        <row r="2940">
          <cell r="O2940">
            <v>2385.951065509068</v>
          </cell>
        </row>
        <row r="2941">
          <cell r="O2941">
            <v>2385.951065509068</v>
          </cell>
        </row>
        <row r="2942">
          <cell r="O2942">
            <v>2428.2557221783659</v>
          </cell>
        </row>
        <row r="2943">
          <cell r="O2943">
            <v>2474.9802683504258</v>
          </cell>
        </row>
        <row r="2944">
          <cell r="O2944">
            <v>2547.1191791633701</v>
          </cell>
        </row>
        <row r="2945">
          <cell r="O2945">
            <v>2490.2920284135671</v>
          </cell>
        </row>
        <row r="2946">
          <cell r="O2946">
            <v>2433.622730860292</v>
          </cell>
        </row>
        <row r="2947">
          <cell r="O2947">
            <v>2433.622730860292</v>
          </cell>
        </row>
        <row r="2948">
          <cell r="O2948">
            <v>2433.622730860292</v>
          </cell>
        </row>
        <row r="2949">
          <cell r="O2949">
            <v>2383.741120757687</v>
          </cell>
        </row>
        <row r="2950">
          <cell r="O2950">
            <v>2406.471981057608</v>
          </cell>
        </row>
        <row r="2951">
          <cell r="O2951">
            <v>2438.8318863456898</v>
          </cell>
        </row>
        <row r="2952">
          <cell r="O2952">
            <v>2289.6606156274584</v>
          </cell>
        </row>
        <row r="2953">
          <cell r="O2953">
            <v>2336.7008681925718</v>
          </cell>
        </row>
        <row r="2954">
          <cell r="O2954">
            <v>2336.7008681925718</v>
          </cell>
        </row>
        <row r="2955">
          <cell r="O2955">
            <v>2336.7008681925718</v>
          </cell>
        </row>
        <row r="2956">
          <cell r="O2956">
            <v>2368.11365430149</v>
          </cell>
        </row>
        <row r="2957">
          <cell r="O2957">
            <v>2313.3385951065416</v>
          </cell>
        </row>
        <row r="2958">
          <cell r="O2958">
            <v>2261.8784530386647</v>
          </cell>
        </row>
        <row r="2959">
          <cell r="O2959">
            <v>2290.607734806621</v>
          </cell>
        </row>
        <row r="2960">
          <cell r="O2960">
            <v>2237.5690607734718</v>
          </cell>
        </row>
        <row r="2961">
          <cell r="O2961">
            <v>2237.5690607734718</v>
          </cell>
        </row>
        <row r="2962">
          <cell r="O2962">
            <v>2237.5690607734718</v>
          </cell>
        </row>
        <row r="2963">
          <cell r="O2963">
            <v>2237.5690607734718</v>
          </cell>
        </row>
        <row r="2964">
          <cell r="O2964">
            <v>2237.5690607734718</v>
          </cell>
        </row>
        <row r="2965">
          <cell r="O2965">
            <v>2384.2146803472669</v>
          </cell>
        </row>
        <row r="2966">
          <cell r="O2966">
            <v>2403.9463299131703</v>
          </cell>
        </row>
        <row r="2967">
          <cell r="O2967">
            <v>2388.7924230465565</v>
          </cell>
        </row>
        <row r="2968">
          <cell r="O2968">
            <v>2388.7924230465565</v>
          </cell>
        </row>
        <row r="2969">
          <cell r="O2969">
            <v>2388.7924230465565</v>
          </cell>
        </row>
        <row r="2970">
          <cell r="O2970">
            <v>2352.0126282557117</v>
          </cell>
        </row>
        <row r="2971">
          <cell r="O2971">
            <v>2390.2131018153013</v>
          </cell>
        </row>
        <row r="2972">
          <cell r="O2972">
            <v>2462.3520126282447</v>
          </cell>
        </row>
        <row r="2973">
          <cell r="O2973">
            <v>2430.939226519326</v>
          </cell>
        </row>
        <row r="2974">
          <cell r="O2974">
            <v>2508.287292817668</v>
          </cell>
        </row>
        <row r="2975">
          <cell r="O2975">
            <v>2508.287292817668</v>
          </cell>
        </row>
        <row r="2976">
          <cell r="O2976">
            <v>2508.287292817668</v>
          </cell>
        </row>
        <row r="2977">
          <cell r="O2977">
            <v>2489.3449092343999</v>
          </cell>
        </row>
        <row r="2978">
          <cell r="O2978">
            <v>2475.7695343330583</v>
          </cell>
        </row>
        <row r="2979">
          <cell r="O2979">
            <v>2450.8287292817558</v>
          </cell>
        </row>
        <row r="2980">
          <cell r="O2980">
            <v>2425.572217837399</v>
          </cell>
        </row>
        <row r="2981">
          <cell r="O2981">
            <v>2449.7237569060649</v>
          </cell>
        </row>
        <row r="2982">
          <cell r="O2982">
            <v>2449.7237569060649</v>
          </cell>
        </row>
        <row r="2983">
          <cell r="O2983">
            <v>2449.7237569060649</v>
          </cell>
        </row>
        <row r="2984">
          <cell r="O2984">
            <v>2409.7868981846759</v>
          </cell>
        </row>
        <row r="2985">
          <cell r="O2985">
            <v>2314.127861089175</v>
          </cell>
        </row>
        <row r="2986">
          <cell r="O2986">
            <v>2276.4009471191675</v>
          </cell>
        </row>
        <row r="2987">
          <cell r="O2987">
            <v>2266.7719021310063</v>
          </cell>
        </row>
        <row r="2988">
          <cell r="O2988">
            <v>2183.2675611681025</v>
          </cell>
        </row>
        <row r="2989">
          <cell r="O2989">
            <v>2183.2675611681025</v>
          </cell>
        </row>
        <row r="2990">
          <cell r="O2990">
            <v>2183.2675611681025</v>
          </cell>
        </row>
        <row r="2991">
          <cell r="O2991">
            <v>2253.8279400157735</v>
          </cell>
        </row>
        <row r="2992">
          <cell r="O2992">
            <v>2175.5327545382679</v>
          </cell>
        </row>
        <row r="2993">
          <cell r="O2993">
            <v>2188.634569850029</v>
          </cell>
        </row>
        <row r="2994">
          <cell r="O2994">
            <v>2162.2730860299816</v>
          </cell>
        </row>
        <row r="2995">
          <cell r="O2995">
            <v>2179.4790844514496</v>
          </cell>
        </row>
        <row r="2996">
          <cell r="O2996">
            <v>2179.4790844514496</v>
          </cell>
        </row>
        <row r="2997">
          <cell r="O2997">
            <v>2179.4790844514496</v>
          </cell>
        </row>
        <row r="2998">
          <cell r="O2998">
            <v>2091.081294396201</v>
          </cell>
        </row>
        <row r="2999">
          <cell r="O2999">
            <v>2111.7600631412679</v>
          </cell>
        </row>
        <row r="3000">
          <cell r="O3000">
            <v>2181.6890292028306</v>
          </cell>
        </row>
        <row r="3001">
          <cell r="O3001">
            <v>2182.3204419889398</v>
          </cell>
        </row>
        <row r="3002">
          <cell r="O3002">
            <v>2175.6906077347967</v>
          </cell>
        </row>
        <row r="3003">
          <cell r="O3003">
            <v>2175.6906077347967</v>
          </cell>
        </row>
        <row r="3004">
          <cell r="O3004">
            <v>2175.6906077347967</v>
          </cell>
        </row>
        <row r="3005">
          <cell r="O3005">
            <v>2209.9447513812056</v>
          </cell>
        </row>
        <row r="3006">
          <cell r="O3006">
            <v>2253.0386740331387</v>
          </cell>
        </row>
        <row r="3007">
          <cell r="O3007">
            <v>2329.9131807418994</v>
          </cell>
        </row>
        <row r="3008">
          <cell r="O3008">
            <v>2336.543014996043</v>
          </cell>
        </row>
        <row r="3009">
          <cell r="O3009">
            <v>2325.0197316495551</v>
          </cell>
        </row>
        <row r="3010">
          <cell r="O3010">
            <v>2325.0197316495551</v>
          </cell>
        </row>
        <row r="3011">
          <cell r="O3011">
            <v>2325.0197316495551</v>
          </cell>
        </row>
        <row r="3012">
          <cell r="O3012">
            <v>2320.4419889502651</v>
          </cell>
        </row>
        <row r="3013">
          <cell r="O3013">
            <v>2402.0520915548427</v>
          </cell>
        </row>
        <row r="3014">
          <cell r="O3014">
            <v>2413.4175217048023</v>
          </cell>
        </row>
        <row r="3015">
          <cell r="O3015">
            <v>2391.6337805840444</v>
          </cell>
        </row>
        <row r="3016">
          <cell r="O3016">
            <v>2408.5240726124584</v>
          </cell>
        </row>
        <row r="3017">
          <cell r="O3017">
            <v>2408.5240726124584</v>
          </cell>
        </row>
        <row r="3018">
          <cell r="O3018">
            <v>2408.5240726124584</v>
          </cell>
        </row>
        <row r="3019">
          <cell r="O3019">
            <v>2469.1397000789134</v>
          </cell>
        </row>
        <row r="3020">
          <cell r="O3020">
            <v>2518.7056037884631</v>
          </cell>
        </row>
        <row r="3021">
          <cell r="O3021">
            <v>2530.0710339384232</v>
          </cell>
        </row>
        <row r="3022">
          <cell r="O3022">
            <v>2560.6945540647066</v>
          </cell>
        </row>
        <row r="3023">
          <cell r="O3023">
            <v>2551.8547750591815</v>
          </cell>
        </row>
        <row r="3024">
          <cell r="O3024">
            <v>2551.8547750591815</v>
          </cell>
        </row>
        <row r="3025">
          <cell r="O3025">
            <v>2551.8547750591815</v>
          </cell>
        </row>
        <row r="3026">
          <cell r="O3026">
            <v>2466.1404893448962</v>
          </cell>
        </row>
        <row r="3027">
          <cell r="O3027">
            <v>2478.4530386740194</v>
          </cell>
        </row>
        <row r="3028">
          <cell r="O3028">
            <v>2532.912391475913</v>
          </cell>
        </row>
        <row r="3029">
          <cell r="O3029">
            <v>2623.2044198894882</v>
          </cell>
        </row>
        <row r="3030">
          <cell r="O3030">
            <v>2637.8847671665208</v>
          </cell>
        </row>
        <row r="3031">
          <cell r="O3031">
            <v>2637.8847671665208</v>
          </cell>
        </row>
        <row r="3032">
          <cell r="O3032">
            <v>2637.8847671665208</v>
          </cell>
        </row>
        <row r="3033">
          <cell r="O3033">
            <v>2661.7205998421327</v>
          </cell>
        </row>
        <row r="3034">
          <cell r="O3034">
            <v>2657.3007103393702</v>
          </cell>
        </row>
        <row r="3035">
          <cell r="O3035">
            <v>2567.9558011049585</v>
          </cell>
        </row>
        <row r="3036">
          <cell r="O3036">
            <v>2675.2959747434743</v>
          </cell>
        </row>
        <row r="3037">
          <cell r="O3037">
            <v>2715.2328334648628</v>
          </cell>
        </row>
        <row r="3038">
          <cell r="O3038">
            <v>2715.2328334648628</v>
          </cell>
        </row>
        <row r="3039">
          <cell r="O3039">
            <v>2715.2328334648628</v>
          </cell>
        </row>
        <row r="3040">
          <cell r="O3040">
            <v>2710.1815311759919</v>
          </cell>
        </row>
        <row r="3041">
          <cell r="O3041">
            <v>2715.5485398579185</v>
          </cell>
        </row>
        <row r="3042">
          <cell r="O3042">
            <v>2702.6045777426862</v>
          </cell>
        </row>
        <row r="3043">
          <cell r="O3043">
            <v>2710.8129439621025</v>
          </cell>
        </row>
        <row r="3044">
          <cell r="O3044">
            <v>2704.4988161010133</v>
          </cell>
        </row>
        <row r="3045">
          <cell r="O3045">
            <v>2704.4988161010133</v>
          </cell>
        </row>
        <row r="3046">
          <cell r="O3046">
            <v>2704.4988161010133</v>
          </cell>
        </row>
        <row r="3047">
          <cell r="O3047">
            <v>2719.8105761641546</v>
          </cell>
        </row>
        <row r="3048">
          <cell r="O3048">
            <v>2714.4435674822289</v>
          </cell>
        </row>
        <row r="3049">
          <cell r="O3049">
            <v>2752.9597474348725</v>
          </cell>
        </row>
        <row r="3050">
          <cell r="O3050">
            <v>2780.4262036306091</v>
          </cell>
        </row>
        <row r="3051">
          <cell r="O3051">
            <v>2748.697711128636</v>
          </cell>
        </row>
        <row r="3052">
          <cell r="O3052">
            <v>2748.697711128636</v>
          </cell>
        </row>
        <row r="3053">
          <cell r="O3053">
            <v>2748.697711128636</v>
          </cell>
        </row>
        <row r="3054">
          <cell r="O3054">
            <v>2717.1270718231899</v>
          </cell>
        </row>
        <row r="3055">
          <cell r="O3055">
            <v>2639.9368587213753</v>
          </cell>
        </row>
        <row r="3056">
          <cell r="O3056">
            <v>2716.3378058405533</v>
          </cell>
        </row>
        <row r="3057">
          <cell r="O3057">
            <v>2778.2162588792266</v>
          </cell>
        </row>
        <row r="3058">
          <cell r="O3058">
            <v>2778.2162588792266</v>
          </cell>
        </row>
        <row r="3059">
          <cell r="O3059">
            <v>2778.2162588792266</v>
          </cell>
        </row>
        <row r="3060">
          <cell r="O3060">
            <v>2778.2162588792266</v>
          </cell>
        </row>
        <row r="3061">
          <cell r="O3061">
            <v>2836.464088397774</v>
          </cell>
        </row>
        <row r="3062">
          <cell r="O3062">
            <v>2836.464088397774</v>
          </cell>
        </row>
        <row r="3063">
          <cell r="O3063">
            <v>2822.7308602999046</v>
          </cell>
        </row>
        <row r="3064">
          <cell r="O3064">
            <v>2837.2533543804097</v>
          </cell>
        </row>
        <row r="3065">
          <cell r="O3065">
            <v>2857.7742699289493</v>
          </cell>
        </row>
        <row r="3066">
          <cell r="O3066">
            <v>2857.7742699289493</v>
          </cell>
        </row>
        <row r="3067">
          <cell r="O3067">
            <v>2857.7742699289493</v>
          </cell>
        </row>
        <row r="3068">
          <cell r="O3068">
            <v>2862.6677190212927</v>
          </cell>
        </row>
        <row r="3069">
          <cell r="O3069">
            <v>2837.0955011838814</v>
          </cell>
        </row>
        <row r="3070">
          <cell r="O3070">
            <v>2859.3528018942202</v>
          </cell>
        </row>
        <row r="3071">
          <cell r="O3071">
            <v>2782.7940015785139</v>
          </cell>
        </row>
        <row r="3072">
          <cell r="O3072">
            <v>2806.6298342541249</v>
          </cell>
        </row>
        <row r="3073">
          <cell r="O3073">
            <v>2806.6298342541249</v>
          </cell>
        </row>
        <row r="3074">
          <cell r="O3074">
            <v>2806.6298342541249</v>
          </cell>
        </row>
        <row r="3075">
          <cell r="O3075">
            <v>2798.1057616416547</v>
          </cell>
        </row>
        <row r="3076">
          <cell r="O3076">
            <v>2884.925019731631</v>
          </cell>
        </row>
        <row r="3077">
          <cell r="O3077">
            <v>2901.3417521704628</v>
          </cell>
        </row>
        <row r="3078">
          <cell r="O3078">
            <v>2870.086819258071</v>
          </cell>
        </row>
        <row r="3079">
          <cell r="O3079">
            <v>2825.7300710339196</v>
          </cell>
        </row>
        <row r="3080">
          <cell r="O3080">
            <v>2825.7300710339196</v>
          </cell>
        </row>
        <row r="3081">
          <cell r="O3081">
            <v>2825.7300710339196</v>
          </cell>
        </row>
        <row r="3082">
          <cell r="O3082">
            <v>2818.7845303867216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define_name"/>
    </sheetNames>
    <sheetDataSet>
      <sheetData sheetId="0" refreshError="1"/>
      <sheetData sheetId="1" refreshError="1">
        <row r="15">
          <cell r="B15">
            <v>46.903508465893502</v>
          </cell>
          <cell r="C15">
            <v>135578</v>
          </cell>
          <cell r="D15">
            <v>25.121127683703499</v>
          </cell>
          <cell r="E15">
            <v>1273647</v>
          </cell>
          <cell r="F15">
            <v>27.280043789669701</v>
          </cell>
          <cell r="G15">
            <v>-803440</v>
          </cell>
          <cell r="H15">
            <v>36.589667529960202</v>
          </cell>
          <cell r="I15">
            <v>-227695</v>
          </cell>
          <cell r="J15">
            <v>81.408007505436203</v>
          </cell>
          <cell r="K15">
            <v>1882449</v>
          </cell>
          <cell r="L15">
            <v>58.169701726619898</v>
          </cell>
          <cell r="M15">
            <v>686796</v>
          </cell>
          <cell r="N15">
            <v>14.9518236395466</v>
          </cell>
          <cell r="O15">
            <v>145367</v>
          </cell>
          <cell r="P15">
            <v>9.8488642801524797</v>
          </cell>
          <cell r="Q15">
            <v>-666606</v>
          </cell>
          <cell r="R15">
            <v>32.872806751043299</v>
          </cell>
          <cell r="S15">
            <v>-4426217</v>
          </cell>
          <cell r="T15">
            <v>18.024287644930201</v>
          </cell>
          <cell r="U15">
            <v>31255</v>
          </cell>
          <cell r="V15">
            <v>48.908096044546099</v>
          </cell>
          <cell r="W15">
            <v>368244</v>
          </cell>
          <cell r="X15">
            <v>14.4527133946872</v>
          </cell>
          <cell r="Y15">
            <v>-1017883</v>
          </cell>
          <cell r="Z15">
            <v>39.571829411764703</v>
          </cell>
          <cell r="AA15">
            <v>172463</v>
          </cell>
          <cell r="AB15">
            <v>12.854305052500401</v>
          </cell>
          <cell r="AC15">
            <v>-52584</v>
          </cell>
          <cell r="AD15">
            <v>16.339337631733301</v>
          </cell>
          <cell r="AE15">
            <v>-211386</v>
          </cell>
          <cell r="AF15">
            <v>33.381995435767401</v>
          </cell>
          <cell r="AG15">
            <v>273050</v>
          </cell>
          <cell r="AH15">
            <v>46.775418357217298</v>
          </cell>
          <cell r="AI15">
            <v>7103100</v>
          </cell>
          <cell r="AJ15">
            <v>45.216595561326201</v>
          </cell>
          <cell r="AK15">
            <v>-102186</v>
          </cell>
          <cell r="AL15">
            <v>26.5121240020271</v>
          </cell>
          <cell r="AM15">
            <v>-66012</v>
          </cell>
          <cell r="AN15">
            <v>44.052618322195002</v>
          </cell>
          <cell r="AO15">
            <v>863574</v>
          </cell>
          <cell r="AP15">
            <v>47.2745071022932</v>
          </cell>
          <cell r="AQ15">
            <v>71155</v>
          </cell>
          <cell r="AR15">
            <v>43.147588876222699</v>
          </cell>
          <cell r="AS15">
            <v>281556</v>
          </cell>
          <cell r="AT15">
            <v>20.3485276882775</v>
          </cell>
          <cell r="AU15">
            <v>180862</v>
          </cell>
          <cell r="AV15">
            <v>51.022509655965699</v>
          </cell>
          <cell r="AW15">
            <v>248350</v>
          </cell>
          <cell r="AX15">
            <v>32.995866972508402</v>
          </cell>
          <cell r="AY15">
            <v>-125152</v>
          </cell>
          <cell r="AZ15">
            <v>9.8403634041066201</v>
          </cell>
          <cell r="BA15">
            <v>-101756</v>
          </cell>
          <cell r="BB15">
            <v>13.1918084548698</v>
          </cell>
          <cell r="BC15">
            <v>-59185</v>
          </cell>
          <cell r="BD15">
            <v>15.872158385093099</v>
          </cell>
          <cell r="BE15">
            <v>-232751</v>
          </cell>
          <cell r="BF15">
            <v>30.979974315818499</v>
          </cell>
          <cell r="BG15">
            <v>-27265</v>
          </cell>
          <cell r="BH15">
            <v>23.5145221230689</v>
          </cell>
          <cell r="BI15">
            <v>257394</v>
          </cell>
        </row>
        <row r="16">
          <cell r="B16">
            <v>46.876542967739198</v>
          </cell>
          <cell r="C16">
            <v>-2114322</v>
          </cell>
          <cell r="D16">
            <v>25.183316750888601</v>
          </cell>
          <cell r="E16">
            <v>701331</v>
          </cell>
          <cell r="F16">
            <v>27.263267179412701</v>
          </cell>
          <cell r="G16">
            <v>-335191</v>
          </cell>
          <cell r="H16">
            <v>36.503268582121997</v>
          </cell>
          <cell r="I16">
            <v>-1431468</v>
          </cell>
          <cell r="J16">
            <v>81.469316900160905</v>
          </cell>
          <cell r="K16">
            <v>1362818</v>
          </cell>
          <cell r="L16">
            <v>58.072618586550902</v>
          </cell>
          <cell r="M16">
            <v>-1912803</v>
          </cell>
          <cell r="N16">
            <v>15.408538304648401</v>
          </cell>
          <cell r="O16">
            <v>128304</v>
          </cell>
          <cell r="P16">
            <v>9.7923630257962309</v>
          </cell>
          <cell r="Q16">
            <v>-362883</v>
          </cell>
          <cell r="R16">
            <v>32.756062513821497</v>
          </cell>
          <cell r="S16">
            <v>-1768104</v>
          </cell>
          <cell r="T16">
            <v>17.924918481012799</v>
          </cell>
          <cell r="U16">
            <v>-344706</v>
          </cell>
          <cell r="V16">
            <v>48.802344987061403</v>
          </cell>
          <cell r="W16">
            <v>-5084190</v>
          </cell>
          <cell r="X16">
            <v>14.598541838250201</v>
          </cell>
          <cell r="Y16">
            <v>1202220</v>
          </cell>
          <cell r="Z16">
            <v>39.338315686274498</v>
          </cell>
          <cell r="AA16">
            <v>-1942764</v>
          </cell>
          <cell r="AB16">
            <v>12.8542036236472</v>
          </cell>
          <cell r="AC16">
            <v>-10573</v>
          </cell>
          <cell r="AD16">
            <v>16.165641267763899</v>
          </cell>
          <cell r="AE16">
            <v>-394893</v>
          </cell>
          <cell r="AF16">
            <v>33.7055382927294</v>
          </cell>
          <cell r="AG16">
            <v>227870</v>
          </cell>
          <cell r="AH16">
            <v>46.784895692229099</v>
          </cell>
          <cell r="AI16">
            <v>405434</v>
          </cell>
          <cell r="AJ16">
            <v>45.523089188175597</v>
          </cell>
          <cell r="AK16">
            <v>-371542</v>
          </cell>
          <cell r="AL16">
            <v>26.4246890266813</v>
          </cell>
          <cell r="AM16">
            <v>-565957</v>
          </cell>
          <cell r="AN16">
            <v>44.073734949068097</v>
          </cell>
          <cell r="AO16">
            <v>329964</v>
          </cell>
          <cell r="AP16">
            <v>47.2672217970931</v>
          </cell>
          <cell r="AQ16">
            <v>-61233</v>
          </cell>
          <cell r="AR16">
            <v>43.024617587020401</v>
          </cell>
          <cell r="AS16">
            <v>-1628686</v>
          </cell>
          <cell r="AT16">
            <v>20.397698972577999</v>
          </cell>
          <cell r="AU16">
            <v>556783</v>
          </cell>
          <cell r="AV16">
            <v>50.961548368629799</v>
          </cell>
          <cell r="AW16">
            <v>-688738</v>
          </cell>
          <cell r="AX16">
            <v>33.543133444492</v>
          </cell>
          <cell r="AY16">
            <v>515674</v>
          </cell>
          <cell r="AZ16">
            <v>9.8296314117710999</v>
          </cell>
          <cell r="BA16">
            <v>-126803</v>
          </cell>
          <cell r="BB16">
            <v>13.140874027869</v>
          </cell>
          <cell r="BC16">
            <v>-244686</v>
          </cell>
          <cell r="BD16">
            <v>15.778720496894399</v>
          </cell>
          <cell r="BE16">
            <v>-267777</v>
          </cell>
          <cell r="BF16">
            <v>30.908069694099801</v>
          </cell>
          <cell r="BG16">
            <v>-95390</v>
          </cell>
          <cell r="BH16">
            <v>23.5297789965752</v>
          </cell>
          <cell r="BI16">
            <v>27932</v>
          </cell>
        </row>
        <row r="17">
          <cell r="B17">
            <v>46.850849029958603</v>
          </cell>
          <cell r="C17">
            <v>-2036358</v>
          </cell>
          <cell r="D17">
            <v>25.975556123212701</v>
          </cell>
          <cell r="E17">
            <v>963806</v>
          </cell>
          <cell r="F17">
            <v>27.502579472096201</v>
          </cell>
          <cell r="G17">
            <v>3520416</v>
          </cell>
          <cell r="H17">
            <v>36.368540564318401</v>
          </cell>
          <cell r="I17">
            <v>-2209543</v>
          </cell>
          <cell r="J17">
            <v>81.526700664734406</v>
          </cell>
          <cell r="K17">
            <v>1288577</v>
          </cell>
          <cell r="L17">
            <v>57.7952606497795</v>
          </cell>
          <cell r="M17">
            <v>-5235878</v>
          </cell>
          <cell r="N17">
            <v>15.7929556992939</v>
          </cell>
          <cell r="O17">
            <v>-1269500</v>
          </cell>
          <cell r="P17">
            <v>9.9202751298388794</v>
          </cell>
          <cell r="Q17">
            <v>840158</v>
          </cell>
          <cell r="R17">
            <v>32.689759937208997</v>
          </cell>
          <cell r="S17">
            <v>-1020248</v>
          </cell>
          <cell r="T17">
            <v>18.036927665230198</v>
          </cell>
          <cell r="U17">
            <v>-110166</v>
          </cell>
          <cell r="V17">
            <v>48.790666618417703</v>
          </cell>
          <cell r="W17">
            <v>-570916</v>
          </cell>
          <cell r="X17">
            <v>15.205423034824699</v>
          </cell>
          <cell r="Y17">
            <v>2302393</v>
          </cell>
          <cell r="Z17">
            <v>39.4638098039215</v>
          </cell>
          <cell r="AA17">
            <v>1095759</v>
          </cell>
          <cell r="AB17">
            <v>12.768760235543301</v>
          </cell>
          <cell r="AC17">
            <v>-473627</v>
          </cell>
          <cell r="AD17">
            <v>15.7628170379498</v>
          </cell>
          <cell r="AE17">
            <v>-950217</v>
          </cell>
          <cell r="AF17">
            <v>33.9322225307426</v>
          </cell>
          <cell r="AG17">
            <v>-865660</v>
          </cell>
          <cell r="AH17">
            <v>46.893445971449601</v>
          </cell>
          <cell r="AI17">
            <v>2044948</v>
          </cell>
          <cell r="AJ17">
            <v>45.501795769222902</v>
          </cell>
          <cell r="AK17">
            <v>-294433</v>
          </cell>
          <cell r="AL17">
            <v>26.6515547768789</v>
          </cell>
          <cell r="AM17">
            <v>1437896</v>
          </cell>
          <cell r="AN17">
            <v>43.905911665083998</v>
          </cell>
          <cell r="AO17">
            <v>-2475082</v>
          </cell>
          <cell r="AP17">
            <v>47.340433696119298</v>
          </cell>
          <cell r="AQ17">
            <v>620937</v>
          </cell>
          <cell r="AR17">
            <v>42.783802126136599</v>
          </cell>
          <cell r="AS17">
            <v>-3112067</v>
          </cell>
          <cell r="AT17">
            <v>20.473964216416402</v>
          </cell>
          <cell r="AU17">
            <v>866242</v>
          </cell>
          <cell r="AV17">
            <v>50.884766280267797</v>
          </cell>
          <cell r="AW17">
            <v>-888944</v>
          </cell>
          <cell r="AX17">
            <v>34.300772289792299</v>
          </cell>
          <cell r="AY17">
            <v>507436</v>
          </cell>
          <cell r="AZ17">
            <v>9.8825858363669496</v>
          </cell>
          <cell r="BA17">
            <v>52413</v>
          </cell>
          <cell r="BB17">
            <v>13.1011552843852</v>
          </cell>
          <cell r="BC17">
            <v>-193810</v>
          </cell>
          <cell r="BD17">
            <v>15.7061956521739</v>
          </cell>
          <cell r="BE17">
            <v>-219436</v>
          </cell>
          <cell r="BF17">
            <v>30.910347216054699</v>
          </cell>
          <cell r="BG17">
            <v>5016</v>
          </cell>
          <cell r="BH17">
            <v>24.182473083337399</v>
          </cell>
          <cell r="BI17">
            <v>8099</v>
          </cell>
        </row>
        <row r="18">
          <cell r="B18">
            <v>46.6774673941675</v>
          </cell>
          <cell r="C18">
            <v>-13117764</v>
          </cell>
          <cell r="D18">
            <v>26.057049300506499</v>
          </cell>
          <cell r="E18">
            <v>321386</v>
          </cell>
          <cell r="F18">
            <v>27.6543992569427</v>
          </cell>
          <cell r="G18">
            <v>2296626</v>
          </cell>
          <cell r="H18">
            <v>36.041140173558603</v>
          </cell>
          <cell r="I18">
            <v>-5089203</v>
          </cell>
          <cell r="J18">
            <v>81.5792556515309</v>
          </cell>
          <cell r="K18">
            <v>1136794</v>
          </cell>
          <cell r="L18">
            <v>57.721970063537597</v>
          </cell>
          <cell r="M18">
            <v>-1395897</v>
          </cell>
          <cell r="N18">
            <v>15.8554662055521</v>
          </cell>
          <cell r="O18">
            <v>344650</v>
          </cell>
          <cell r="P18">
            <v>9.8946430019256599</v>
          </cell>
          <cell r="Q18">
            <v>-170100</v>
          </cell>
          <cell r="R18">
            <v>32.5364369911672</v>
          </cell>
          <cell r="S18">
            <v>-2304861</v>
          </cell>
          <cell r="T18">
            <v>17.977808426970999</v>
          </cell>
          <cell r="U18">
            <v>-206559</v>
          </cell>
          <cell r="V18">
            <v>48.650909280053497</v>
          </cell>
          <cell r="W18">
            <v>-6629409</v>
          </cell>
          <cell r="X18">
            <v>14.8360067345183</v>
          </cell>
          <cell r="Y18">
            <v>-3851660</v>
          </cell>
          <cell r="Z18">
            <v>39.439670588235202</v>
          </cell>
          <cell r="AA18">
            <v>-215362</v>
          </cell>
          <cell r="AB18">
            <v>12.8581121080888</v>
          </cell>
          <cell r="AC18">
            <v>504714</v>
          </cell>
          <cell r="AD18">
            <v>15.5333420744102</v>
          </cell>
          <cell r="AE18">
            <v>-439436</v>
          </cell>
          <cell r="AF18">
            <v>33.943227022399</v>
          </cell>
          <cell r="AG18">
            <v>-364486</v>
          </cell>
          <cell r="AH18">
            <v>46.977873692705003</v>
          </cell>
          <cell r="AI18">
            <v>1539310</v>
          </cell>
          <cell r="AJ18">
            <v>45.510296421833502</v>
          </cell>
          <cell r="AK18">
            <v>117870</v>
          </cell>
          <cell r="AL18">
            <v>26.578055436047102</v>
          </cell>
          <cell r="AM18">
            <v>-440001</v>
          </cell>
          <cell r="AN18">
            <v>43.830858171726902</v>
          </cell>
          <cell r="AO18">
            <v>-1083288</v>
          </cell>
          <cell r="AP18">
            <v>47.395368379210197</v>
          </cell>
          <cell r="AQ18">
            <v>465181</v>
          </cell>
          <cell r="AR18">
            <v>42.608944619707799</v>
          </cell>
          <cell r="AS18">
            <v>-2237436</v>
          </cell>
          <cell r="AT18">
            <v>20.590269574051501</v>
          </cell>
          <cell r="AU18">
            <v>1317770</v>
          </cell>
          <cell r="AV18">
            <v>50.8584205711877</v>
          </cell>
          <cell r="AW18">
            <v>-305080</v>
          </cell>
          <cell r="AX18">
            <v>34.677113636038698</v>
          </cell>
          <cell r="AY18">
            <v>376775</v>
          </cell>
          <cell r="AZ18">
            <v>9.7777586834047892</v>
          </cell>
          <cell r="BA18">
            <v>-1811347</v>
          </cell>
          <cell r="BB18">
            <v>13.049025548589601</v>
          </cell>
          <cell r="BC18">
            <v>-285226</v>
          </cell>
          <cell r="BD18">
            <v>15.7225372670807</v>
          </cell>
          <cell r="BE18">
            <v>58984</v>
          </cell>
          <cell r="BF18">
            <v>30.731158054841998</v>
          </cell>
          <cell r="BG18">
            <v>-230751</v>
          </cell>
          <cell r="BH18">
            <v>24.200019035496101</v>
          </cell>
          <cell r="BI18">
            <v>32593</v>
          </cell>
        </row>
        <row r="19">
          <cell r="B19">
            <v>46.543774328054099</v>
          </cell>
          <cell r="C19">
            <v>-10184931</v>
          </cell>
          <cell r="D19">
            <v>26.025823024256201</v>
          </cell>
          <cell r="E19">
            <v>-487497</v>
          </cell>
          <cell r="F19">
            <v>27.6627111696274</v>
          </cell>
          <cell r="G19">
            <v>116646</v>
          </cell>
          <cell r="H19">
            <v>35.921420999693403</v>
          </cell>
          <cell r="I19">
            <v>-1893156</v>
          </cell>
          <cell r="J19">
            <v>81.547620215518904</v>
          </cell>
          <cell r="K19">
            <v>-645519</v>
          </cell>
          <cell r="L19">
            <v>57.7175780852088</v>
          </cell>
          <cell r="M19">
            <v>-81049</v>
          </cell>
          <cell r="N19">
            <v>15.3284472328302</v>
          </cell>
          <cell r="O19">
            <v>70929</v>
          </cell>
          <cell r="P19">
            <v>10.0634163748846</v>
          </cell>
          <cell r="Q19">
            <v>1344571</v>
          </cell>
          <cell r="R19">
            <v>32.5258895775344</v>
          </cell>
          <cell r="S19">
            <v>-345686</v>
          </cell>
          <cell r="T19">
            <v>17.816855379232202</v>
          </cell>
          <cell r="U19">
            <v>-558644</v>
          </cell>
          <cell r="V19">
            <v>48.483073161217497</v>
          </cell>
          <cell r="W19">
            <v>-7947630</v>
          </cell>
          <cell r="X19">
            <v>14.683983554530901</v>
          </cell>
          <cell r="Y19">
            <v>-1548178</v>
          </cell>
          <cell r="Z19">
            <v>39.386533333333297</v>
          </cell>
          <cell r="AA19">
            <v>-461357</v>
          </cell>
          <cell r="AB19">
            <v>12.839061546347301</v>
          </cell>
          <cell r="AC19">
            <v>-104262</v>
          </cell>
          <cell r="AD19">
            <v>14.8239785153468</v>
          </cell>
          <cell r="AE19">
            <v>-1712133</v>
          </cell>
          <cell r="AF19">
            <v>33.752278178476097</v>
          </cell>
          <cell r="AG19">
            <v>-974684</v>
          </cell>
          <cell r="AH19">
            <v>47.034220421332797</v>
          </cell>
          <cell r="AI19">
            <v>1008713</v>
          </cell>
          <cell r="AJ19">
            <v>45.424810248747796</v>
          </cell>
          <cell r="AK19">
            <v>-632512</v>
          </cell>
          <cell r="AL19">
            <v>26.586920546415001</v>
          </cell>
          <cell r="AM19">
            <v>52014</v>
          </cell>
          <cell r="AN19">
            <v>43.852501209459</v>
          </cell>
          <cell r="AO19">
            <v>321009</v>
          </cell>
          <cell r="AP19">
            <v>47.419931635733398</v>
          </cell>
          <cell r="AQ19">
            <v>210810</v>
          </cell>
          <cell r="AR19">
            <v>42.550563346676903</v>
          </cell>
          <cell r="AS19">
            <v>-760183</v>
          </cell>
          <cell r="AT19">
            <v>20.708399788536902</v>
          </cell>
          <cell r="AU19">
            <v>1341096</v>
          </cell>
          <cell r="AV19">
            <v>50.827339071470199</v>
          </cell>
          <cell r="AW19">
            <v>-363174</v>
          </cell>
          <cell r="AX19">
            <v>34.920850705762298</v>
          </cell>
          <cell r="AY19">
            <v>233842</v>
          </cell>
          <cell r="AZ19">
            <v>9.7612248658381606</v>
          </cell>
          <cell r="BA19">
            <v>-236425</v>
          </cell>
          <cell r="BB19">
            <v>13.0009039626829</v>
          </cell>
          <cell r="BC19">
            <v>-239472</v>
          </cell>
          <cell r="BD19">
            <v>15.667593167701799</v>
          </cell>
          <cell r="BE19">
            <v>-171992</v>
          </cell>
          <cell r="BF19">
            <v>30.747642975658302</v>
          </cell>
          <cell r="BG19">
            <v>21016</v>
          </cell>
          <cell r="BH19">
            <v>24.281889193040598</v>
          </cell>
          <cell r="BI19">
            <v>154849</v>
          </cell>
        </row>
        <row r="20">
          <cell r="B20">
            <v>46.505378364330298</v>
          </cell>
          <cell r="C20">
            <v>-2959651</v>
          </cell>
          <cell r="D20">
            <v>25.989475116085298</v>
          </cell>
          <cell r="E20">
            <v>-370585</v>
          </cell>
          <cell r="F20">
            <v>27.298808677468099</v>
          </cell>
          <cell r="G20">
            <v>-5188998</v>
          </cell>
          <cell r="H20">
            <v>35.807926259244603</v>
          </cell>
          <cell r="I20">
            <v>-1761802</v>
          </cell>
          <cell r="J20">
            <v>81.445937327452796</v>
          </cell>
          <cell r="K20">
            <v>-2136374</v>
          </cell>
          <cell r="L20">
            <v>57.685309500335201</v>
          </cell>
          <cell r="M20">
            <v>-604081</v>
          </cell>
          <cell r="N20">
            <v>15.3446348191105</v>
          </cell>
          <cell r="O20">
            <v>-1858</v>
          </cell>
          <cell r="P20">
            <v>10.420828210141201</v>
          </cell>
          <cell r="Q20">
            <v>2518452</v>
          </cell>
          <cell r="R20">
            <v>32.3897824155571</v>
          </cell>
          <cell r="S20">
            <v>-2608787</v>
          </cell>
          <cell r="T20">
            <v>17.782955703007001</v>
          </cell>
          <cell r="U20">
            <v>-111419</v>
          </cell>
          <cell r="V20">
            <v>48.342618469864099</v>
          </cell>
          <cell r="W20">
            <v>-6525326</v>
          </cell>
          <cell r="X20">
            <v>14.3257010006858</v>
          </cell>
          <cell r="Y20">
            <v>-4069230</v>
          </cell>
          <cell r="Z20">
            <v>39.684194117647003</v>
          </cell>
          <cell r="AA20">
            <v>2722339</v>
          </cell>
          <cell r="AB20">
            <v>12.757236250488701</v>
          </cell>
          <cell r="AC20">
            <v>-457744</v>
          </cell>
          <cell r="AD20">
            <v>14.609107687320099</v>
          </cell>
          <cell r="AE20">
            <v>-435521</v>
          </cell>
          <cell r="AF20">
            <v>33.797975520212503</v>
          </cell>
          <cell r="AG20">
            <v>145843</v>
          </cell>
          <cell r="AH20">
            <v>46.992358804735503</v>
          </cell>
          <cell r="AI20">
            <v>-725365</v>
          </cell>
          <cell r="AJ20">
            <v>45.435177164152599</v>
          </cell>
          <cell r="AK20">
            <v>129930</v>
          </cell>
          <cell r="AL20">
            <v>26.436548603864701</v>
          </cell>
          <cell r="AM20">
            <v>-788690</v>
          </cell>
          <cell r="AN20">
            <v>43.917433605883097</v>
          </cell>
          <cell r="AO20">
            <v>987985</v>
          </cell>
          <cell r="AP20">
            <v>47.416246347843199</v>
          </cell>
          <cell r="AQ20">
            <v>-30282</v>
          </cell>
          <cell r="AR20">
            <v>42.559179237029703</v>
          </cell>
          <cell r="AS20">
            <v>112416</v>
          </cell>
          <cell r="AT20">
            <v>20.913210703411998</v>
          </cell>
          <cell r="AU20">
            <v>2317226</v>
          </cell>
          <cell r="AV20">
            <v>51.021433339911702</v>
          </cell>
          <cell r="AW20">
            <v>2296720</v>
          </cell>
          <cell r="AX20">
            <v>34.924099014821302</v>
          </cell>
          <cell r="AY20">
            <v>37784</v>
          </cell>
          <cell r="AZ20">
            <v>9.7289133678750499</v>
          </cell>
          <cell r="BA20">
            <v>-499202</v>
          </cell>
          <cell r="BB20">
            <v>12.9890400768841</v>
          </cell>
          <cell r="BC20">
            <v>-145156</v>
          </cell>
          <cell r="BD20">
            <v>15.5124596273291</v>
          </cell>
          <cell r="BE20">
            <v>-513412</v>
          </cell>
          <cell r="BF20">
            <v>30.662964950383099</v>
          </cell>
          <cell r="BG20">
            <v>-116523</v>
          </cell>
          <cell r="BH20">
            <v>24.360002632988</v>
          </cell>
          <cell r="BI20">
            <v>638526</v>
          </cell>
        </row>
        <row r="21">
          <cell r="B21">
            <v>46.437574257377598</v>
          </cell>
          <cell r="C21">
            <v>-5201963</v>
          </cell>
          <cell r="D21">
            <v>25.987822344559898</v>
          </cell>
          <cell r="E21">
            <v>513612</v>
          </cell>
          <cell r="F21">
            <v>27.445104700994602</v>
          </cell>
          <cell r="G21">
            <v>2114978</v>
          </cell>
          <cell r="H21">
            <v>35.877019929533503</v>
          </cell>
          <cell r="I21">
            <v>1202752</v>
          </cell>
          <cell r="J21">
            <v>81.457097651686496</v>
          </cell>
          <cell r="K21">
            <v>288060</v>
          </cell>
          <cell r="L21">
            <v>57.748431474260897</v>
          </cell>
          <cell r="M21">
            <v>1202045</v>
          </cell>
          <cell r="N21">
            <v>15.3574663876418</v>
          </cell>
          <cell r="O21">
            <v>93921</v>
          </cell>
          <cell r="P21">
            <v>10.146130518734401</v>
          </cell>
          <cell r="Q21">
            <v>-2006527</v>
          </cell>
          <cell r="R21">
            <v>32.375436004637699</v>
          </cell>
          <cell r="S21">
            <v>-215522</v>
          </cell>
          <cell r="T21">
            <v>17.7985390135205</v>
          </cell>
          <cell r="U21">
            <v>53868</v>
          </cell>
          <cell r="V21">
            <v>48.318060863202497</v>
          </cell>
          <cell r="W21">
            <v>-1012250</v>
          </cell>
          <cell r="X21">
            <v>14.4364024831844</v>
          </cell>
          <cell r="Y21">
            <v>395668</v>
          </cell>
          <cell r="Z21">
            <v>39.864541176470503</v>
          </cell>
          <cell r="AA21">
            <v>1668012</v>
          </cell>
          <cell r="AB21">
            <v>12.725780801049201</v>
          </cell>
          <cell r="AC21">
            <v>-160693</v>
          </cell>
          <cell r="AD21">
            <v>13.758466688990801</v>
          </cell>
          <cell r="AE21">
            <v>-1947592</v>
          </cell>
          <cell r="AF21">
            <v>33.883813318502199</v>
          </cell>
          <cell r="AG21">
            <v>-236700</v>
          </cell>
          <cell r="AH21">
            <v>46.997487280757397</v>
          </cell>
          <cell r="AI21">
            <v>79060</v>
          </cell>
          <cell r="AJ21">
            <v>45.477857751240499</v>
          </cell>
          <cell r="AK21">
            <v>598411</v>
          </cell>
          <cell r="AL21">
            <v>26.165417111417401</v>
          </cell>
          <cell r="AM21">
            <v>-1641325</v>
          </cell>
          <cell r="AN21">
            <v>43.944636242709102</v>
          </cell>
          <cell r="AO21">
            <v>414022</v>
          </cell>
          <cell r="AP21">
            <v>47.454278803105097</v>
          </cell>
          <cell r="AQ21">
            <v>311209</v>
          </cell>
          <cell r="AR21">
            <v>42.548781845656201</v>
          </cell>
          <cell r="AS21">
            <v>-129668</v>
          </cell>
          <cell r="AT21">
            <v>21.169399946438698</v>
          </cell>
          <cell r="AU21">
            <v>2901811</v>
          </cell>
          <cell r="AV21">
            <v>51.028206816282399</v>
          </cell>
          <cell r="AW21">
            <v>88015</v>
          </cell>
          <cell r="AX21">
            <v>35.283912629087702</v>
          </cell>
          <cell r="AY21">
            <v>358851</v>
          </cell>
          <cell r="AZ21">
            <v>9.7036266897326602</v>
          </cell>
          <cell r="BA21">
            <v>-368639</v>
          </cell>
          <cell r="BB21">
            <v>13.2632207218447</v>
          </cell>
          <cell r="BC21">
            <v>-187204</v>
          </cell>
          <cell r="BD21">
            <v>15.4370931677018</v>
          </cell>
          <cell r="BE21">
            <v>-262823</v>
          </cell>
          <cell r="BF21">
            <v>30.670845899369901</v>
          </cell>
          <cell r="BG21">
            <v>10235</v>
          </cell>
          <cell r="BH21">
            <v>24.256524143158298</v>
          </cell>
          <cell r="BI21">
            <v>-175392</v>
          </cell>
        </row>
        <row r="22">
          <cell r="B22">
            <v>46.3512378198959</v>
          </cell>
          <cell r="C22">
            <v>-6656773</v>
          </cell>
          <cell r="D22">
            <v>26.077342024940101</v>
          </cell>
          <cell r="E22">
            <v>695512</v>
          </cell>
          <cell r="F22">
            <v>27.436328211638202</v>
          </cell>
          <cell r="G22">
            <v>-92411</v>
          </cell>
          <cell r="H22">
            <v>35.886741414644398</v>
          </cell>
          <cell r="I22">
            <v>217002</v>
          </cell>
          <cell r="J22">
            <v>81.484707867535903</v>
          </cell>
          <cell r="K22">
            <v>676347</v>
          </cell>
          <cell r="L22">
            <v>57.753499122148199</v>
          </cell>
          <cell r="M22">
            <v>96458</v>
          </cell>
          <cell r="N22">
            <v>15.3443056510745</v>
          </cell>
          <cell r="O22">
            <v>-57327</v>
          </cell>
          <cell r="P22">
            <v>9.9162706646192404</v>
          </cell>
          <cell r="Q22">
            <v>-1616878</v>
          </cell>
          <cell r="R22">
            <v>32.251723224805303</v>
          </cell>
          <cell r="S22">
            <v>-1959509</v>
          </cell>
          <cell r="T22">
            <v>17.788951720839101</v>
          </cell>
          <cell r="U22">
            <v>-120165</v>
          </cell>
          <cell r="V22">
            <v>48.299914774977204</v>
          </cell>
          <cell r="W22">
            <v>-855624</v>
          </cell>
          <cell r="X22">
            <v>14.3239545306526</v>
          </cell>
          <cell r="Y22">
            <v>-1533929</v>
          </cell>
          <cell r="Z22">
            <v>39.805905882352903</v>
          </cell>
          <cell r="AA22">
            <v>-513262</v>
          </cell>
          <cell r="AB22">
            <v>12.4273521048869</v>
          </cell>
          <cell r="AC22">
            <v>-1528287</v>
          </cell>
          <cell r="AD22">
            <v>13.316498516634599</v>
          </cell>
          <cell r="AE22">
            <v>-899045</v>
          </cell>
          <cell r="AF22">
            <v>34.025335527716798</v>
          </cell>
          <cell r="AG22">
            <v>379706</v>
          </cell>
          <cell r="AH22">
            <v>46.989519914910602</v>
          </cell>
          <cell r="AI22">
            <v>-144578</v>
          </cell>
          <cell r="AJ22">
            <v>45.529067333715098</v>
          </cell>
          <cell r="AK22">
            <v>902071</v>
          </cell>
          <cell r="AL22">
            <v>26.145963045382</v>
          </cell>
          <cell r="AM22">
            <v>-104970</v>
          </cell>
          <cell r="AN22">
            <v>44.024760134216102</v>
          </cell>
          <cell r="AO22">
            <v>1167294</v>
          </cell>
          <cell r="AP22">
            <v>47.447888838997699</v>
          </cell>
          <cell r="AQ22">
            <v>-49139</v>
          </cell>
          <cell r="AR22">
            <v>42.512573897828702</v>
          </cell>
          <cell r="AS22">
            <v>-451287</v>
          </cell>
          <cell r="AT22">
            <v>21.2313968755833</v>
          </cell>
          <cell r="AU22">
            <v>671434</v>
          </cell>
          <cell r="AV22">
            <v>51.017355878511196</v>
          </cell>
          <cell r="AW22">
            <v>-129806</v>
          </cell>
          <cell r="AX22">
            <v>35.323737579341397</v>
          </cell>
          <cell r="AY22">
            <v>37634</v>
          </cell>
          <cell r="AZ22">
            <v>9.6970916405789698</v>
          </cell>
          <cell r="BA22">
            <v>-108705</v>
          </cell>
          <cell r="BB22">
            <v>13.2593434017741</v>
          </cell>
          <cell r="BC22">
            <v>-77465</v>
          </cell>
          <cell r="BD22">
            <v>15.3707267080745</v>
          </cell>
          <cell r="BE22">
            <v>-233743</v>
          </cell>
          <cell r="BF22">
            <v>30.537086673447799</v>
          </cell>
          <cell r="BG22">
            <v>-173570</v>
          </cell>
          <cell r="BH22">
            <v>24.204318518459299</v>
          </cell>
          <cell r="BI22">
            <v>-98276</v>
          </cell>
        </row>
        <row r="23">
          <cell r="B23">
            <v>46.300961965633199</v>
          </cell>
          <cell r="C23">
            <v>-3863907</v>
          </cell>
          <cell r="D23">
            <v>26.094457682633799</v>
          </cell>
          <cell r="E23">
            <v>-315879</v>
          </cell>
          <cell r="F23">
            <v>27.309272022596801</v>
          </cell>
          <cell r="G23">
            <v>-1701200</v>
          </cell>
          <cell r="H23">
            <v>35.662581882237099</v>
          </cell>
          <cell r="I23">
            <v>-3528178</v>
          </cell>
          <cell r="J23">
            <v>81.4645181480291</v>
          </cell>
          <cell r="K23">
            <v>-417902</v>
          </cell>
          <cell r="L23">
            <v>57.592695067599799</v>
          </cell>
          <cell r="M23">
            <v>-2905254</v>
          </cell>
          <cell r="N23">
            <v>15.2894961806408</v>
          </cell>
          <cell r="O23">
            <v>-378146</v>
          </cell>
          <cell r="P23">
            <v>9.86630893486441</v>
          </cell>
          <cell r="Q23">
            <v>-168232</v>
          </cell>
          <cell r="R23">
            <v>32.315219191546397</v>
          </cell>
          <cell r="S23">
            <v>42942</v>
          </cell>
          <cell r="T23">
            <v>17.770865749664701</v>
          </cell>
          <cell r="U23">
            <v>-247084</v>
          </cell>
          <cell r="V23">
            <v>48.201746284286997</v>
          </cell>
          <cell r="W23">
            <v>-4597555</v>
          </cell>
          <cell r="X23">
            <v>14.0854522167512</v>
          </cell>
          <cell r="Y23">
            <v>-2324696</v>
          </cell>
          <cell r="Z23">
            <v>39.508260784313698</v>
          </cell>
          <cell r="AA23">
            <v>-2529310</v>
          </cell>
          <cell r="AB23">
            <v>12.419332278297199</v>
          </cell>
          <cell r="AC23">
            <v>-36097</v>
          </cell>
          <cell r="AD23">
            <v>12.675938398142399</v>
          </cell>
          <cell r="AE23">
            <v>-1114622</v>
          </cell>
          <cell r="AF23">
            <v>34.120647915729599</v>
          </cell>
          <cell r="AG23">
            <v>-84929</v>
          </cell>
          <cell r="AH23">
            <v>46.885648569505499</v>
          </cell>
          <cell r="AI23">
            <v>-1880572</v>
          </cell>
          <cell r="AJ23">
            <v>45.4600853771624</v>
          </cell>
          <cell r="AK23">
            <v>-685722</v>
          </cell>
          <cell r="AL23">
            <v>26.228448444864199</v>
          </cell>
          <cell r="AM23">
            <v>427132</v>
          </cell>
          <cell r="AN23">
            <v>44.054987718265501</v>
          </cell>
          <cell r="AO23">
            <v>449479</v>
          </cell>
          <cell r="AP23">
            <v>47.412622348182602</v>
          </cell>
          <cell r="AQ23">
            <v>-280413</v>
          </cell>
          <cell r="AR23">
            <v>42.426033244081502</v>
          </cell>
          <cell r="AS23">
            <v>-1096438</v>
          </cell>
          <cell r="AT23">
            <v>21.1778734798512</v>
          </cell>
          <cell r="AU23">
            <v>-561822</v>
          </cell>
          <cell r="AV23">
            <v>51.071675355323798</v>
          </cell>
          <cell r="AW23">
            <v>619896</v>
          </cell>
          <cell r="AX23">
            <v>35.464389805247301</v>
          </cell>
          <cell r="AY23">
            <v>137799</v>
          </cell>
          <cell r="AZ23">
            <v>9.6329125888246292</v>
          </cell>
          <cell r="BA23">
            <v>-1035718</v>
          </cell>
          <cell r="BB23">
            <v>13.220159871183499</v>
          </cell>
          <cell r="BC23">
            <v>-370039</v>
          </cell>
          <cell r="BD23">
            <v>15.2900838509316</v>
          </cell>
          <cell r="BE23">
            <v>-256061</v>
          </cell>
          <cell r="BF23">
            <v>30.539605203016901</v>
          </cell>
          <cell r="BG23">
            <v>3198</v>
          </cell>
          <cell r="BH23">
            <v>24.148883567007001</v>
          </cell>
          <cell r="BI23">
            <v>-104284</v>
          </cell>
        </row>
        <row r="24">
          <cell r="B24">
            <v>46.251339203244299</v>
          </cell>
          <cell r="C24">
            <v>-3892139</v>
          </cell>
          <cell r="D24">
            <v>25.932091933954901</v>
          </cell>
          <cell r="E24">
            <v>-1741037</v>
          </cell>
          <cell r="F24">
            <v>27.171634270255801</v>
          </cell>
          <cell r="G24">
            <v>-1828171</v>
          </cell>
          <cell r="H24">
            <v>35.535112908684503</v>
          </cell>
          <cell r="I24">
            <v>-2077292</v>
          </cell>
          <cell r="J24">
            <v>81.485642527225096</v>
          </cell>
          <cell r="K24">
            <v>436975</v>
          </cell>
          <cell r="L24">
            <v>57.5838540689846</v>
          </cell>
          <cell r="M24">
            <v>-159610</v>
          </cell>
          <cell r="N24">
            <v>15.460136890512601</v>
          </cell>
          <cell r="O24">
            <v>741148</v>
          </cell>
          <cell r="P24">
            <v>9.8102677091700006</v>
          </cell>
          <cell r="Q24">
            <v>-354462</v>
          </cell>
          <cell r="R24">
            <v>32.2345865770424</v>
          </cell>
          <cell r="S24">
            <v>-1449719</v>
          </cell>
          <cell r="T24">
            <v>17.837495849838401</v>
          </cell>
          <cell r="U24">
            <v>-91808</v>
          </cell>
          <cell r="V24">
            <v>48.066154712463103</v>
          </cell>
          <cell r="W24">
            <v>-6386018</v>
          </cell>
          <cell r="X24">
            <v>14.000703315029201</v>
          </cell>
          <cell r="Y24">
            <v>-836498</v>
          </cell>
          <cell r="Z24">
            <v>39.295188235294098</v>
          </cell>
          <cell r="AA24">
            <v>-1779906</v>
          </cell>
          <cell r="AB24">
            <v>12.364149424375199</v>
          </cell>
          <cell r="AC24">
            <v>-292810</v>
          </cell>
          <cell r="AD24">
            <v>12.6490556816725</v>
          </cell>
          <cell r="AE24">
            <v>-82758</v>
          </cell>
          <cell r="AF24">
            <v>34.047481423435798</v>
          </cell>
          <cell r="AG24">
            <v>-181924</v>
          </cell>
          <cell r="AH24">
            <v>46.868937915647102</v>
          </cell>
          <cell r="AI24">
            <v>-303134</v>
          </cell>
          <cell r="AJ24">
            <v>45.357019415528299</v>
          </cell>
          <cell r="AK24">
            <v>-1346515</v>
          </cell>
          <cell r="AL24">
            <v>26.209087415969101</v>
          </cell>
          <cell r="AM24">
            <v>-105097</v>
          </cell>
          <cell r="AN24">
            <v>44.137604674090603</v>
          </cell>
          <cell r="AO24">
            <v>1206706</v>
          </cell>
          <cell r="AP24">
            <v>47.439256080982602</v>
          </cell>
          <cell r="AQ24">
            <v>210683</v>
          </cell>
          <cell r="AR24">
            <v>42.336290130166198</v>
          </cell>
          <cell r="AS24">
            <v>-1104878</v>
          </cell>
          <cell r="AT24">
            <v>21.198690620449199</v>
          </cell>
          <cell r="AU24">
            <v>216740</v>
          </cell>
          <cell r="AV24">
            <v>50.894076936617999</v>
          </cell>
          <cell r="AW24">
            <v>-2007922</v>
          </cell>
          <cell r="AX24">
            <v>35.567048469882202</v>
          </cell>
          <cell r="AY24">
            <v>101848</v>
          </cell>
          <cell r="AZ24">
            <v>9.6733802482077493</v>
          </cell>
          <cell r="BA24">
            <v>-638476</v>
          </cell>
          <cell r="BB24">
            <v>13.3061031682081</v>
          </cell>
          <cell r="BC24">
            <v>-164637</v>
          </cell>
          <cell r="BD24">
            <v>15.1502204968944</v>
          </cell>
          <cell r="BE24">
            <v>-437231</v>
          </cell>
          <cell r="BF24">
            <v>30.5737559819596</v>
          </cell>
          <cell r="BG24">
            <v>44556</v>
          </cell>
          <cell r="BH24">
            <v>24.0187544835862</v>
          </cell>
          <cell r="BI24">
            <v>-260220</v>
          </cell>
        </row>
        <row r="25">
          <cell r="B25">
            <v>46.117999159765297</v>
          </cell>
          <cell r="C25">
            <v>-10942194</v>
          </cell>
          <cell r="D25">
            <v>25.783018039546</v>
          </cell>
          <cell r="E25">
            <v>-2029824</v>
          </cell>
          <cell r="F25">
            <v>26.894279231900398</v>
          </cell>
          <cell r="G25">
            <v>-3654348</v>
          </cell>
          <cell r="H25">
            <v>35.196833174173101</v>
          </cell>
          <cell r="I25">
            <v>-5630436</v>
          </cell>
          <cell r="J25">
            <v>81.417227162223696</v>
          </cell>
          <cell r="K25">
            <v>-1628892</v>
          </cell>
          <cell r="L25">
            <v>57.407121931199697</v>
          </cell>
          <cell r="M25">
            <v>-3344668</v>
          </cell>
          <cell r="N25">
            <v>15.2439213698357</v>
          </cell>
          <cell r="O25">
            <v>-1022733</v>
          </cell>
          <cell r="P25">
            <v>9.6494980066359997</v>
          </cell>
          <cell r="Q25">
            <v>-1117006</v>
          </cell>
          <cell r="R25">
            <v>32.051820378714602</v>
          </cell>
          <cell r="S25">
            <v>-2558823</v>
          </cell>
          <cell r="T25">
            <v>17.8329657172496</v>
          </cell>
          <cell r="U25">
            <v>-148235</v>
          </cell>
          <cell r="V25">
            <v>47.861744264486703</v>
          </cell>
          <cell r="W25">
            <v>-9946905</v>
          </cell>
          <cell r="X25">
            <v>13.766158523873401</v>
          </cell>
          <cell r="Y25">
            <v>-2259370</v>
          </cell>
          <cell r="Z25">
            <v>39.150549019607801</v>
          </cell>
          <cell r="AA25">
            <v>-1244394</v>
          </cell>
          <cell r="AB25">
            <v>12.554546665755</v>
          </cell>
          <cell r="AC25">
            <v>791363</v>
          </cell>
          <cell r="AD25">
            <v>13.0908850149507</v>
          </cell>
          <cell r="AE25">
            <v>732737</v>
          </cell>
          <cell r="AF25">
            <v>34.305610296094301</v>
          </cell>
          <cell r="AG25">
            <v>316773</v>
          </cell>
          <cell r="AH25">
            <v>46.803969829633701</v>
          </cell>
          <cell r="AI25">
            <v>-1280136</v>
          </cell>
          <cell r="AJ25">
            <v>45.334420048662302</v>
          </cell>
          <cell r="AK25">
            <v>-379225</v>
          </cell>
          <cell r="AL25">
            <v>25.843822274074899</v>
          </cell>
          <cell r="AM25">
            <v>-2116911</v>
          </cell>
          <cell r="AN25">
            <v>43.904203292212898</v>
          </cell>
          <cell r="AO25">
            <v>-3199742</v>
          </cell>
          <cell r="AP25">
            <v>47.290222647880299</v>
          </cell>
          <cell r="AQ25">
            <v>-1130177</v>
          </cell>
          <cell r="AR25">
            <v>41.8325229977996</v>
          </cell>
          <cell r="AS25">
            <v>-5988753</v>
          </cell>
          <cell r="AT25">
            <v>21.082671042283099</v>
          </cell>
          <cell r="AU25">
            <v>-1177232</v>
          </cell>
          <cell r="AV25">
            <v>50.549221093061</v>
          </cell>
          <cell r="AW25">
            <v>-3634196</v>
          </cell>
          <cell r="AX25">
            <v>35.831831620234396</v>
          </cell>
          <cell r="AY25">
            <v>256984</v>
          </cell>
          <cell r="AZ25">
            <v>9.7015692710436596</v>
          </cell>
          <cell r="BA25">
            <v>-1228554</v>
          </cell>
          <cell r="BB25">
            <v>13.120252869775801</v>
          </cell>
          <cell r="BC25">
            <v>-1202972</v>
          </cell>
          <cell r="BD25">
            <v>14.785947204968901</v>
          </cell>
          <cell r="BE25">
            <v>-1113715</v>
          </cell>
          <cell r="BF25">
            <v>30.670972652239499</v>
          </cell>
          <cell r="BG25">
            <v>73080</v>
          </cell>
          <cell r="BH25">
            <v>23.858562194473802</v>
          </cell>
          <cell r="BI25">
            <v>-337627</v>
          </cell>
        </row>
        <row r="26">
          <cell r="B26">
            <v>46.0993507391007</v>
          </cell>
          <cell r="C26">
            <v>-802040</v>
          </cell>
          <cell r="D26">
            <v>25.278114847840001</v>
          </cell>
          <cell r="E26">
            <v>-5176285</v>
          </cell>
          <cell r="F26">
            <v>26.619336259032501</v>
          </cell>
          <cell r="G26">
            <v>-3370543</v>
          </cell>
          <cell r="H26">
            <v>35.180028433632103</v>
          </cell>
          <cell r="I26">
            <v>-118523</v>
          </cell>
          <cell r="J26">
            <v>81.196845169187</v>
          </cell>
          <cell r="K26">
            <v>-4337226</v>
          </cell>
          <cell r="L26">
            <v>57.236890557384598</v>
          </cell>
          <cell r="M26">
            <v>-3024202</v>
          </cell>
          <cell r="N26">
            <v>14.8336313675592</v>
          </cell>
          <cell r="O26">
            <v>-2054569</v>
          </cell>
          <cell r="P26">
            <v>9.8641295117751309</v>
          </cell>
          <cell r="Q26">
            <v>1453147</v>
          </cell>
          <cell r="R26">
            <v>31.916246249757901</v>
          </cell>
          <cell r="S26">
            <v>-1464913</v>
          </cell>
          <cell r="T26">
            <v>18.052105481358101</v>
          </cell>
          <cell r="U26">
            <v>531565</v>
          </cell>
          <cell r="V26">
            <v>47.731772807213297</v>
          </cell>
          <cell r="W26">
            <v>-4617980</v>
          </cell>
          <cell r="X26">
            <v>13.576902876077099</v>
          </cell>
          <cell r="Y26">
            <v>-1821338</v>
          </cell>
          <cell r="Z26">
            <v>39.002678431372502</v>
          </cell>
          <cell r="AA26">
            <v>-1111513</v>
          </cell>
          <cell r="AB26">
            <v>12.341425192934601</v>
          </cell>
          <cell r="AC26">
            <v>-1073633</v>
          </cell>
          <cell r="AD26">
            <v>12.5009317403747</v>
          </cell>
          <cell r="AE26">
            <v>-983932</v>
          </cell>
          <cell r="AF26">
            <v>34.287893328303603</v>
          </cell>
          <cell r="AG26">
            <v>-63567</v>
          </cell>
          <cell r="AH26">
            <v>46.734766193898899</v>
          </cell>
          <cell r="AI26">
            <v>-1085471</v>
          </cell>
          <cell r="AJ26">
            <v>45.178184855946</v>
          </cell>
          <cell r="AK26">
            <v>-1876333</v>
          </cell>
          <cell r="AL26">
            <v>25.703786757811098</v>
          </cell>
          <cell r="AM26">
            <v>-736864</v>
          </cell>
          <cell r="AN26">
            <v>43.706067060256302</v>
          </cell>
          <cell r="AO26">
            <v>-2472137</v>
          </cell>
          <cell r="AP26">
            <v>47.304502805366504</v>
          </cell>
          <cell r="AQ26">
            <v>147300</v>
          </cell>
          <cell r="AR26">
            <v>41.426224119190898</v>
          </cell>
          <cell r="AS26">
            <v>-4554153</v>
          </cell>
          <cell r="AT26">
            <v>21.040936910429199</v>
          </cell>
          <cell r="AU26">
            <v>-373893</v>
          </cell>
          <cell r="AV26">
            <v>50.299682963268999</v>
          </cell>
          <cell r="AW26">
            <v>-2589667</v>
          </cell>
          <cell r="AX26">
            <v>35.912133371057799</v>
          </cell>
          <cell r="AY26">
            <v>78150</v>
          </cell>
          <cell r="AZ26">
            <v>9.6263746755149899</v>
          </cell>
          <cell r="BA26">
            <v>-1192843</v>
          </cell>
          <cell r="BB26">
            <v>13.1298748082332</v>
          </cell>
          <cell r="BC26">
            <v>24275</v>
          </cell>
          <cell r="BD26">
            <v>15.0843447204968</v>
          </cell>
          <cell r="BE26">
            <v>840612</v>
          </cell>
          <cell r="BF26">
            <v>30.6593607473927</v>
          </cell>
          <cell r="BG26">
            <v>-6537</v>
          </cell>
          <cell r="BH26">
            <v>23.650051658625902</v>
          </cell>
          <cell r="BI26">
            <v>-366750</v>
          </cell>
        </row>
        <row r="27">
          <cell r="B27">
            <v>46.088444376365302</v>
          </cell>
          <cell r="C27">
            <v>-901100</v>
          </cell>
          <cell r="D27">
            <v>25.071180884655099</v>
          </cell>
          <cell r="E27">
            <v>-2269274</v>
          </cell>
          <cell r="F27">
            <v>26.471175706810101</v>
          </cell>
          <cell r="G27">
            <v>-1938549</v>
          </cell>
          <cell r="H27">
            <v>34.9513213087072</v>
          </cell>
          <cell r="I27">
            <v>-3354475</v>
          </cell>
          <cell r="J27">
            <v>80.738314919645603</v>
          </cell>
          <cell r="K27">
            <v>-9859594</v>
          </cell>
          <cell r="L27">
            <v>57.136553501758101</v>
          </cell>
          <cell r="M27">
            <v>-2072350</v>
          </cell>
          <cell r="N27">
            <v>14.708176451722601</v>
          </cell>
          <cell r="O27">
            <v>-612033</v>
          </cell>
          <cell r="P27">
            <v>9.7735458190874205</v>
          </cell>
          <cell r="Q27">
            <v>-634739</v>
          </cell>
          <cell r="R27">
            <v>31.578200983356702</v>
          </cell>
          <cell r="S27">
            <v>-4788623</v>
          </cell>
          <cell r="T27">
            <v>18.085037500526798</v>
          </cell>
          <cell r="U27">
            <v>57723</v>
          </cell>
          <cell r="V27">
            <v>47.565548170202497</v>
          </cell>
          <cell r="W27">
            <v>-6880925</v>
          </cell>
          <cell r="X27">
            <v>13.3568494561053</v>
          </cell>
          <cell r="Y27">
            <v>-2343325</v>
          </cell>
          <cell r="Z27">
            <v>38.906731372548997</v>
          </cell>
          <cell r="AA27">
            <v>-748531</v>
          </cell>
          <cell r="AB27">
            <v>12.282050409556501</v>
          </cell>
          <cell r="AC27">
            <v>-309770</v>
          </cell>
          <cell r="AD27">
            <v>12.2536593425292</v>
          </cell>
          <cell r="AE27">
            <v>-440133</v>
          </cell>
          <cell r="AF27">
            <v>34.304222330875596</v>
          </cell>
          <cell r="AG27">
            <v>81976</v>
          </cell>
          <cell r="AH27">
            <v>46.484245559363501</v>
          </cell>
          <cell r="AI27">
            <v>-4382722</v>
          </cell>
          <cell r="AJ27">
            <v>45.129093350929999</v>
          </cell>
          <cell r="AK27">
            <v>-629262</v>
          </cell>
          <cell r="AL27">
            <v>25.500649465694298</v>
          </cell>
          <cell r="AM27">
            <v>-1066145</v>
          </cell>
          <cell r="AN27">
            <v>43.512297521288801</v>
          </cell>
          <cell r="AO27">
            <v>-2512355</v>
          </cell>
          <cell r="AP27">
            <v>47.216653678299203</v>
          </cell>
          <cell r="AQ27">
            <v>-648653</v>
          </cell>
          <cell r="AR27">
            <v>41.1135229712892</v>
          </cell>
          <cell r="AS27">
            <v>-3501990</v>
          </cell>
          <cell r="AT27">
            <v>20.968989346761099</v>
          </cell>
          <cell r="AU27">
            <v>-693858</v>
          </cell>
          <cell r="AV27">
            <v>50.326528166595502</v>
          </cell>
          <cell r="AW27">
            <v>323974</v>
          </cell>
          <cell r="AX27">
            <v>36.554811221820401</v>
          </cell>
          <cell r="AY27">
            <v>606989</v>
          </cell>
          <cell r="AZ27">
            <v>9.4665795963258592</v>
          </cell>
          <cell r="BA27">
            <v>-2530687</v>
          </cell>
          <cell r="BB27">
            <v>12.952716367186101</v>
          </cell>
          <cell r="BC27">
            <v>-1051888</v>
          </cell>
          <cell r="BD27">
            <v>14.5876645962732</v>
          </cell>
          <cell r="BE27">
            <v>-1365977</v>
          </cell>
          <cell r="BF27">
            <v>30.643012105123301</v>
          </cell>
          <cell r="BG27">
            <v>-22556</v>
          </cell>
          <cell r="BH27">
            <v>23.561242387609202</v>
          </cell>
          <cell r="BI27">
            <v>-173035</v>
          </cell>
        </row>
        <row r="28">
          <cell r="B28">
            <v>46.097563901458699</v>
          </cell>
          <cell r="C28">
            <v>855479</v>
          </cell>
          <cell r="D28">
            <v>25.0370432045451</v>
          </cell>
          <cell r="E28">
            <v>-525625</v>
          </cell>
          <cell r="F28">
            <v>26.3665381075167</v>
          </cell>
          <cell r="G28">
            <v>-1324071</v>
          </cell>
          <cell r="H28">
            <v>34.687539423228202</v>
          </cell>
          <cell r="I28">
            <v>-3836913</v>
          </cell>
          <cell r="J28">
            <v>80.664470561246105</v>
          </cell>
          <cell r="K28">
            <v>-1623704</v>
          </cell>
          <cell r="L28">
            <v>57.149853111785198</v>
          </cell>
          <cell r="M28">
            <v>344646</v>
          </cell>
          <cell r="N28">
            <v>14.7437236071759</v>
          </cell>
          <cell r="O28">
            <v>313493</v>
          </cell>
          <cell r="P28">
            <v>9.8188364027296</v>
          </cell>
          <cell r="Q28">
            <v>317528</v>
          </cell>
          <cell r="R28">
            <v>31.586624451421599</v>
          </cell>
          <cell r="S28">
            <v>61287</v>
          </cell>
          <cell r="T28">
            <v>18.064968696366201</v>
          </cell>
          <cell r="U28">
            <v>-65284</v>
          </cell>
          <cell r="V28">
            <v>47.523900827458597</v>
          </cell>
          <cell r="W28">
            <v>-1914551</v>
          </cell>
          <cell r="X28">
            <v>13.342298546170101</v>
          </cell>
          <cell r="Y28">
            <v>-558831</v>
          </cell>
          <cell r="Z28">
            <v>38.628886274509803</v>
          </cell>
          <cell r="AA28">
            <v>-2117388</v>
          </cell>
          <cell r="AB28">
            <v>12.1818261976027</v>
          </cell>
          <cell r="AC28">
            <v>-507741</v>
          </cell>
          <cell r="AD28">
            <v>12.1605243535457</v>
          </cell>
          <cell r="AE28">
            <v>-186971</v>
          </cell>
          <cell r="AF28">
            <v>34.368278495811403</v>
          </cell>
          <cell r="AG28">
            <v>179015</v>
          </cell>
          <cell r="AH28">
            <v>46.282467616241803</v>
          </cell>
          <cell r="AI28">
            <v>-3444804</v>
          </cell>
          <cell r="AJ28">
            <v>45.081604666238299</v>
          </cell>
          <cell r="AK28">
            <v>-138832</v>
          </cell>
          <cell r="AL28">
            <v>25.450542320136201</v>
          </cell>
          <cell r="AM28">
            <v>-354900</v>
          </cell>
          <cell r="AN28">
            <v>43.303340864875501</v>
          </cell>
          <cell r="AO28">
            <v>-2500761</v>
          </cell>
          <cell r="AP28">
            <v>47.166558988872801</v>
          </cell>
          <cell r="AQ28">
            <v>-369333</v>
          </cell>
          <cell r="AR28">
            <v>40.964661594337301</v>
          </cell>
          <cell r="AS28">
            <v>-1677478</v>
          </cell>
          <cell r="AT28">
            <v>20.990594963243499</v>
          </cell>
          <cell r="AU28">
            <v>209744</v>
          </cell>
          <cell r="AV28">
            <v>50.396547228257297</v>
          </cell>
          <cell r="AW28">
            <v>754950</v>
          </cell>
          <cell r="AX28">
            <v>36.515785564216003</v>
          </cell>
          <cell r="AY28">
            <v>-40950</v>
          </cell>
          <cell r="AZ28">
            <v>9.53791999266776</v>
          </cell>
          <cell r="BA28">
            <v>835132</v>
          </cell>
          <cell r="BB28">
            <v>12.899187941696299</v>
          </cell>
          <cell r="BC28">
            <v>-225065</v>
          </cell>
          <cell r="BD28">
            <v>14.430692546583799</v>
          </cell>
          <cell r="BE28">
            <v>-390971</v>
          </cell>
          <cell r="BF28">
            <v>30.6162472392983</v>
          </cell>
          <cell r="BG28">
            <v>-38472</v>
          </cell>
          <cell r="BH28">
            <v>23.569080032463599</v>
          </cell>
          <cell r="BI28">
            <v>15305</v>
          </cell>
        </row>
        <row r="29">
          <cell r="B29">
            <v>45.917921545023603</v>
          </cell>
          <cell r="C29">
            <v>-14429256</v>
          </cell>
          <cell r="D29">
            <v>24.997672836720401</v>
          </cell>
          <cell r="E29">
            <v>-642492</v>
          </cell>
          <cell r="F29">
            <v>26.295571255573901</v>
          </cell>
          <cell r="G29">
            <v>-865439</v>
          </cell>
          <cell r="H29">
            <v>34.635632813205198</v>
          </cell>
          <cell r="I29">
            <v>-727085</v>
          </cell>
          <cell r="J29">
            <v>80.462178870819002</v>
          </cell>
          <cell r="K29">
            <v>-4222578</v>
          </cell>
          <cell r="L29">
            <v>56.984212605956003</v>
          </cell>
          <cell r="M29">
            <v>-3011847</v>
          </cell>
          <cell r="N29">
            <v>14.398558004607301</v>
          </cell>
          <cell r="O29">
            <v>-1711547</v>
          </cell>
          <cell r="P29">
            <v>9.6257491135518496</v>
          </cell>
          <cell r="Q29">
            <v>-1071797</v>
          </cell>
          <cell r="R29">
            <v>31.603362688838299</v>
          </cell>
          <cell r="S29">
            <v>-4002151</v>
          </cell>
          <cell r="T29">
            <v>18.209210652331699</v>
          </cell>
          <cell r="U29">
            <v>510622</v>
          </cell>
          <cell r="V29">
            <v>47.400414294199301</v>
          </cell>
          <cell r="W29">
            <v>-4952223</v>
          </cell>
          <cell r="X29">
            <v>13.0472244955701</v>
          </cell>
          <cell r="Y29">
            <v>-2358365</v>
          </cell>
          <cell r="Z29">
            <v>38.241807843137202</v>
          </cell>
          <cell r="AA29">
            <v>-2496938</v>
          </cell>
          <cell r="AB29">
            <v>11.751662262593401</v>
          </cell>
          <cell r="AC29">
            <v>-1968858</v>
          </cell>
          <cell r="AD29">
            <v>12.001197834145</v>
          </cell>
          <cell r="AE29">
            <v>-251928</v>
          </cell>
          <cell r="AF29">
            <v>34.202207515345499</v>
          </cell>
          <cell r="AG29">
            <v>-444785</v>
          </cell>
          <cell r="AH29">
            <v>46.231628703360997</v>
          </cell>
          <cell r="AI29">
            <v>-845781</v>
          </cell>
          <cell r="AJ29">
            <v>45.079106868254001</v>
          </cell>
          <cell r="AK29">
            <v>-29039</v>
          </cell>
          <cell r="AL29">
            <v>25.237901948689402</v>
          </cell>
          <cell r="AM29">
            <v>-1026343</v>
          </cell>
          <cell r="AN29">
            <v>43.011402814349999</v>
          </cell>
          <cell r="AO29">
            <v>-3140017</v>
          </cell>
          <cell r="AP29">
            <v>47.139911932544699</v>
          </cell>
          <cell r="AQ29">
            <v>-188120</v>
          </cell>
          <cell r="AR29">
            <v>40.943453248853402</v>
          </cell>
          <cell r="AS29">
            <v>-229276</v>
          </cell>
          <cell r="AT29">
            <v>20.930688011661399</v>
          </cell>
          <cell r="AU29">
            <v>-569264</v>
          </cell>
          <cell r="AV29">
            <v>50.333508546440598</v>
          </cell>
          <cell r="AW29">
            <v>-644837</v>
          </cell>
          <cell r="AX29">
            <v>36.218503019541302</v>
          </cell>
          <cell r="AY29">
            <v>-281144</v>
          </cell>
          <cell r="AZ29">
            <v>9.4596827088041202</v>
          </cell>
          <cell r="BA29">
            <v>-958489</v>
          </cell>
          <cell r="BB29">
            <v>12.6838480075308</v>
          </cell>
          <cell r="BC29">
            <v>-1109264</v>
          </cell>
          <cell r="BD29">
            <v>14.4034409937888</v>
          </cell>
          <cell r="BE29">
            <v>-63108</v>
          </cell>
          <cell r="BF29">
            <v>30.3363198539429</v>
          </cell>
          <cell r="BG29">
            <v>-373367</v>
          </cell>
          <cell r="BH29">
            <v>23.6801515500349</v>
          </cell>
          <cell r="BI29">
            <v>212689</v>
          </cell>
        </row>
        <row r="30">
          <cell r="B30">
            <v>45.839880460561702</v>
          </cell>
          <cell r="C30">
            <v>-6227741</v>
          </cell>
          <cell r="D30">
            <v>24.9507985813114</v>
          </cell>
          <cell r="E30">
            <v>-443581</v>
          </cell>
          <cell r="F30">
            <v>26.295494517462899</v>
          </cell>
          <cell r="G30">
            <v>-2076</v>
          </cell>
          <cell r="H30">
            <v>34.663662885669901</v>
          </cell>
          <cell r="I30">
            <v>495242</v>
          </cell>
          <cell r="J30">
            <v>80.137286822526704</v>
          </cell>
          <cell r="K30">
            <v>-6762109</v>
          </cell>
          <cell r="L30">
            <v>56.901817265145198</v>
          </cell>
          <cell r="M30">
            <v>-1591212</v>
          </cell>
          <cell r="N30">
            <v>14.064123280012801</v>
          </cell>
          <cell r="O30">
            <v>-1501138</v>
          </cell>
          <cell r="P30">
            <v>10.0360463446869</v>
          </cell>
          <cell r="Q30">
            <v>1413939</v>
          </cell>
          <cell r="R30">
            <v>31.5921671761831</v>
          </cell>
          <cell r="S30">
            <v>-4278580</v>
          </cell>
          <cell r="T30">
            <v>18.075259268372601</v>
          </cell>
          <cell r="U30">
            <v>-421661</v>
          </cell>
          <cell r="V30">
            <v>47.3219804343167</v>
          </cell>
          <cell r="W30">
            <v>-3207104</v>
          </cell>
          <cell r="X30">
            <v>12.601867420299699</v>
          </cell>
          <cell r="Y30">
            <v>-3644625</v>
          </cell>
          <cell r="Z30">
            <v>38.157362745097998</v>
          </cell>
          <cell r="AA30">
            <v>-554933</v>
          </cell>
          <cell r="AB30">
            <v>11.6923249939965</v>
          </cell>
          <cell r="AC30">
            <v>-294565</v>
          </cell>
          <cell r="AD30">
            <v>11.860848881213</v>
          </cell>
          <cell r="AE30">
            <v>-193312</v>
          </cell>
          <cell r="AF30">
            <v>34.343523727912199</v>
          </cell>
          <cell r="AG30">
            <v>376333</v>
          </cell>
          <cell r="AH30">
            <v>46.210529778593298</v>
          </cell>
          <cell r="AI30">
            <v>-346910</v>
          </cell>
          <cell r="AJ30">
            <v>45.082504367694398</v>
          </cell>
          <cell r="AK30">
            <v>501012</v>
          </cell>
          <cell r="AL30">
            <v>25.030916906270502</v>
          </cell>
          <cell r="AM30">
            <v>-832928</v>
          </cell>
          <cell r="AN30">
            <v>42.820362732103</v>
          </cell>
          <cell r="AO30">
            <v>-2091215</v>
          </cell>
          <cell r="AP30">
            <v>47.149901913962097</v>
          </cell>
          <cell r="AQ30">
            <v>76201</v>
          </cell>
          <cell r="AR30">
            <v>40.783271917499498</v>
          </cell>
          <cell r="AS30">
            <v>-1800442</v>
          </cell>
          <cell r="AT30">
            <v>20.894249407799499</v>
          </cell>
          <cell r="AU30">
            <v>-347103</v>
          </cell>
          <cell r="AV30">
            <v>50.408407604191702</v>
          </cell>
          <cell r="AW30">
            <v>906260</v>
          </cell>
          <cell r="AX30">
            <v>36.280351198325903</v>
          </cell>
          <cell r="AY30">
            <v>56886</v>
          </cell>
          <cell r="AZ30">
            <v>9.4721188739284408</v>
          </cell>
          <cell r="BA30">
            <v>147139</v>
          </cell>
          <cell r="BB30">
            <v>12.523337660866501</v>
          </cell>
          <cell r="BC30">
            <v>-779320</v>
          </cell>
          <cell r="BD30">
            <v>14.3584751552795</v>
          </cell>
          <cell r="BE30">
            <v>-118706</v>
          </cell>
          <cell r="BF30">
            <v>30.328363974582501</v>
          </cell>
          <cell r="BG30">
            <v>-12843</v>
          </cell>
          <cell r="BH30">
            <v>23.514841862487</v>
          </cell>
          <cell r="BI30">
            <v>-315746</v>
          </cell>
        </row>
        <row r="31">
          <cell r="B31">
            <v>45.854203675064703</v>
          </cell>
          <cell r="C31">
            <v>1234973</v>
          </cell>
          <cell r="D31">
            <v>25.111973202158399</v>
          </cell>
          <cell r="E31">
            <v>1939274</v>
          </cell>
          <cell r="F31">
            <v>26.3069215826517</v>
          </cell>
          <cell r="G31">
            <v>433642</v>
          </cell>
          <cell r="H31">
            <v>34.642780627009898</v>
          </cell>
          <cell r="I31">
            <v>-328169</v>
          </cell>
          <cell r="J31">
            <v>79.878197908100802</v>
          </cell>
          <cell r="K31">
            <v>-5426643</v>
          </cell>
          <cell r="L31">
            <v>56.875835410701697</v>
          </cell>
          <cell r="M31">
            <v>-631160</v>
          </cell>
          <cell r="N31">
            <v>13.9612313368269</v>
          </cell>
          <cell r="O31">
            <v>-84923</v>
          </cell>
          <cell r="P31">
            <v>10.0123605866865</v>
          </cell>
          <cell r="Q31">
            <v>-214954</v>
          </cell>
          <cell r="R31">
            <v>31.500812957221299</v>
          </cell>
          <cell r="S31">
            <v>-3916173</v>
          </cell>
          <cell r="T31">
            <v>18.093395638352</v>
          </cell>
          <cell r="U31">
            <v>-131635</v>
          </cell>
          <cell r="V31">
            <v>47.283019276935498</v>
          </cell>
          <cell r="W31">
            <v>-1553425</v>
          </cell>
          <cell r="X31">
            <v>12.667192255516699</v>
          </cell>
          <cell r="Y31">
            <v>283805</v>
          </cell>
          <cell r="Z31">
            <v>38.0856882352941</v>
          </cell>
          <cell r="AA31">
            <v>-486175</v>
          </cell>
          <cell r="AB31">
            <v>11.6908438548516</v>
          </cell>
          <cell r="AC31">
            <v>-13310</v>
          </cell>
          <cell r="AD31">
            <v>11.679472980743901</v>
          </cell>
          <cell r="AE31">
            <v>-318910</v>
          </cell>
          <cell r="AF31">
            <v>34.3491132711004</v>
          </cell>
          <cell r="AG31">
            <v>-19154</v>
          </cell>
          <cell r="AH31">
            <v>46.178959599469401</v>
          </cell>
          <cell r="AI31">
            <v>-526107</v>
          </cell>
          <cell r="AJ31">
            <v>44.959620264939502</v>
          </cell>
          <cell r="AK31">
            <v>-1539719</v>
          </cell>
          <cell r="AL31">
            <v>24.832543115736701</v>
          </cell>
          <cell r="AM31">
            <v>-994474</v>
          </cell>
          <cell r="AN31">
            <v>42.742840251431701</v>
          </cell>
          <cell r="AO31">
            <v>-1020758</v>
          </cell>
          <cell r="AP31">
            <v>47.104419829986</v>
          </cell>
          <cell r="AQ31">
            <v>-339559</v>
          </cell>
          <cell r="AR31">
            <v>40.620762970228697</v>
          </cell>
          <cell r="AS31">
            <v>-1800225</v>
          </cell>
          <cell r="AT31">
            <v>20.801464044776601</v>
          </cell>
          <cell r="AU31">
            <v>-890870</v>
          </cell>
          <cell r="AV31">
            <v>50.491986158199303</v>
          </cell>
          <cell r="AW31">
            <v>903335</v>
          </cell>
          <cell r="AX31">
            <v>36.228148852192398</v>
          </cell>
          <cell r="AY31">
            <v>-49042</v>
          </cell>
          <cell r="AZ31">
            <v>9.4944096449496804</v>
          </cell>
          <cell r="BA31">
            <v>196937</v>
          </cell>
          <cell r="BB31">
            <v>12.200468104332501</v>
          </cell>
          <cell r="BC31">
            <v>-1115766</v>
          </cell>
          <cell r="BD31">
            <v>14.3005714285714</v>
          </cell>
          <cell r="BE31">
            <v>-149468</v>
          </cell>
          <cell r="BF31">
            <v>30.2690857751866</v>
          </cell>
          <cell r="BG31">
            <v>-73823</v>
          </cell>
          <cell r="BH31">
            <v>23.249550091044799</v>
          </cell>
          <cell r="BI31">
            <v>-501784</v>
          </cell>
        </row>
        <row r="32">
          <cell r="B32">
            <v>45.8702695993804</v>
          </cell>
          <cell r="C32">
            <v>545376</v>
          </cell>
          <cell r="D32">
            <v>24.9873969094104</v>
          </cell>
          <cell r="E32">
            <v>-1327703</v>
          </cell>
          <cell r="F32">
            <v>26.5526819506584</v>
          </cell>
          <cell r="G32">
            <v>3377756</v>
          </cell>
          <cell r="H32">
            <v>34.6706052864645</v>
          </cell>
          <cell r="I32">
            <v>531810</v>
          </cell>
          <cell r="J32">
            <v>79.834181204043503</v>
          </cell>
          <cell r="K32">
            <v>-928880</v>
          </cell>
          <cell r="L32">
            <v>56.860445187692697</v>
          </cell>
          <cell r="M32">
            <v>-189485</v>
          </cell>
          <cell r="N32">
            <v>13.9919890973561</v>
          </cell>
          <cell r="O32">
            <v>113086</v>
          </cell>
          <cell r="P32">
            <v>9.9675321518570392</v>
          </cell>
          <cell r="Q32">
            <v>-276186</v>
          </cell>
          <cell r="R32">
            <v>31.536061357521898</v>
          </cell>
          <cell r="S32">
            <v>-210116</v>
          </cell>
          <cell r="T32">
            <v>17.6535523072133</v>
          </cell>
          <cell r="U32">
            <v>-1737578</v>
          </cell>
          <cell r="V32">
            <v>47.2936137663444</v>
          </cell>
          <cell r="W32">
            <v>894783</v>
          </cell>
          <cell r="X32">
            <v>12.586362988244099</v>
          </cell>
          <cell r="Y32">
            <v>-689936</v>
          </cell>
          <cell r="Z32">
            <v>37.914964705882298</v>
          </cell>
          <cell r="AA32">
            <v>-1206681</v>
          </cell>
          <cell r="AB32">
            <v>11.6544406225836</v>
          </cell>
          <cell r="AC32">
            <v>-197481</v>
          </cell>
          <cell r="AD32">
            <v>11.5703367880256</v>
          </cell>
          <cell r="AE32">
            <v>-191043</v>
          </cell>
          <cell r="AF32">
            <v>34.435669545503302</v>
          </cell>
          <cell r="AG32">
            <v>214972</v>
          </cell>
          <cell r="AH32">
            <v>46.181502899898199</v>
          </cell>
          <cell r="AI32">
            <v>182334</v>
          </cell>
          <cell r="AJ32">
            <v>44.973207719118697</v>
          </cell>
          <cell r="AK32">
            <v>162378</v>
          </cell>
          <cell r="AL32">
            <v>24.923043000304201</v>
          </cell>
          <cell r="AM32">
            <v>234414</v>
          </cell>
          <cell r="AN32">
            <v>42.630661112393597</v>
          </cell>
          <cell r="AO32">
            <v>-1262124</v>
          </cell>
          <cell r="AP32">
            <v>47.168984759233801</v>
          </cell>
          <cell r="AQ32">
            <v>490854</v>
          </cell>
          <cell r="AR32">
            <v>40.479298003764399</v>
          </cell>
          <cell r="AS32">
            <v>-1573007</v>
          </cell>
          <cell r="AT32">
            <v>20.780918911143001</v>
          </cell>
          <cell r="AU32">
            <v>-204897</v>
          </cell>
          <cell r="AV32">
            <v>50.6399305021678</v>
          </cell>
          <cell r="AW32">
            <v>1531784</v>
          </cell>
          <cell r="AX32">
            <v>36.253454612671298</v>
          </cell>
          <cell r="AY32">
            <v>23469</v>
          </cell>
          <cell r="AZ32">
            <v>9.6357528768059595</v>
          </cell>
          <cell r="BA32">
            <v>1536937</v>
          </cell>
          <cell r="BB32">
            <v>12.065980997896499</v>
          </cell>
          <cell r="BC32">
            <v>-158689</v>
          </cell>
          <cell r="BD32">
            <v>13.8181242236024</v>
          </cell>
          <cell r="BE32">
            <v>-1285470</v>
          </cell>
          <cell r="BF32">
            <v>30.306864705212799</v>
          </cell>
          <cell r="BG32">
            <v>47375</v>
          </cell>
          <cell r="BH32">
            <v>23.1717989865049</v>
          </cell>
          <cell r="BI32">
            <v>-142557</v>
          </cell>
        </row>
        <row r="33">
          <cell r="B33">
            <v>45.869260090423801</v>
          </cell>
          <cell r="C33">
            <v>-82926</v>
          </cell>
          <cell r="D33">
            <v>24.954533104586801</v>
          </cell>
          <cell r="E33">
            <v>-284726</v>
          </cell>
          <cell r="F33">
            <v>26.357008755071799</v>
          </cell>
          <cell r="G33">
            <v>-2576745</v>
          </cell>
          <cell r="H33">
            <v>34.668785075668801</v>
          </cell>
          <cell r="I33">
            <v>-15046</v>
          </cell>
          <cell r="J33">
            <v>79.676503757742196</v>
          </cell>
          <cell r="K33">
            <v>-3133249</v>
          </cell>
          <cell r="L33">
            <v>56.800752545963597</v>
          </cell>
          <cell r="M33">
            <v>-1120998</v>
          </cell>
          <cell r="N33">
            <v>13.9044947371641</v>
          </cell>
          <cell r="O33">
            <v>-319791</v>
          </cell>
          <cell r="P33">
            <v>9.9543629894522994</v>
          </cell>
          <cell r="Q33">
            <v>-402320</v>
          </cell>
          <cell r="R33">
            <v>31.3777378158657</v>
          </cell>
          <cell r="S33">
            <v>-3428633</v>
          </cell>
          <cell r="T33">
            <v>17.378200019926201</v>
          </cell>
          <cell r="U33">
            <v>-1017806</v>
          </cell>
          <cell r="V33">
            <v>47.294350116046701</v>
          </cell>
          <cell r="W33">
            <v>27636</v>
          </cell>
          <cell r="X33">
            <v>12.570328120042101</v>
          </cell>
          <cell r="Y33">
            <v>-36428</v>
          </cell>
          <cell r="Z33">
            <v>37.700152941176398</v>
          </cell>
          <cell r="AA33">
            <v>-1421914</v>
          </cell>
          <cell r="AB33">
            <v>11.6589215547998</v>
          </cell>
          <cell r="AC33">
            <v>22979</v>
          </cell>
          <cell r="AD33">
            <v>11.377879793646899</v>
          </cell>
          <cell r="AE33">
            <v>-598873</v>
          </cell>
          <cell r="AF33">
            <v>34.294536720196199</v>
          </cell>
          <cell r="AG33">
            <v>-479774</v>
          </cell>
          <cell r="AH33">
            <v>46.160794399457799</v>
          </cell>
          <cell r="AI33">
            <v>-498695</v>
          </cell>
          <cell r="AJ33">
            <v>45.222645950762001</v>
          </cell>
          <cell r="AK33">
            <v>3240766</v>
          </cell>
          <cell r="AL33">
            <v>24.912456702840799</v>
          </cell>
          <cell r="AM33">
            <v>-49712</v>
          </cell>
          <cell r="AN33">
            <v>42.397707343907499</v>
          </cell>
          <cell r="AO33">
            <v>-2559930</v>
          </cell>
          <cell r="AP33">
            <v>47.165291477226802</v>
          </cell>
          <cell r="AQ33">
            <v>-29773</v>
          </cell>
          <cell r="AR33">
            <v>40.513082898120402</v>
          </cell>
          <cell r="AS33">
            <v>371321</v>
          </cell>
          <cell r="AT33">
            <v>20.807214065418101</v>
          </cell>
          <cell r="AU33">
            <v>244376</v>
          </cell>
          <cell r="AV33">
            <v>50.4940384734711</v>
          </cell>
          <cell r="AW33">
            <v>-1549940</v>
          </cell>
          <cell r="AX33">
            <v>36.247432757371797</v>
          </cell>
          <cell r="AY33">
            <v>-5828</v>
          </cell>
          <cell r="AZ33">
            <v>9.6802017129561992</v>
          </cell>
          <cell r="BA33">
            <v>523695</v>
          </cell>
          <cell r="BB33">
            <v>12.0495737493157</v>
          </cell>
          <cell r="BC33">
            <v>-66696</v>
          </cell>
          <cell r="BD33">
            <v>13.8013322981366</v>
          </cell>
          <cell r="BE33">
            <v>-45942</v>
          </cell>
          <cell r="BF33">
            <v>30.318810021188799</v>
          </cell>
          <cell r="BG33">
            <v>14678</v>
          </cell>
          <cell r="BH33">
            <v>23.033889788747299</v>
          </cell>
          <cell r="BI33">
            <v>-246540</v>
          </cell>
        </row>
        <row r="34">
          <cell r="B34">
            <v>45.882546640382998</v>
          </cell>
          <cell r="C34">
            <v>-765631</v>
          </cell>
          <cell r="D34">
            <v>24.809036948802699</v>
          </cell>
          <cell r="E34">
            <v>-1678976</v>
          </cell>
          <cell r="F34">
            <v>26.3597471303645</v>
          </cell>
          <cell r="G34">
            <v>38496</v>
          </cell>
          <cell r="H34">
            <v>34.646404839139201</v>
          </cell>
          <cell r="I34">
            <v>-242522</v>
          </cell>
          <cell r="J34">
            <v>79.559061865184205</v>
          </cell>
          <cell r="K34">
            <v>-2394866</v>
          </cell>
          <cell r="L34">
            <v>56.695670659545598</v>
          </cell>
          <cell r="M34">
            <v>-2052064</v>
          </cell>
          <cell r="N34">
            <v>13.637950919998399</v>
          </cell>
          <cell r="O34">
            <v>-1205692</v>
          </cell>
          <cell r="P34">
            <v>9.86500158172875</v>
          </cell>
          <cell r="Q34">
            <v>-542972</v>
          </cell>
          <cell r="R34">
            <v>31.2096559495617</v>
          </cell>
          <cell r="S34">
            <v>-3397918</v>
          </cell>
          <cell r="T34">
            <v>17.429926473471301</v>
          </cell>
          <cell r="U34">
            <v>181801</v>
          </cell>
          <cell r="V34">
            <v>47.280559043117002</v>
          </cell>
          <cell r="W34">
            <v>-456474</v>
          </cell>
          <cell r="X34">
            <v>12.4683725192435</v>
          </cell>
          <cell r="Y34">
            <v>-605803</v>
          </cell>
          <cell r="Z34">
            <v>37.604017647058797</v>
          </cell>
          <cell r="AA34">
            <v>-637917</v>
          </cell>
          <cell r="AB34">
            <v>11.630357522396499</v>
          </cell>
          <cell r="AC34">
            <v>-148235</v>
          </cell>
          <cell r="AD34">
            <v>11.284406384410801</v>
          </cell>
          <cell r="AE34">
            <v>-129555</v>
          </cell>
          <cell r="AF34">
            <v>34.351722143280497</v>
          </cell>
          <cell r="AG34">
            <v>276076</v>
          </cell>
          <cell r="AH34">
            <v>45.862185065047697</v>
          </cell>
          <cell r="AI34">
            <v>-5122279</v>
          </cell>
          <cell r="AJ34">
            <v>45.220007892372998</v>
          </cell>
          <cell r="AK34">
            <v>-22838</v>
          </cell>
          <cell r="AL34">
            <v>24.836809533170101</v>
          </cell>
          <cell r="AM34">
            <v>-390768</v>
          </cell>
          <cell r="AN34">
            <v>42.378090057735001</v>
          </cell>
          <cell r="AO34">
            <v>-204334</v>
          </cell>
          <cell r="AP34">
            <v>47.147493908305201</v>
          </cell>
          <cell r="AQ34">
            <v>-131583</v>
          </cell>
          <cell r="AR34">
            <v>40.559396622570901</v>
          </cell>
          <cell r="AS34">
            <v>524382</v>
          </cell>
          <cell r="AT34">
            <v>20.700910989198398</v>
          </cell>
          <cell r="AU34">
            <v>-1010540</v>
          </cell>
          <cell r="AV34">
            <v>50.332448949859298</v>
          </cell>
          <cell r="AW34">
            <v>-1700125</v>
          </cell>
          <cell r="AX34">
            <v>36.318756046105598</v>
          </cell>
          <cell r="AY34">
            <v>63015</v>
          </cell>
          <cell r="AZ34">
            <v>9.6009591103549692</v>
          </cell>
          <cell r="BA34">
            <v>-888214</v>
          </cell>
          <cell r="BB34">
            <v>12.013964251489501</v>
          </cell>
          <cell r="BC34">
            <v>-190114</v>
          </cell>
          <cell r="BD34">
            <v>13.7327484472049</v>
          </cell>
          <cell r="BE34">
            <v>-176326</v>
          </cell>
          <cell r="BF34">
            <v>30.353415797019299</v>
          </cell>
          <cell r="BG34">
            <v>43840</v>
          </cell>
          <cell r="BH34">
            <v>23.0810719938749</v>
          </cell>
          <cell r="BI34">
            <v>85631</v>
          </cell>
        </row>
        <row r="35">
          <cell r="B35">
            <v>45.945623638482502</v>
          </cell>
          <cell r="C35">
            <v>5264709</v>
          </cell>
          <cell r="D35">
            <v>24.5326996469392</v>
          </cell>
          <cell r="E35">
            <v>-3089809</v>
          </cell>
          <cell r="F35">
            <v>26.348822665235701</v>
          </cell>
          <cell r="G35">
            <v>-145855</v>
          </cell>
          <cell r="H35">
            <v>34.630452492721801</v>
          </cell>
          <cell r="I35">
            <v>-187943</v>
          </cell>
          <cell r="J35">
            <v>79.348004767335098</v>
          </cell>
          <cell r="K35">
            <v>-4041423</v>
          </cell>
          <cell r="L35">
            <v>56.634696592957297</v>
          </cell>
          <cell r="M35">
            <v>-1196008</v>
          </cell>
          <cell r="N35">
            <v>13.779306148192999</v>
          </cell>
          <cell r="O35">
            <v>561226</v>
          </cell>
          <cell r="P35">
            <v>10.034427040693201</v>
          </cell>
          <cell r="Q35">
            <v>918311</v>
          </cell>
          <cell r="R35">
            <v>31.134428708306999</v>
          </cell>
          <cell r="S35">
            <v>-1743443</v>
          </cell>
          <cell r="T35">
            <v>17.499851215527698</v>
          </cell>
          <cell r="U35">
            <v>245884</v>
          </cell>
          <cell r="V35">
            <v>47.350849471712003</v>
          </cell>
          <cell r="W35">
            <v>3386039</v>
          </cell>
          <cell r="X35">
            <v>12.4609211543293</v>
          </cell>
          <cell r="Y35">
            <v>-68106</v>
          </cell>
          <cell r="Z35">
            <v>37.544086274509802</v>
          </cell>
          <cell r="AA35">
            <v>-343666</v>
          </cell>
          <cell r="AB35">
            <v>11.619301777390501</v>
          </cell>
          <cell r="AC35">
            <v>-60978</v>
          </cell>
          <cell r="AD35">
            <v>11.2544431758987</v>
          </cell>
          <cell r="AE35">
            <v>-22565</v>
          </cell>
          <cell r="AF35">
            <v>34.514698149720502</v>
          </cell>
          <cell r="AG35">
            <v>372759</v>
          </cell>
          <cell r="AH35">
            <v>45.661862899701603</v>
          </cell>
          <cell r="AI35">
            <v>-3511468</v>
          </cell>
          <cell r="AJ35">
            <v>45.267376665319702</v>
          </cell>
          <cell r="AK35">
            <v>651107</v>
          </cell>
          <cell r="AL35">
            <v>25.0429559122245</v>
          </cell>
          <cell r="AM35">
            <v>994006</v>
          </cell>
          <cell r="AN35">
            <v>42.433600684749898</v>
          </cell>
          <cell r="AO35">
            <v>602229</v>
          </cell>
          <cell r="AP35">
            <v>47.132237580322197</v>
          </cell>
          <cell r="AQ35">
            <v>-111712</v>
          </cell>
          <cell r="AR35">
            <v>40.573881922536501</v>
          </cell>
          <cell r="AS35">
            <v>169495</v>
          </cell>
          <cell r="AT35">
            <v>20.644089078631101</v>
          </cell>
          <cell r="AU35">
            <v>-538405</v>
          </cell>
          <cell r="AV35">
            <v>50.261840526785399</v>
          </cell>
          <cell r="AW35">
            <v>-678718</v>
          </cell>
          <cell r="AX35">
            <v>36.419490200284102</v>
          </cell>
          <cell r="AY35">
            <v>85470</v>
          </cell>
          <cell r="AZ35">
            <v>9.5505528298338103</v>
          </cell>
          <cell r="BA35">
            <v>-581660</v>
          </cell>
          <cell r="BB35">
            <v>12.118515116767</v>
          </cell>
          <cell r="BC35">
            <v>318963</v>
          </cell>
          <cell r="BD35">
            <v>13.6164472049689</v>
          </cell>
          <cell r="BE35">
            <v>-321961</v>
          </cell>
          <cell r="BF35">
            <v>30.3463106908853</v>
          </cell>
          <cell r="BG35">
            <v>-9705</v>
          </cell>
          <cell r="BH35">
            <v>23.074453769828999</v>
          </cell>
          <cell r="BI35">
            <v>-12073</v>
          </cell>
        </row>
        <row r="36">
          <cell r="B36">
            <v>46.106517777469598</v>
          </cell>
          <cell r="C36">
            <v>14054769</v>
          </cell>
          <cell r="D36">
            <v>24.506814936633202</v>
          </cell>
          <cell r="E36">
            <v>-503388</v>
          </cell>
          <cell r="F36">
            <v>26.183668423775799</v>
          </cell>
          <cell r="G36">
            <v>-2070291</v>
          </cell>
          <cell r="H36">
            <v>34.612048325436803</v>
          </cell>
          <cell r="I36">
            <v>-582526</v>
          </cell>
          <cell r="J36">
            <v>79.286677832877103</v>
          </cell>
          <cell r="K36">
            <v>-1191967</v>
          </cell>
          <cell r="L36">
            <v>56.669910410583</v>
          </cell>
          <cell r="M36">
            <v>709926</v>
          </cell>
          <cell r="N36">
            <v>13.857052645863799</v>
          </cell>
          <cell r="O36">
            <v>322828</v>
          </cell>
          <cell r="P36">
            <v>10.0378662353802</v>
          </cell>
          <cell r="Q36">
            <v>41558</v>
          </cell>
          <cell r="R36">
            <v>31.399464369125699</v>
          </cell>
          <cell r="S36">
            <v>1627811</v>
          </cell>
          <cell r="T36">
            <v>17.643231495923899</v>
          </cell>
          <cell r="U36">
            <v>508258</v>
          </cell>
          <cell r="V36">
            <v>47.383956534263397</v>
          </cell>
          <cell r="W36">
            <v>1503219</v>
          </cell>
          <cell r="X36">
            <v>12.442828590804099</v>
          </cell>
          <cell r="Y36">
            <v>-68537</v>
          </cell>
          <cell r="Z36">
            <v>37.185462745098</v>
          </cell>
          <cell r="AA36">
            <v>-1890067</v>
          </cell>
          <cell r="AB36">
            <v>11.4832301077072</v>
          </cell>
          <cell r="AC36">
            <v>-666095</v>
          </cell>
          <cell r="AD36">
            <v>12.246726066073601</v>
          </cell>
          <cell r="AE36">
            <v>1544028</v>
          </cell>
          <cell r="AF36">
            <v>34.637730903715003</v>
          </cell>
          <cell r="AG36">
            <v>253341</v>
          </cell>
          <cell r="AH36">
            <v>45.532907099171702</v>
          </cell>
          <cell r="AI36">
            <v>-2189894</v>
          </cell>
          <cell r="AJ36">
            <v>45.401274843533301</v>
          </cell>
          <cell r="AK36">
            <v>1849047</v>
          </cell>
          <cell r="AL36">
            <v>25.2839021690545</v>
          </cell>
          <cell r="AM36">
            <v>1359650</v>
          </cell>
          <cell r="AN36">
            <v>42.355927175599398</v>
          </cell>
          <cell r="AO36">
            <v>-790603</v>
          </cell>
          <cell r="AP36">
            <v>47.1137676173459</v>
          </cell>
          <cell r="AQ36">
            <v>-140965</v>
          </cell>
          <cell r="AR36">
            <v>40.582688687998697</v>
          </cell>
          <cell r="AS36">
            <v>99435</v>
          </cell>
          <cell r="AT36">
            <v>20.5370973771848</v>
          </cell>
          <cell r="AU36">
            <v>-1008104</v>
          </cell>
          <cell r="AV36">
            <v>50.1624975999719</v>
          </cell>
          <cell r="AW36">
            <v>-877002</v>
          </cell>
          <cell r="AX36">
            <v>36.499574667668803</v>
          </cell>
          <cell r="AY36">
            <v>65239</v>
          </cell>
          <cell r="AZ36">
            <v>9.5896772000775208</v>
          </cell>
          <cell r="BA36">
            <v>132860</v>
          </cell>
          <cell r="BB36">
            <v>12.0517502817479</v>
          </cell>
          <cell r="BC36">
            <v>-370989</v>
          </cell>
          <cell r="BD36">
            <v>13.413847826086901</v>
          </cell>
          <cell r="BE36">
            <v>-452823</v>
          </cell>
          <cell r="BF36">
            <v>30.307232607148499</v>
          </cell>
          <cell r="BG36">
            <v>-92292</v>
          </cell>
          <cell r="BH36">
            <v>23.125836202185798</v>
          </cell>
          <cell r="BI36">
            <v>92479</v>
          </cell>
        </row>
        <row r="37">
          <cell r="B37">
            <v>46.159008848763499</v>
          </cell>
          <cell r="C37">
            <v>5793265</v>
          </cell>
          <cell r="D37">
            <v>24.444575785462501</v>
          </cell>
          <cell r="E37">
            <v>-715856</v>
          </cell>
          <cell r="F37">
            <v>26.100420708742899</v>
          </cell>
          <cell r="G37">
            <v>-1051883</v>
          </cell>
          <cell r="H37">
            <v>34.662535769112402</v>
          </cell>
          <cell r="I37">
            <v>543506</v>
          </cell>
          <cell r="J37">
            <v>79.282399624357097</v>
          </cell>
          <cell r="K37">
            <v>-135340</v>
          </cell>
          <cell r="L37">
            <v>56.6688404952829</v>
          </cell>
          <cell r="M37">
            <v>-396653</v>
          </cell>
          <cell r="N37">
            <v>13.6417602919062</v>
          </cell>
          <cell r="O37">
            <v>-946900</v>
          </cell>
          <cell r="P37">
            <v>10.104912984865001</v>
          </cell>
          <cell r="Q37">
            <v>-875345</v>
          </cell>
          <cell r="R37">
            <v>31.548256989299901</v>
          </cell>
          <cell r="S37">
            <v>928166</v>
          </cell>
          <cell r="T37">
            <v>17.6804286939634</v>
          </cell>
          <cell r="U37">
            <v>136446</v>
          </cell>
          <cell r="V37">
            <v>47.426499654448897</v>
          </cell>
          <cell r="W37">
            <v>1877208</v>
          </cell>
          <cell r="X37">
            <v>12.2320677265201</v>
          </cell>
          <cell r="Y37">
            <v>-1788889</v>
          </cell>
          <cell r="Z37">
            <v>37.610594117646997</v>
          </cell>
          <cell r="AA37">
            <v>2604347</v>
          </cell>
          <cell r="AB37">
            <v>11.2020596004</v>
          </cell>
          <cell r="AC37">
            <v>-1365820</v>
          </cell>
          <cell r="AD37">
            <v>12.5670278189257</v>
          </cell>
          <cell r="AE37">
            <v>529253</v>
          </cell>
          <cell r="AF37">
            <v>34.564978916871098</v>
          </cell>
          <cell r="AG37">
            <v>203973</v>
          </cell>
          <cell r="AH37">
            <v>45.663989911730901</v>
          </cell>
          <cell r="AI37">
            <v>2210559</v>
          </cell>
          <cell r="AJ37">
            <v>45.547014488245701</v>
          </cell>
          <cell r="AK37">
            <v>2295189</v>
          </cell>
          <cell r="AL37">
            <v>26.0790201647368</v>
          </cell>
          <cell r="AM37">
            <v>4802161</v>
          </cell>
          <cell r="AN37">
            <v>42.320956421771903</v>
          </cell>
          <cell r="AO37">
            <v>-375851</v>
          </cell>
          <cell r="AP37">
            <v>47.1333452096302</v>
          </cell>
          <cell r="AQ37">
            <v>137949</v>
          </cell>
          <cell r="AR37">
            <v>40.716078576919998</v>
          </cell>
          <cell r="AS37">
            <v>1563119</v>
          </cell>
          <cell r="AT37">
            <v>20.4662653863838</v>
          </cell>
          <cell r="AU37">
            <v>-668004</v>
          </cell>
          <cell r="AV37">
            <v>50.017656808120101</v>
          </cell>
          <cell r="AW37">
            <v>-1402623</v>
          </cell>
          <cell r="AX37">
            <v>36.940838530934201</v>
          </cell>
          <cell r="AY37">
            <v>376459</v>
          </cell>
          <cell r="AZ37">
            <v>9.6145963115399695</v>
          </cell>
          <cell r="BA37">
            <v>256825</v>
          </cell>
          <cell r="BB37">
            <v>12.0378091752426</v>
          </cell>
          <cell r="BC37">
            <v>-52022</v>
          </cell>
          <cell r="BD37">
            <v>13.430916149068301</v>
          </cell>
          <cell r="BE37">
            <v>39563</v>
          </cell>
          <cell r="BF37">
            <v>30.292918922461201</v>
          </cell>
          <cell r="BG37">
            <v>-18215</v>
          </cell>
          <cell r="BH37">
            <v>23.1554983527917</v>
          </cell>
          <cell r="BI37">
            <v>52898</v>
          </cell>
        </row>
        <row r="38">
          <cell r="B38">
            <v>46.331903041763098</v>
          </cell>
          <cell r="C38">
            <v>15453878</v>
          </cell>
          <cell r="D38">
            <v>24.407158693076902</v>
          </cell>
          <cell r="E38">
            <v>-719070</v>
          </cell>
          <cell r="F38">
            <v>26.1817306136406</v>
          </cell>
          <cell r="G38">
            <v>1073419</v>
          </cell>
          <cell r="H38">
            <v>34.4708071781087</v>
          </cell>
          <cell r="I38">
            <v>-2687253</v>
          </cell>
          <cell r="J38">
            <v>79.125489467069002</v>
          </cell>
          <cell r="K38">
            <v>-3215794</v>
          </cell>
          <cell r="L38">
            <v>56.729577812507898</v>
          </cell>
          <cell r="M38">
            <v>1227442</v>
          </cell>
          <cell r="N38">
            <v>13.5173976154618</v>
          </cell>
          <cell r="O38">
            <v>-228311</v>
          </cell>
          <cell r="P38">
            <v>10.1993178763424</v>
          </cell>
          <cell r="Q38">
            <v>534466</v>
          </cell>
          <cell r="R38">
            <v>31.638217226855801</v>
          </cell>
          <cell r="S38">
            <v>1338145</v>
          </cell>
          <cell r="T38">
            <v>17.8248457497773</v>
          </cell>
          <cell r="U38">
            <v>528650</v>
          </cell>
          <cell r="V38">
            <v>47.471436484648102</v>
          </cell>
          <cell r="W38">
            <v>2073565</v>
          </cell>
          <cell r="X38">
            <v>12.322065059364499</v>
          </cell>
          <cell r="Y38">
            <v>570565</v>
          </cell>
          <cell r="Z38">
            <v>37.879880392156799</v>
          </cell>
          <cell r="AA38">
            <v>1800948</v>
          </cell>
          <cell r="AB38">
            <v>10.9840542588231</v>
          </cell>
          <cell r="AC38">
            <v>-1105878</v>
          </cell>
          <cell r="AD38">
            <v>12.87186636947</v>
          </cell>
          <cell r="AE38">
            <v>542162</v>
          </cell>
          <cell r="AF38">
            <v>34.637545004301103</v>
          </cell>
          <cell r="AG38">
            <v>129166</v>
          </cell>
          <cell r="AH38">
            <v>45.688919182422801</v>
          </cell>
          <cell r="AI38">
            <v>418023</v>
          </cell>
          <cell r="AJ38">
            <v>45.712227436969997</v>
          </cell>
          <cell r="AK38">
            <v>2231553</v>
          </cell>
          <cell r="AL38">
            <v>26.179783374980701</v>
          </cell>
          <cell r="AM38">
            <v>618552</v>
          </cell>
          <cell r="AN38">
            <v>42.302911801721002</v>
          </cell>
          <cell r="AO38">
            <v>-215175</v>
          </cell>
          <cell r="AP38">
            <v>47.180843587535101</v>
          </cell>
          <cell r="AQ38">
            <v>361123</v>
          </cell>
          <cell r="AR38">
            <v>40.814188383128702</v>
          </cell>
          <cell r="AS38">
            <v>1186831</v>
          </cell>
          <cell r="AT38">
            <v>20.408382992967599</v>
          </cell>
          <cell r="AU38">
            <v>-553598</v>
          </cell>
          <cell r="AV38">
            <v>50.242406229725603</v>
          </cell>
          <cell r="AW38">
            <v>2336774</v>
          </cell>
          <cell r="AX38">
            <v>37.128711104130403</v>
          </cell>
          <cell r="AY38">
            <v>175985</v>
          </cell>
          <cell r="AZ38">
            <v>9.6822600863638399</v>
          </cell>
          <cell r="BA38">
            <v>715774</v>
          </cell>
          <cell r="BB38">
            <v>11.5756528419828</v>
          </cell>
          <cell r="BC38">
            <v>-1847869</v>
          </cell>
          <cell r="BD38">
            <v>13.4551180124223</v>
          </cell>
          <cell r="BE38">
            <v>57552</v>
          </cell>
          <cell r="BF38">
            <v>30.291573781008601</v>
          </cell>
          <cell r="BG38">
            <v>103</v>
          </cell>
          <cell r="BH38">
            <v>23.200887905106899</v>
          </cell>
          <cell r="BI38">
            <v>82117</v>
          </cell>
        </row>
        <row r="39">
          <cell r="B39">
            <v>46.367812911472903</v>
          </cell>
          <cell r="C39">
            <v>3067331</v>
          </cell>
          <cell r="D39">
            <v>24.409479305230501</v>
          </cell>
          <cell r="E39">
            <v>-73524</v>
          </cell>
          <cell r="F39">
            <v>26.2021789005397</v>
          </cell>
          <cell r="G39">
            <v>277773</v>
          </cell>
          <cell r="H39">
            <v>34.414591086975697</v>
          </cell>
          <cell r="I39">
            <v>-805767</v>
          </cell>
          <cell r="J39">
            <v>79.134152014359799</v>
          </cell>
          <cell r="K39">
            <v>177551</v>
          </cell>
          <cell r="L39">
            <v>56.570978707254397</v>
          </cell>
          <cell r="M39">
            <v>-1406093</v>
          </cell>
          <cell r="N39">
            <v>13.434650756080201</v>
          </cell>
          <cell r="O39">
            <v>-787706</v>
          </cell>
          <cell r="P39">
            <v>9.9814479009632198</v>
          </cell>
          <cell r="Q39">
            <v>-1174827</v>
          </cell>
          <cell r="R39">
            <v>31.515203484354899</v>
          </cell>
          <cell r="S39">
            <v>-790500</v>
          </cell>
          <cell r="T39">
            <v>17.735510267957299</v>
          </cell>
          <cell r="U39">
            <v>-317322</v>
          </cell>
          <cell r="V39">
            <v>47.416774562352202</v>
          </cell>
          <cell r="W39">
            <v>-2473642</v>
          </cell>
          <cell r="X39">
            <v>12.327634638902</v>
          </cell>
          <cell r="Y39">
            <v>229019</v>
          </cell>
          <cell r="Z39">
            <v>37.915182352941102</v>
          </cell>
          <cell r="AA39">
            <v>260977</v>
          </cell>
          <cell r="AB39">
            <v>10.9522917439511</v>
          </cell>
          <cell r="AC39">
            <v>-164179</v>
          </cell>
          <cell r="AD39">
            <v>12.5975810935191</v>
          </cell>
          <cell r="AE39">
            <v>-471194</v>
          </cell>
          <cell r="AF39">
            <v>34.904333272631298</v>
          </cell>
          <cell r="AG39">
            <v>-51526</v>
          </cell>
          <cell r="AH39">
            <v>45.732511228609802</v>
          </cell>
          <cell r="AI39">
            <v>725520</v>
          </cell>
          <cell r="AJ39">
            <v>45.821629099164802</v>
          </cell>
          <cell r="AK39">
            <v>1506266</v>
          </cell>
          <cell r="AL39">
            <v>26.131812096343399</v>
          </cell>
          <cell r="AM39">
            <v>-297508</v>
          </cell>
          <cell r="AN39">
            <v>42.220124118049696</v>
          </cell>
          <cell r="AO39">
            <v>-931524</v>
          </cell>
          <cell r="AP39">
            <v>47.0893091725776</v>
          </cell>
          <cell r="AQ39">
            <v>-682441</v>
          </cell>
          <cell r="AR39">
            <v>40.787900638901398</v>
          </cell>
          <cell r="AS39">
            <v>-315329</v>
          </cell>
          <cell r="AT39">
            <v>20.364011426496099</v>
          </cell>
          <cell r="AU39">
            <v>-431366</v>
          </cell>
          <cell r="AV39">
            <v>50.211638220121003</v>
          </cell>
          <cell r="AW39">
            <v>-325948</v>
          </cell>
          <cell r="AX39">
            <v>36.933761298932801</v>
          </cell>
          <cell r="AY39">
            <v>-184034</v>
          </cell>
          <cell r="AZ39">
            <v>9.6969178817848203</v>
          </cell>
          <cell r="BA39">
            <v>-845</v>
          </cell>
          <cell r="BB39">
            <v>11.404200365057999</v>
          </cell>
          <cell r="BC39">
            <v>-500368</v>
          </cell>
          <cell r="BD39">
            <v>13.3772732919254</v>
          </cell>
          <cell r="BE39">
            <v>-195325</v>
          </cell>
          <cell r="BF39">
            <v>30.2509436109804</v>
          </cell>
          <cell r="BG39">
            <v>-57641</v>
          </cell>
          <cell r="BH39">
            <v>23.273948929614299</v>
          </cell>
          <cell r="BI39">
            <v>133304</v>
          </cell>
        </row>
        <row r="40">
          <cell r="B40">
            <v>46.288645549029098</v>
          </cell>
          <cell r="C40">
            <v>-6861905</v>
          </cell>
          <cell r="D40">
            <v>24.352304264113201</v>
          </cell>
          <cell r="E40">
            <v>-686891</v>
          </cell>
          <cell r="F40">
            <v>26.1417749458695</v>
          </cell>
          <cell r="G40">
            <v>-783730</v>
          </cell>
          <cell r="H40">
            <v>34.169839109910399</v>
          </cell>
          <cell r="I40">
            <v>-3486604</v>
          </cell>
          <cell r="J40">
            <v>78.687082940071704</v>
          </cell>
          <cell r="K40">
            <v>-8804948</v>
          </cell>
          <cell r="L40">
            <v>56.582940355260803</v>
          </cell>
          <cell r="M40">
            <v>234343</v>
          </cell>
          <cell r="N40">
            <v>13.2068545054089</v>
          </cell>
          <cell r="O40">
            <v>-662995</v>
          </cell>
          <cell r="P40">
            <v>9.6618422491106504</v>
          </cell>
          <cell r="Q40">
            <v>-1263207</v>
          </cell>
          <cell r="R40">
            <v>31.4670640533955</v>
          </cell>
          <cell r="S40">
            <v>-694151</v>
          </cell>
          <cell r="T40">
            <v>17.767969978324601</v>
          </cell>
          <cell r="U40">
            <v>112479</v>
          </cell>
          <cell r="V40">
            <v>47.328303636667101</v>
          </cell>
          <cell r="W40">
            <v>-3698121</v>
          </cell>
          <cell r="X40">
            <v>12.304387462892601</v>
          </cell>
          <cell r="Y40">
            <v>-735978</v>
          </cell>
          <cell r="Z40">
            <v>37.694611764705797</v>
          </cell>
          <cell r="AA40">
            <v>-1456583</v>
          </cell>
          <cell r="AB40">
            <v>10.9344055298677</v>
          </cell>
          <cell r="AC40">
            <v>-92167</v>
          </cell>
          <cell r="AD40">
            <v>12.6609090679533</v>
          </cell>
          <cell r="AE40">
            <v>128609</v>
          </cell>
          <cell r="AF40">
            <v>34.837157012127101</v>
          </cell>
          <cell r="AG40">
            <v>-174155</v>
          </cell>
          <cell r="AH40">
            <v>45.733974396120402</v>
          </cell>
          <cell r="AI40">
            <v>18613</v>
          </cell>
          <cell r="AJ40">
            <v>45.740677770251999</v>
          </cell>
          <cell r="AK40">
            <v>-1087584</v>
          </cell>
          <cell r="AL40">
            <v>26.007412136056899</v>
          </cell>
          <cell r="AM40">
            <v>-728015</v>
          </cell>
          <cell r="AN40">
            <v>41.964497472707997</v>
          </cell>
          <cell r="AO40">
            <v>-2678604</v>
          </cell>
          <cell r="AP40">
            <v>47.050269458586499</v>
          </cell>
          <cell r="AQ40">
            <v>-276902</v>
          </cell>
          <cell r="AR40">
            <v>40.703639882293601</v>
          </cell>
          <cell r="AS40">
            <v>-956100</v>
          </cell>
          <cell r="AT40">
            <v>20.402763811119101</v>
          </cell>
          <cell r="AU40">
            <v>372104</v>
          </cell>
          <cell r="AV40">
            <v>50.097799510491399</v>
          </cell>
          <cell r="AW40">
            <v>-1140863</v>
          </cell>
          <cell r="AX40">
            <v>36.930517567598798</v>
          </cell>
          <cell r="AY40">
            <v>-3962</v>
          </cell>
          <cell r="AZ40">
            <v>9.6978754645899592</v>
          </cell>
          <cell r="BA40">
            <v>14021</v>
          </cell>
          <cell r="BB40">
            <v>11.2582061814187</v>
          </cell>
          <cell r="BC40">
            <v>-866770</v>
          </cell>
          <cell r="BD40">
            <v>13.2622795031055</v>
          </cell>
          <cell r="BE40">
            <v>-229356</v>
          </cell>
          <cell r="BF40">
            <v>30.082754941670199</v>
          </cell>
          <cell r="BG40">
            <v>-226858</v>
          </cell>
          <cell r="BH40">
            <v>23.160679231909</v>
          </cell>
          <cell r="BI40">
            <v>-189501</v>
          </cell>
        </row>
        <row r="41">
          <cell r="B41">
            <v>46.248967841586399</v>
          </cell>
          <cell r="C41">
            <v>-3377413</v>
          </cell>
          <cell r="D41">
            <v>24.263344263544599</v>
          </cell>
          <cell r="E41">
            <v>-1376713</v>
          </cell>
          <cell r="F41">
            <v>26.073102632577601</v>
          </cell>
          <cell r="G41">
            <v>-868491</v>
          </cell>
          <cell r="H41">
            <v>33.9910962543007</v>
          </cell>
          <cell r="I41">
            <v>-2451341</v>
          </cell>
          <cell r="J41">
            <v>78.569587239179199</v>
          </cell>
          <cell r="K41">
            <v>-2337429</v>
          </cell>
          <cell r="L41">
            <v>56.608536545496101</v>
          </cell>
          <cell r="M41">
            <v>495097</v>
          </cell>
          <cell r="N41">
            <v>13.1837663601189</v>
          </cell>
          <cell r="O41">
            <v>-552075</v>
          </cell>
          <cell r="P41">
            <v>9.5138876308140006</v>
          </cell>
          <cell r="Q41">
            <v>-863335</v>
          </cell>
          <cell r="R41">
            <v>31.515143904725502</v>
          </cell>
          <cell r="S41">
            <v>-1141787</v>
          </cell>
          <cell r="T41">
            <v>17.803727210506299</v>
          </cell>
          <cell r="U41">
            <v>25019</v>
          </cell>
          <cell r="V41">
            <v>47.277962320802203</v>
          </cell>
          <cell r="W41">
            <v>-2173802</v>
          </cell>
          <cell r="X41">
            <v>12.245486498081601</v>
          </cell>
          <cell r="Y41">
            <v>-789345</v>
          </cell>
          <cell r="Z41">
            <v>37.663117647058797</v>
          </cell>
          <cell r="AA41">
            <v>-222922</v>
          </cell>
          <cell r="AB41">
            <v>10.9186465428301</v>
          </cell>
          <cell r="AC41">
            <v>-89118</v>
          </cell>
          <cell r="AD41">
            <v>12.572850382757601</v>
          </cell>
          <cell r="AE41">
            <v>106567</v>
          </cell>
          <cell r="AF41">
            <v>34.883141995524099</v>
          </cell>
          <cell r="AG41">
            <v>121725</v>
          </cell>
          <cell r="AH41">
            <v>45.6999594463664</v>
          </cell>
          <cell r="AI41">
            <v>-103079</v>
          </cell>
          <cell r="AJ41">
            <v>45.731055761141597</v>
          </cell>
          <cell r="AK41">
            <v>483810</v>
          </cell>
          <cell r="AL41">
            <v>25.8972933768056</v>
          </cell>
          <cell r="AM41">
            <v>-651553</v>
          </cell>
          <cell r="AN41">
            <v>41.566837297840003</v>
          </cell>
          <cell r="AO41">
            <v>-3957925</v>
          </cell>
          <cell r="AP41">
            <v>47.016060855907703</v>
          </cell>
          <cell r="AQ41">
            <v>-245154</v>
          </cell>
          <cell r="AR41">
            <v>40.706969592534598</v>
          </cell>
          <cell r="AS41">
            <v>40387</v>
          </cell>
          <cell r="AT41">
            <v>20.429950735062601</v>
          </cell>
          <cell r="AU41">
            <v>264196</v>
          </cell>
          <cell r="AV41">
            <v>50.023326799293699</v>
          </cell>
          <cell r="AW41">
            <v>-748708</v>
          </cell>
          <cell r="AX41">
            <v>36.832848661929702</v>
          </cell>
          <cell r="AY41">
            <v>-92012</v>
          </cell>
          <cell r="AZ41">
            <v>9.5797691299362508</v>
          </cell>
          <cell r="BA41">
            <v>-1946176</v>
          </cell>
          <cell r="BB41">
            <v>10.8928877009647</v>
          </cell>
          <cell r="BC41">
            <v>-1492675</v>
          </cell>
          <cell r="BD41">
            <v>13.069422360248399</v>
          </cell>
          <cell r="BE41">
            <v>-478798</v>
          </cell>
          <cell r="BF41">
            <v>30.0442287108371</v>
          </cell>
          <cell r="BG41">
            <v>-52054</v>
          </cell>
          <cell r="BH41">
            <v>23.175326562016298</v>
          </cell>
          <cell r="BI41">
            <v>26410</v>
          </cell>
        </row>
        <row r="42">
          <cell r="B42">
            <v>46.179374181432998</v>
          </cell>
          <cell r="C42">
            <v>-5020256</v>
          </cell>
          <cell r="D42">
            <v>24.172509564381201</v>
          </cell>
          <cell r="E42">
            <v>211256</v>
          </cell>
          <cell r="F42">
            <v>26.0849548683812</v>
          </cell>
          <cell r="G42">
            <v>145803</v>
          </cell>
          <cell r="H42">
            <v>33.948599236981401</v>
          </cell>
          <cell r="I42">
            <v>-469180</v>
          </cell>
          <cell r="J42">
            <v>78.474595610745297</v>
          </cell>
          <cell r="K42">
            <v>-1383651</v>
          </cell>
          <cell r="L42">
            <v>56.596708163655897</v>
          </cell>
          <cell r="M42">
            <v>-145769</v>
          </cell>
          <cell r="N42">
            <v>13.1929516445422</v>
          </cell>
          <cell r="O42">
            <v>-294874</v>
          </cell>
          <cell r="P42">
            <v>9.39434525051192</v>
          </cell>
          <cell r="Q42">
            <v>-644443</v>
          </cell>
          <cell r="R42">
            <v>31.577018032088599</v>
          </cell>
          <cell r="S42">
            <v>1092070</v>
          </cell>
          <cell r="T42">
            <v>17.8977224218422</v>
          </cell>
          <cell r="U42">
            <v>326289</v>
          </cell>
          <cell r="V42">
            <v>47.237619074026398</v>
          </cell>
          <cell r="W42">
            <v>-1460331</v>
          </cell>
          <cell r="X42">
            <v>12.2184044852381</v>
          </cell>
          <cell r="Y42">
            <v>-251181</v>
          </cell>
          <cell r="Z42">
            <v>37.629154901960703</v>
          </cell>
          <cell r="AA42">
            <v>-228760</v>
          </cell>
          <cell r="AB42">
            <v>11.0075663006719</v>
          </cell>
          <cell r="AC42">
            <v>490756</v>
          </cell>
          <cell r="AD42">
            <v>12.6382002012645</v>
          </cell>
          <cell r="AE42">
            <v>-180682</v>
          </cell>
          <cell r="AF42">
            <v>34.622679331575</v>
          </cell>
          <cell r="AG42">
            <v>-521359</v>
          </cell>
          <cell r="AH42">
            <v>45.812842573484502</v>
          </cell>
          <cell r="AI42">
            <v>1848050</v>
          </cell>
          <cell r="AJ42">
            <v>45.747192975061203</v>
          </cell>
          <cell r="AK42">
            <v>345895</v>
          </cell>
          <cell r="AL42">
            <v>25.953489138644802</v>
          </cell>
          <cell r="AM42">
            <v>343494</v>
          </cell>
          <cell r="AN42">
            <v>41.310359202085898</v>
          </cell>
          <cell r="AO42">
            <v>-2566468</v>
          </cell>
          <cell r="AP42">
            <v>47.0029034277281</v>
          </cell>
          <cell r="AQ42">
            <v>-93775</v>
          </cell>
          <cell r="AR42">
            <v>40.611309350229298</v>
          </cell>
          <cell r="AS42">
            <v>-1082670</v>
          </cell>
          <cell r="AT42">
            <v>20.461100697184801</v>
          </cell>
          <cell r="AU42">
            <v>302096</v>
          </cell>
          <cell r="AV42">
            <v>50.007545707015097</v>
          </cell>
          <cell r="AW42">
            <v>-159925</v>
          </cell>
          <cell r="AX42">
            <v>36.6628010908249</v>
          </cell>
          <cell r="AY42">
            <v>-157086</v>
          </cell>
          <cell r="AZ42">
            <v>9.5810770944856394</v>
          </cell>
          <cell r="BA42">
            <v>-63548</v>
          </cell>
          <cell r="BB42">
            <v>10.753107933696199</v>
          </cell>
          <cell r="BC42">
            <v>-668237</v>
          </cell>
          <cell r="BD42">
            <v>12.7690062111801</v>
          </cell>
          <cell r="BE42">
            <v>-754506</v>
          </cell>
          <cell r="BF42">
            <v>29.811599718095099</v>
          </cell>
          <cell r="BG42">
            <v>-322436</v>
          </cell>
          <cell r="BH42">
            <v>22.904653069235501</v>
          </cell>
          <cell r="BI42">
            <v>-486686</v>
          </cell>
        </row>
        <row r="43">
          <cell r="B43">
            <v>46.143877076649702</v>
          </cell>
          <cell r="C43">
            <v>-3103124</v>
          </cell>
          <cell r="D43">
            <v>24.475703414129601</v>
          </cell>
          <cell r="E43">
            <v>2066488</v>
          </cell>
          <cell r="F43">
            <v>25.952091470943301</v>
          </cell>
          <cell r="G43">
            <v>-1793253</v>
          </cell>
          <cell r="H43">
            <v>34.009409872177201</v>
          </cell>
          <cell r="I43">
            <v>1068409</v>
          </cell>
          <cell r="J43">
            <v>78.385016030543298</v>
          </cell>
          <cell r="K43">
            <v>-1698030</v>
          </cell>
          <cell r="L43">
            <v>56.559970114254497</v>
          </cell>
          <cell r="M43">
            <v>-690830</v>
          </cell>
          <cell r="N43">
            <v>13.180553979331</v>
          </cell>
          <cell r="O43">
            <v>-59310</v>
          </cell>
          <cell r="P43">
            <v>9.7332875389897708</v>
          </cell>
          <cell r="Q43">
            <v>477154</v>
          </cell>
          <cell r="R43">
            <v>31.697154669736701</v>
          </cell>
          <cell r="S43">
            <v>984338</v>
          </cell>
          <cell r="T43">
            <v>17.998255078172701</v>
          </cell>
          <cell r="U43">
            <v>238905</v>
          </cell>
          <cell r="V43">
            <v>47.176500901770297</v>
          </cell>
          <cell r="W43">
            <v>-2741334</v>
          </cell>
          <cell r="X43">
            <v>12.201105771728001</v>
          </cell>
          <cell r="Y43">
            <v>-151584</v>
          </cell>
          <cell r="Z43">
            <v>37.610558823529402</v>
          </cell>
          <cell r="AA43">
            <v>-120206</v>
          </cell>
          <cell r="AB43">
            <v>10.9988225777459</v>
          </cell>
          <cell r="AC43">
            <v>-64063</v>
          </cell>
          <cell r="AD43">
            <v>12.858494430774</v>
          </cell>
          <cell r="AE43">
            <v>407181</v>
          </cell>
          <cell r="AF43">
            <v>34.707877786610197</v>
          </cell>
          <cell r="AG43">
            <v>247853</v>
          </cell>
          <cell r="AH43">
            <v>45.857391590341201</v>
          </cell>
          <cell r="AI43">
            <v>784205</v>
          </cell>
          <cell r="AJ43">
            <v>45.769565599718597</v>
          </cell>
          <cell r="AK43">
            <v>578380</v>
          </cell>
          <cell r="AL43">
            <v>26.207372874383701</v>
          </cell>
          <cell r="AM43">
            <v>1536322</v>
          </cell>
          <cell r="AN43">
            <v>41.038273735726001</v>
          </cell>
          <cell r="AO43">
            <v>-2965642</v>
          </cell>
          <cell r="AP43">
            <v>47.000220069155802</v>
          </cell>
          <cell r="AQ43">
            <v>-18601</v>
          </cell>
          <cell r="AR43">
            <v>40.571389941942101</v>
          </cell>
          <cell r="AS43">
            <v>-458895</v>
          </cell>
          <cell r="AT43">
            <v>20.485509018339201</v>
          </cell>
          <cell r="AU43">
            <v>237974</v>
          </cell>
          <cell r="AV43">
            <v>50.1394644364171</v>
          </cell>
          <cell r="AW43">
            <v>1377297</v>
          </cell>
          <cell r="AX43">
            <v>36.688619019409103</v>
          </cell>
          <cell r="AY43">
            <v>23779</v>
          </cell>
          <cell r="AZ43">
            <v>9.4050833039757293</v>
          </cell>
          <cell r="BA43">
            <v>-2312071</v>
          </cell>
          <cell r="BB43">
            <v>10.4128255230231</v>
          </cell>
          <cell r="BC43">
            <v>-1398373</v>
          </cell>
          <cell r="BD43">
            <v>12.375720496894401</v>
          </cell>
          <cell r="BE43">
            <v>-989012</v>
          </cell>
          <cell r="BF43">
            <v>29.756701851121498</v>
          </cell>
          <cell r="BG43">
            <v>-75939</v>
          </cell>
          <cell r="BH43">
            <v>22.632312739458001</v>
          </cell>
          <cell r="BI43">
            <v>-503565</v>
          </cell>
        </row>
        <row r="44">
          <cell r="B44">
            <v>46.148103843807498</v>
          </cell>
          <cell r="C44">
            <v>409882</v>
          </cell>
          <cell r="D44">
            <v>24.484837398572601</v>
          </cell>
          <cell r="E44">
            <v>110301</v>
          </cell>
          <cell r="F44">
            <v>25.825832390387799</v>
          </cell>
          <cell r="G44">
            <v>-1701200</v>
          </cell>
          <cell r="H44">
            <v>33.925405173668999</v>
          </cell>
          <cell r="I44">
            <v>-1307916</v>
          </cell>
          <cell r="J44">
            <v>78.428546081320903</v>
          </cell>
          <cell r="K44">
            <v>900682</v>
          </cell>
          <cell r="L44">
            <v>56.518905457617201</v>
          </cell>
          <cell r="M44">
            <v>-791199</v>
          </cell>
          <cell r="N44">
            <v>12.9552459397683</v>
          </cell>
          <cell r="O44">
            <v>-865799</v>
          </cell>
          <cell r="P44">
            <v>9.7074336302122699</v>
          </cell>
          <cell r="Q44">
            <v>-141118</v>
          </cell>
          <cell r="R44">
            <v>31.835928361235201</v>
          </cell>
          <cell r="S44">
            <v>1977810</v>
          </cell>
          <cell r="T44">
            <v>18.077073049367101</v>
          </cell>
          <cell r="U44">
            <v>279312</v>
          </cell>
          <cell r="V44">
            <v>47.186887791029399</v>
          </cell>
          <cell r="W44">
            <v>412501</v>
          </cell>
          <cell r="X44">
            <v>12.2718627274658</v>
          </cell>
          <cell r="Y44">
            <v>385496</v>
          </cell>
          <cell r="Z44">
            <v>37.744888235294098</v>
          </cell>
          <cell r="AA44">
            <v>931228</v>
          </cell>
          <cell r="AB44">
            <v>10.944203834980399</v>
          </cell>
          <cell r="AC44">
            <v>-293069</v>
          </cell>
          <cell r="AD44">
            <v>12.883259851305001</v>
          </cell>
          <cell r="AE44">
            <v>51469</v>
          </cell>
          <cell r="AF44">
            <v>34.763660171550399</v>
          </cell>
          <cell r="AG44">
            <v>168901</v>
          </cell>
          <cell r="AH44">
            <v>45.921449507339297</v>
          </cell>
          <cell r="AI44">
            <v>1002104</v>
          </cell>
          <cell r="AJ44">
            <v>45.608909297302603</v>
          </cell>
          <cell r="AK44">
            <v>-2095361</v>
          </cell>
          <cell r="AL44">
            <v>26.257356413455401</v>
          </cell>
          <cell r="AM44">
            <v>308713</v>
          </cell>
          <cell r="AN44">
            <v>40.870605857858401</v>
          </cell>
          <cell r="AO44">
            <v>-1888565</v>
          </cell>
          <cell r="AP44">
            <v>46.995663422523698</v>
          </cell>
          <cell r="AQ44">
            <v>-29914</v>
          </cell>
          <cell r="AR44">
            <v>40.537615651758898</v>
          </cell>
          <cell r="AS44">
            <v>-366574</v>
          </cell>
          <cell r="AT44">
            <v>20.566845986971</v>
          </cell>
          <cell r="AU44">
            <v>796327</v>
          </cell>
          <cell r="AV44">
            <v>50.188536088741401</v>
          </cell>
          <cell r="AW44">
            <v>515615</v>
          </cell>
          <cell r="AX44">
            <v>36.670815756680902</v>
          </cell>
          <cell r="AY44">
            <v>17098</v>
          </cell>
          <cell r="AZ44">
            <v>9.3919501942375003</v>
          </cell>
          <cell r="BA44">
            <v>-512555</v>
          </cell>
          <cell r="BB44">
            <v>10.113064675173501</v>
          </cell>
          <cell r="BC44">
            <v>-1434415</v>
          </cell>
          <cell r="BD44">
            <v>12.1010931677018</v>
          </cell>
          <cell r="BE44">
            <v>-718434</v>
          </cell>
          <cell r="BF44">
            <v>29.747331848695701</v>
          </cell>
          <cell r="BG44">
            <v>-12201</v>
          </cell>
          <cell r="BH44">
            <v>22.541022160701999</v>
          </cell>
          <cell r="BI44">
            <v>-162623</v>
          </cell>
        </row>
        <row r="45">
          <cell r="B45">
            <v>46.107044595862597</v>
          </cell>
          <cell r="C45">
            <v>-4645051</v>
          </cell>
          <cell r="D45">
            <v>24.480321574082801</v>
          </cell>
          <cell r="E45">
            <v>-54586</v>
          </cell>
          <cell r="F45">
            <v>25.743493780002701</v>
          </cell>
          <cell r="G45">
            <v>-1027164</v>
          </cell>
          <cell r="H45">
            <v>33.879472868294997</v>
          </cell>
          <cell r="I45">
            <v>-632282</v>
          </cell>
          <cell r="J45">
            <v>78.380538939284193</v>
          </cell>
          <cell r="K45">
            <v>-966947</v>
          </cell>
          <cell r="L45">
            <v>56.506965768240399</v>
          </cell>
          <cell r="M45">
            <v>-223173</v>
          </cell>
          <cell r="N45">
            <v>12.9560688598584</v>
          </cell>
          <cell r="O45">
            <v>-310293</v>
          </cell>
          <cell r="P45">
            <v>9.6055790520094693</v>
          </cell>
          <cell r="Q45">
            <v>-573609</v>
          </cell>
          <cell r="R45">
            <v>31.856009425188098</v>
          </cell>
          <cell r="S45">
            <v>336691</v>
          </cell>
          <cell r="T45">
            <v>18.287639256758101</v>
          </cell>
          <cell r="U45">
            <v>83647</v>
          </cell>
          <cell r="V45">
            <v>47.163416357526899</v>
          </cell>
          <cell r="W45">
            <v>-1049154</v>
          </cell>
          <cell r="X45">
            <v>12.3349188049514</v>
          </cell>
          <cell r="Y45">
            <v>607999</v>
          </cell>
          <cell r="Z45">
            <v>37.660939215686199</v>
          </cell>
          <cell r="AA45">
            <v>-597040</v>
          </cell>
          <cell r="AB45">
            <v>10.928444847942901</v>
          </cell>
          <cell r="AC45">
            <v>-83704</v>
          </cell>
          <cell r="AD45">
            <v>12.744472838</v>
          </cell>
          <cell r="AE45">
            <v>-297802</v>
          </cell>
          <cell r="AF45">
            <v>34.881898479174403</v>
          </cell>
          <cell r="AG45">
            <v>357258</v>
          </cell>
          <cell r="AH45">
            <v>45.979538981781403</v>
          </cell>
          <cell r="AI45">
            <v>799039</v>
          </cell>
          <cell r="AJ45">
            <v>45.543313939122598</v>
          </cell>
          <cell r="AK45">
            <v>-890282</v>
          </cell>
          <cell r="AL45">
            <v>26.288538475575798</v>
          </cell>
          <cell r="AM45">
            <v>204279</v>
          </cell>
          <cell r="AN45">
            <v>40.884503761183602</v>
          </cell>
          <cell r="AO45">
            <v>238909</v>
          </cell>
          <cell r="AP45">
            <v>47.027442701900597</v>
          </cell>
          <cell r="AQ45">
            <v>243206</v>
          </cell>
          <cell r="AR45">
            <v>40.531422814877601</v>
          </cell>
          <cell r="AS45">
            <v>-62817</v>
          </cell>
          <cell r="AT45">
            <v>20.584092605769499</v>
          </cell>
          <cell r="AU45">
            <v>168754</v>
          </cell>
          <cell r="AV45">
            <v>50.228125710120402</v>
          </cell>
          <cell r="AW45">
            <v>420062</v>
          </cell>
          <cell r="AX45">
            <v>36.432599691733103</v>
          </cell>
          <cell r="AY45">
            <v>-5253</v>
          </cell>
          <cell r="AZ45">
            <v>9.3388525618442806</v>
          </cell>
          <cell r="BA45">
            <v>-703295</v>
          </cell>
          <cell r="BB45">
            <v>10.2162358805486</v>
          </cell>
          <cell r="BC45">
            <v>392084</v>
          </cell>
          <cell r="BD45">
            <v>12.038108695652101</v>
          </cell>
          <cell r="BE45">
            <v>-177582</v>
          </cell>
          <cell r="BF45">
            <v>29.6473659945941</v>
          </cell>
          <cell r="BG45">
            <v>-140429</v>
          </cell>
          <cell r="BH45">
            <v>22.497205183154598</v>
          </cell>
          <cell r="BI45">
            <v>-79954</v>
          </cell>
        </row>
        <row r="46">
          <cell r="B46">
            <v>46.0924247065687</v>
          </cell>
          <cell r="C46">
            <v>-1260940</v>
          </cell>
          <cell r="D46">
            <v>24.457910107605699</v>
          </cell>
          <cell r="E46">
            <v>-285527</v>
          </cell>
          <cell r="F46">
            <v>25.667283848478998</v>
          </cell>
          <cell r="G46">
            <v>-1043084</v>
          </cell>
          <cell r="H46">
            <v>33.892719911395702</v>
          </cell>
          <cell r="I46">
            <v>203752</v>
          </cell>
          <cell r="J46">
            <v>78.301647894216998</v>
          </cell>
          <cell r="K46">
            <v>-1599731</v>
          </cell>
          <cell r="L46">
            <v>56.414527509338299</v>
          </cell>
          <cell r="M46">
            <v>-1798075</v>
          </cell>
          <cell r="N46">
            <v>13.067305212757301</v>
          </cell>
          <cell r="O46">
            <v>170303</v>
          </cell>
          <cell r="P46">
            <v>9.5879313412593401</v>
          </cell>
          <cell r="Q46">
            <v>104974</v>
          </cell>
          <cell r="R46">
            <v>31.659998811682001</v>
          </cell>
          <cell r="S46">
            <v>715956</v>
          </cell>
          <cell r="T46">
            <v>18.399991152849701</v>
          </cell>
          <cell r="U46">
            <v>353794</v>
          </cell>
          <cell r="V46">
            <v>47.110130789814697</v>
          </cell>
          <cell r="W46">
            <v>-2446898</v>
          </cell>
          <cell r="X46">
            <v>12.384237787951101</v>
          </cell>
          <cell r="Y46">
            <v>525290</v>
          </cell>
          <cell r="Z46">
            <v>37.774913725490102</v>
          </cell>
          <cell r="AA46">
            <v>843889</v>
          </cell>
          <cell r="AB46">
            <v>10.913759895200901</v>
          </cell>
          <cell r="AC46">
            <v>-77590</v>
          </cell>
          <cell r="AD46">
            <v>12.787009660509799</v>
          </cell>
          <cell r="AE46">
            <v>84229</v>
          </cell>
          <cell r="AF46">
            <v>34.833903772383898</v>
          </cell>
          <cell r="AG46">
            <v>-62400</v>
          </cell>
          <cell r="AH46">
            <v>45.936661276635</v>
          </cell>
          <cell r="AI46">
            <v>-687664</v>
          </cell>
          <cell r="AJ46">
            <v>45.542405516812302</v>
          </cell>
          <cell r="AK46">
            <v>-20782</v>
          </cell>
          <cell r="AL46">
            <v>26.232431763570801</v>
          </cell>
          <cell r="AM46">
            <v>-349659</v>
          </cell>
          <cell r="AN46">
            <v>40.608204819132702</v>
          </cell>
          <cell r="AO46">
            <v>-3150727</v>
          </cell>
          <cell r="AP46">
            <v>47.160111289476603</v>
          </cell>
          <cell r="AQ46">
            <v>993598</v>
          </cell>
          <cell r="AR46">
            <v>40.469934519233298</v>
          </cell>
          <cell r="AS46">
            <v>-706939</v>
          </cell>
          <cell r="AT46">
            <v>20.586922855450599</v>
          </cell>
          <cell r="AU46">
            <v>26015</v>
          </cell>
          <cell r="AV46">
            <v>50.102855061043897</v>
          </cell>
          <cell r="AW46">
            <v>-981064</v>
          </cell>
          <cell r="AX46">
            <v>36.480742159948598</v>
          </cell>
          <cell r="AY46">
            <v>37849</v>
          </cell>
          <cell r="AZ46">
            <v>9.3269529486008107</v>
          </cell>
          <cell r="BA46">
            <v>-165092</v>
          </cell>
          <cell r="BB46">
            <v>10.416128975935999</v>
          </cell>
          <cell r="BC46">
            <v>1008578</v>
          </cell>
          <cell r="BD46">
            <v>12.0095621118012</v>
          </cell>
          <cell r="BE46">
            <v>-83891</v>
          </cell>
          <cell r="BF46">
            <v>29.5350524317743</v>
          </cell>
          <cell r="BG46">
            <v>-158022</v>
          </cell>
          <cell r="BH46">
            <v>22.485245627704199</v>
          </cell>
          <cell r="BI46">
            <v>-21594</v>
          </cell>
        </row>
        <row r="47">
          <cell r="B47">
            <v>46.121805015320597</v>
          </cell>
          <cell r="C47">
            <v>2529846</v>
          </cell>
          <cell r="D47">
            <v>24.616423385658202</v>
          </cell>
          <cell r="E47">
            <v>1807461</v>
          </cell>
          <cell r="F47">
            <v>25.743795201771899</v>
          </cell>
          <cell r="G47">
            <v>1018413</v>
          </cell>
          <cell r="H47">
            <v>33.8198575411867</v>
          </cell>
          <cell r="I47">
            <v>-723905</v>
          </cell>
          <cell r="J47">
            <v>78.325614899350597</v>
          </cell>
          <cell r="K47">
            <v>471877</v>
          </cell>
          <cell r="L47">
            <v>56.411044163960703</v>
          </cell>
          <cell r="M47">
            <v>-67681</v>
          </cell>
          <cell r="N47">
            <v>13.0420295962462</v>
          </cell>
          <cell r="O47">
            <v>-302328</v>
          </cell>
          <cell r="P47">
            <v>9.4340782832202699</v>
          </cell>
          <cell r="Q47">
            <v>-606730</v>
          </cell>
          <cell r="R47">
            <v>31.875366437461199</v>
          </cell>
          <cell r="S47">
            <v>3295923</v>
          </cell>
          <cell r="T47">
            <v>18.506111452694999</v>
          </cell>
          <cell r="U47">
            <v>359130</v>
          </cell>
          <cell r="V47">
            <v>47.1152611515259</v>
          </cell>
          <cell r="W47">
            <v>278520</v>
          </cell>
          <cell r="X47">
            <v>12.402323639633</v>
          </cell>
          <cell r="Y47">
            <v>155536</v>
          </cell>
          <cell r="Z47">
            <v>37.743754901960699</v>
          </cell>
          <cell r="AA47">
            <v>-226384</v>
          </cell>
          <cell r="AB47">
            <v>10.9251685570388</v>
          </cell>
          <cell r="AC47">
            <v>61727</v>
          </cell>
          <cell r="AD47">
            <v>12.8406536092563</v>
          </cell>
          <cell r="AE47">
            <v>112419</v>
          </cell>
          <cell r="AF47">
            <v>34.9577190624248</v>
          </cell>
          <cell r="AG47">
            <v>361516</v>
          </cell>
          <cell r="AH47">
            <v>45.983009693940403</v>
          </cell>
          <cell r="AI47">
            <v>747307</v>
          </cell>
          <cell r="AJ47">
            <v>45.519746194073797</v>
          </cell>
          <cell r="AK47">
            <v>-58024</v>
          </cell>
          <cell r="AL47">
            <v>26.701909135409799</v>
          </cell>
          <cell r="AM47">
            <v>2657750</v>
          </cell>
          <cell r="AN47">
            <v>40.4766316534132</v>
          </cell>
          <cell r="AO47">
            <v>-1485184</v>
          </cell>
          <cell r="AP47">
            <v>47.129468951169699</v>
          </cell>
          <cell r="AQ47">
            <v>-227632</v>
          </cell>
          <cell r="AR47">
            <v>40.393807163118602</v>
          </cell>
          <cell r="AS47">
            <v>-828380</v>
          </cell>
          <cell r="AT47">
            <v>20.610070992440399</v>
          </cell>
          <cell r="AU47">
            <v>224984</v>
          </cell>
          <cell r="AV47">
            <v>50.038278187740403</v>
          </cell>
          <cell r="AW47">
            <v>-665100</v>
          </cell>
          <cell r="AX47">
            <v>36.171064376480601</v>
          </cell>
          <cell r="AY47">
            <v>-324419</v>
          </cell>
          <cell r="AZ47">
            <v>9.25658159168783</v>
          </cell>
          <cell r="BA47">
            <v>-955860</v>
          </cell>
          <cell r="BB47">
            <v>10.441732966064601</v>
          </cell>
          <cell r="BC47">
            <v>-112673</v>
          </cell>
          <cell r="BD47">
            <v>11.831403726708</v>
          </cell>
          <cell r="BE47">
            <v>-501252</v>
          </cell>
          <cell r="BF47">
            <v>29.4870757199668</v>
          </cell>
          <cell r="BG47">
            <v>-67087</v>
          </cell>
          <cell r="BH47">
            <v>22.438459596756701</v>
          </cell>
          <cell r="BI47">
            <v>-85030</v>
          </cell>
        </row>
        <row r="48">
          <cell r="B48">
            <v>46.100419311459603</v>
          </cell>
          <cell r="C48">
            <v>-1903023</v>
          </cell>
          <cell r="D48">
            <v>24.615667845109598</v>
          </cell>
          <cell r="E48">
            <v>-19190</v>
          </cell>
          <cell r="F48">
            <v>25.756711401113801</v>
          </cell>
          <cell r="G48">
            <v>179795</v>
          </cell>
          <cell r="H48">
            <v>33.702779391737103</v>
          </cell>
          <cell r="I48">
            <v>-1834099</v>
          </cell>
          <cell r="J48">
            <v>78.288657492042404</v>
          </cell>
          <cell r="K48">
            <v>-754948</v>
          </cell>
          <cell r="L48">
            <v>56.359604938205003</v>
          </cell>
          <cell r="M48">
            <v>-1046589</v>
          </cell>
          <cell r="N48">
            <v>13.0231114114852</v>
          </cell>
          <cell r="O48">
            <v>-247427</v>
          </cell>
          <cell r="P48">
            <v>9.1465857242373101</v>
          </cell>
          <cell r="Q48">
            <v>-1709199</v>
          </cell>
          <cell r="R48">
            <v>31.928071214375802</v>
          </cell>
          <cell r="S48">
            <v>483963</v>
          </cell>
          <cell r="T48">
            <v>18.462125391622099</v>
          </cell>
          <cell r="U48">
            <v>-84937</v>
          </cell>
          <cell r="V48">
            <v>47.094996624203603</v>
          </cell>
          <cell r="W48">
            <v>-928849</v>
          </cell>
          <cell r="X48">
            <v>12.4959247311116</v>
          </cell>
          <cell r="Y48">
            <v>77649</v>
          </cell>
          <cell r="Z48">
            <v>37.773684313725397</v>
          </cell>
          <cell r="AA48">
            <v>218353</v>
          </cell>
          <cell r="AB48">
            <v>10.9580592942238</v>
          </cell>
          <cell r="AC48">
            <v>170955</v>
          </cell>
          <cell r="AD48">
            <v>12.6171660809537</v>
          </cell>
          <cell r="AE48">
            <v>-146885</v>
          </cell>
          <cell r="AF48">
            <v>35.199655844917402</v>
          </cell>
          <cell r="AG48">
            <v>129116</v>
          </cell>
          <cell r="AH48">
            <v>45.923170083948897</v>
          </cell>
          <cell r="AI48">
            <v>-987585</v>
          </cell>
          <cell r="AJ48">
            <v>45.509059877384701</v>
          </cell>
          <cell r="AK48">
            <v>-151152</v>
          </cell>
          <cell r="AL48">
            <v>26.951893285868401</v>
          </cell>
          <cell r="AM48">
            <v>1487026</v>
          </cell>
          <cell r="AN48">
            <v>40.264526381528903</v>
          </cell>
          <cell r="AO48">
            <v>-2371959</v>
          </cell>
          <cell r="AP48">
            <v>47.154319107666097</v>
          </cell>
          <cell r="AQ48">
            <v>184881</v>
          </cell>
          <cell r="AR48">
            <v>40.280109222979199</v>
          </cell>
          <cell r="AS48">
            <v>-1256082</v>
          </cell>
          <cell r="AT48">
            <v>20.6042555524024</v>
          </cell>
          <cell r="AU48">
            <v>-58272</v>
          </cell>
          <cell r="AV48">
            <v>49.995263164395503</v>
          </cell>
          <cell r="AW48">
            <v>-518313</v>
          </cell>
          <cell r="AX48">
            <v>35.627387839290002</v>
          </cell>
          <cell r="AY48">
            <v>-561159</v>
          </cell>
          <cell r="AZ48">
            <v>9.2570016678934799</v>
          </cell>
          <cell r="BA48">
            <v>-26656</v>
          </cell>
          <cell r="BB48">
            <v>10.437877649190799</v>
          </cell>
          <cell r="BC48">
            <v>36848</v>
          </cell>
          <cell r="BD48">
            <v>11.803108695652099</v>
          </cell>
          <cell r="BE48">
            <v>-77328</v>
          </cell>
          <cell r="BF48">
            <v>29.499768336749799</v>
          </cell>
          <cell r="BG48">
            <v>15546</v>
          </cell>
          <cell r="BH48">
            <v>22.331031952327599</v>
          </cell>
          <cell r="BI48">
            <v>-200363</v>
          </cell>
        </row>
        <row r="49">
          <cell r="B49">
            <v>46.0756371225214</v>
          </cell>
          <cell r="C49">
            <v>-2116063</v>
          </cell>
          <cell r="D49">
            <v>24.5524223513994</v>
          </cell>
          <cell r="E49">
            <v>-688472</v>
          </cell>
          <cell r="F49">
            <v>25.892960262780001</v>
          </cell>
          <cell r="G49">
            <v>1879920</v>
          </cell>
          <cell r="H49">
            <v>33.738895749962801</v>
          </cell>
          <cell r="I49">
            <v>528498</v>
          </cell>
          <cell r="J49">
            <v>78.321062892620205</v>
          </cell>
          <cell r="K49">
            <v>640279</v>
          </cell>
          <cell r="L49">
            <v>56.426120403805399</v>
          </cell>
          <cell r="M49">
            <v>1298215</v>
          </cell>
          <cell r="N49">
            <v>13.0148807143664</v>
          </cell>
          <cell r="O49">
            <v>178506</v>
          </cell>
          <cell r="P49">
            <v>8.7604183321803308</v>
          </cell>
          <cell r="Q49">
            <v>-2566967</v>
          </cell>
          <cell r="R49">
            <v>31.7941671342682</v>
          </cell>
          <cell r="S49">
            <v>171789</v>
          </cell>
          <cell r="T49">
            <v>18.274333684238599</v>
          </cell>
          <cell r="U49">
            <v>-645304</v>
          </cell>
          <cell r="V49">
            <v>47.101952949662603</v>
          </cell>
          <cell r="W49">
            <v>298011</v>
          </cell>
          <cell r="X49">
            <v>12.444815560838</v>
          </cell>
          <cell r="Y49">
            <v>-499534</v>
          </cell>
          <cell r="Z49">
            <v>37.7111274509803</v>
          </cell>
          <cell r="AA49">
            <v>-465695</v>
          </cell>
          <cell r="AB49">
            <v>10.779438915313699</v>
          </cell>
          <cell r="AC49">
            <v>-938786</v>
          </cell>
          <cell r="AD49">
            <v>12.660640067239701</v>
          </cell>
          <cell r="AE49">
            <v>94419</v>
          </cell>
          <cell r="AF49">
            <v>35.239938238185502</v>
          </cell>
          <cell r="AG49">
            <v>100631</v>
          </cell>
          <cell r="AH49">
            <v>45.924333967195999</v>
          </cell>
          <cell r="AI49">
            <v>16504</v>
          </cell>
          <cell r="AJ49">
            <v>45.509583128635498</v>
          </cell>
          <cell r="AK49">
            <v>8880</v>
          </cell>
          <cell r="AL49">
            <v>26.897400103696501</v>
          </cell>
          <cell r="AM49">
            <v>-294654</v>
          </cell>
          <cell r="AN49">
            <v>39.7714667051617</v>
          </cell>
          <cell r="AO49">
            <v>-197018</v>
          </cell>
          <cell r="AP49">
            <v>47.165308353695799</v>
          </cell>
          <cell r="AQ49">
            <v>82679</v>
          </cell>
          <cell r="AR49">
            <v>40.226017337822398</v>
          </cell>
          <cell r="AS49">
            <v>-584597</v>
          </cell>
          <cell r="AT49">
            <v>20.6430664701697</v>
          </cell>
          <cell r="AU49">
            <v>373550</v>
          </cell>
          <cell r="AV49">
            <v>50.053267195000601</v>
          </cell>
          <cell r="AW49">
            <v>585346</v>
          </cell>
          <cell r="AX49">
            <v>34.7445355972852</v>
          </cell>
          <cell r="AY49">
            <v>-859364</v>
          </cell>
          <cell r="AZ49">
            <v>9.1439706175788498</v>
          </cell>
          <cell r="BA49">
            <v>-1567927</v>
          </cell>
          <cell r="BB49">
            <v>10.4006137488437</v>
          </cell>
          <cell r="BC49">
            <v>-329615</v>
          </cell>
          <cell r="BD49">
            <v>11.754850931677</v>
          </cell>
          <cell r="BE49">
            <v>-129774</v>
          </cell>
          <cell r="BF49">
            <v>29.4087585953963</v>
          </cell>
          <cell r="BG49">
            <v>-124889</v>
          </cell>
          <cell r="BH49">
            <v>22.303049926247599</v>
          </cell>
          <cell r="BI49">
            <v>-52070</v>
          </cell>
        </row>
        <row r="50">
          <cell r="B50">
            <v>46.037802600564298</v>
          </cell>
          <cell r="C50">
            <v>-4111367</v>
          </cell>
          <cell r="D50">
            <v>24.4432543628416</v>
          </cell>
          <cell r="E50">
            <v>-1208772</v>
          </cell>
          <cell r="F50">
            <v>26.182950818738199</v>
          </cell>
          <cell r="G50">
            <v>4192543</v>
          </cell>
          <cell r="H50">
            <v>33.764341810602403</v>
          </cell>
          <cell r="I50">
            <v>484115</v>
          </cell>
          <cell r="J50">
            <v>78.227630814036601</v>
          </cell>
          <cell r="K50">
            <v>-1819598</v>
          </cell>
          <cell r="L50">
            <v>56.428982849999699</v>
          </cell>
          <cell r="M50">
            <v>44048</v>
          </cell>
          <cell r="N50">
            <v>13.023724861006899</v>
          </cell>
          <cell r="O50">
            <v>-167480</v>
          </cell>
          <cell r="P50">
            <v>8.8542541003790696</v>
          </cell>
          <cell r="Q50">
            <v>-854085</v>
          </cell>
          <cell r="R50">
            <v>31.777658119242599</v>
          </cell>
          <cell r="S50">
            <v>-739260</v>
          </cell>
          <cell r="T50">
            <v>18.226987606832999</v>
          </cell>
          <cell r="U50">
            <v>-159886</v>
          </cell>
          <cell r="V50">
            <v>47.033516011906997</v>
          </cell>
          <cell r="W50">
            <v>-2978338</v>
          </cell>
          <cell r="X50">
            <v>12.4031073538602</v>
          </cell>
          <cell r="Y50">
            <v>-508887</v>
          </cell>
          <cell r="Z50">
            <v>37.636800000000001</v>
          </cell>
          <cell r="AA50">
            <v>-580487</v>
          </cell>
          <cell r="AB50">
            <v>10.732442620343001</v>
          </cell>
          <cell r="AC50">
            <v>-288984</v>
          </cell>
          <cell r="AD50">
            <v>12.566732785885</v>
          </cell>
          <cell r="AE50">
            <v>-205849</v>
          </cell>
          <cell r="AF50">
            <v>35.422534169254298</v>
          </cell>
          <cell r="AG50">
            <v>169194</v>
          </cell>
          <cell r="AH50">
            <v>45.940654196727102</v>
          </cell>
          <cell r="AI50">
            <v>261333</v>
          </cell>
          <cell r="AJ50">
            <v>45.502108629866598</v>
          </cell>
          <cell r="AK50">
            <v>-79261</v>
          </cell>
          <cell r="AL50">
            <v>27.0141484237448</v>
          </cell>
          <cell r="AM50">
            <v>675861</v>
          </cell>
          <cell r="AN50">
            <v>39.690171575658098</v>
          </cell>
          <cell r="AO50">
            <v>-835903</v>
          </cell>
          <cell r="AP50">
            <v>47.163682883259803</v>
          </cell>
          <cell r="AQ50">
            <v>-13333</v>
          </cell>
          <cell r="AR50">
            <v>40.201484584183802</v>
          </cell>
          <cell r="AS50">
            <v>-276102</v>
          </cell>
          <cell r="AT50">
            <v>20.676795333765199</v>
          </cell>
          <cell r="AU50">
            <v>323035</v>
          </cell>
          <cell r="AV50">
            <v>50.212024857926799</v>
          </cell>
          <cell r="AW50">
            <v>1569371</v>
          </cell>
          <cell r="AX50">
            <v>34.781413813275698</v>
          </cell>
          <cell r="AY50">
            <v>28340</v>
          </cell>
          <cell r="AZ50">
            <v>9.1232274454879505</v>
          </cell>
          <cell r="BA50">
            <v>-301517</v>
          </cell>
          <cell r="BB50">
            <v>10.2426783708766</v>
          </cell>
          <cell r="BC50">
            <v>-939631</v>
          </cell>
          <cell r="BD50">
            <v>11.741776397515499</v>
          </cell>
          <cell r="BE50">
            <v>-37796</v>
          </cell>
          <cell r="BF50">
            <v>29.343777915996402</v>
          </cell>
          <cell r="BG50">
            <v>-93639</v>
          </cell>
          <cell r="BH50">
            <v>22.194247141296401</v>
          </cell>
          <cell r="BI50">
            <v>-203868</v>
          </cell>
        </row>
        <row r="51">
          <cell r="B51">
            <v>46.038234374401803</v>
          </cell>
          <cell r="C51">
            <v>50551</v>
          </cell>
          <cell r="D51">
            <v>24.2759445896403</v>
          </cell>
          <cell r="E51">
            <v>-1840474</v>
          </cell>
          <cell r="F51">
            <v>26.289853229306299</v>
          </cell>
          <cell r="G51">
            <v>1580229</v>
          </cell>
          <cell r="H51">
            <v>33.877366476652597</v>
          </cell>
          <cell r="I51">
            <v>1769411</v>
          </cell>
          <cell r="J51">
            <v>78.261644221694098</v>
          </cell>
          <cell r="K51">
            <v>695504</v>
          </cell>
          <cell r="L51">
            <v>56.542177819079797</v>
          </cell>
          <cell r="M51">
            <v>2346002</v>
          </cell>
          <cell r="N51">
            <v>12.8145071535321</v>
          </cell>
          <cell r="O51">
            <v>-981425</v>
          </cell>
          <cell r="P51">
            <v>8.7175831498676501</v>
          </cell>
          <cell r="Q51">
            <v>-824029</v>
          </cell>
          <cell r="R51">
            <v>31.8284727210436</v>
          </cell>
          <cell r="S51">
            <v>726327</v>
          </cell>
          <cell r="T51">
            <v>18.268225349069599</v>
          </cell>
          <cell r="U51">
            <v>118021</v>
          </cell>
          <cell r="V51">
            <v>47.167897538659297</v>
          </cell>
          <cell r="W51">
            <v>6229411</v>
          </cell>
          <cell r="X51">
            <v>12.3764773035728</v>
          </cell>
          <cell r="Y51">
            <v>-262339</v>
          </cell>
          <cell r="Z51">
            <v>37.620101960784297</v>
          </cell>
          <cell r="AA51">
            <v>-125848</v>
          </cell>
          <cell r="AB51">
            <v>10.7203447980774</v>
          </cell>
          <cell r="AC51">
            <v>-27620</v>
          </cell>
          <cell r="AD51">
            <v>12.6191792475841</v>
          </cell>
          <cell r="AE51">
            <v>122238</v>
          </cell>
          <cell r="AF51">
            <v>35.397663842260002</v>
          </cell>
          <cell r="AG51">
            <v>-73222</v>
          </cell>
          <cell r="AH51">
            <v>45.9865444504685</v>
          </cell>
          <cell r="AI51">
            <v>738207</v>
          </cell>
          <cell r="AJ51">
            <v>45.5700150144039</v>
          </cell>
          <cell r="AK51">
            <v>884012</v>
          </cell>
          <cell r="AL51">
            <v>27.096946162198002</v>
          </cell>
          <cell r="AM51">
            <v>499697</v>
          </cell>
          <cell r="AN51">
            <v>39.979642583481102</v>
          </cell>
          <cell r="AO51">
            <v>3422424</v>
          </cell>
          <cell r="AP51">
            <v>47.169508818008303</v>
          </cell>
          <cell r="AQ51">
            <v>44039</v>
          </cell>
          <cell r="AR51">
            <v>40.1955727578802</v>
          </cell>
          <cell r="AS51">
            <v>-63750</v>
          </cell>
          <cell r="AT51">
            <v>20.733266045467001</v>
          </cell>
          <cell r="AU51">
            <v>540519</v>
          </cell>
          <cell r="AV51">
            <v>50.538207140431098</v>
          </cell>
          <cell r="AW51">
            <v>3537935</v>
          </cell>
          <cell r="AX51">
            <v>34.735364495852203</v>
          </cell>
          <cell r="AY51">
            <v>-47360</v>
          </cell>
          <cell r="AZ51">
            <v>9.0468404063664405</v>
          </cell>
          <cell r="BA51">
            <v>-1079206</v>
          </cell>
          <cell r="BB51">
            <v>10.212266384924201</v>
          </cell>
          <cell r="BC51">
            <v>5761</v>
          </cell>
          <cell r="BD51">
            <v>11.730633540372599</v>
          </cell>
          <cell r="BE51">
            <v>-29436</v>
          </cell>
          <cell r="BF51">
            <v>29.351653316808399</v>
          </cell>
          <cell r="BG51">
            <v>13218</v>
          </cell>
          <cell r="BH51">
            <v>22.195184737106899</v>
          </cell>
          <cell r="BI51">
            <v>1733</v>
          </cell>
        </row>
        <row r="52">
          <cell r="B52">
            <v>46.068221610529001</v>
          </cell>
          <cell r="C52">
            <v>2337415</v>
          </cell>
          <cell r="D52">
            <v>24.526437853105701</v>
          </cell>
          <cell r="E52">
            <v>2792675</v>
          </cell>
          <cell r="F52">
            <v>26.3898796285991</v>
          </cell>
          <cell r="G52">
            <v>1520021</v>
          </cell>
          <cell r="H52">
            <v>33.941937148090403</v>
          </cell>
          <cell r="I52">
            <v>1024549</v>
          </cell>
          <cell r="J52">
            <v>78.284425659766498</v>
          </cell>
          <cell r="K52">
            <v>466183</v>
          </cell>
          <cell r="L52">
            <v>56.569536252444401</v>
          </cell>
          <cell r="M52">
            <v>569035</v>
          </cell>
          <cell r="N52">
            <v>13.4880642547976</v>
          </cell>
          <cell r="O52">
            <v>3023995</v>
          </cell>
          <cell r="P52">
            <v>8.4417432024323595</v>
          </cell>
          <cell r="Q52">
            <v>-1567809</v>
          </cell>
          <cell r="R52">
            <v>31.820285752271101</v>
          </cell>
          <cell r="S52">
            <v>136920</v>
          </cell>
          <cell r="T52">
            <v>18.236821997655699</v>
          </cell>
          <cell r="U52">
            <v>-154897</v>
          </cell>
          <cell r="V52">
            <v>47.243408938975698</v>
          </cell>
          <cell r="W52">
            <v>3596284</v>
          </cell>
          <cell r="X52">
            <v>12.256545578519701</v>
          </cell>
          <cell r="Y52">
            <v>-819124</v>
          </cell>
          <cell r="Z52">
            <v>37.613166666666601</v>
          </cell>
          <cell r="AA52">
            <v>-53546</v>
          </cell>
          <cell r="AB52">
            <v>10.6572685562732</v>
          </cell>
          <cell r="AC52">
            <v>-326722</v>
          </cell>
          <cell r="AD52">
            <v>12.6987253618124</v>
          </cell>
          <cell r="AE52">
            <v>172995</v>
          </cell>
          <cell r="AF52">
            <v>35.377320417209503</v>
          </cell>
          <cell r="AG52">
            <v>-55540</v>
          </cell>
          <cell r="AH52">
            <v>46.087775197268599</v>
          </cell>
          <cell r="AI52">
            <v>1623673</v>
          </cell>
          <cell r="AJ52">
            <v>45.585432394484897</v>
          </cell>
          <cell r="AK52">
            <v>195798</v>
          </cell>
          <cell r="AL52">
            <v>26.861418654238999</v>
          </cell>
          <cell r="AM52">
            <v>-1374224</v>
          </cell>
          <cell r="AN52">
            <v>40.243976665734699</v>
          </cell>
          <cell r="AO52">
            <v>3252393</v>
          </cell>
          <cell r="AP52">
            <v>47.132116780333497</v>
          </cell>
          <cell r="AQ52">
            <v>-277405</v>
          </cell>
          <cell r="AR52">
            <v>40.2199305426685</v>
          </cell>
          <cell r="AS52">
            <v>251697</v>
          </cell>
          <cell r="AT52">
            <v>20.723873197377099</v>
          </cell>
          <cell r="AU52">
            <v>-90065</v>
          </cell>
          <cell r="AV52">
            <v>50.469067941019297</v>
          </cell>
          <cell r="AW52">
            <v>-750166</v>
          </cell>
          <cell r="AX52">
            <v>34.288655107202601</v>
          </cell>
          <cell r="AY52">
            <v>-459322</v>
          </cell>
          <cell r="AZ52">
            <v>8.9780729767840999</v>
          </cell>
          <cell r="BA52">
            <v>-1129017</v>
          </cell>
          <cell r="BB52">
            <v>10.2050017619208</v>
          </cell>
          <cell r="BC52">
            <v>-31525</v>
          </cell>
          <cell r="BD52">
            <v>11.759307453416101</v>
          </cell>
          <cell r="BE52">
            <v>68022</v>
          </cell>
          <cell r="BF52">
            <v>29.428073447022602</v>
          </cell>
          <cell r="BG52">
            <v>110350</v>
          </cell>
          <cell r="BH52">
            <v>22.201529135425101</v>
          </cell>
          <cell r="BI52">
            <v>11553</v>
          </cell>
        </row>
        <row r="53">
          <cell r="B53">
            <v>46.101886392061601</v>
          </cell>
          <cell r="C53">
            <v>2883897</v>
          </cell>
          <cell r="D53">
            <v>24.7596451326636</v>
          </cell>
          <cell r="E53">
            <v>2663839</v>
          </cell>
          <cell r="F53">
            <v>26.4289455490837</v>
          </cell>
          <cell r="G53">
            <v>583073</v>
          </cell>
          <cell r="H53">
            <v>33.927073071416302</v>
          </cell>
          <cell r="I53">
            <v>2496</v>
          </cell>
          <cell r="J53">
            <v>78.358062811485496</v>
          </cell>
          <cell r="K53">
            <v>1518802</v>
          </cell>
          <cell r="L53">
            <v>56.630570894562702</v>
          </cell>
          <cell r="M53">
            <v>1261852</v>
          </cell>
          <cell r="N53">
            <v>13.728859650454901</v>
          </cell>
          <cell r="O53">
            <v>1081708</v>
          </cell>
          <cell r="P53">
            <v>8.1848027174736</v>
          </cell>
          <cell r="Q53">
            <v>-1764753</v>
          </cell>
          <cell r="R53">
            <v>31.875044889384899</v>
          </cell>
          <cell r="S53">
            <v>820266</v>
          </cell>
          <cell r="T53">
            <v>18.363270583509099</v>
          </cell>
          <cell r="U53">
            <v>415688</v>
          </cell>
          <cell r="V53">
            <v>47.281892960101104</v>
          </cell>
          <cell r="W53">
            <v>1824957</v>
          </cell>
          <cell r="X53">
            <v>12.2324524535729</v>
          </cell>
          <cell r="Y53">
            <v>-279372</v>
          </cell>
          <cell r="Z53">
            <v>37.568501960784303</v>
          </cell>
          <cell r="AA53">
            <v>-324687</v>
          </cell>
          <cell r="AB53">
            <v>10.6017466798827</v>
          </cell>
          <cell r="AC53">
            <v>-283870</v>
          </cell>
          <cell r="AD53">
            <v>12.761515334819499</v>
          </cell>
          <cell r="AE53">
            <v>144523</v>
          </cell>
          <cell r="AF53">
            <v>35.271588869478499</v>
          </cell>
          <cell r="AG53">
            <v>-302674</v>
          </cell>
          <cell r="AH53">
            <v>46.1493489317171</v>
          </cell>
          <cell r="AI53">
            <v>962955</v>
          </cell>
          <cell r="AJ53">
            <v>45.634854565221801</v>
          </cell>
          <cell r="AK53">
            <v>627100</v>
          </cell>
          <cell r="AL53">
            <v>26.459698902573699</v>
          </cell>
          <cell r="AM53">
            <v>-2326913</v>
          </cell>
          <cell r="AN53">
            <v>40.5170231806513</v>
          </cell>
          <cell r="AO53">
            <v>3364424</v>
          </cell>
          <cell r="AP53">
            <v>47.192791239357398</v>
          </cell>
          <cell r="AQ53">
            <v>453436</v>
          </cell>
          <cell r="AR53">
            <v>40.178181914583298</v>
          </cell>
          <cell r="AS53">
            <v>-455291</v>
          </cell>
          <cell r="AT53">
            <v>20.708695897384299</v>
          </cell>
          <cell r="AU53">
            <v>-141550</v>
          </cell>
          <cell r="AV53">
            <v>50.457023650885297</v>
          </cell>
          <cell r="AW53">
            <v>-127152</v>
          </cell>
          <cell r="AX53">
            <v>34.670205486938897</v>
          </cell>
          <cell r="AY53">
            <v>411397</v>
          </cell>
          <cell r="AZ53">
            <v>8.7912421748872696</v>
          </cell>
          <cell r="BA53">
            <v>-2692996</v>
          </cell>
          <cell r="BB53">
            <v>10.255754216538</v>
          </cell>
          <cell r="BC53">
            <v>206075</v>
          </cell>
          <cell r="BD53">
            <v>11.699403726708001</v>
          </cell>
          <cell r="BE53">
            <v>-170188</v>
          </cell>
          <cell r="BF53">
            <v>29.385212871509001</v>
          </cell>
          <cell r="BG53">
            <v>-62547</v>
          </cell>
          <cell r="BH53">
            <v>22.095935011692301</v>
          </cell>
          <cell r="BI53">
            <v>-192145</v>
          </cell>
        </row>
        <row r="54">
          <cell r="B54">
            <v>46.064396746062698</v>
          </cell>
          <cell r="C54">
            <v>-3041771</v>
          </cell>
          <cell r="D54">
            <v>24.8709055548447</v>
          </cell>
          <cell r="E54">
            <v>1257137</v>
          </cell>
          <cell r="F54">
            <v>26.466947506029999</v>
          </cell>
          <cell r="G54">
            <v>581856</v>
          </cell>
          <cell r="H54">
            <v>33.9608826555123</v>
          </cell>
          <cell r="I54">
            <v>602585</v>
          </cell>
          <cell r="J54">
            <v>78.312971427156</v>
          </cell>
          <cell r="K54">
            <v>-880643</v>
          </cell>
          <cell r="L54">
            <v>56.725924098451898</v>
          </cell>
          <cell r="M54">
            <v>1945074</v>
          </cell>
          <cell r="N54">
            <v>13.702633935294299</v>
          </cell>
          <cell r="O54">
            <v>97933</v>
          </cell>
          <cell r="P54">
            <v>8.0234344314681803</v>
          </cell>
          <cell r="Q54">
            <v>-885215</v>
          </cell>
          <cell r="R54">
            <v>31.9172536457821</v>
          </cell>
          <cell r="S54">
            <v>1707475</v>
          </cell>
          <cell r="T54">
            <v>18.25858736959</v>
          </cell>
          <cell r="U54">
            <v>-354745</v>
          </cell>
          <cell r="V54">
            <v>47.323911918582603</v>
          </cell>
          <cell r="W54">
            <v>1963053</v>
          </cell>
          <cell r="X54">
            <v>12.1866137389306</v>
          </cell>
          <cell r="Y54">
            <v>-269920</v>
          </cell>
          <cell r="Z54">
            <v>37.547666666666601</v>
          </cell>
          <cell r="AA54">
            <v>-146290</v>
          </cell>
          <cell r="AB54">
            <v>10.577323167790899</v>
          </cell>
          <cell r="AC54">
            <v>-121835</v>
          </cell>
          <cell r="AD54">
            <v>12.7830527467879</v>
          </cell>
          <cell r="AE54">
            <v>29187</v>
          </cell>
          <cell r="AF54">
            <v>35.0955245394385</v>
          </cell>
          <cell r="AG54">
            <v>-255062</v>
          </cell>
          <cell r="AH54">
            <v>46.175748759654503</v>
          </cell>
          <cell r="AI54">
            <v>411974</v>
          </cell>
          <cell r="AJ54">
            <v>45.720638700825198</v>
          </cell>
          <cell r="AK54">
            <v>1100237</v>
          </cell>
          <cell r="AL54">
            <v>26.6421553675053</v>
          </cell>
          <cell r="AM54">
            <v>1083348</v>
          </cell>
          <cell r="AN54">
            <v>40.516774439400997</v>
          </cell>
          <cell r="AO54">
            <v>11394</v>
          </cell>
          <cell r="AP54">
            <v>47.299168952924802</v>
          </cell>
          <cell r="AQ54">
            <v>806138</v>
          </cell>
          <cell r="AR54">
            <v>40.187158346809397</v>
          </cell>
          <cell r="AS54">
            <v>107831</v>
          </cell>
          <cell r="AT54">
            <v>20.714146366052301</v>
          </cell>
          <cell r="AU54">
            <v>50995</v>
          </cell>
          <cell r="AV54">
            <v>50.1856101810219</v>
          </cell>
          <cell r="AW54">
            <v>-2792450</v>
          </cell>
          <cell r="AX54">
            <v>34.987689947619998</v>
          </cell>
          <cell r="AY54">
            <v>343943</v>
          </cell>
          <cell r="AZ54">
            <v>8.8204584749897101</v>
          </cell>
          <cell r="BA54">
            <v>425228</v>
          </cell>
          <cell r="BB54">
            <v>10.274554461432301</v>
          </cell>
          <cell r="BC54">
            <v>84431</v>
          </cell>
          <cell r="BD54">
            <v>11.7051086956521</v>
          </cell>
          <cell r="BE54">
            <v>16722</v>
          </cell>
          <cell r="BF54">
            <v>29.308953698391601</v>
          </cell>
          <cell r="BG54">
            <v>-107474</v>
          </cell>
          <cell r="BH54">
            <v>22.0736306491319</v>
          </cell>
          <cell r="BI54">
            <v>-39898</v>
          </cell>
        </row>
        <row r="55">
          <cell r="B55">
            <v>46.069651352198498</v>
          </cell>
          <cell r="C55">
            <v>440464</v>
          </cell>
          <cell r="D55">
            <v>24.670426027411199</v>
          </cell>
          <cell r="E55">
            <v>-2210253</v>
          </cell>
          <cell r="F55">
            <v>26.4401354865964</v>
          </cell>
          <cell r="G55">
            <v>-372165</v>
          </cell>
          <cell r="H55">
            <v>33.941173067587499</v>
          </cell>
          <cell r="I55">
            <v>-313589</v>
          </cell>
          <cell r="J55">
            <v>78.258587551552907</v>
          </cell>
          <cell r="K55">
            <v>-1066861</v>
          </cell>
          <cell r="L55">
            <v>56.741607860383702</v>
          </cell>
          <cell r="M55">
            <v>267705</v>
          </cell>
          <cell r="N55">
            <v>13.4440784278755</v>
          </cell>
          <cell r="O55">
            <v>-516138</v>
          </cell>
          <cell r="P55">
            <v>7.8657718732902602</v>
          </cell>
          <cell r="Q55">
            <v>-839750</v>
          </cell>
          <cell r="R55">
            <v>31.616097720925399</v>
          </cell>
          <cell r="S55">
            <v>-2022795</v>
          </cell>
          <cell r="T55">
            <v>18.255929480609598</v>
          </cell>
          <cell r="U55">
            <v>-123535</v>
          </cell>
          <cell r="V55">
            <v>47.290257755084198</v>
          </cell>
          <cell r="W55">
            <v>-1514222</v>
          </cell>
          <cell r="X55">
            <v>11.924388730409399</v>
          </cell>
          <cell r="Y55">
            <v>-776511</v>
          </cell>
          <cell r="Z55">
            <v>37.2730411764705</v>
          </cell>
          <cell r="AA55">
            <v>-1948591</v>
          </cell>
          <cell r="AB55">
            <v>10.5753932407061</v>
          </cell>
          <cell r="AC55">
            <v>4912</v>
          </cell>
          <cell r="AD55">
            <v>12.8328525885634</v>
          </cell>
          <cell r="AE55">
            <v>108324</v>
          </cell>
          <cell r="AF55">
            <v>34.975864352513703</v>
          </cell>
          <cell r="AG55">
            <v>-449256</v>
          </cell>
          <cell r="AH55">
            <v>46.280750734499598</v>
          </cell>
          <cell r="AI55">
            <v>1610034</v>
          </cell>
          <cell r="AJ55">
            <v>45.630622770731598</v>
          </cell>
          <cell r="AK55">
            <v>-1172025</v>
          </cell>
          <cell r="AL55">
            <v>26.913676286839799</v>
          </cell>
          <cell r="AM55">
            <v>1629001</v>
          </cell>
          <cell r="AN55">
            <v>40.500345620559798</v>
          </cell>
          <cell r="AO55">
            <v>-195259</v>
          </cell>
          <cell r="AP55">
            <v>47.327357985579098</v>
          </cell>
          <cell r="AQ55">
            <v>213939</v>
          </cell>
          <cell r="AR55">
            <v>40.205662628244198</v>
          </cell>
          <cell r="AS55">
            <v>205870</v>
          </cell>
          <cell r="AT55">
            <v>20.751607578375701</v>
          </cell>
          <cell r="AU55">
            <v>344219</v>
          </cell>
          <cell r="AV55">
            <v>49.928161650716802</v>
          </cell>
          <cell r="AW55">
            <v>-2482054</v>
          </cell>
          <cell r="AX55">
            <v>35.1250626588565</v>
          </cell>
          <cell r="AY55">
            <v>146691</v>
          </cell>
          <cell r="AZ55">
            <v>8.7206254552814499</v>
          </cell>
          <cell r="BA55">
            <v>-1370510</v>
          </cell>
          <cell r="BB55">
            <v>10.047601596846899</v>
          </cell>
          <cell r="BC55">
            <v>-1072735</v>
          </cell>
          <cell r="BD55">
            <v>11.6897763975155</v>
          </cell>
          <cell r="BE55">
            <v>-42359</v>
          </cell>
          <cell r="BF55">
            <v>29.254515708837801</v>
          </cell>
          <cell r="BG55">
            <v>-76309</v>
          </cell>
          <cell r="BH55">
            <v>22.081871074533701</v>
          </cell>
          <cell r="BI55">
            <v>14066</v>
          </cell>
        </row>
        <row r="56">
          <cell r="B56">
            <v>46.015816758224702</v>
          </cell>
          <cell r="C56">
            <v>-4405966</v>
          </cell>
          <cell r="D56">
            <v>24.384751138050898</v>
          </cell>
          <cell r="E56">
            <v>-2626930</v>
          </cell>
          <cell r="F56">
            <v>26.378917140081999</v>
          </cell>
          <cell r="G56">
            <v>-911330</v>
          </cell>
          <cell r="H56">
            <v>33.824155284410303</v>
          </cell>
          <cell r="I56">
            <v>-1623464</v>
          </cell>
          <cell r="J56">
            <v>78.165721500974499</v>
          </cell>
          <cell r="K56">
            <v>-1861241</v>
          </cell>
          <cell r="L56">
            <v>56.781122035849002</v>
          </cell>
          <cell r="M56">
            <v>777654</v>
          </cell>
          <cell r="N56">
            <v>13.399229282967999</v>
          </cell>
          <cell r="O56">
            <v>146712</v>
          </cell>
          <cell r="P56">
            <v>7.5482894671038103</v>
          </cell>
          <cell r="Q56">
            <v>-1588141</v>
          </cell>
          <cell r="R56">
            <v>31.452023608014201</v>
          </cell>
          <cell r="S56">
            <v>-2026019</v>
          </cell>
          <cell r="T56">
            <v>18.401870020301001</v>
          </cell>
          <cell r="U56">
            <v>4968</v>
          </cell>
          <cell r="V56">
            <v>47.2722733885224</v>
          </cell>
          <cell r="W56">
            <v>-819733</v>
          </cell>
          <cell r="X56">
            <v>11.859660608991501</v>
          </cell>
          <cell r="Y56">
            <v>-611296</v>
          </cell>
          <cell r="Z56">
            <v>36.729043137254898</v>
          </cell>
          <cell r="AA56">
            <v>-3716973</v>
          </cell>
          <cell r="AB56">
            <v>10.5402168807317</v>
          </cell>
          <cell r="AC56">
            <v>-161985</v>
          </cell>
          <cell r="AD56">
            <v>12.7862286906962</v>
          </cell>
          <cell r="AE56">
            <v>-69690</v>
          </cell>
          <cell r="AF56">
            <v>34.737347868021303</v>
          </cell>
          <cell r="AG56">
            <v>-670600</v>
          </cell>
          <cell r="AH56">
            <v>46.237852091770897</v>
          </cell>
          <cell r="AI56">
            <v>1216322</v>
          </cell>
          <cell r="AJ56">
            <v>45.583335755792803</v>
          </cell>
          <cell r="AK56">
            <v>-396904</v>
          </cell>
          <cell r="AL56">
            <v>26.736165410465901</v>
          </cell>
          <cell r="AM56">
            <v>-1047231</v>
          </cell>
          <cell r="AN56">
            <v>40.334428717700703</v>
          </cell>
          <cell r="AO56">
            <v>-1899942</v>
          </cell>
          <cell r="AP56">
            <v>47.300535058679301</v>
          </cell>
          <cell r="AQ56">
            <v>-205737</v>
          </cell>
          <cell r="AR56">
            <v>40.167280825004603</v>
          </cell>
          <cell r="AS56">
            <v>-413738</v>
          </cell>
          <cell r="AT56">
            <v>20.7543758517863</v>
          </cell>
          <cell r="AU56">
            <v>26071</v>
          </cell>
          <cell r="AV56">
            <v>49.7983997332909</v>
          </cell>
          <cell r="AW56">
            <v>-1233853</v>
          </cell>
          <cell r="AX56">
            <v>35.205021019110099</v>
          </cell>
          <cell r="AY56">
            <v>85626</v>
          </cell>
          <cell r="AZ56">
            <v>8.6709275759979896</v>
          </cell>
          <cell r="BA56">
            <v>-678803</v>
          </cell>
          <cell r="BB56">
            <v>10.002512884001501</v>
          </cell>
          <cell r="BC56">
            <v>-212116</v>
          </cell>
          <cell r="BD56">
            <v>11.6424751552795</v>
          </cell>
          <cell r="BE56">
            <v>-135836</v>
          </cell>
          <cell r="BF56">
            <v>29.229969751562699</v>
          </cell>
          <cell r="BG56">
            <v>-34708</v>
          </cell>
          <cell r="BH56">
            <v>22.0887571948758</v>
          </cell>
          <cell r="BI56">
            <v>12155</v>
          </cell>
        </row>
        <row r="57">
          <cell r="B57">
            <v>45.936371051011498</v>
          </cell>
          <cell r="C57">
            <v>-6578473</v>
          </cell>
          <cell r="D57">
            <v>24.256169894357601</v>
          </cell>
          <cell r="E57">
            <v>-1441497</v>
          </cell>
          <cell r="F57">
            <v>26.791438410538301</v>
          </cell>
          <cell r="G57">
            <v>6516607</v>
          </cell>
          <cell r="H57">
            <v>33.650644172404903</v>
          </cell>
          <cell r="I57">
            <v>-2863391</v>
          </cell>
          <cell r="J57">
            <v>78.038014107867497</v>
          </cell>
          <cell r="K57">
            <v>-2369203</v>
          </cell>
          <cell r="L57">
            <v>56.817219751417802</v>
          </cell>
          <cell r="M57">
            <v>682255</v>
          </cell>
          <cell r="N57">
            <v>13.339477803338999</v>
          </cell>
          <cell r="O57">
            <v>124946</v>
          </cell>
          <cell r="P57">
            <v>7.5516469216601596</v>
          </cell>
          <cell r="Q57">
            <v>-13950</v>
          </cell>
          <cell r="R57">
            <v>31.3666064309033</v>
          </cell>
          <cell r="S57">
            <v>-912697</v>
          </cell>
          <cell r="T57">
            <v>18.477151435348599</v>
          </cell>
          <cell r="U57">
            <v>154252</v>
          </cell>
          <cell r="V57">
            <v>47.230030772421003</v>
          </cell>
          <cell r="W57">
            <v>-1856786</v>
          </cell>
          <cell r="X57">
            <v>11.7630969154</v>
          </cell>
          <cell r="Y57">
            <v>-971316</v>
          </cell>
          <cell r="Z57">
            <v>36.442558823529403</v>
          </cell>
          <cell r="AA57">
            <v>-1916193</v>
          </cell>
          <cell r="AB57">
            <v>10.483311125740601</v>
          </cell>
          <cell r="AC57">
            <v>-271934</v>
          </cell>
          <cell r="AD57">
            <v>12.8855940833032</v>
          </cell>
          <cell r="AE57">
            <v>241734</v>
          </cell>
          <cell r="AF57">
            <v>34.351926883851199</v>
          </cell>
          <cell r="AG57">
            <v>-1320889</v>
          </cell>
          <cell r="AH57">
            <v>46.278344144166503</v>
          </cell>
          <cell r="AI57">
            <v>619212</v>
          </cell>
          <cell r="AJ57">
            <v>45.591125658787803</v>
          </cell>
          <cell r="AK57">
            <v>102424</v>
          </cell>
          <cell r="AL57">
            <v>26.7100379232674</v>
          </cell>
          <cell r="AM57">
            <v>-114620</v>
          </cell>
          <cell r="AN57">
            <v>40.313632867691098</v>
          </cell>
          <cell r="AO57">
            <v>-226526</v>
          </cell>
          <cell r="AP57">
            <v>47.182389116802099</v>
          </cell>
          <cell r="AQ57">
            <v>-860603</v>
          </cell>
          <cell r="AR57">
            <v>40.0789215556321</v>
          </cell>
          <cell r="AS57">
            <v>-915621</v>
          </cell>
          <cell r="AT57">
            <v>20.7443253666051</v>
          </cell>
          <cell r="AU57">
            <v>-89977</v>
          </cell>
          <cell r="AV57">
            <v>49.694241598344803</v>
          </cell>
          <cell r="AW57">
            <v>-1001561</v>
          </cell>
          <cell r="AX57">
            <v>35.274653168789897</v>
          </cell>
          <cell r="AY57">
            <v>74370</v>
          </cell>
          <cell r="AZ57">
            <v>8.5551116113836798</v>
          </cell>
          <cell r="BA57">
            <v>-1609137</v>
          </cell>
          <cell r="BB57">
            <v>9.9335061016410595</v>
          </cell>
          <cell r="BC57">
            <v>-569204</v>
          </cell>
          <cell r="BD57">
            <v>11.6080559006211</v>
          </cell>
          <cell r="BE57">
            <v>-71181</v>
          </cell>
          <cell r="BF57">
            <v>29.241685128828902</v>
          </cell>
          <cell r="BG57">
            <v>18419</v>
          </cell>
          <cell r="BH57">
            <v>22.220958204166401</v>
          </cell>
          <cell r="BI57">
            <v>239860</v>
          </cell>
        </row>
        <row r="58">
          <cell r="B58">
            <v>45.846116741177099</v>
          </cell>
          <cell r="C58">
            <v>-7533414</v>
          </cell>
          <cell r="D58">
            <v>24.075576107071299</v>
          </cell>
          <cell r="E58">
            <v>-2028287</v>
          </cell>
          <cell r="F58">
            <v>27.024670417763701</v>
          </cell>
          <cell r="G58">
            <v>3776176</v>
          </cell>
          <cell r="H58">
            <v>33.721064223844799</v>
          </cell>
          <cell r="I58">
            <v>1272602</v>
          </cell>
          <cell r="J58">
            <v>78.104934730846907</v>
          </cell>
          <cell r="K58">
            <v>1275178</v>
          </cell>
          <cell r="L58">
            <v>56.886308415056398</v>
          </cell>
          <cell r="M58">
            <v>1376489</v>
          </cell>
          <cell r="N58">
            <v>13.5028558693615</v>
          </cell>
          <cell r="O58">
            <v>212603</v>
          </cell>
          <cell r="P58">
            <v>7.7022588252697402</v>
          </cell>
          <cell r="Q58">
            <v>618517</v>
          </cell>
          <cell r="R58">
            <v>31.2499354175009</v>
          </cell>
          <cell r="S58">
            <v>-1690689</v>
          </cell>
          <cell r="T58">
            <v>18.5035229700689</v>
          </cell>
          <cell r="U58">
            <v>-8247</v>
          </cell>
          <cell r="V58">
            <v>47.2119557958492</v>
          </cell>
          <cell r="W58">
            <v>-815226</v>
          </cell>
          <cell r="X58">
            <v>11.8182581317295</v>
          </cell>
          <cell r="Y58">
            <v>-351166</v>
          </cell>
          <cell r="Z58">
            <v>36.353623529411699</v>
          </cell>
          <cell r="AA58">
            <v>-615180</v>
          </cell>
          <cell r="AB58">
            <v>10.3986486008633</v>
          </cell>
          <cell r="AC58">
            <v>-425506</v>
          </cell>
          <cell r="AD58">
            <v>13.1833084536598</v>
          </cell>
          <cell r="AE58">
            <v>747814</v>
          </cell>
          <cell r="AF58">
            <v>34.379321925858598</v>
          </cell>
          <cell r="AG58">
            <v>-206609</v>
          </cell>
          <cell r="AH58">
            <v>46.287709401532297</v>
          </cell>
          <cell r="AI58">
            <v>138686</v>
          </cell>
          <cell r="AJ58">
            <v>45.598258590768097</v>
          </cell>
          <cell r="AK58">
            <v>104428</v>
          </cell>
          <cell r="AL58">
            <v>26.723569510772101</v>
          </cell>
          <cell r="AM58">
            <v>79624</v>
          </cell>
          <cell r="AN58">
            <v>40.2789334632728</v>
          </cell>
          <cell r="AO58">
            <v>-384565</v>
          </cell>
          <cell r="AP58">
            <v>47.147436173016501</v>
          </cell>
          <cell r="AQ58">
            <v>-252577</v>
          </cell>
          <cell r="AR58">
            <v>40.132228732005998</v>
          </cell>
          <cell r="AS58">
            <v>575042</v>
          </cell>
          <cell r="AT58">
            <v>20.649470684776499</v>
          </cell>
          <cell r="AU58">
            <v>-851150</v>
          </cell>
          <cell r="AV58">
            <v>49.733018235364497</v>
          </cell>
          <cell r="AW58">
            <v>385231</v>
          </cell>
          <cell r="AX58">
            <v>35.385535893892403</v>
          </cell>
          <cell r="AY58">
            <v>121760</v>
          </cell>
          <cell r="AZ58">
            <v>8.4980203908808996</v>
          </cell>
          <cell r="BA58">
            <v>-839651</v>
          </cell>
          <cell r="BB58">
            <v>9.8638606318947009</v>
          </cell>
          <cell r="BC58">
            <v>-351334</v>
          </cell>
          <cell r="BD58">
            <v>11.3214378881987</v>
          </cell>
          <cell r="BE58">
            <v>-854195</v>
          </cell>
          <cell r="BF58">
            <v>29.2076427028375</v>
          </cell>
          <cell r="BG58">
            <v>-50432</v>
          </cell>
          <cell r="BH58">
            <v>22.201352033994301</v>
          </cell>
          <cell r="BI58">
            <v>-35948</v>
          </cell>
        </row>
        <row r="59">
          <cell r="B59">
            <v>45.833842415733301</v>
          </cell>
          <cell r="C59">
            <v>-1225310</v>
          </cell>
          <cell r="D59">
            <v>24.021564755917201</v>
          </cell>
          <cell r="E59">
            <v>-605941</v>
          </cell>
          <cell r="F59">
            <v>26.953922027470099</v>
          </cell>
          <cell r="G59">
            <v>-1160952</v>
          </cell>
          <cell r="H59">
            <v>33.560387652078902</v>
          </cell>
          <cell r="I59">
            <v>-2469997</v>
          </cell>
          <cell r="J59">
            <v>78.124950242154696</v>
          </cell>
          <cell r="K59">
            <v>371150</v>
          </cell>
          <cell r="L59">
            <v>56.936030829330399</v>
          </cell>
          <cell r="M59">
            <v>974689</v>
          </cell>
          <cell r="N59">
            <v>13.4541659319611</v>
          </cell>
          <cell r="O59">
            <v>-190849</v>
          </cell>
          <cell r="P59">
            <v>7.5311363821091897</v>
          </cell>
          <cell r="Q59">
            <v>-657521</v>
          </cell>
          <cell r="R59">
            <v>31.092316825658401</v>
          </cell>
          <cell r="S59">
            <v>-2323302</v>
          </cell>
          <cell r="T59">
            <v>18.441175328356401</v>
          </cell>
          <cell r="U59">
            <v>-198889</v>
          </cell>
          <cell r="V59">
            <v>47.203531358834098</v>
          </cell>
          <cell r="W59">
            <v>-365506</v>
          </cell>
          <cell r="X59">
            <v>11.6575281739853</v>
          </cell>
          <cell r="Y59">
            <v>-1562429</v>
          </cell>
          <cell r="Z59">
            <v>36.331874509803903</v>
          </cell>
          <cell r="AA59">
            <v>-142960</v>
          </cell>
          <cell r="AB59">
            <v>10.2939948658381</v>
          </cell>
          <cell r="AC59">
            <v>-498412</v>
          </cell>
          <cell r="AD59">
            <v>13.2401630560841</v>
          </cell>
          <cell r="AE59">
            <v>132760</v>
          </cell>
          <cell r="AF59">
            <v>34.0835785677369</v>
          </cell>
          <cell r="AG59">
            <v>-791591</v>
          </cell>
          <cell r="AH59">
            <v>46.368141739450699</v>
          </cell>
          <cell r="AI59">
            <v>1180018</v>
          </cell>
          <cell r="AJ59">
            <v>45.658705011293499</v>
          </cell>
          <cell r="AK59">
            <v>790169</v>
          </cell>
          <cell r="AL59">
            <v>26.7700083347986</v>
          </cell>
          <cell r="AM59">
            <v>264431</v>
          </cell>
          <cell r="AN59">
            <v>40.289725589085201</v>
          </cell>
          <cell r="AO59">
            <v>120494</v>
          </cell>
          <cell r="AP59">
            <v>47.184456040137903</v>
          </cell>
          <cell r="AQ59">
            <v>262633</v>
          </cell>
          <cell r="AR59">
            <v>40.213748309959897</v>
          </cell>
          <cell r="AS59">
            <v>871223</v>
          </cell>
          <cell r="AT59">
            <v>20.582112808243199</v>
          </cell>
          <cell r="AU59">
            <v>-584413</v>
          </cell>
          <cell r="AV59">
            <v>49.650593324972</v>
          </cell>
          <cell r="AW59">
            <v>-793184</v>
          </cell>
          <cell r="AX59">
            <v>35.465137643270303</v>
          </cell>
          <cell r="AY59">
            <v>86116</v>
          </cell>
          <cell r="AZ59">
            <v>8.4844643407810896</v>
          </cell>
          <cell r="BA59">
            <v>-1461667</v>
          </cell>
          <cell r="BB59">
            <v>9.6597363812462707</v>
          </cell>
          <cell r="BC59">
            <v>-989713</v>
          </cell>
          <cell r="BD59">
            <v>11.106496894409901</v>
          </cell>
          <cell r="BE59">
            <v>-566468</v>
          </cell>
          <cell r="BF59">
            <v>28.763056207367899</v>
          </cell>
          <cell r="BG59">
            <v>-676181</v>
          </cell>
          <cell r="BH59">
            <v>22.189569579974702</v>
          </cell>
          <cell r="BI59">
            <v>-18123</v>
          </cell>
        </row>
        <row r="60">
          <cell r="B60">
            <v>45.768360111491802</v>
          </cell>
          <cell r="C60">
            <v>-5348699</v>
          </cell>
          <cell r="D60">
            <v>23.990413405398701</v>
          </cell>
          <cell r="E60">
            <v>-341090</v>
          </cell>
          <cell r="F60">
            <v>26.8659718563047</v>
          </cell>
          <cell r="G60">
            <v>-1330578</v>
          </cell>
          <cell r="H60">
            <v>33.5106464026033</v>
          </cell>
          <cell r="I60">
            <v>-798972</v>
          </cell>
          <cell r="J60">
            <v>78.073244000082298</v>
          </cell>
          <cell r="K60">
            <v>-927785</v>
          </cell>
          <cell r="L60">
            <v>56.885731685530502</v>
          </cell>
          <cell r="M60">
            <v>-887762</v>
          </cell>
          <cell r="N60">
            <v>13.783850163308401</v>
          </cell>
          <cell r="O60">
            <v>1384065</v>
          </cell>
          <cell r="P60">
            <v>7.5433010753752301</v>
          </cell>
          <cell r="Q60">
            <v>64795</v>
          </cell>
          <cell r="R60">
            <v>30.991434414052598</v>
          </cell>
          <cell r="S60">
            <v>-1468176</v>
          </cell>
          <cell r="T60">
            <v>18.554809946034201</v>
          </cell>
          <cell r="U60">
            <v>386919</v>
          </cell>
          <cell r="V60">
            <v>47.111351157545698</v>
          </cell>
          <cell r="W60">
            <v>-3851742</v>
          </cell>
          <cell r="X60">
            <v>11.7212858966593</v>
          </cell>
          <cell r="Y60">
            <v>688810</v>
          </cell>
          <cell r="Z60">
            <v>36.2651607843137</v>
          </cell>
          <cell r="AA60">
            <v>-431137</v>
          </cell>
          <cell r="AB60">
            <v>10.286165392027799</v>
          </cell>
          <cell r="AC60">
            <v>-33726</v>
          </cell>
          <cell r="AD60">
            <v>13.091683339649</v>
          </cell>
          <cell r="AE60">
            <v>-332986</v>
          </cell>
          <cell r="AF60">
            <v>34.259793627031399</v>
          </cell>
          <cell r="AG60">
            <v>539743</v>
          </cell>
          <cell r="AH60">
            <v>46.410284165974304</v>
          </cell>
          <cell r="AI60">
            <v>639007</v>
          </cell>
          <cell r="AJ60">
            <v>45.732527041915297</v>
          </cell>
          <cell r="AK60">
            <v>990578</v>
          </cell>
          <cell r="AL60">
            <v>26.779133949159402</v>
          </cell>
          <cell r="AM60">
            <v>60430</v>
          </cell>
          <cell r="AN60">
            <v>40.310566861410102</v>
          </cell>
          <cell r="AO60">
            <v>211433</v>
          </cell>
          <cell r="AP60">
            <v>47.176624470283102</v>
          </cell>
          <cell r="AQ60">
            <v>-57957</v>
          </cell>
          <cell r="AR60">
            <v>40.162090082447399</v>
          </cell>
          <cell r="AS60">
            <v>-555523</v>
          </cell>
          <cell r="AT60">
            <v>20.537114592815499</v>
          </cell>
          <cell r="AU60">
            <v>-387205</v>
          </cell>
          <cell r="AV60">
            <v>49.6353326262807</v>
          </cell>
          <cell r="AW60">
            <v>-136310</v>
          </cell>
          <cell r="AX60">
            <v>35.603097549037102</v>
          </cell>
          <cell r="AY60">
            <v>185218</v>
          </cell>
          <cell r="AZ60">
            <v>8.4698199114211992</v>
          </cell>
          <cell r="BA60">
            <v>-309085</v>
          </cell>
          <cell r="BB60">
            <v>9.5858888956074608</v>
          </cell>
          <cell r="BC60">
            <v>-342971</v>
          </cell>
          <cell r="BD60">
            <v>11.031972049689401</v>
          </cell>
          <cell r="BE60">
            <v>-206073</v>
          </cell>
          <cell r="BF60">
            <v>28.495602997021098</v>
          </cell>
          <cell r="BG60">
            <v>-383574</v>
          </cell>
          <cell r="BH60">
            <v>22.124861982357601</v>
          </cell>
          <cell r="BI60">
            <v>-97982</v>
          </cell>
        </row>
        <row r="61">
          <cell r="B61">
            <v>45.608169981104503</v>
          </cell>
          <cell r="C61">
            <v>-12912009</v>
          </cell>
          <cell r="D61">
            <v>23.966249171942799</v>
          </cell>
          <cell r="E61">
            <v>-273257</v>
          </cell>
          <cell r="F61">
            <v>26.759554762438299</v>
          </cell>
          <cell r="G61">
            <v>-1150896</v>
          </cell>
          <cell r="H61">
            <v>33.2862096325007</v>
          </cell>
          <cell r="I61">
            <v>-3399703</v>
          </cell>
          <cell r="J61">
            <v>78.094722146781507</v>
          </cell>
          <cell r="K61">
            <v>423517</v>
          </cell>
          <cell r="L61">
            <v>56.842408571213298</v>
          </cell>
          <cell r="M61">
            <v>-810300</v>
          </cell>
          <cell r="N61">
            <v>13.758122688856901</v>
          </cell>
          <cell r="O61">
            <v>281162</v>
          </cell>
          <cell r="P61">
            <v>7.6221042157249697</v>
          </cell>
          <cell r="Q61">
            <v>321631</v>
          </cell>
          <cell r="R61">
            <v>30.636734139793401</v>
          </cell>
          <cell r="S61">
            <v>-5184170</v>
          </cell>
          <cell r="T61">
            <v>18.734859532986501</v>
          </cell>
          <cell r="U61">
            <v>634309</v>
          </cell>
          <cell r="V61">
            <v>46.9721925334254</v>
          </cell>
          <cell r="W61">
            <v>-5705263</v>
          </cell>
          <cell r="X61">
            <v>11.791900442427799</v>
          </cell>
          <cell r="Y61">
            <v>195238</v>
          </cell>
          <cell r="Z61">
            <v>36.222200000000001</v>
          </cell>
          <cell r="AA61">
            <v>-287357</v>
          </cell>
          <cell r="AB61">
            <v>10.143648127134901</v>
          </cell>
          <cell r="AC61">
            <v>-644275</v>
          </cell>
          <cell r="AD61">
            <v>13.218573579461401</v>
          </cell>
          <cell r="AE61">
            <v>271494</v>
          </cell>
          <cell r="AF61">
            <v>34.217525375835201</v>
          </cell>
          <cell r="AG61">
            <v>-124298</v>
          </cell>
          <cell r="AH61">
            <v>46.4572015928672</v>
          </cell>
          <cell r="AI61">
            <v>871390</v>
          </cell>
          <cell r="AJ61">
            <v>45.696290439327498</v>
          </cell>
          <cell r="AK61">
            <v>-239800</v>
          </cell>
          <cell r="AL61">
            <v>26.616499711518401</v>
          </cell>
          <cell r="AM61">
            <v>-855883</v>
          </cell>
          <cell r="AN61">
            <v>40.309392370115198</v>
          </cell>
          <cell r="AO61">
            <v>-19641</v>
          </cell>
          <cell r="AP61">
            <v>47.175818840946803</v>
          </cell>
          <cell r="AQ61">
            <v>-6191</v>
          </cell>
          <cell r="AR61">
            <v>40.2356565308448</v>
          </cell>
          <cell r="AS61">
            <v>800224</v>
          </cell>
          <cell r="AT61">
            <v>20.536549920129801</v>
          </cell>
          <cell r="AU61">
            <v>666</v>
          </cell>
          <cell r="AV61">
            <v>49.523840912628998</v>
          </cell>
          <cell r="AW61">
            <v>-1034976</v>
          </cell>
          <cell r="AX61">
            <v>35.736450778363597</v>
          </cell>
          <cell r="AY61">
            <v>139493</v>
          </cell>
          <cell r="AZ61">
            <v>8.3136470347870794</v>
          </cell>
          <cell r="BA61">
            <v>-2275392</v>
          </cell>
          <cell r="BB61">
            <v>9.5580893432547605</v>
          </cell>
          <cell r="BC61">
            <v>-169341</v>
          </cell>
          <cell r="BD61">
            <v>11.1166273291925</v>
          </cell>
          <cell r="BE61">
            <v>-138406</v>
          </cell>
          <cell r="BF61">
            <v>28.3430616569153</v>
          </cell>
          <cell r="BG61">
            <v>-213159</v>
          </cell>
          <cell r="BH61">
            <v>22.006898096509801</v>
          </cell>
          <cell r="BI61">
            <v>-200899</v>
          </cell>
        </row>
        <row r="62">
          <cell r="B62">
            <v>45.580098571658802</v>
          </cell>
          <cell r="C62">
            <v>-2198480</v>
          </cell>
          <cell r="D62">
            <v>24.087605967392498</v>
          </cell>
          <cell r="E62">
            <v>1417822</v>
          </cell>
          <cell r="F62">
            <v>26.836624022537901</v>
          </cell>
          <cell r="G62">
            <v>1509199</v>
          </cell>
          <cell r="H62">
            <v>33.2159488809462</v>
          </cell>
          <cell r="I62">
            <v>-1145930</v>
          </cell>
          <cell r="J62">
            <v>77.907512248768697</v>
          </cell>
          <cell r="K62">
            <v>-3535604</v>
          </cell>
          <cell r="L62">
            <v>56.640629713730597</v>
          </cell>
          <cell r="M62">
            <v>-3991440</v>
          </cell>
          <cell r="N62">
            <v>13.847093816556001</v>
          </cell>
          <cell r="O62">
            <v>236546</v>
          </cell>
          <cell r="P62">
            <v>7.2842544174870199</v>
          </cell>
          <cell r="Q62">
            <v>-2026174</v>
          </cell>
          <cell r="R62">
            <v>30.6130960355223</v>
          </cell>
          <cell r="S62">
            <v>-333277</v>
          </cell>
          <cell r="T62">
            <v>19.096933188075301</v>
          </cell>
          <cell r="U62">
            <v>1336528</v>
          </cell>
          <cell r="V62">
            <v>46.983718356102699</v>
          </cell>
          <cell r="W62">
            <v>510849</v>
          </cell>
          <cell r="X62">
            <v>11.873803539383299</v>
          </cell>
          <cell r="Y62">
            <v>349964</v>
          </cell>
          <cell r="Z62">
            <v>36.425417647058801</v>
          </cell>
          <cell r="AA62">
            <v>1425002</v>
          </cell>
          <cell r="AB62">
            <v>9.7478171642379401</v>
          </cell>
          <cell r="AC62">
            <v>-1774062</v>
          </cell>
          <cell r="AD62">
            <v>13.4116640271333</v>
          </cell>
          <cell r="AE62">
            <v>415053</v>
          </cell>
          <cell r="AF62">
            <v>34.382470911200699</v>
          </cell>
          <cell r="AG62">
            <v>512451</v>
          </cell>
          <cell r="AH62">
            <v>46.529474431831296</v>
          </cell>
          <cell r="AI62">
            <v>1092073</v>
          </cell>
          <cell r="AJ62">
            <v>45.688448574576299</v>
          </cell>
          <cell r="AK62">
            <v>-104661</v>
          </cell>
          <cell r="AL62">
            <v>26.7035146906309</v>
          </cell>
          <cell r="AM62">
            <v>448740</v>
          </cell>
          <cell r="AN62">
            <v>40.124233709319</v>
          </cell>
          <cell r="AO62">
            <v>-1910280</v>
          </cell>
          <cell r="AP62">
            <v>47.315273545534303</v>
          </cell>
          <cell r="AQ62">
            <v>1020995</v>
          </cell>
          <cell r="AR62">
            <v>40.370865035391397</v>
          </cell>
          <cell r="AS62">
            <v>1485640</v>
          </cell>
          <cell r="AT62">
            <v>20.512771691057601</v>
          </cell>
          <cell r="AU62">
            <v>-201691</v>
          </cell>
          <cell r="AV62">
            <v>49.404637342202399</v>
          </cell>
          <cell r="AW62">
            <v>-1076632</v>
          </cell>
          <cell r="AX62">
            <v>36.034921649460401</v>
          </cell>
          <cell r="AY62">
            <v>321558</v>
          </cell>
          <cell r="AZ62">
            <v>8.4237070006654307</v>
          </cell>
          <cell r="BA62">
            <v>827864</v>
          </cell>
          <cell r="BB62">
            <v>9.7480215320190702</v>
          </cell>
          <cell r="BC62">
            <v>526356</v>
          </cell>
          <cell r="BD62">
            <v>11.022916149068299</v>
          </cell>
          <cell r="BE62">
            <v>-263927</v>
          </cell>
          <cell r="BF62">
            <v>28.355363377891599</v>
          </cell>
          <cell r="BG62">
            <v>17779</v>
          </cell>
          <cell r="BH62">
            <v>22.084186934853999</v>
          </cell>
          <cell r="BI62">
            <v>58993</v>
          </cell>
        </row>
        <row r="63">
          <cell r="B63">
            <v>45.549720295074998</v>
          </cell>
          <cell r="C63">
            <v>-2502295</v>
          </cell>
          <cell r="D63">
            <v>24.172261346448799</v>
          </cell>
          <cell r="E63">
            <v>936399</v>
          </cell>
          <cell r="F63">
            <v>26.7511474456157</v>
          </cell>
          <cell r="G63">
            <v>-1368829</v>
          </cell>
          <cell r="H63">
            <v>34.0084973912547</v>
          </cell>
          <cell r="I63">
            <v>-50494581</v>
          </cell>
          <cell r="J63">
            <v>78.021525866665201</v>
          </cell>
          <cell r="K63">
            <v>1636735</v>
          </cell>
          <cell r="L63">
            <v>56.523600565994499</v>
          </cell>
          <cell r="M63">
            <v>-2072301</v>
          </cell>
          <cell r="N63">
            <v>13.405446070193699</v>
          </cell>
          <cell r="O63">
            <v>-1033740</v>
          </cell>
          <cell r="P63">
            <v>7.1037002173400197</v>
          </cell>
          <cell r="Q63">
            <v>-971344</v>
          </cell>
          <cell r="R63">
            <v>30.455925427916299</v>
          </cell>
          <cell r="S63">
            <v>-2308313</v>
          </cell>
          <cell r="T63">
            <v>19.1402729924712</v>
          </cell>
          <cell r="U63">
            <v>161019</v>
          </cell>
          <cell r="V63">
            <v>46.849691240655702</v>
          </cell>
          <cell r="W63">
            <v>-5514473</v>
          </cell>
          <cell r="X63">
            <v>11.8388322084433</v>
          </cell>
          <cell r="Y63">
            <v>-325718</v>
          </cell>
          <cell r="Z63">
            <v>36.365231372548998</v>
          </cell>
          <cell r="AA63">
            <v>-404512</v>
          </cell>
          <cell r="AB63">
            <v>9.7351969139062504</v>
          </cell>
          <cell r="AC63">
            <v>-41447</v>
          </cell>
          <cell r="AD63">
            <v>13.4715210246185</v>
          </cell>
          <cell r="AE63">
            <v>106316</v>
          </cell>
          <cell r="AF63">
            <v>34.2503202933854</v>
          </cell>
          <cell r="AG63">
            <v>-398615</v>
          </cell>
          <cell r="AH63">
            <v>46.559069088491299</v>
          </cell>
          <cell r="AI63">
            <v>432169</v>
          </cell>
          <cell r="AJ63">
            <v>45.677402159283403</v>
          </cell>
          <cell r="AK63">
            <v>-146565</v>
          </cell>
          <cell r="AL63">
            <v>26.702240081808799</v>
          </cell>
          <cell r="AM63">
            <v>119</v>
          </cell>
          <cell r="AN63">
            <v>40.212823446358897</v>
          </cell>
          <cell r="AO63">
            <v>849082</v>
          </cell>
          <cell r="AP63">
            <v>47.269220326317701</v>
          </cell>
          <cell r="AQ63">
            <v>-329037</v>
          </cell>
          <cell r="AR63">
            <v>40.444717796452899</v>
          </cell>
          <cell r="AS63">
            <v>818373</v>
          </cell>
          <cell r="AT63">
            <v>20.474962722994899</v>
          </cell>
          <cell r="AU63">
            <v>-335322</v>
          </cell>
          <cell r="AV63">
            <v>49.433325867392099</v>
          </cell>
          <cell r="AW63">
            <v>280825</v>
          </cell>
          <cell r="AX63">
            <v>36.072842255929899</v>
          </cell>
          <cell r="AY63">
            <v>39625</v>
          </cell>
          <cell r="AZ63">
            <v>8.3108869431722798</v>
          </cell>
          <cell r="BA63">
            <v>-1451395</v>
          </cell>
          <cell r="BB63">
            <v>9.6433208071314898</v>
          </cell>
          <cell r="BC63">
            <v>-548846</v>
          </cell>
          <cell r="BD63">
            <v>10.898074534161401</v>
          </cell>
          <cell r="BE63">
            <v>-333706</v>
          </cell>
          <cell r="BF63">
            <v>28.239692709908098</v>
          </cell>
          <cell r="BG63">
            <v>-165887</v>
          </cell>
          <cell r="BH63">
            <v>22.063057986726701</v>
          </cell>
          <cell r="BI63">
            <v>-37392</v>
          </cell>
        </row>
        <row r="64">
          <cell r="B64">
            <v>45.509791398449998</v>
          </cell>
          <cell r="C64">
            <v>-3149778</v>
          </cell>
          <cell r="D64">
            <v>24.169994724802802</v>
          </cell>
          <cell r="E64">
            <v>-14477</v>
          </cell>
          <cell r="F64">
            <v>26.8559122504264</v>
          </cell>
          <cell r="G64">
            <v>1708916</v>
          </cell>
          <cell r="H64">
            <v>34.0999095344335</v>
          </cell>
          <cell r="I64">
            <v>-2942170</v>
          </cell>
          <cell r="J64">
            <v>78.085415683178098</v>
          </cell>
          <cell r="K64">
            <v>1245190</v>
          </cell>
          <cell r="L64">
            <v>56.460953352785801</v>
          </cell>
          <cell r="M64">
            <v>-1284331</v>
          </cell>
          <cell r="N64">
            <v>12.767953815928999</v>
          </cell>
          <cell r="O64">
            <v>-1829665</v>
          </cell>
          <cell r="P64">
            <v>6.8901059239782203</v>
          </cell>
          <cell r="Q64">
            <v>-787422</v>
          </cell>
          <cell r="R64">
            <v>30.379957761954</v>
          </cell>
          <cell r="S64">
            <v>-1062319</v>
          </cell>
          <cell r="T64">
            <v>19.090288897614101</v>
          </cell>
          <cell r="U64">
            <v>-181464</v>
          </cell>
          <cell r="V64">
            <v>46.789327769496303</v>
          </cell>
          <cell r="W64">
            <v>-2186371</v>
          </cell>
          <cell r="X64">
            <v>11.6146177908685</v>
          </cell>
          <cell r="Y64">
            <v>-2208219</v>
          </cell>
          <cell r="Z64">
            <v>36.378482352941099</v>
          </cell>
          <cell r="AA64">
            <v>99187</v>
          </cell>
          <cell r="AB64">
            <v>9.6585458790005703</v>
          </cell>
          <cell r="AC64">
            <v>-324286</v>
          </cell>
          <cell r="AD64">
            <v>13.542112018318401</v>
          </cell>
          <cell r="AE64">
            <v>137679</v>
          </cell>
          <cell r="AF64">
            <v>34.315473013647797</v>
          </cell>
          <cell r="AG64">
            <v>124360</v>
          </cell>
          <cell r="AH64">
            <v>46.679700352654102</v>
          </cell>
          <cell r="AI64">
            <v>1761637</v>
          </cell>
          <cell r="AJ64">
            <v>45.719084208567899</v>
          </cell>
          <cell r="AK64">
            <v>361396</v>
          </cell>
          <cell r="AL64">
            <v>26.464499619012901</v>
          </cell>
          <cell r="AM64">
            <v>-1298299</v>
          </cell>
          <cell r="AN64">
            <v>40.241697979585098</v>
          </cell>
          <cell r="AO64">
            <v>214710</v>
          </cell>
          <cell r="AP64">
            <v>47.235326158903497</v>
          </cell>
          <cell r="AQ64">
            <v>-235277</v>
          </cell>
          <cell r="AR64">
            <v>40.352636462447897</v>
          </cell>
          <cell r="AS64">
            <v>-1052784</v>
          </cell>
          <cell r="AT64">
            <v>20.580095136329501</v>
          </cell>
          <cell r="AU64">
            <v>888802</v>
          </cell>
          <cell r="AV64">
            <v>49.426617178978098</v>
          </cell>
          <cell r="AW64">
            <v>-65230</v>
          </cell>
          <cell r="AX64">
            <v>36.0335974869719</v>
          </cell>
          <cell r="AY64">
            <v>-40002</v>
          </cell>
          <cell r="AZ64">
            <v>8.2543685538590204</v>
          </cell>
          <cell r="BA64">
            <v>-712478</v>
          </cell>
          <cell r="BB64">
            <v>9.5977028282028893</v>
          </cell>
          <cell r="BC64">
            <v>-259446</v>
          </cell>
          <cell r="BD64">
            <v>10.8295714285714</v>
          </cell>
          <cell r="BE64">
            <v>-183486</v>
          </cell>
          <cell r="BF64">
            <v>28.047211015903699</v>
          </cell>
          <cell r="BG64">
            <v>-288138</v>
          </cell>
          <cell r="BH64">
            <v>21.837637414962199</v>
          </cell>
          <cell r="BI64">
            <v>-347184</v>
          </cell>
        </row>
        <row r="65">
          <cell r="B65">
            <v>45.394850623122601</v>
          </cell>
          <cell r="C65">
            <v>-9553869</v>
          </cell>
          <cell r="D65">
            <v>23.992732283451598</v>
          </cell>
          <cell r="E65">
            <v>-1853200</v>
          </cell>
          <cell r="F65">
            <v>26.780346642500898</v>
          </cell>
          <cell r="G65">
            <v>-1201521</v>
          </cell>
          <cell r="H65">
            <v>29.416049938557698</v>
          </cell>
          <cell r="I65">
            <v>-9053534</v>
          </cell>
          <cell r="J65">
            <v>77.947551595325507</v>
          </cell>
          <cell r="K65">
            <v>-2464213</v>
          </cell>
          <cell r="L65">
            <v>56.299265905090401</v>
          </cell>
          <cell r="M65">
            <v>-2974024</v>
          </cell>
          <cell r="N65">
            <v>12.2792589799097</v>
          </cell>
          <cell r="O65">
            <v>-266333</v>
          </cell>
          <cell r="P65">
            <v>6.7608143542380503</v>
          </cell>
          <cell r="Q65">
            <v>-525594</v>
          </cell>
          <cell r="R65">
            <v>30.320134356339501</v>
          </cell>
          <cell r="S65">
            <v>-332276</v>
          </cell>
          <cell r="T65">
            <v>19.131359603811202</v>
          </cell>
          <cell r="U65">
            <v>158022</v>
          </cell>
          <cell r="V65">
            <v>46.731110264525597</v>
          </cell>
          <cell r="W65">
            <v>-1919180</v>
          </cell>
          <cell r="X65">
            <v>11.264908990756901</v>
          </cell>
          <cell r="Y65">
            <v>-2928516</v>
          </cell>
          <cell r="Z65">
            <v>35.762992156862701</v>
          </cell>
          <cell r="AA65">
            <v>-3663682</v>
          </cell>
          <cell r="AB65">
            <v>9.2247680200550093</v>
          </cell>
          <cell r="AC65">
            <v>-1594050</v>
          </cell>
          <cell r="AD65">
            <v>13.4952798618342</v>
          </cell>
          <cell r="AE65">
            <v>-110918</v>
          </cell>
          <cell r="AF65">
            <v>34.320735976784398</v>
          </cell>
          <cell r="AG65">
            <v>147169</v>
          </cell>
          <cell r="AH65">
            <v>46.781692242149099</v>
          </cell>
          <cell r="AI65">
            <v>1539119</v>
          </cell>
          <cell r="AJ65">
            <v>45.712838623500303</v>
          </cell>
          <cell r="AK65">
            <v>-82690</v>
          </cell>
          <cell r="AL65">
            <v>26.418334589999201</v>
          </cell>
          <cell r="AM65">
            <v>-245331</v>
          </cell>
          <cell r="AN65">
            <v>40.212121563439503</v>
          </cell>
          <cell r="AO65">
            <v>-259343</v>
          </cell>
          <cell r="AP65">
            <v>47.273626861199098</v>
          </cell>
          <cell r="AQ65">
            <v>241701</v>
          </cell>
          <cell r="AR65">
            <v>40.365128177937997</v>
          </cell>
          <cell r="AS65">
            <v>-141385</v>
          </cell>
          <cell r="AT65">
            <v>20.611734022362501</v>
          </cell>
          <cell r="AU65">
            <v>185404</v>
          </cell>
          <cell r="AV65">
            <v>49.237758195420398</v>
          </cell>
          <cell r="AW65">
            <v>-1773172</v>
          </cell>
          <cell r="AX65">
            <v>35.937150447237798</v>
          </cell>
          <cell r="AY65">
            <v>-94761</v>
          </cell>
          <cell r="AZ65">
            <v>8.1733711783805791</v>
          </cell>
          <cell r="BA65">
            <v>-1022527</v>
          </cell>
          <cell r="BB65">
            <v>9.66323072675773</v>
          </cell>
          <cell r="BC65">
            <v>310650</v>
          </cell>
          <cell r="BD65">
            <v>10.860770186335399</v>
          </cell>
          <cell r="BE65">
            <v>78518</v>
          </cell>
          <cell r="BF65">
            <v>27.888829232568</v>
          </cell>
          <cell r="BG65">
            <v>-230177</v>
          </cell>
          <cell r="BH65">
            <v>21.985040204878899</v>
          </cell>
          <cell r="BI65">
            <v>46034</v>
          </cell>
        </row>
        <row r="66">
          <cell r="B66">
            <v>45.278989273386799</v>
          </cell>
          <cell r="C66">
            <v>-10787936</v>
          </cell>
          <cell r="D66">
            <v>24.0828419249703</v>
          </cell>
          <cell r="E66">
            <v>993321</v>
          </cell>
          <cell r="F66">
            <v>26.852584858282</v>
          </cell>
          <cell r="G66">
            <v>1122968</v>
          </cell>
          <cell r="H66">
            <v>29.3584130042365</v>
          </cell>
          <cell r="I66">
            <v>-1208080</v>
          </cell>
          <cell r="J66">
            <v>77.6108561983378</v>
          </cell>
          <cell r="K66">
            <v>-5732699</v>
          </cell>
          <cell r="L66">
            <v>56.290687148040803</v>
          </cell>
          <cell r="M66">
            <v>-238713</v>
          </cell>
          <cell r="N66">
            <v>12.0995481944272</v>
          </cell>
          <cell r="O66">
            <v>387955</v>
          </cell>
          <cell r="P66">
            <v>6.7404295663108797</v>
          </cell>
          <cell r="Q66">
            <v>-23305</v>
          </cell>
          <cell r="R66">
            <v>30.296706827399799</v>
          </cell>
          <cell r="S66">
            <v>-415290</v>
          </cell>
          <cell r="T66">
            <v>19.3305184016764</v>
          </cell>
          <cell r="U66">
            <v>771034</v>
          </cell>
          <cell r="V66">
            <v>46.705678672703201</v>
          </cell>
          <cell r="W66">
            <v>-1132043</v>
          </cell>
          <cell r="X66">
            <v>11.164548476801301</v>
          </cell>
          <cell r="Y66">
            <v>-1342173</v>
          </cell>
          <cell r="Z66">
            <v>35.168996078431299</v>
          </cell>
          <cell r="AA66">
            <v>-3571419</v>
          </cell>
          <cell r="AB66">
            <v>9.1047123831332897</v>
          </cell>
          <cell r="AC66">
            <v>-404164</v>
          </cell>
          <cell r="AD66">
            <v>13.493240662876699</v>
          </cell>
          <cell r="AE66">
            <v>63876</v>
          </cell>
          <cell r="AF66">
            <v>34.498006140860497</v>
          </cell>
          <cell r="AG66">
            <v>409356</v>
          </cell>
          <cell r="AH66">
            <v>46.821270430661798</v>
          </cell>
          <cell r="AI66">
            <v>539975</v>
          </cell>
          <cell r="AJ66">
            <v>45.811620465519098</v>
          </cell>
          <cell r="AK66">
            <v>1289344</v>
          </cell>
          <cell r="AL66">
            <v>26.357844499584399</v>
          </cell>
          <cell r="AM66">
            <v>-340957</v>
          </cell>
          <cell r="AN66">
            <v>40.125992201810298</v>
          </cell>
          <cell r="AO66">
            <v>-826707</v>
          </cell>
          <cell r="AP66">
            <v>47.264799579672797</v>
          </cell>
          <cell r="AQ66">
            <v>-72666</v>
          </cell>
          <cell r="AR66">
            <v>40.4228785026908</v>
          </cell>
          <cell r="AS66">
            <v>586234</v>
          </cell>
          <cell r="AT66">
            <v>20.6225729834281</v>
          </cell>
          <cell r="AU66">
            <v>79094</v>
          </cell>
          <cell r="AV66">
            <v>49.114544041484002</v>
          </cell>
          <cell r="AW66">
            <v>-1135264</v>
          </cell>
          <cell r="AX66">
            <v>35.795201777196397</v>
          </cell>
          <cell r="AY66">
            <v>-136769</v>
          </cell>
          <cell r="AZ66">
            <v>8.0083490145871394</v>
          </cell>
          <cell r="BA66">
            <v>-2233388</v>
          </cell>
          <cell r="BB66">
            <v>9.5298437801577496</v>
          </cell>
          <cell r="BC66">
            <v>-672721</v>
          </cell>
          <cell r="BD66">
            <v>10.870745341614899</v>
          </cell>
          <cell r="BE66">
            <v>19489</v>
          </cell>
          <cell r="BF66">
            <v>27.9226877075915</v>
          </cell>
          <cell r="BG66">
            <v>42827</v>
          </cell>
          <cell r="BH66">
            <v>21.916540342493001</v>
          </cell>
          <cell r="BI66">
            <v>-127083</v>
          </cell>
        </row>
        <row r="67">
          <cell r="B67">
            <v>45.413295376882701</v>
          </cell>
          <cell r="C67">
            <v>11586126</v>
          </cell>
          <cell r="D67">
            <v>24.235561273916002</v>
          </cell>
          <cell r="E67">
            <v>1721486</v>
          </cell>
          <cell r="F67">
            <v>27.186526994455601</v>
          </cell>
          <cell r="G67">
            <v>5766236</v>
          </cell>
          <cell r="H67">
            <v>29.3768367346653</v>
          </cell>
          <cell r="I67">
            <v>650488</v>
          </cell>
          <cell r="J67">
            <v>77.849442056325501</v>
          </cell>
          <cell r="K67">
            <v>4039222</v>
          </cell>
          <cell r="L67">
            <v>56.390589826636997</v>
          </cell>
          <cell r="M67">
            <v>1904151</v>
          </cell>
          <cell r="N67">
            <v>12.2106663460769</v>
          </cell>
          <cell r="O67">
            <v>482244</v>
          </cell>
          <cell r="P67">
            <v>6.7046509562322099</v>
          </cell>
          <cell r="Q67">
            <v>910320</v>
          </cell>
          <cell r="R67">
            <v>30.5114118003541</v>
          </cell>
          <cell r="S67">
            <v>3381914</v>
          </cell>
          <cell r="T67">
            <v>19.6585771832715</v>
          </cell>
          <cell r="U67">
            <v>1448442</v>
          </cell>
          <cell r="V67">
            <v>46.7549659303494</v>
          </cell>
          <cell r="W67">
            <v>1975882</v>
          </cell>
          <cell r="X67">
            <v>11.188253802993501</v>
          </cell>
          <cell r="Y67">
            <v>214953</v>
          </cell>
          <cell r="Z67">
            <v>35.0829470588235</v>
          </cell>
          <cell r="AA67">
            <v>-482167</v>
          </cell>
          <cell r="AB67">
            <v>9.0108990304804895</v>
          </cell>
          <cell r="AC67">
            <v>-590574</v>
          </cell>
          <cell r="AD67">
            <v>13.593907671839601</v>
          </cell>
          <cell r="AE67">
            <v>229401</v>
          </cell>
          <cell r="AF67">
            <v>34.517726551659003</v>
          </cell>
          <cell r="AG67">
            <v>600722</v>
          </cell>
          <cell r="AH67">
            <v>47.052362220517303</v>
          </cell>
          <cell r="AI67">
            <v>3425429</v>
          </cell>
          <cell r="AJ67">
            <v>45.864117464091798</v>
          </cell>
          <cell r="AK67">
            <v>723193</v>
          </cell>
          <cell r="AL67">
            <v>26.423758655278299</v>
          </cell>
          <cell r="AM67">
            <v>393539</v>
          </cell>
          <cell r="AN67">
            <v>40.265576058131202</v>
          </cell>
          <cell r="AO67">
            <v>1374040</v>
          </cell>
          <cell r="AP67">
            <v>47.268017655842101</v>
          </cell>
          <cell r="AQ67">
            <v>26010</v>
          </cell>
          <cell r="AR67">
            <v>40.66628668381</v>
          </cell>
          <cell r="AS67">
            <v>2583665</v>
          </cell>
          <cell r="AT67">
            <v>20.6600307526253</v>
          </cell>
          <cell r="AU67">
            <v>320747</v>
          </cell>
          <cell r="AV67">
            <v>49.108874050310398</v>
          </cell>
          <cell r="AW67">
            <v>-42287</v>
          </cell>
          <cell r="AX67">
            <v>35.440527564920103</v>
          </cell>
          <cell r="AY67">
            <v>-341946</v>
          </cell>
          <cell r="AZ67">
            <v>7.9612670644024499</v>
          </cell>
          <cell r="BA67">
            <v>-594985</v>
          </cell>
          <cell r="BB67">
            <v>9.5606137640675897</v>
          </cell>
          <cell r="BC67">
            <v>188142</v>
          </cell>
          <cell r="BD67">
            <v>10.8902826086956</v>
          </cell>
          <cell r="BE67">
            <v>52851</v>
          </cell>
          <cell r="BF67">
            <v>27.7341034747188</v>
          </cell>
          <cell r="BG67">
            <v>-271227</v>
          </cell>
          <cell r="BH67">
            <v>21.930588125156198</v>
          </cell>
          <cell r="BI67">
            <v>25312</v>
          </cell>
        </row>
        <row r="68">
          <cell r="B68">
            <v>45.512967923270402</v>
          </cell>
          <cell r="C68">
            <v>9475148</v>
          </cell>
          <cell r="D68">
            <v>24.088516099811301</v>
          </cell>
          <cell r="E68">
            <v>-1371030</v>
          </cell>
          <cell r="F68">
            <v>27.2793808000444</v>
          </cell>
          <cell r="G68">
            <v>1715791</v>
          </cell>
          <cell r="H68">
            <v>29.080253884891</v>
          </cell>
          <cell r="I68">
            <v>-2455768</v>
          </cell>
          <cell r="J68">
            <v>77.939091795460897</v>
          </cell>
          <cell r="K68">
            <v>1587698</v>
          </cell>
          <cell r="L68">
            <v>56.397416436478998</v>
          </cell>
          <cell r="M68">
            <v>201407</v>
          </cell>
          <cell r="N68">
            <v>12.155545662227301</v>
          </cell>
          <cell r="O68">
            <v>-96856</v>
          </cell>
          <cell r="P68">
            <v>6.7340505508164599</v>
          </cell>
          <cell r="Q68">
            <v>45528</v>
          </cell>
          <cell r="R68">
            <v>30.275115351620201</v>
          </cell>
          <cell r="S68">
            <v>-1012235</v>
          </cell>
          <cell r="T68">
            <v>19.779885666998801</v>
          </cell>
          <cell r="U68">
            <v>562862</v>
          </cell>
          <cell r="V68">
            <v>46.700547164029899</v>
          </cell>
          <cell r="W68">
            <v>-1977445</v>
          </cell>
          <cell r="X68">
            <v>11.104773357150499</v>
          </cell>
          <cell r="Y68">
            <v>-741339</v>
          </cell>
          <cell r="Z68">
            <v>34.725215686274503</v>
          </cell>
          <cell r="AA68">
            <v>-2091086</v>
          </cell>
          <cell r="AB68">
            <v>8.8993884270873291</v>
          </cell>
          <cell r="AC68">
            <v>-403738</v>
          </cell>
          <cell r="AD68">
            <v>13.6464756177319</v>
          </cell>
          <cell r="AE68">
            <v>98416</v>
          </cell>
          <cell r="AF68">
            <v>34.505906865951097</v>
          </cell>
          <cell r="AG68">
            <v>-18735</v>
          </cell>
          <cell r="AH68">
            <v>47.047807680572603</v>
          </cell>
          <cell r="AI68">
            <v>-88640</v>
          </cell>
          <cell r="AJ68">
            <v>45.8901782833289</v>
          </cell>
          <cell r="AK68">
            <v>395296</v>
          </cell>
          <cell r="AL68">
            <v>26.598633922377999</v>
          </cell>
          <cell r="AM68">
            <v>1047004</v>
          </cell>
          <cell r="AN68">
            <v>40.335072200500498</v>
          </cell>
          <cell r="AO68">
            <v>685499</v>
          </cell>
          <cell r="AP68">
            <v>47.244389710995897</v>
          </cell>
          <cell r="AQ68">
            <v>-149867</v>
          </cell>
          <cell r="AR68">
            <v>40.711433949259003</v>
          </cell>
          <cell r="AS68">
            <v>519834</v>
          </cell>
          <cell r="AT68">
            <v>20.6992514024024</v>
          </cell>
          <cell r="AU68">
            <v>348969</v>
          </cell>
          <cell r="AV68">
            <v>48.915998213440702</v>
          </cell>
          <cell r="AW68">
            <v>-1828456</v>
          </cell>
          <cell r="AX68">
            <v>35.384649456632602</v>
          </cell>
          <cell r="AY68">
            <v>-53240</v>
          </cell>
          <cell r="AZ68">
            <v>7.7473843095808803</v>
          </cell>
          <cell r="BA68">
            <v>-2668512</v>
          </cell>
          <cell r="BB68">
            <v>9.4066657221546599</v>
          </cell>
          <cell r="BC68">
            <v>-851163</v>
          </cell>
          <cell r="BD68">
            <v>10.873850931677</v>
          </cell>
          <cell r="BE68">
            <v>-36297</v>
          </cell>
          <cell r="BF68">
            <v>27.773894368455998</v>
          </cell>
          <cell r="BG68">
            <v>62439</v>
          </cell>
          <cell r="BH68">
            <v>21.925246010622299</v>
          </cell>
          <cell r="BI68">
            <v>-1752</v>
          </cell>
        </row>
        <row r="69">
          <cell r="B69">
            <v>45.638685393404003</v>
          </cell>
          <cell r="C69">
            <v>11071990</v>
          </cell>
          <cell r="D69">
            <v>24.054684431092799</v>
          </cell>
          <cell r="E69">
            <v>-249838</v>
          </cell>
          <cell r="F69">
            <v>27.311293484186301</v>
          </cell>
          <cell r="G69">
            <v>396997</v>
          </cell>
          <cell r="H69">
            <v>29.043052890077199</v>
          </cell>
          <cell r="I69">
            <v>-600219</v>
          </cell>
          <cell r="J69">
            <v>77.812148718531006</v>
          </cell>
          <cell r="K69">
            <v>-2127895</v>
          </cell>
          <cell r="L69">
            <v>56.450009878480699</v>
          </cell>
          <cell r="M69">
            <v>1021938</v>
          </cell>
          <cell r="N69">
            <v>12.0406450706001</v>
          </cell>
          <cell r="O69">
            <v>-132676</v>
          </cell>
          <cell r="P69">
            <v>6.78389005443585</v>
          </cell>
          <cell r="Q69">
            <v>5999</v>
          </cell>
          <cell r="R69">
            <v>30.299721738571002</v>
          </cell>
          <cell r="S69">
            <v>385508</v>
          </cell>
          <cell r="T69">
            <v>19.8395607320792</v>
          </cell>
          <cell r="U69">
            <v>265686</v>
          </cell>
          <cell r="V69">
            <v>46.700259276529501</v>
          </cell>
          <cell r="W69">
            <v>7352</v>
          </cell>
          <cell r="X69">
            <v>11.149692177072801</v>
          </cell>
          <cell r="Y69">
            <v>433894</v>
          </cell>
          <cell r="Z69">
            <v>34.784092156862698</v>
          </cell>
          <cell r="AA69">
            <v>372052</v>
          </cell>
          <cell r="AB69">
            <v>8.8939168267563602</v>
          </cell>
          <cell r="AC69">
            <v>-24903</v>
          </cell>
          <cell r="AD69">
            <v>13.7986432471752</v>
          </cell>
          <cell r="AE69">
            <v>292103</v>
          </cell>
          <cell r="AF69">
            <v>34.579751639890297</v>
          </cell>
          <cell r="AG69">
            <v>210900</v>
          </cell>
          <cell r="AH69">
            <v>47.180250204353797</v>
          </cell>
          <cell r="AI69">
            <v>991877</v>
          </cell>
          <cell r="AJ69">
            <v>45.909992064022603</v>
          </cell>
          <cell r="AK69">
            <v>274683</v>
          </cell>
          <cell r="AL69">
            <v>26.528416134394501</v>
          </cell>
          <cell r="AM69">
            <v>-398881</v>
          </cell>
          <cell r="AN69">
            <v>40.2958900461581</v>
          </cell>
          <cell r="AO69">
            <v>-387957</v>
          </cell>
          <cell r="AP69">
            <v>47.244740563904202</v>
          </cell>
          <cell r="AQ69">
            <v>-214</v>
          </cell>
          <cell r="AR69">
            <v>40.9847671058561</v>
          </cell>
          <cell r="AS69">
            <v>3007293</v>
          </cell>
          <cell r="AT69">
            <v>20.6949509378627</v>
          </cell>
          <cell r="AU69">
            <v>-35129</v>
          </cell>
          <cell r="AV69">
            <v>48.8925637825416</v>
          </cell>
          <cell r="AW69">
            <v>-225629</v>
          </cell>
          <cell r="AX69">
            <v>35.317883790106102</v>
          </cell>
          <cell r="AY69">
            <v>-65054</v>
          </cell>
          <cell r="AZ69">
            <v>7.7577515993924102</v>
          </cell>
          <cell r="BA69">
            <v>-110227</v>
          </cell>
          <cell r="BB69">
            <v>9.2961769671678507</v>
          </cell>
          <cell r="BC69">
            <v>-593099</v>
          </cell>
          <cell r="BD69">
            <v>10.8816894409937</v>
          </cell>
          <cell r="BE69">
            <v>20718</v>
          </cell>
          <cell r="BF69">
            <v>27.8245038784911</v>
          </cell>
          <cell r="BG69">
            <v>72372</v>
          </cell>
          <cell r="BH69">
            <v>21.918071123850702</v>
          </cell>
          <cell r="BI69">
            <v>-12515</v>
          </cell>
        </row>
        <row r="70">
          <cell r="B70">
            <v>45.650114501194203</v>
          </cell>
          <cell r="C70">
            <v>922266</v>
          </cell>
          <cell r="D70">
            <v>24.0349685242678</v>
          </cell>
          <cell r="E70">
            <v>-523514</v>
          </cell>
          <cell r="F70">
            <v>27.241085717341001</v>
          </cell>
          <cell r="G70">
            <v>-1165551</v>
          </cell>
          <cell r="H70">
            <v>29.021993445228901</v>
          </cell>
          <cell r="I70">
            <v>-339619</v>
          </cell>
          <cell r="J70">
            <v>77.814397966370706</v>
          </cell>
          <cell r="K70">
            <v>46713</v>
          </cell>
          <cell r="L70">
            <v>56.465367037346198</v>
          </cell>
          <cell r="M70">
            <v>403672</v>
          </cell>
          <cell r="N70">
            <v>12.1035206541346</v>
          </cell>
          <cell r="O70">
            <v>967202</v>
          </cell>
          <cell r="P70">
            <v>6.5481393148824703</v>
          </cell>
          <cell r="Q70">
            <v>347860</v>
          </cell>
          <cell r="R70">
            <v>30.307196480628502</v>
          </cell>
          <cell r="S70">
            <v>105042</v>
          </cell>
          <cell r="T70">
            <v>19.684222399213201</v>
          </cell>
          <cell r="U70">
            <v>-541430</v>
          </cell>
          <cell r="V70">
            <v>46.689907943097097</v>
          </cell>
          <cell r="W70">
            <v>-427336</v>
          </cell>
          <cell r="X70">
            <v>11.136579168024401</v>
          </cell>
          <cell r="Y70">
            <v>-141452</v>
          </cell>
          <cell r="Z70">
            <v>34.948262745097999</v>
          </cell>
          <cell r="AA70">
            <v>962476</v>
          </cell>
          <cell r="AB70">
            <v>8.84916725035729</v>
          </cell>
          <cell r="AC70">
            <v>-183425</v>
          </cell>
          <cell r="AD70">
            <v>13.7927599412467</v>
          </cell>
          <cell r="AE70">
            <v>-11175</v>
          </cell>
          <cell r="AF70">
            <v>34.927019281512301</v>
          </cell>
          <cell r="AG70">
            <v>1051911</v>
          </cell>
          <cell r="AH70">
            <v>47.7227959195016</v>
          </cell>
          <cell r="AI70">
            <v>757660</v>
          </cell>
          <cell r="AJ70">
            <v>46.0028564431124</v>
          </cell>
          <cell r="AK70">
            <v>1212535</v>
          </cell>
          <cell r="AL70">
            <v>26.509330229614299</v>
          </cell>
          <cell r="AM70">
            <v>-113239</v>
          </cell>
          <cell r="AN70">
            <v>40.238588713956197</v>
          </cell>
          <cell r="AO70">
            <v>-556913</v>
          </cell>
          <cell r="AP70">
            <v>47.261295491765701</v>
          </cell>
          <cell r="AQ70">
            <v>116700</v>
          </cell>
          <cell r="AR70">
            <v>41.036976750351201</v>
          </cell>
          <cell r="AS70">
            <v>577628</v>
          </cell>
          <cell r="AT70">
            <v>20.701919825155301</v>
          </cell>
          <cell r="AU70">
            <v>65439</v>
          </cell>
          <cell r="AV70">
            <v>48.861593049330601</v>
          </cell>
          <cell r="AW70">
            <v>-295725</v>
          </cell>
          <cell r="AX70">
            <v>35.1064746667195</v>
          </cell>
          <cell r="AY70">
            <v>-207160</v>
          </cell>
          <cell r="AZ70">
            <v>7.7786914435250498</v>
          </cell>
          <cell r="BA70">
            <v>262648</v>
          </cell>
          <cell r="BB70">
            <v>9.3547161746997602</v>
          </cell>
          <cell r="BC70">
            <v>308597</v>
          </cell>
          <cell r="BD70">
            <v>10.8680372670807</v>
          </cell>
          <cell r="BE70">
            <v>-79714</v>
          </cell>
          <cell r="BF70">
            <v>28.1039483925559</v>
          </cell>
          <cell r="BG70">
            <v>396767</v>
          </cell>
          <cell r="BH70">
            <v>21.9210181383012</v>
          </cell>
          <cell r="BI70">
            <v>4769</v>
          </cell>
        </row>
        <row r="71">
          <cell r="B71">
            <v>45.733510667464799</v>
          </cell>
          <cell r="C71">
            <v>7436441</v>
          </cell>
          <cell r="D71">
            <v>24.047094188001399</v>
          </cell>
          <cell r="E71">
            <v>869567</v>
          </cell>
          <cell r="F71">
            <v>27.488000613683599</v>
          </cell>
          <cell r="G71">
            <v>4088201</v>
          </cell>
          <cell r="H71">
            <v>29.056757151796301</v>
          </cell>
          <cell r="I71">
            <v>700215</v>
          </cell>
          <cell r="J71">
            <v>78.136674810691801</v>
          </cell>
          <cell r="K71">
            <v>6126938</v>
          </cell>
          <cell r="L71">
            <v>56.502670205963597</v>
          </cell>
          <cell r="M71">
            <v>766493</v>
          </cell>
          <cell r="N71">
            <v>12.1040039326602</v>
          </cell>
          <cell r="O71">
            <v>21521</v>
          </cell>
          <cell r="P71">
            <v>6.76487771156002</v>
          </cell>
          <cell r="Q71">
            <v>1365465</v>
          </cell>
          <cell r="R71">
            <v>30.018162054117798</v>
          </cell>
          <cell r="S71">
            <v>-4804776</v>
          </cell>
          <cell r="T71">
            <v>19.9065024408645</v>
          </cell>
          <cell r="U71">
            <v>869401</v>
          </cell>
          <cell r="V71">
            <v>46.722034353007501</v>
          </cell>
          <cell r="W71">
            <v>1311926</v>
          </cell>
          <cell r="X71">
            <v>11.3946926078901</v>
          </cell>
          <cell r="Y71">
            <v>1687016</v>
          </cell>
          <cell r="Z71">
            <v>35.244309803921503</v>
          </cell>
          <cell r="AA71">
            <v>2219099</v>
          </cell>
          <cell r="AB71">
            <v>8.9094173786335293</v>
          </cell>
          <cell r="AC71">
            <v>240108</v>
          </cell>
          <cell r="AD71">
            <v>13.796890403816001</v>
          </cell>
          <cell r="AE71">
            <v>15581</v>
          </cell>
          <cell r="AF71">
            <v>34.945320325164197</v>
          </cell>
          <cell r="AG71">
            <v>86222</v>
          </cell>
          <cell r="AH71">
            <v>47.800494055506299</v>
          </cell>
          <cell r="AI71">
            <v>1143940</v>
          </cell>
          <cell r="AJ71">
            <v>46.105155696316601</v>
          </cell>
          <cell r="AK71">
            <v>1574076</v>
          </cell>
          <cell r="AL71">
            <v>26.595753758334901</v>
          </cell>
          <cell r="AM71">
            <v>571006</v>
          </cell>
          <cell r="AN71">
            <v>40.600481277548901</v>
          </cell>
          <cell r="AO71">
            <v>3310080</v>
          </cell>
          <cell r="AP71">
            <v>47.161472954055</v>
          </cell>
          <cell r="AQ71">
            <v>-687340</v>
          </cell>
          <cell r="AR71">
            <v>41.183796824050198</v>
          </cell>
          <cell r="AS71">
            <v>1645379</v>
          </cell>
          <cell r="AT71">
            <v>20.7880668409944</v>
          </cell>
          <cell r="AU71">
            <v>764799</v>
          </cell>
          <cell r="AV71">
            <v>48.905460765782301</v>
          </cell>
          <cell r="AW71">
            <v>438346</v>
          </cell>
          <cell r="AX71">
            <v>34.745303540245203</v>
          </cell>
          <cell r="AY71">
            <v>-348200</v>
          </cell>
          <cell r="AZ71">
            <v>7.8017889518048396</v>
          </cell>
          <cell r="BA71">
            <v>313874</v>
          </cell>
          <cell r="BB71">
            <v>9.3093063341185101</v>
          </cell>
          <cell r="BC71">
            <v>-246457</v>
          </cell>
          <cell r="BD71">
            <v>10.977524844720399</v>
          </cell>
          <cell r="BE71">
            <v>298110</v>
          </cell>
          <cell r="BF71">
            <v>28.045693420418701</v>
          </cell>
          <cell r="BG71">
            <v>-78892</v>
          </cell>
          <cell r="BH71">
            <v>21.841355026830801</v>
          </cell>
          <cell r="BI71">
            <v>-99387</v>
          </cell>
        </row>
        <row r="72">
          <cell r="B72">
            <v>45.815413276435798</v>
          </cell>
          <cell r="C72">
            <v>6011246</v>
          </cell>
          <cell r="D72">
            <v>23.966795686864099</v>
          </cell>
          <cell r="E72">
            <v>-990539</v>
          </cell>
          <cell r="F72">
            <v>27.5206668522484</v>
          </cell>
          <cell r="G72">
            <v>555590</v>
          </cell>
          <cell r="H72">
            <v>28.562407127468099</v>
          </cell>
          <cell r="I72">
            <v>-5565528</v>
          </cell>
          <cell r="J72">
            <v>78.191198112310801</v>
          </cell>
          <cell r="K72">
            <v>1035190</v>
          </cell>
          <cell r="L72">
            <v>56.519855736245297</v>
          </cell>
          <cell r="M72">
            <v>2235830</v>
          </cell>
          <cell r="N72">
            <v>12.0375000196378</v>
          </cell>
          <cell r="O72">
            <v>91929</v>
          </cell>
          <cell r="P72">
            <v>6.8674179957083696</v>
          </cell>
          <cell r="Q72">
            <v>513517</v>
          </cell>
          <cell r="R72">
            <v>29.916444163281099</v>
          </cell>
          <cell r="S72">
            <v>-1698031</v>
          </cell>
          <cell r="T72">
            <v>19.989857456483701</v>
          </cell>
          <cell r="U72">
            <v>316771</v>
          </cell>
          <cell r="V72">
            <v>46.767515990229398</v>
          </cell>
          <cell r="W72">
            <v>1916536</v>
          </cell>
          <cell r="X72">
            <v>11.226322112824199</v>
          </cell>
          <cell r="Y72">
            <v>-1744259</v>
          </cell>
          <cell r="Z72">
            <v>35.262719607843103</v>
          </cell>
          <cell r="AA72">
            <v>117525</v>
          </cell>
          <cell r="AB72">
            <v>8.8734351455783997</v>
          </cell>
          <cell r="AC72">
            <v>-127126</v>
          </cell>
          <cell r="AD72">
            <v>13.8031641946513</v>
          </cell>
          <cell r="AE72">
            <v>23059</v>
          </cell>
          <cell r="AF72">
            <v>34.947199416537103</v>
          </cell>
          <cell r="AG72">
            <v>148887</v>
          </cell>
          <cell r="AH72">
            <v>47.962788645046601</v>
          </cell>
          <cell r="AI72">
            <v>2450806</v>
          </cell>
          <cell r="AJ72">
            <v>46.138560564878702</v>
          </cell>
          <cell r="AK72">
            <v>430085</v>
          </cell>
          <cell r="AL72">
            <v>26.544316181670599</v>
          </cell>
          <cell r="AM72">
            <v>-292080</v>
          </cell>
          <cell r="AN72">
            <v>40.6586121077464</v>
          </cell>
          <cell r="AO72">
            <v>525146</v>
          </cell>
          <cell r="AP72">
            <v>47.135068385939398</v>
          </cell>
          <cell r="AQ72">
            <v>-170516</v>
          </cell>
          <cell r="AR72">
            <v>41.254881896025999</v>
          </cell>
          <cell r="AS72">
            <v>812023</v>
          </cell>
          <cell r="AT72">
            <v>20.817199131202798</v>
          </cell>
          <cell r="AU72">
            <v>264384</v>
          </cell>
          <cell r="AV72">
            <v>48.7500929759426</v>
          </cell>
          <cell r="AW72">
            <v>-1589520</v>
          </cell>
          <cell r="AX72">
            <v>34.694536234544898</v>
          </cell>
          <cell r="AY72">
            <v>-49723</v>
          </cell>
          <cell r="AZ72">
            <v>7.9115758681495301</v>
          </cell>
          <cell r="BA72">
            <v>434256</v>
          </cell>
          <cell r="BB72">
            <v>9.4277412165260603</v>
          </cell>
          <cell r="BC72">
            <v>443275</v>
          </cell>
          <cell r="BD72">
            <v>11.0550807453416</v>
          </cell>
          <cell r="BE72">
            <v>223856</v>
          </cell>
          <cell r="BF72">
            <v>28.099407103036601</v>
          </cell>
          <cell r="BG72">
            <v>73934</v>
          </cell>
          <cell r="BH72">
            <v>21.824370643195699</v>
          </cell>
          <cell r="BI72">
            <v>-29398</v>
          </cell>
        </row>
        <row r="73">
          <cell r="B73">
            <v>45.712526866295299</v>
          </cell>
          <cell r="C73">
            <v>-9070946</v>
          </cell>
          <cell r="D73">
            <v>24.030215368596998</v>
          </cell>
          <cell r="E73">
            <v>795163</v>
          </cell>
          <cell r="F73">
            <v>27.309372957409501</v>
          </cell>
          <cell r="G73">
            <v>-3539271</v>
          </cell>
          <cell r="H73">
            <v>28.223935394673799</v>
          </cell>
          <cell r="I73">
            <v>-5087393</v>
          </cell>
          <cell r="J73">
            <v>78.168768063472697</v>
          </cell>
          <cell r="K73">
            <v>-414222</v>
          </cell>
          <cell r="L73">
            <v>56.550612961643402</v>
          </cell>
          <cell r="M73">
            <v>663097</v>
          </cell>
          <cell r="N73">
            <v>12.0310737618437</v>
          </cell>
          <cell r="O73">
            <v>-29998</v>
          </cell>
          <cell r="P73">
            <v>6.80963495338146</v>
          </cell>
          <cell r="Q73">
            <v>375610</v>
          </cell>
          <cell r="R73">
            <v>29.666063272074599</v>
          </cell>
          <cell r="S73">
            <v>-4239263</v>
          </cell>
          <cell r="T73">
            <v>20.149564069776002</v>
          </cell>
          <cell r="U73">
            <v>30387</v>
          </cell>
          <cell r="V73">
            <v>46.8754829785941</v>
          </cell>
          <cell r="W73">
            <v>4476960</v>
          </cell>
          <cell r="X73">
            <v>11.098141998448099</v>
          </cell>
          <cell r="Y73">
            <v>-1307826</v>
          </cell>
          <cell r="Z73">
            <v>35.290650980392101</v>
          </cell>
          <cell r="AA73">
            <v>192409</v>
          </cell>
          <cell r="AB73">
            <v>8.9186001634449497</v>
          </cell>
          <cell r="AC73">
            <v>150570</v>
          </cell>
          <cell r="AD73">
            <v>13.983507479478</v>
          </cell>
          <cell r="AE73">
            <v>380741</v>
          </cell>
          <cell r="AF73">
            <v>34.9700348985955</v>
          </cell>
          <cell r="AG73">
            <v>103188</v>
          </cell>
          <cell r="AH73">
            <v>47.967163368108601</v>
          </cell>
          <cell r="AI73">
            <v>79955</v>
          </cell>
          <cell r="AJ73">
            <v>46.242026232329302</v>
          </cell>
          <cell r="AK73">
            <v>1585123</v>
          </cell>
          <cell r="AL73">
            <v>26.541038616128301</v>
          </cell>
          <cell r="AM73">
            <v>21148</v>
          </cell>
          <cell r="AN73">
            <v>40.766187291087</v>
          </cell>
          <cell r="AO73">
            <v>982305</v>
          </cell>
          <cell r="AP73">
            <v>47.219071454543403</v>
          </cell>
          <cell r="AQ73">
            <v>569733</v>
          </cell>
          <cell r="AR73">
            <v>41.3104795737122</v>
          </cell>
          <cell r="AS73">
            <v>671533</v>
          </cell>
          <cell r="AT73">
            <v>20.841218379104301</v>
          </cell>
          <cell r="AU73">
            <v>157696</v>
          </cell>
          <cell r="AV73">
            <v>48.717235032252503</v>
          </cell>
          <cell r="AW73">
            <v>-329862</v>
          </cell>
          <cell r="AX73">
            <v>34.590864378426097</v>
          </cell>
          <cell r="AY73">
            <v>-98375</v>
          </cell>
          <cell r="AZ73">
            <v>7.8797302728872296</v>
          </cell>
          <cell r="BA73">
            <v>-433308</v>
          </cell>
          <cell r="BB73">
            <v>9.3239652205816892</v>
          </cell>
          <cell r="BC73">
            <v>-707406</v>
          </cell>
          <cell r="BD73">
            <v>11.0184099378881</v>
          </cell>
          <cell r="BE73">
            <v>-104059</v>
          </cell>
          <cell r="BF73">
            <v>27.978551317146401</v>
          </cell>
          <cell r="BG73">
            <v>-165546</v>
          </cell>
          <cell r="BH73">
            <v>21.934815997477401</v>
          </cell>
          <cell r="BI73">
            <v>196359</v>
          </cell>
        </row>
        <row r="74">
          <cell r="B74">
            <v>45.6106323139797</v>
          </cell>
          <cell r="C74">
            <v>-8923188</v>
          </cell>
          <cell r="D74">
            <v>24.205548677596301</v>
          </cell>
          <cell r="E74">
            <v>-549064</v>
          </cell>
          <cell r="F74">
            <v>27.467792911132399</v>
          </cell>
          <cell r="G74">
            <v>2947387</v>
          </cell>
          <cell r="H74">
            <v>28.214089543862901</v>
          </cell>
          <cell r="I74">
            <v>-105529</v>
          </cell>
          <cell r="J74">
            <v>78.314923094096002</v>
          </cell>
          <cell r="K74">
            <v>2664030</v>
          </cell>
          <cell r="L74">
            <v>56.565866132515602</v>
          </cell>
          <cell r="M74">
            <v>59099</v>
          </cell>
          <cell r="N74">
            <v>12.102745613031701</v>
          </cell>
          <cell r="O74">
            <v>399531</v>
          </cell>
          <cell r="P74">
            <v>7.07610640257555</v>
          </cell>
          <cell r="Q74">
            <v>1283101</v>
          </cell>
          <cell r="R74">
            <v>29.524347893224199</v>
          </cell>
          <cell r="S74">
            <v>-2558004</v>
          </cell>
          <cell r="T74">
            <v>20.069105401483199</v>
          </cell>
          <cell r="U74">
            <v>-278844</v>
          </cell>
          <cell r="V74">
            <v>46.883111423874901</v>
          </cell>
          <cell r="W74">
            <v>211911</v>
          </cell>
          <cell r="X74">
            <v>11.155097911339301</v>
          </cell>
          <cell r="Y74">
            <v>564081</v>
          </cell>
          <cell r="Z74">
            <v>35.4665411764705</v>
          </cell>
          <cell r="AA74">
            <v>1285036</v>
          </cell>
          <cell r="AB74">
            <v>8.7485873426989507</v>
          </cell>
          <cell r="AC74">
            <v>-675325</v>
          </cell>
          <cell r="AD74">
            <v>13.756132456992599</v>
          </cell>
          <cell r="AE74">
            <v>-19255</v>
          </cell>
          <cell r="AF74">
            <v>34.810048355703302</v>
          </cell>
          <cell r="AG74">
            <v>-229230</v>
          </cell>
          <cell r="AH74">
            <v>48.081101995695199</v>
          </cell>
          <cell r="AI74">
            <v>1666644</v>
          </cell>
          <cell r="AJ74">
            <v>46.378682017307902</v>
          </cell>
          <cell r="AK74">
            <v>1802696</v>
          </cell>
          <cell r="AL74">
            <v>26.522049735794401</v>
          </cell>
          <cell r="AM74">
            <v>-118454</v>
          </cell>
          <cell r="AN74">
            <v>40.951650930285702</v>
          </cell>
          <cell r="AO74">
            <v>1693667</v>
          </cell>
          <cell r="AP74">
            <v>47.336173720047697</v>
          </cell>
          <cell r="AQ74">
            <v>812711</v>
          </cell>
          <cell r="AR74">
            <v>41.396129476949099</v>
          </cell>
          <cell r="AS74">
            <v>1002916</v>
          </cell>
          <cell r="AT74">
            <v>20.8599145540046</v>
          </cell>
          <cell r="AU74">
            <v>167792</v>
          </cell>
          <cell r="AV74">
            <v>48.7706871864197</v>
          </cell>
          <cell r="AW74">
            <v>423254</v>
          </cell>
          <cell r="AX74">
            <v>34.304109635078603</v>
          </cell>
          <cell r="AY74">
            <v>-265958</v>
          </cell>
          <cell r="AZ74">
            <v>7.8447856608896602</v>
          </cell>
          <cell r="BA74">
            <v>-155281</v>
          </cell>
          <cell r="BB74">
            <v>9.3239711673916101</v>
          </cell>
          <cell r="BC74">
            <v>-9789</v>
          </cell>
          <cell r="BD74">
            <v>11.0356304347826</v>
          </cell>
          <cell r="BE74">
            <v>50431</v>
          </cell>
          <cell r="BF74">
            <v>27.936173612923401</v>
          </cell>
          <cell r="BG74">
            <v>-59974</v>
          </cell>
          <cell r="BH74">
            <v>21.947145556167701</v>
          </cell>
          <cell r="BI74">
            <v>19982</v>
          </cell>
        </row>
        <row r="75">
          <cell r="B75">
            <v>45.6416338112913</v>
          </cell>
          <cell r="C75">
            <v>2810346</v>
          </cell>
          <cell r="D75">
            <v>23.987071172712199</v>
          </cell>
          <cell r="E75">
            <v>-2777160</v>
          </cell>
          <cell r="F75">
            <v>27.162254246026801</v>
          </cell>
          <cell r="G75">
            <v>-5572167</v>
          </cell>
          <cell r="H75">
            <v>28.183749064113101</v>
          </cell>
          <cell r="I75">
            <v>-702812</v>
          </cell>
          <cell r="J75">
            <v>78.510879967946593</v>
          </cell>
          <cell r="K75">
            <v>3628482</v>
          </cell>
          <cell r="L75">
            <v>56.660760476764402</v>
          </cell>
          <cell r="M75">
            <v>1953711</v>
          </cell>
          <cell r="N75">
            <v>12.3232418143951</v>
          </cell>
          <cell r="O75">
            <v>885286</v>
          </cell>
          <cell r="P75">
            <v>7.0325693117150898</v>
          </cell>
          <cell r="Q75">
            <v>-244373</v>
          </cell>
          <cell r="R75">
            <v>29.427530085802601</v>
          </cell>
          <cell r="S75">
            <v>-1447455</v>
          </cell>
          <cell r="T75">
            <v>20.277742054624699</v>
          </cell>
          <cell r="U75">
            <v>826937</v>
          </cell>
          <cell r="V75">
            <v>46.948999811726097</v>
          </cell>
          <cell r="W75">
            <v>2729495</v>
          </cell>
          <cell r="X75">
            <v>11.243118308183</v>
          </cell>
          <cell r="Y75">
            <v>487008</v>
          </cell>
          <cell r="Z75">
            <v>35.787690196078401</v>
          </cell>
          <cell r="AA75">
            <v>2378534</v>
          </cell>
          <cell r="AB75">
            <v>8.7171499559319408</v>
          </cell>
          <cell r="AC75">
            <v>-130242</v>
          </cell>
          <cell r="AD75">
            <v>13.8843329906032</v>
          </cell>
          <cell r="AE75">
            <v>153284</v>
          </cell>
          <cell r="AF75">
            <v>35.042276918128302</v>
          </cell>
          <cell r="AG75">
            <v>796825</v>
          </cell>
          <cell r="AH75">
            <v>48.188795065667001</v>
          </cell>
          <cell r="AI75">
            <v>1577528</v>
          </cell>
          <cell r="AJ75">
            <v>46.405061147722499</v>
          </cell>
          <cell r="AK75">
            <v>551130</v>
          </cell>
          <cell r="AL75">
            <v>26.517116109154799</v>
          </cell>
          <cell r="AM75">
            <v>-24166</v>
          </cell>
          <cell r="AN75">
            <v>40.936964381680497</v>
          </cell>
          <cell r="AO75">
            <v>-149027</v>
          </cell>
          <cell r="AP75">
            <v>47.432789728646902</v>
          </cell>
          <cell r="AQ75">
            <v>683567</v>
          </cell>
          <cell r="AR75">
            <v>41.429696985763798</v>
          </cell>
          <cell r="AS75">
            <v>393224</v>
          </cell>
          <cell r="AT75">
            <v>20.837059082736001</v>
          </cell>
          <cell r="AU75">
            <v>-197123</v>
          </cell>
          <cell r="AV75">
            <v>48.824216668147997</v>
          </cell>
          <cell r="AW75">
            <v>542061</v>
          </cell>
          <cell r="AX75">
            <v>34.277270177855101</v>
          </cell>
          <cell r="AY75">
            <v>-25736</v>
          </cell>
          <cell r="AZ75">
            <v>7.8657369616460802</v>
          </cell>
          <cell r="BA75">
            <v>-6950</v>
          </cell>
          <cell r="BB75">
            <v>9.3931343508531207</v>
          </cell>
          <cell r="BC75">
            <v>379292</v>
          </cell>
          <cell r="BD75">
            <v>11.148751552795</v>
          </cell>
          <cell r="BE75">
            <v>94064</v>
          </cell>
          <cell r="BF75">
            <v>27.910156047905399</v>
          </cell>
          <cell r="BG75">
            <v>-35365</v>
          </cell>
          <cell r="BH75">
            <v>21.475008848853399</v>
          </cell>
          <cell r="BI75">
            <v>86391</v>
          </cell>
        </row>
        <row r="76">
          <cell r="B76">
            <v>45.678563373302801</v>
          </cell>
          <cell r="C76">
            <v>3293511</v>
          </cell>
          <cell r="D76">
            <v>23.826576505900899</v>
          </cell>
          <cell r="E76">
            <v>-1998401</v>
          </cell>
          <cell r="F76">
            <v>27.164444393193499</v>
          </cell>
          <cell r="G76">
            <v>17703</v>
          </cell>
          <cell r="H76">
            <v>28.159961958069399</v>
          </cell>
          <cell r="I76">
            <v>-353057</v>
          </cell>
          <cell r="J76">
            <v>78.720129878693101</v>
          </cell>
          <cell r="K76">
            <v>4049886</v>
          </cell>
          <cell r="L76">
            <v>56.735653790572897</v>
          </cell>
          <cell r="M76">
            <v>1652931</v>
          </cell>
          <cell r="N76">
            <v>12.581390350424</v>
          </cell>
          <cell r="O76">
            <v>356842</v>
          </cell>
          <cell r="P76">
            <v>7.2955832489458201</v>
          </cell>
          <cell r="Q76">
            <v>416783</v>
          </cell>
          <cell r="R76">
            <v>29.4672915293303</v>
          </cell>
          <cell r="S76">
            <v>692202</v>
          </cell>
          <cell r="T76">
            <v>20.194316192685299</v>
          </cell>
          <cell r="U76">
            <v>-307858</v>
          </cell>
          <cell r="V76">
            <v>46.995363462843898</v>
          </cell>
          <cell r="W76">
            <v>1892100</v>
          </cell>
          <cell r="X76">
            <v>11.2111258127923</v>
          </cell>
          <cell r="Y76">
            <v>-237465</v>
          </cell>
          <cell r="Z76">
            <v>35.8264392156862</v>
          </cell>
          <cell r="AA76">
            <v>289067</v>
          </cell>
          <cell r="AB76">
            <v>8.5760485266757307</v>
          </cell>
          <cell r="AC76">
            <v>-553329</v>
          </cell>
          <cell r="AD76">
            <v>13.936250128317599</v>
          </cell>
          <cell r="AE76">
            <v>81898</v>
          </cell>
          <cell r="AF76">
            <v>34.9696630997677</v>
          </cell>
          <cell r="AG76">
            <v>-605646</v>
          </cell>
          <cell r="AH76">
            <v>48.4331231023545</v>
          </cell>
          <cell r="AI76">
            <v>3666143</v>
          </cell>
          <cell r="AJ76">
            <v>46.514829449161702</v>
          </cell>
          <cell r="AK76">
            <v>1417829</v>
          </cell>
          <cell r="AL76">
            <v>26.482804011814601</v>
          </cell>
          <cell r="AM76">
            <v>-188634</v>
          </cell>
          <cell r="AN76">
            <v>41.0292225114205</v>
          </cell>
          <cell r="AO76">
            <v>853332</v>
          </cell>
          <cell r="AP76">
            <v>47.458798143858402</v>
          </cell>
          <cell r="AQ76">
            <v>184562</v>
          </cell>
          <cell r="AR76">
            <v>41.410020943241101</v>
          </cell>
          <cell r="AS76">
            <v>-221780</v>
          </cell>
          <cell r="AT76">
            <v>20.868522369336201</v>
          </cell>
          <cell r="AU76">
            <v>276554</v>
          </cell>
          <cell r="AV76">
            <v>48.910982371635797</v>
          </cell>
          <cell r="AW76">
            <v>972578</v>
          </cell>
          <cell r="AX76">
            <v>34.004632090744899</v>
          </cell>
          <cell r="AY76">
            <v>-255115</v>
          </cell>
          <cell r="AZ76">
            <v>7.8357559319056396</v>
          </cell>
          <cell r="BA76">
            <v>-412915</v>
          </cell>
          <cell r="BB76">
            <v>9.3660454422863708</v>
          </cell>
          <cell r="BC76">
            <v>-186358</v>
          </cell>
          <cell r="BD76">
            <v>11.212937888198701</v>
          </cell>
          <cell r="BE76">
            <v>234848</v>
          </cell>
          <cell r="BF76">
            <v>27.8805399420784</v>
          </cell>
          <cell r="BG76">
            <v>-39865</v>
          </cell>
          <cell r="BH76">
            <v>21.505187109904501</v>
          </cell>
          <cell r="BI76">
            <v>57675</v>
          </cell>
        </row>
        <row r="77">
          <cell r="B77">
            <v>45.838084118464103</v>
          </cell>
          <cell r="C77">
            <v>15309881</v>
          </cell>
          <cell r="D77">
            <v>23.912370639155998</v>
          </cell>
          <cell r="E77">
            <v>1148539</v>
          </cell>
          <cell r="F77">
            <v>27.299504159807</v>
          </cell>
          <cell r="G77">
            <v>2563555</v>
          </cell>
          <cell r="H77">
            <v>28.2370530415518</v>
          </cell>
          <cell r="I77">
            <v>1328477</v>
          </cell>
          <cell r="J77">
            <v>78.857884268891397</v>
          </cell>
          <cell r="K77">
            <v>2603596</v>
          </cell>
          <cell r="L77">
            <v>56.8608353950656</v>
          </cell>
          <cell r="M77">
            <v>2754062</v>
          </cell>
          <cell r="N77">
            <v>12.9239001654293</v>
          </cell>
          <cell r="O77">
            <v>998305</v>
          </cell>
          <cell r="P77">
            <v>9.0110227986835501</v>
          </cell>
          <cell r="Q77">
            <v>1975790</v>
          </cell>
          <cell r="R77">
            <v>29.690940723598999</v>
          </cell>
          <cell r="S77">
            <v>3957413</v>
          </cell>
          <cell r="T77">
            <v>20.136914257708099</v>
          </cell>
          <cell r="U77">
            <v>-210208</v>
          </cell>
          <cell r="V77">
            <v>47.0588638754922</v>
          </cell>
          <cell r="W77">
            <v>2808940</v>
          </cell>
          <cell r="X77">
            <v>11.111092673134101</v>
          </cell>
          <cell r="Y77">
            <v>-994124</v>
          </cell>
          <cell r="Z77">
            <v>35.703031372548999</v>
          </cell>
          <cell r="AA77">
            <v>-896047</v>
          </cell>
          <cell r="AB77">
            <v>8.0985131488822297</v>
          </cell>
          <cell r="AC77">
            <v>-1911648</v>
          </cell>
          <cell r="AD77">
            <v>14.033342031023</v>
          </cell>
          <cell r="AE77">
            <v>198321</v>
          </cell>
          <cell r="AF77">
            <v>35.075979979437001</v>
          </cell>
          <cell r="AG77">
            <v>250534</v>
          </cell>
          <cell r="AH77">
            <v>48.416610739715999</v>
          </cell>
          <cell r="AI77">
            <v>-239212</v>
          </cell>
          <cell r="AJ77">
            <v>46.633632918898897</v>
          </cell>
          <cell r="AK77">
            <v>1546443</v>
          </cell>
          <cell r="AL77">
            <v>26.4010562639447</v>
          </cell>
          <cell r="AM77">
            <v>-429559</v>
          </cell>
          <cell r="AN77">
            <v>41.126723674123603</v>
          </cell>
          <cell r="AO77">
            <v>899585</v>
          </cell>
          <cell r="AP77">
            <v>47.510666639001101</v>
          </cell>
          <cell r="AQ77">
            <v>373072</v>
          </cell>
          <cell r="AR77">
            <v>41.252623207231998</v>
          </cell>
          <cell r="AS77">
            <v>-1727272</v>
          </cell>
          <cell r="AT77">
            <v>20.981174570144599</v>
          </cell>
          <cell r="AU77">
            <v>1010897</v>
          </cell>
          <cell r="AV77">
            <v>49.087391617846997</v>
          </cell>
          <cell r="AW77">
            <v>2044861</v>
          </cell>
          <cell r="AX77">
            <v>34.130768247326898</v>
          </cell>
          <cell r="AY77">
            <v>117240</v>
          </cell>
          <cell r="AZ77">
            <v>7.7460181071939003</v>
          </cell>
          <cell r="BA77">
            <v>-1126556</v>
          </cell>
          <cell r="BB77">
            <v>9.18544023020719</v>
          </cell>
          <cell r="BC77">
            <v>-982625</v>
          </cell>
          <cell r="BD77">
            <v>11.222568322981299</v>
          </cell>
          <cell r="BE77">
            <v>27325</v>
          </cell>
          <cell r="BF77">
            <v>27.8471873322165</v>
          </cell>
          <cell r="BG77">
            <v>-35380</v>
          </cell>
          <cell r="BH77">
            <v>21.454077756819999</v>
          </cell>
          <cell r="BI77">
            <v>-96514</v>
          </cell>
        </row>
        <row r="78">
          <cell r="B78">
            <v>45.828307428159</v>
          </cell>
          <cell r="C78">
            <v>-642849</v>
          </cell>
          <cell r="D78">
            <v>23.958251764348301</v>
          </cell>
          <cell r="E78">
            <v>647994</v>
          </cell>
          <cell r="F78">
            <v>27.252828722319901</v>
          </cell>
          <cell r="G78">
            <v>-875733</v>
          </cell>
          <cell r="H78">
            <v>28.322629219455699</v>
          </cell>
          <cell r="I78">
            <v>1705688</v>
          </cell>
          <cell r="J78">
            <v>78.890342883236499</v>
          </cell>
          <cell r="K78">
            <v>458301</v>
          </cell>
          <cell r="L78">
            <v>56.858771788674197</v>
          </cell>
          <cell r="M78">
            <v>-50257</v>
          </cell>
          <cell r="N78">
            <v>13.0755882775182</v>
          </cell>
          <cell r="O78">
            <v>-225890</v>
          </cell>
          <cell r="P78">
            <v>8.92325962001342</v>
          </cell>
          <cell r="Q78">
            <v>-38084</v>
          </cell>
          <cell r="R78">
            <v>29.8213764506229</v>
          </cell>
          <cell r="S78">
            <v>2301390</v>
          </cell>
          <cell r="T78">
            <v>20.328916425259902</v>
          </cell>
          <cell r="U78">
            <v>190783</v>
          </cell>
          <cell r="V78">
            <v>47.053907852028303</v>
          </cell>
          <cell r="W78">
            <v>-220254</v>
          </cell>
          <cell r="X78">
            <v>11.0848062305804</v>
          </cell>
          <cell r="Y78">
            <v>-253867</v>
          </cell>
          <cell r="Z78">
            <v>35.6124725490196</v>
          </cell>
          <cell r="AA78">
            <v>-656016</v>
          </cell>
          <cell r="AB78">
            <v>8.2086732201469701</v>
          </cell>
          <cell r="AC78">
            <v>456687</v>
          </cell>
          <cell r="AD78">
            <v>14.231699686215</v>
          </cell>
          <cell r="AE78">
            <v>451427</v>
          </cell>
          <cell r="AF78">
            <v>35.094819880173702</v>
          </cell>
          <cell r="AG78">
            <v>50178</v>
          </cell>
          <cell r="AH78">
            <v>48.454342726125603</v>
          </cell>
          <cell r="AI78">
            <v>547376</v>
          </cell>
          <cell r="AJ78">
            <v>46.652560806155698</v>
          </cell>
          <cell r="AK78">
            <v>250677</v>
          </cell>
          <cell r="AL78">
            <v>26.3854246952734</v>
          </cell>
          <cell r="AM78">
            <v>-90606</v>
          </cell>
          <cell r="AN78">
            <v>40.930477642465902</v>
          </cell>
          <cell r="AO78">
            <v>-1930081</v>
          </cell>
          <cell r="AP78">
            <v>47.484973547289499</v>
          </cell>
          <cell r="AQ78">
            <v>-185300</v>
          </cell>
          <cell r="AR78">
            <v>41.201845126057101</v>
          </cell>
          <cell r="AS78">
            <v>-571272</v>
          </cell>
          <cell r="AT78">
            <v>21.207560113366899</v>
          </cell>
          <cell r="AU78">
            <v>2126269</v>
          </cell>
          <cell r="AV78">
            <v>49.054633990992997</v>
          </cell>
          <cell r="AW78">
            <v>-372625</v>
          </cell>
          <cell r="AX78">
            <v>34.235973344221897</v>
          </cell>
          <cell r="AY78">
            <v>98790</v>
          </cell>
          <cell r="AZ78">
            <v>7.5508793436118298</v>
          </cell>
          <cell r="BA78">
            <v>-3308177</v>
          </cell>
          <cell r="BB78">
            <v>9.2252654215886203</v>
          </cell>
          <cell r="BC78">
            <v>-229380</v>
          </cell>
          <cell r="BD78">
            <v>11.221611801242201</v>
          </cell>
          <cell r="BE78">
            <v>-3109</v>
          </cell>
          <cell r="BF78">
            <v>27.854499383189399</v>
          </cell>
          <cell r="BG78">
            <v>9937</v>
          </cell>
          <cell r="BH78">
            <v>21.449943605806499</v>
          </cell>
          <cell r="BI78">
            <v>-7836</v>
          </cell>
        </row>
        <row r="79">
          <cell r="B79">
            <v>45.824179778894703</v>
          </cell>
          <cell r="C79">
            <v>-2299760</v>
          </cell>
          <cell r="D79">
            <v>24.101549718613601</v>
          </cell>
          <cell r="E79">
            <v>1370196</v>
          </cell>
          <cell r="F79">
            <v>27.3744282094715</v>
          </cell>
          <cell r="G79">
            <v>2035892</v>
          </cell>
          <cell r="H79">
            <v>28.409593821623801</v>
          </cell>
          <cell r="I79">
            <v>1347828</v>
          </cell>
          <cell r="J79">
            <v>78.958947023334204</v>
          </cell>
          <cell r="K79">
            <v>918111</v>
          </cell>
          <cell r="L79">
            <v>56.900523472781899</v>
          </cell>
          <cell r="M79">
            <v>351742</v>
          </cell>
          <cell r="N79">
            <v>13.433272738984</v>
          </cell>
          <cell r="O79">
            <v>-282894</v>
          </cell>
          <cell r="P79">
            <v>8.8924025784620895</v>
          </cell>
          <cell r="Q79">
            <v>-482597</v>
          </cell>
          <cell r="R79">
            <v>29.9413325301574</v>
          </cell>
          <cell r="S79">
            <v>1343957</v>
          </cell>
          <cell r="T79">
            <v>20.3910569998821</v>
          </cell>
          <cell r="U79">
            <v>192838</v>
          </cell>
          <cell r="V79">
            <v>47.0906473437188</v>
          </cell>
          <cell r="W79">
            <v>654350</v>
          </cell>
          <cell r="X79">
            <v>11.092720030745401</v>
          </cell>
          <cell r="Y79">
            <v>-10374</v>
          </cell>
          <cell r="Z79">
            <v>35.650647058823502</v>
          </cell>
          <cell r="AA79">
            <v>142155</v>
          </cell>
          <cell r="AB79">
            <v>8.3095087840929907</v>
          </cell>
          <cell r="AC79">
            <v>321169</v>
          </cell>
          <cell r="AD79">
            <v>14.259137758996699</v>
          </cell>
          <cell r="AE79">
            <v>58715</v>
          </cell>
          <cell r="AF79">
            <v>35.004468996788503</v>
          </cell>
          <cell r="AG79">
            <v>-340472</v>
          </cell>
          <cell r="AH79">
            <v>48.540449148826298</v>
          </cell>
          <cell r="AI79">
            <v>998761</v>
          </cell>
          <cell r="AJ79">
            <v>46.642313439126902</v>
          </cell>
          <cell r="AK79">
            <v>-380681</v>
          </cell>
          <cell r="AL79">
            <v>26.2627632004085</v>
          </cell>
          <cell r="AM79">
            <v>-811386</v>
          </cell>
          <cell r="AN79">
            <v>40.946816698160099</v>
          </cell>
          <cell r="AO79">
            <v>60253</v>
          </cell>
          <cell r="AP79">
            <v>47.542953100683398</v>
          </cell>
          <cell r="AQ79">
            <v>340650</v>
          </cell>
          <cell r="AR79">
            <v>41.199114551576002</v>
          </cell>
          <cell r="AS79">
            <v>-247487</v>
          </cell>
          <cell r="AT79">
            <v>21.273430559410901</v>
          </cell>
          <cell r="AU79">
            <v>555637</v>
          </cell>
          <cell r="AV79">
            <v>49.105153967638401</v>
          </cell>
          <cell r="AW79">
            <v>439206</v>
          </cell>
          <cell r="AX79">
            <v>34.2010340392616</v>
          </cell>
          <cell r="AY79">
            <v>-42016</v>
          </cell>
          <cell r="AZ79">
            <v>7.4880464451528397</v>
          </cell>
          <cell r="BA79">
            <v>-1666627</v>
          </cell>
          <cell r="BB79">
            <v>9.4227536270426206</v>
          </cell>
          <cell r="BC79">
            <v>952681</v>
          </cell>
          <cell r="BD79">
            <v>11.2566708074534</v>
          </cell>
          <cell r="BE79">
            <v>57224</v>
          </cell>
          <cell r="BF79">
            <v>27.7952671715354</v>
          </cell>
          <cell r="BG79">
            <v>-104307</v>
          </cell>
          <cell r="BH79">
            <v>21.464335033264199</v>
          </cell>
          <cell r="BI79">
            <v>-20940</v>
          </cell>
        </row>
        <row r="80">
          <cell r="B80">
            <v>45.760581393519701</v>
          </cell>
          <cell r="C80">
            <v>-6142309</v>
          </cell>
          <cell r="D80">
            <v>23.977884931862398</v>
          </cell>
          <cell r="E80">
            <v>-1544762</v>
          </cell>
          <cell r="F80">
            <v>27.4693159206678</v>
          </cell>
          <cell r="G80">
            <v>1926652</v>
          </cell>
          <cell r="H80">
            <v>28.301899553317501</v>
          </cell>
          <cell r="I80">
            <v>-1976571</v>
          </cell>
          <cell r="J80">
            <v>78.960720022820894</v>
          </cell>
          <cell r="K80">
            <v>-112975</v>
          </cell>
          <cell r="L80">
            <v>56.897682732819199</v>
          </cell>
          <cell r="M80">
            <v>-99533</v>
          </cell>
          <cell r="N80">
            <v>13.381490118263301</v>
          </cell>
          <cell r="O80">
            <v>-226782</v>
          </cell>
          <cell r="P80">
            <v>8.9547868220535491</v>
          </cell>
          <cell r="Q80">
            <v>-428056</v>
          </cell>
          <cell r="R80">
            <v>29.864059115217501</v>
          </cell>
          <cell r="S80">
            <v>-1482404</v>
          </cell>
          <cell r="T80">
            <v>20.304264497767001</v>
          </cell>
          <cell r="U80">
            <v>-306076</v>
          </cell>
          <cell r="V80">
            <v>47.094692679232999</v>
          </cell>
          <cell r="W80">
            <v>171591</v>
          </cell>
          <cell r="X80">
            <v>11.0170199101472</v>
          </cell>
          <cell r="Y80">
            <v>-718110</v>
          </cell>
          <cell r="Z80">
            <v>35.525545098039203</v>
          </cell>
          <cell r="AA80">
            <v>-948396</v>
          </cell>
          <cell r="AB80">
            <v>8.3529217227271104</v>
          </cell>
          <cell r="AC80">
            <v>175876</v>
          </cell>
          <cell r="AD80">
            <v>14.287955545115601</v>
          </cell>
          <cell r="AE80">
            <v>60550</v>
          </cell>
          <cell r="AF80">
            <v>34.968130685680102</v>
          </cell>
          <cell r="AG80">
            <v>-89496</v>
          </cell>
          <cell r="AH80">
            <v>48.408393354505002</v>
          </cell>
          <cell r="AI80">
            <v>-2044969</v>
          </cell>
          <cell r="AJ80">
            <v>46.646291965476998</v>
          </cell>
          <cell r="AK80">
            <v>52687</v>
          </cell>
          <cell r="AL80">
            <v>26.371207291134599</v>
          </cell>
          <cell r="AM80">
            <v>734922</v>
          </cell>
          <cell r="AN80">
            <v>40.910220371337303</v>
          </cell>
          <cell r="AO80">
            <v>-439204</v>
          </cell>
          <cell r="AP80">
            <v>47.513627126959101</v>
          </cell>
          <cell r="AQ80">
            <v>-211487</v>
          </cell>
          <cell r="AR80">
            <v>41.233594019246503</v>
          </cell>
          <cell r="AS80">
            <v>405223</v>
          </cell>
          <cell r="AT80">
            <v>21.332975982749101</v>
          </cell>
          <cell r="AU80">
            <v>581223</v>
          </cell>
          <cell r="AV80">
            <v>49.236023550129602</v>
          </cell>
          <cell r="AW80">
            <v>1478500</v>
          </cell>
          <cell r="AX80">
            <v>34.307679453249399</v>
          </cell>
          <cell r="AY80">
            <v>103471</v>
          </cell>
          <cell r="AZ80">
            <v>7.3144795494491701</v>
          </cell>
          <cell r="BA80">
            <v>-2170354</v>
          </cell>
          <cell r="BB80">
            <v>9.5301565823597691</v>
          </cell>
          <cell r="BC80">
            <v>631752</v>
          </cell>
          <cell r="BD80">
            <v>11.2444347826086</v>
          </cell>
          <cell r="BE80">
            <v>-38982</v>
          </cell>
          <cell r="BF80">
            <v>27.7779757805556</v>
          </cell>
          <cell r="BG80">
            <v>-23841</v>
          </cell>
          <cell r="BH80">
            <v>21.557035819971301</v>
          </cell>
          <cell r="BI80">
            <v>178200</v>
          </cell>
        </row>
        <row r="81">
          <cell r="B81">
            <v>45.739250679723</v>
          </cell>
          <cell r="C81">
            <v>-71251</v>
          </cell>
          <cell r="D81">
            <v>23.703331947754702</v>
          </cell>
          <cell r="E81">
            <v>-3147815</v>
          </cell>
          <cell r="F81">
            <v>27.4065303192207</v>
          </cell>
          <cell r="G81">
            <v>-857786</v>
          </cell>
          <cell r="H81">
            <v>28.396607527282899</v>
          </cell>
          <cell r="I81">
            <v>1945885</v>
          </cell>
          <cell r="J81">
            <v>79.0919627126911</v>
          </cell>
          <cell r="K81">
            <v>3188132</v>
          </cell>
          <cell r="L81">
            <v>56.882288219043403</v>
          </cell>
          <cell r="M81">
            <v>204442</v>
          </cell>
          <cell r="N81">
            <v>13.3894829166652</v>
          </cell>
          <cell r="O81">
            <v>58859</v>
          </cell>
          <cell r="P81">
            <v>8.8551702684936799</v>
          </cell>
          <cell r="Q81">
            <v>-684246</v>
          </cell>
          <cell r="R81">
            <v>29.746398898044198</v>
          </cell>
          <cell r="S81">
            <v>-2294319</v>
          </cell>
          <cell r="T81">
            <v>20.1993082663212</v>
          </cell>
          <cell r="U81">
            <v>-334569</v>
          </cell>
          <cell r="V81">
            <v>47.161304800202899</v>
          </cell>
          <cell r="W81">
            <v>3877713</v>
          </cell>
          <cell r="X81">
            <v>10.8867727382237</v>
          </cell>
          <cell r="Y81">
            <v>-1292886</v>
          </cell>
          <cell r="Z81">
            <v>35.618129411764698</v>
          </cell>
          <cell r="AA81">
            <v>888621</v>
          </cell>
          <cell r="AB81">
            <v>8.3793890956841004</v>
          </cell>
          <cell r="AC81">
            <v>181010</v>
          </cell>
          <cell r="AD81">
            <v>14.2488029251311</v>
          </cell>
          <cell r="AE81">
            <v>-80208</v>
          </cell>
          <cell r="AF81">
            <v>34.9969074125205</v>
          </cell>
          <cell r="AG81">
            <v>157395</v>
          </cell>
          <cell r="AH81">
            <v>48.491686751452903</v>
          </cell>
          <cell r="AI81">
            <v>1591551</v>
          </cell>
          <cell r="AJ81">
            <v>46.714948706842598</v>
          </cell>
          <cell r="AK81">
            <v>1146675</v>
          </cell>
          <cell r="AL81">
            <v>26.646363304450599</v>
          </cell>
          <cell r="AM81">
            <v>1870835</v>
          </cell>
          <cell r="AN81">
            <v>40.961211246167203</v>
          </cell>
          <cell r="AO81">
            <v>768834</v>
          </cell>
          <cell r="AP81">
            <v>47.548703535439003</v>
          </cell>
          <cell r="AQ81">
            <v>331825</v>
          </cell>
          <cell r="AR81">
            <v>41.224394899392898</v>
          </cell>
          <cell r="AS81">
            <v>160901</v>
          </cell>
          <cell r="AT81">
            <v>21.359870240971301</v>
          </cell>
          <cell r="AU81">
            <v>339327</v>
          </cell>
          <cell r="AV81">
            <v>49.275945471028102</v>
          </cell>
          <cell r="AW81">
            <v>449705</v>
          </cell>
          <cell r="AX81">
            <v>33.892976541493503</v>
          </cell>
          <cell r="AY81">
            <v>-387628</v>
          </cell>
          <cell r="AZ81">
            <v>7.2482173016022999</v>
          </cell>
          <cell r="BA81">
            <v>-914586</v>
          </cell>
          <cell r="BB81">
            <v>9.5304693845617798</v>
          </cell>
          <cell r="BC81">
            <v>-151698</v>
          </cell>
          <cell r="BD81">
            <v>11.187704968944001</v>
          </cell>
          <cell r="BE81">
            <v>-116738</v>
          </cell>
          <cell r="BF81">
            <v>27.697485735177199</v>
          </cell>
          <cell r="BG81">
            <v>-82467</v>
          </cell>
          <cell r="BH81">
            <v>21.604469215101702</v>
          </cell>
          <cell r="BI81">
            <v>134474</v>
          </cell>
        </row>
        <row r="82">
          <cell r="B82">
            <v>45.6861289199149</v>
          </cell>
          <cell r="C82">
            <v>-5191646</v>
          </cell>
          <cell r="D82">
            <v>23.597345067962301</v>
          </cell>
          <cell r="E82">
            <v>-2438029</v>
          </cell>
          <cell r="F82">
            <v>27.153202605605902</v>
          </cell>
          <cell r="G82">
            <v>-4859237</v>
          </cell>
          <cell r="H82">
            <v>28.365454618117599</v>
          </cell>
          <cell r="I82">
            <v>-613351</v>
          </cell>
          <cell r="J82">
            <v>79.06483082618</v>
          </cell>
          <cell r="K82">
            <v>-593918</v>
          </cell>
          <cell r="L82">
            <v>56.8882554135524</v>
          </cell>
          <cell r="M82">
            <v>110239</v>
          </cell>
          <cell r="N82">
            <v>13.4086360077064</v>
          </cell>
          <cell r="O82">
            <v>-478186</v>
          </cell>
          <cell r="P82">
            <v>8.6834813476327497</v>
          </cell>
          <cell r="Q82">
            <v>-1228671</v>
          </cell>
          <cell r="R82">
            <v>29.395808253796101</v>
          </cell>
          <cell r="S82">
            <v>-5972926</v>
          </cell>
          <cell r="T82">
            <v>20.211749571332899</v>
          </cell>
          <cell r="U82">
            <v>-401014</v>
          </cell>
          <cell r="V82">
            <v>47.048295766212803</v>
          </cell>
          <cell r="W82">
            <v>-4823090</v>
          </cell>
          <cell r="X82">
            <v>10.8933057944511</v>
          </cell>
          <cell r="Y82">
            <v>-48918</v>
          </cell>
          <cell r="Z82">
            <v>35.470172549019601</v>
          </cell>
          <cell r="AA82">
            <v>-1129365</v>
          </cell>
          <cell r="AB82">
            <v>8.3133075030632497</v>
          </cell>
          <cell r="AC82">
            <v>-253475</v>
          </cell>
          <cell r="AD82">
            <v>14.4002329719728</v>
          </cell>
          <cell r="AE82">
            <v>308784</v>
          </cell>
          <cell r="AF82">
            <v>34.971836113186903</v>
          </cell>
          <cell r="AG82">
            <v>-230341</v>
          </cell>
          <cell r="AH82">
            <v>48.470791044395</v>
          </cell>
          <cell r="AI82">
            <v>-323139</v>
          </cell>
          <cell r="AJ82">
            <v>46.787041101385697</v>
          </cell>
          <cell r="AK82">
            <v>941980</v>
          </cell>
          <cell r="AL82">
            <v>26.8739746808726</v>
          </cell>
          <cell r="AM82">
            <v>1443184</v>
          </cell>
          <cell r="AN82">
            <v>40.780675928175803</v>
          </cell>
          <cell r="AO82">
            <v>-1802574</v>
          </cell>
          <cell r="AP82">
            <v>47.555626440673102</v>
          </cell>
          <cell r="AQ82">
            <v>47342</v>
          </cell>
          <cell r="AR82">
            <v>41.205264971766297</v>
          </cell>
          <cell r="AS82">
            <v>-223496</v>
          </cell>
          <cell r="AT82">
            <v>21.409833444282299</v>
          </cell>
          <cell r="AU82">
            <v>483482</v>
          </cell>
          <cell r="AV82">
            <v>49.414346969817103</v>
          </cell>
          <cell r="AW82">
            <v>1024692</v>
          </cell>
          <cell r="AX82">
            <v>33.919104362372103</v>
          </cell>
          <cell r="AY82">
            <v>33389</v>
          </cell>
          <cell r="AZ82">
            <v>7.0030302769925203</v>
          </cell>
          <cell r="BA82">
            <v>-3175847</v>
          </cell>
          <cell r="BB82">
            <v>9.3835183592056808</v>
          </cell>
          <cell r="BC82">
            <v>-721836</v>
          </cell>
          <cell r="BD82">
            <v>11.1857080745341</v>
          </cell>
          <cell r="BE82">
            <v>-8810</v>
          </cell>
          <cell r="BF82">
            <v>27.575238820092501</v>
          </cell>
          <cell r="BG82">
            <v>-166002</v>
          </cell>
          <cell r="BH82">
            <v>21.619379889273802</v>
          </cell>
          <cell r="BI82">
            <v>39697</v>
          </cell>
        </row>
        <row r="83">
          <cell r="B83">
            <v>45.639912147058702</v>
          </cell>
          <cell r="C83">
            <v>-4753366</v>
          </cell>
          <cell r="D83">
            <v>22.882682093524298</v>
          </cell>
          <cell r="E83">
            <v>-10194474</v>
          </cell>
          <cell r="F83">
            <v>27.127767724163402</v>
          </cell>
          <cell r="G83">
            <v>-1625340</v>
          </cell>
          <cell r="H83">
            <v>28.416655837069101</v>
          </cell>
          <cell r="I83">
            <v>-123468</v>
          </cell>
          <cell r="J83">
            <v>79.220391613134495</v>
          </cell>
          <cell r="K83">
            <v>2532938</v>
          </cell>
          <cell r="L83">
            <v>56.932680245322899</v>
          </cell>
          <cell r="M83">
            <v>-767863</v>
          </cell>
          <cell r="N83">
            <v>13.4298179708241</v>
          </cell>
          <cell r="O83">
            <v>-466136</v>
          </cell>
          <cell r="P83">
            <v>8.7825316845204</v>
          </cell>
          <cell r="Q83">
            <v>11588</v>
          </cell>
          <cell r="R83">
            <v>29.617233899910399</v>
          </cell>
          <cell r="S83">
            <v>2429841</v>
          </cell>
          <cell r="T83">
            <v>14.056671670691999</v>
          </cell>
          <cell r="U83">
            <v>-22757520</v>
          </cell>
          <cell r="V83">
            <v>46.889542440667697</v>
          </cell>
          <cell r="W83">
            <v>-6755830</v>
          </cell>
          <cell r="X83">
            <v>10.910688197229399</v>
          </cell>
          <cell r="Y83">
            <v>-127117</v>
          </cell>
          <cell r="Z83">
            <v>35.4654764705882</v>
          </cell>
          <cell r="AA83">
            <v>-485538</v>
          </cell>
          <cell r="AB83">
            <v>8.3354856860198101</v>
          </cell>
          <cell r="AC83">
            <v>-138069</v>
          </cell>
          <cell r="AD83">
            <v>14.6148087669588</v>
          </cell>
          <cell r="AE83">
            <v>451512</v>
          </cell>
          <cell r="AF83">
            <v>35.083212471499202</v>
          </cell>
          <cell r="AG83">
            <v>60581</v>
          </cell>
          <cell r="AH83">
            <v>48.536168029073004</v>
          </cell>
          <cell r="AI83">
            <v>86493</v>
          </cell>
          <cell r="AJ83">
            <v>46.905837303744399</v>
          </cell>
          <cell r="AK83">
            <v>801900</v>
          </cell>
          <cell r="AL83">
            <v>27.1282598054168</v>
          </cell>
          <cell r="AM83">
            <v>1291683</v>
          </cell>
          <cell r="AN83">
            <v>40.774449826532098</v>
          </cell>
          <cell r="AO83">
            <v>-715840</v>
          </cell>
          <cell r="AP83">
            <v>47.602165524550102</v>
          </cell>
          <cell r="AQ83">
            <v>94998</v>
          </cell>
          <cell r="AR83">
            <v>41.315490045332801</v>
          </cell>
          <cell r="AS83">
            <v>552743</v>
          </cell>
          <cell r="AT83">
            <v>21.433931884084799</v>
          </cell>
          <cell r="AU83">
            <v>-26950</v>
          </cell>
          <cell r="AV83">
            <v>49.415070500218398</v>
          </cell>
          <cell r="AW83">
            <v>5719</v>
          </cell>
          <cell r="AX83">
            <v>33.393090194282998</v>
          </cell>
          <cell r="AY83">
            <v>-450314</v>
          </cell>
          <cell r="AZ83">
            <v>7.1330992363205503</v>
          </cell>
          <cell r="BA83">
            <v>651238</v>
          </cell>
          <cell r="BB83">
            <v>9.2783781650646908</v>
          </cell>
          <cell r="BC83">
            <v>-1085907</v>
          </cell>
          <cell r="BD83">
            <v>11.2125496894409</v>
          </cell>
          <cell r="BE83">
            <v>-54130</v>
          </cell>
          <cell r="BF83">
            <v>27.468397798566698</v>
          </cell>
          <cell r="BG83">
            <v>-325761</v>
          </cell>
          <cell r="BH83">
            <v>21.998573728045599</v>
          </cell>
          <cell r="BI83">
            <v>600347</v>
          </cell>
        </row>
        <row r="84">
          <cell r="B84">
            <v>45.662623722467899</v>
          </cell>
          <cell r="C84">
            <v>3441796</v>
          </cell>
          <cell r="D84">
            <v>23.037304446618698</v>
          </cell>
          <cell r="E84">
            <v>2104583</v>
          </cell>
          <cell r="F84">
            <v>27.118631049619498</v>
          </cell>
          <cell r="G84">
            <v>-148991</v>
          </cell>
          <cell r="H84">
            <v>28.404791908236501</v>
          </cell>
          <cell r="I84">
            <v>-350202</v>
          </cell>
          <cell r="J84">
            <v>79.169958934073605</v>
          </cell>
          <cell r="K84">
            <v>-1095445</v>
          </cell>
          <cell r="L84">
            <v>56.980977115455701</v>
          </cell>
          <cell r="M84">
            <v>1034070</v>
          </cell>
          <cell r="N84">
            <v>13.4221797761702</v>
          </cell>
          <cell r="O84">
            <v>-61599</v>
          </cell>
          <cell r="P84">
            <v>8.6234039554347106</v>
          </cell>
          <cell r="Q84">
            <v>-913783</v>
          </cell>
          <cell r="R84">
            <v>29.561571972228698</v>
          </cell>
          <cell r="S84">
            <v>-1007233</v>
          </cell>
          <cell r="T84">
            <v>14.009806541882901</v>
          </cell>
          <cell r="U84">
            <v>-867001</v>
          </cell>
          <cell r="V84">
            <v>46.732707982804897</v>
          </cell>
          <cell r="W84">
            <v>-6454450</v>
          </cell>
          <cell r="X84">
            <v>11.030344855724101</v>
          </cell>
          <cell r="Y84">
            <v>1183402</v>
          </cell>
          <cell r="Z84">
            <v>35.473894117646999</v>
          </cell>
          <cell r="AA84">
            <v>90947</v>
          </cell>
          <cell r="AB84">
            <v>8.2796900906691899</v>
          </cell>
          <cell r="AC84">
            <v>-215593</v>
          </cell>
          <cell r="AD84">
            <v>14.629864129474999</v>
          </cell>
          <cell r="AE84">
            <v>35926</v>
          </cell>
          <cell r="AF84">
            <v>35.019843380748597</v>
          </cell>
          <cell r="AG84">
            <v>-264434</v>
          </cell>
          <cell r="AH84">
            <v>48.525090816454899</v>
          </cell>
          <cell r="AI84">
            <v>-169010</v>
          </cell>
          <cell r="AJ84">
            <v>46.931360336973803</v>
          </cell>
          <cell r="AK84">
            <v>342181</v>
          </cell>
          <cell r="AL84">
            <v>27.247763353919702</v>
          </cell>
          <cell r="AM84">
            <v>737152</v>
          </cell>
          <cell r="AN84">
            <v>40.739307013798097</v>
          </cell>
          <cell r="AO84">
            <v>-367996</v>
          </cell>
          <cell r="AP84">
            <v>47.669898788795301</v>
          </cell>
          <cell r="AQ84">
            <v>488706</v>
          </cell>
          <cell r="AR84">
            <v>41.337133161899203</v>
          </cell>
          <cell r="AS84">
            <v>252795</v>
          </cell>
          <cell r="AT84">
            <v>21.452142578200402</v>
          </cell>
          <cell r="AU84">
            <v>171997</v>
          </cell>
          <cell r="AV84">
            <v>49.423996821970903</v>
          </cell>
          <cell r="AW84">
            <v>97800</v>
          </cell>
          <cell r="AX84">
            <v>33.341642215458599</v>
          </cell>
          <cell r="AY84">
            <v>-49055</v>
          </cell>
          <cell r="AZ84">
            <v>6.9480976753555597</v>
          </cell>
          <cell r="BA84">
            <v>-2030790</v>
          </cell>
          <cell r="BB84">
            <v>9.2208427790479792</v>
          </cell>
          <cell r="BC84">
            <v>-96362</v>
          </cell>
          <cell r="BD84">
            <v>11.2310062111801</v>
          </cell>
          <cell r="BE84">
            <v>50229</v>
          </cell>
          <cell r="BF84">
            <v>27.4973355851997</v>
          </cell>
          <cell r="BG84">
            <v>38624</v>
          </cell>
          <cell r="BH84">
            <v>21.971980805199099</v>
          </cell>
          <cell r="BI84">
            <v>-53219</v>
          </cell>
        </row>
        <row r="85">
          <cell r="B85">
            <v>45.613474146187002</v>
          </cell>
          <cell r="C85">
            <v>-4765011</v>
          </cell>
          <cell r="D85">
            <v>22.9088799721459</v>
          </cell>
          <cell r="E85">
            <v>-1637864</v>
          </cell>
          <cell r="F85">
            <v>27.155551068334798</v>
          </cell>
          <cell r="G85">
            <v>757557</v>
          </cell>
          <cell r="H85">
            <v>28.366744388242299</v>
          </cell>
          <cell r="I85">
            <v>-549371</v>
          </cell>
          <cell r="J85">
            <v>79.168715099423693</v>
          </cell>
          <cell r="K85">
            <v>-86492</v>
          </cell>
          <cell r="L85">
            <v>56.966188609378797</v>
          </cell>
          <cell r="M85">
            <v>-335241</v>
          </cell>
          <cell r="N85">
            <v>13.4862298911059</v>
          </cell>
          <cell r="O85">
            <v>120506</v>
          </cell>
          <cell r="P85">
            <v>8.7181365838793603</v>
          </cell>
          <cell r="Q85">
            <v>-406714</v>
          </cell>
          <cell r="R85">
            <v>29.5794440418296</v>
          </cell>
          <cell r="S85">
            <v>282787</v>
          </cell>
          <cell r="T85">
            <v>14.198732942362399</v>
          </cell>
          <cell r="U85">
            <v>793259</v>
          </cell>
          <cell r="V85">
            <v>46.596453466856502</v>
          </cell>
          <cell r="W85">
            <v>-5254720</v>
          </cell>
          <cell r="X85">
            <v>11.1552377425041</v>
          </cell>
          <cell r="Y85">
            <v>1328221</v>
          </cell>
          <cell r="Z85">
            <v>35.297149019607801</v>
          </cell>
          <cell r="AA85">
            <v>-1246769</v>
          </cell>
          <cell r="AB85">
            <v>8.0155860300011792</v>
          </cell>
          <cell r="AC85">
            <v>-951260</v>
          </cell>
          <cell r="AD85">
            <v>14.6516531872723</v>
          </cell>
          <cell r="AE85">
            <v>74446</v>
          </cell>
          <cell r="AF85">
            <v>34.971032223829503</v>
          </cell>
          <cell r="AG85">
            <v>-236395</v>
          </cell>
          <cell r="AH85">
            <v>48.282421775252999</v>
          </cell>
          <cell r="AI85">
            <v>-3826644</v>
          </cell>
          <cell r="AJ85">
            <v>46.780649442010599</v>
          </cell>
          <cell r="AK85">
            <v>-1788187</v>
          </cell>
          <cell r="AL85">
            <v>27.1151083410853</v>
          </cell>
          <cell r="AM85">
            <v>-786603</v>
          </cell>
          <cell r="AN85">
            <v>40.241251326818201</v>
          </cell>
          <cell r="AO85">
            <v>-5307797</v>
          </cell>
          <cell r="AP85">
            <v>47.762571033058002</v>
          </cell>
          <cell r="AQ85">
            <v>689347</v>
          </cell>
          <cell r="AR85">
            <v>41.380615572227597</v>
          </cell>
          <cell r="AS85">
            <v>513608</v>
          </cell>
          <cell r="AT85">
            <v>21.496094083283801</v>
          </cell>
          <cell r="AU85">
            <v>424901</v>
          </cell>
          <cell r="AV85">
            <v>49.443048399137901</v>
          </cell>
          <cell r="AW85">
            <v>207546</v>
          </cell>
          <cell r="AX85">
            <v>33.220701533368</v>
          </cell>
          <cell r="AY85">
            <v>-101402</v>
          </cell>
          <cell r="AZ85">
            <v>6.9779078104577899</v>
          </cell>
          <cell r="BA85">
            <v>-166390</v>
          </cell>
          <cell r="BB85">
            <v>9.1972279968389596</v>
          </cell>
          <cell r="BC85">
            <v>-80327</v>
          </cell>
          <cell r="BD85">
            <v>11.214984472049601</v>
          </cell>
          <cell r="BE85">
            <v>-50397</v>
          </cell>
          <cell r="BF85">
            <v>27.583873018646798</v>
          </cell>
          <cell r="BG85">
            <v>117787</v>
          </cell>
          <cell r="BH85">
            <v>21.947980536146201</v>
          </cell>
          <cell r="BI85">
            <v>-47105</v>
          </cell>
        </row>
        <row r="86">
          <cell r="B86">
            <v>45.479411764086798</v>
          </cell>
          <cell r="C86">
            <v>-12933864</v>
          </cell>
          <cell r="D86">
            <v>22.624818499346301</v>
          </cell>
          <cell r="E86">
            <v>-3094000</v>
          </cell>
          <cell r="F86">
            <v>26.981350025794299</v>
          </cell>
          <cell r="G86">
            <v>-3286661</v>
          </cell>
          <cell r="H86">
            <v>28.4928249375306</v>
          </cell>
          <cell r="I86">
            <v>1685058</v>
          </cell>
          <cell r="J86">
            <v>79.287087786983705</v>
          </cell>
          <cell r="K86">
            <v>2596553</v>
          </cell>
          <cell r="L86">
            <v>56.9781896314798</v>
          </cell>
          <cell r="M86">
            <v>263949</v>
          </cell>
          <cell r="N86">
            <v>13.522484757836599</v>
          </cell>
          <cell r="O86">
            <v>-28661</v>
          </cell>
          <cell r="P86">
            <v>8.4920650185338005</v>
          </cell>
          <cell r="Q86">
            <v>-1332336</v>
          </cell>
          <cell r="R86">
            <v>29.4702473156784</v>
          </cell>
          <cell r="S86">
            <v>-2115539</v>
          </cell>
          <cell r="T86">
            <v>14.2250987172193</v>
          </cell>
          <cell r="U86">
            <v>112000</v>
          </cell>
          <cell r="V86">
            <v>46.513085375790901</v>
          </cell>
          <cell r="W86">
            <v>-3281901</v>
          </cell>
          <cell r="X86">
            <v>11.211552973415399</v>
          </cell>
          <cell r="Y86">
            <v>667440</v>
          </cell>
          <cell r="Z86">
            <v>35.251919607843099</v>
          </cell>
          <cell r="AA86">
            <v>-336129</v>
          </cell>
          <cell r="AB86">
            <v>8.1147320393503293</v>
          </cell>
          <cell r="AC86">
            <v>289706</v>
          </cell>
          <cell r="AD86">
            <v>14.6828052053894</v>
          </cell>
          <cell r="AE86">
            <v>64284</v>
          </cell>
          <cell r="AF86">
            <v>34.966686196991098</v>
          </cell>
          <cell r="AG86">
            <v>-11856</v>
          </cell>
          <cell r="AH86">
            <v>48.2682593483133</v>
          </cell>
          <cell r="AI86">
            <v>-227904</v>
          </cell>
          <cell r="AJ86">
            <v>46.809108496146798</v>
          </cell>
          <cell r="AK86">
            <v>401606</v>
          </cell>
          <cell r="AL86">
            <v>27.198037660636899</v>
          </cell>
          <cell r="AM86">
            <v>496766</v>
          </cell>
          <cell r="AN86">
            <v>40.3517908569724</v>
          </cell>
          <cell r="AO86">
            <v>1240133</v>
          </cell>
          <cell r="AP86">
            <v>47.813609916513698</v>
          </cell>
          <cell r="AQ86">
            <v>390214</v>
          </cell>
          <cell r="AR86">
            <v>41.403419845709202</v>
          </cell>
          <cell r="AS86">
            <v>270196</v>
          </cell>
          <cell r="AT86">
            <v>21.3828737666636</v>
          </cell>
          <cell r="AU86">
            <v>-1109295</v>
          </cell>
          <cell r="AV86">
            <v>49.425078989919797</v>
          </cell>
          <cell r="AW86">
            <v>-199612</v>
          </cell>
          <cell r="AX86">
            <v>32.923911876409001</v>
          </cell>
          <cell r="AY86">
            <v>-246216</v>
          </cell>
          <cell r="AZ86">
            <v>6.8060651366345502</v>
          </cell>
          <cell r="BA86">
            <v>-1789279</v>
          </cell>
          <cell r="BB86">
            <v>9.1595846900187201</v>
          </cell>
          <cell r="BC86">
            <v>-189563</v>
          </cell>
          <cell r="BD86">
            <v>11.310642857142801</v>
          </cell>
          <cell r="BE86">
            <v>271438</v>
          </cell>
          <cell r="BF86">
            <v>27.597151979139898</v>
          </cell>
          <cell r="BG86">
            <v>18580</v>
          </cell>
          <cell r="BH86">
            <v>22.0246668622089</v>
          </cell>
          <cell r="BI86">
            <v>153685</v>
          </cell>
        </row>
        <row r="87">
          <cell r="B87">
            <v>45.496813064406297</v>
          </cell>
          <cell r="C87">
            <v>1701501</v>
          </cell>
          <cell r="D87">
            <v>22.549055418851299</v>
          </cell>
          <cell r="E87">
            <v>-993214</v>
          </cell>
          <cell r="F87">
            <v>27.031886565530801</v>
          </cell>
          <cell r="G87">
            <v>993510</v>
          </cell>
          <cell r="H87">
            <v>28.507175900889699</v>
          </cell>
          <cell r="I87">
            <v>221232</v>
          </cell>
          <cell r="J87">
            <v>79.438919150973604</v>
          </cell>
          <cell r="K87">
            <v>3403310</v>
          </cell>
          <cell r="L87">
            <v>57.039869402993503</v>
          </cell>
          <cell r="M87">
            <v>1367525</v>
          </cell>
          <cell r="N87">
            <v>14.096851560103101</v>
          </cell>
          <cell r="O87">
            <v>3248504</v>
          </cell>
          <cell r="P87">
            <v>8.6536717151667002</v>
          </cell>
          <cell r="Q87">
            <v>960938</v>
          </cell>
          <cell r="R87">
            <v>29.475638135125202</v>
          </cell>
          <cell r="S87">
            <v>135718</v>
          </cell>
          <cell r="T87">
            <v>14.656676644334</v>
          </cell>
          <cell r="U87">
            <v>1897573</v>
          </cell>
          <cell r="V87">
            <v>46.360248081031898</v>
          </cell>
          <cell r="W87">
            <v>-6043696</v>
          </cell>
          <cell r="X87">
            <v>11.2003166160614</v>
          </cell>
          <cell r="Y87">
            <v>-105110</v>
          </cell>
          <cell r="Z87">
            <v>35.179319607843098</v>
          </cell>
          <cell r="AA87">
            <v>-549191</v>
          </cell>
          <cell r="AB87">
            <v>7.76990311640985</v>
          </cell>
          <cell r="AC87">
            <v>-1283030</v>
          </cell>
          <cell r="AD87">
            <v>14.8494207763829</v>
          </cell>
          <cell r="AE87">
            <v>284966</v>
          </cell>
          <cell r="AF87">
            <v>34.722867810971302</v>
          </cell>
          <cell r="AG87">
            <v>13826</v>
          </cell>
          <cell r="AH87">
            <v>48.262407909893398</v>
          </cell>
          <cell r="AI87">
            <v>-94968</v>
          </cell>
          <cell r="AJ87">
            <v>46.785949541137697</v>
          </cell>
          <cell r="AK87">
            <v>-318464</v>
          </cell>
          <cell r="AL87">
            <v>27.732311413384299</v>
          </cell>
          <cell r="AM87">
            <v>3621707</v>
          </cell>
          <cell r="AN87">
            <v>40.650511794855802</v>
          </cell>
          <cell r="AO87">
            <v>3391384</v>
          </cell>
          <cell r="AP87">
            <v>48.080286550363702</v>
          </cell>
          <cell r="AQ87">
            <v>2127920</v>
          </cell>
          <cell r="AR87">
            <v>41.414421674929002</v>
          </cell>
          <cell r="AS87">
            <v>132608</v>
          </cell>
          <cell r="AT87">
            <v>21.371941841192399</v>
          </cell>
          <cell r="AU87">
            <v>-107315</v>
          </cell>
          <cell r="AV87">
            <v>49.3249690716817</v>
          </cell>
          <cell r="AW87">
            <v>-1009106</v>
          </cell>
          <cell r="AX87">
            <v>32.695476967120698</v>
          </cell>
          <cell r="AY87">
            <v>-189236</v>
          </cell>
          <cell r="AZ87">
            <v>6.8418814067588301</v>
          </cell>
          <cell r="BA87">
            <v>-55431</v>
          </cell>
          <cell r="BB87">
            <v>9.3011794236760892</v>
          </cell>
          <cell r="BC87">
            <v>787515</v>
          </cell>
          <cell r="BD87">
            <v>11.308453416149</v>
          </cell>
          <cell r="BE87">
            <v>-6077</v>
          </cell>
          <cell r="BF87">
            <v>27.596795574139701</v>
          </cell>
          <cell r="BG87">
            <v>-595</v>
          </cell>
          <cell r="BH87">
            <v>22.096292827855301</v>
          </cell>
          <cell r="BI87">
            <v>139808</v>
          </cell>
        </row>
        <row r="88">
          <cell r="B88">
            <v>45.456031482341203</v>
          </cell>
          <cell r="C88">
            <v>-3682926</v>
          </cell>
          <cell r="D88">
            <v>22.50800583394</v>
          </cell>
          <cell r="E88">
            <v>-2844284</v>
          </cell>
          <cell r="F88">
            <v>27.0835880036182</v>
          </cell>
          <cell r="G88">
            <v>1076206</v>
          </cell>
          <cell r="H88">
            <v>28.629752132173</v>
          </cell>
          <cell r="I88">
            <v>1972260</v>
          </cell>
          <cell r="J88">
            <v>79.438843640935104</v>
          </cell>
          <cell r="K88">
            <v>75031</v>
          </cell>
          <cell r="L88">
            <v>56.990457690709299</v>
          </cell>
          <cell r="M88">
            <v>-1072929</v>
          </cell>
          <cell r="N88">
            <v>14.3956613258903</v>
          </cell>
          <cell r="O88">
            <v>1412253</v>
          </cell>
          <cell r="P88">
            <v>8.5866348632300902</v>
          </cell>
          <cell r="Q88">
            <v>-875086</v>
          </cell>
          <cell r="R88">
            <v>29.405489261367499</v>
          </cell>
          <cell r="S88">
            <v>-2849390</v>
          </cell>
          <cell r="T88">
            <v>14.8346881036111</v>
          </cell>
          <cell r="U88">
            <v>810233</v>
          </cell>
          <cell r="V88">
            <v>46.277858348682997</v>
          </cell>
          <cell r="W88">
            <v>-3243507</v>
          </cell>
          <cell r="X88">
            <v>11.3139605320378</v>
          </cell>
          <cell r="Y88">
            <v>654089</v>
          </cell>
          <cell r="Z88">
            <v>34.983092156862703</v>
          </cell>
          <cell r="AA88">
            <v>-1511604</v>
          </cell>
          <cell r="AB88">
            <v>7.7334109602156902</v>
          </cell>
          <cell r="AC88">
            <v>-133826</v>
          </cell>
          <cell r="AD88">
            <v>15.280793791602299</v>
          </cell>
          <cell r="AE88">
            <v>727588</v>
          </cell>
          <cell r="AF88">
            <v>34.2781411455368</v>
          </cell>
          <cell r="AG88">
            <v>-997627</v>
          </cell>
          <cell r="AH88">
            <v>48.216836646375199</v>
          </cell>
          <cell r="AI88">
            <v>-687314</v>
          </cell>
          <cell r="AJ88">
            <v>46.738040075231901</v>
          </cell>
          <cell r="AK88">
            <v>-634495</v>
          </cell>
          <cell r="AL88">
            <v>27.923865581534599</v>
          </cell>
          <cell r="AM88">
            <v>1409370</v>
          </cell>
          <cell r="AN88">
            <v>40.516809046879303</v>
          </cell>
          <cell r="AO88">
            <v>-1412626</v>
          </cell>
          <cell r="AP88">
            <v>48.151435078995</v>
          </cell>
          <cell r="AQ88">
            <v>570838</v>
          </cell>
          <cell r="AR88">
            <v>41.425518941703501</v>
          </cell>
          <cell r="AS88">
            <v>137185</v>
          </cell>
          <cell r="AT88">
            <v>21.351882188343499</v>
          </cell>
          <cell r="AU88">
            <v>-199932</v>
          </cell>
          <cell r="AV88">
            <v>49.365536816604603</v>
          </cell>
          <cell r="AW88">
            <v>543486</v>
          </cell>
          <cell r="AX88">
            <v>32.3379653802943</v>
          </cell>
          <cell r="AY88">
            <v>-289785</v>
          </cell>
          <cell r="AZ88">
            <v>6.8485195655266304</v>
          </cell>
          <cell r="BA88">
            <v>25092</v>
          </cell>
          <cell r="BB88">
            <v>9.3914460515156399</v>
          </cell>
          <cell r="BC88">
            <v>400975</v>
          </cell>
          <cell r="BD88">
            <v>11.2792111801242</v>
          </cell>
          <cell r="BE88">
            <v>-80957</v>
          </cell>
          <cell r="BF88">
            <v>27.590311302522299</v>
          </cell>
          <cell r="BG88">
            <v>-9217</v>
          </cell>
          <cell r="BH88">
            <v>22.111411435518999</v>
          </cell>
          <cell r="BI88">
            <v>30338</v>
          </cell>
        </row>
        <row r="89">
          <cell r="B89">
            <v>45.488255659969397</v>
          </cell>
          <cell r="C89">
            <v>3196733</v>
          </cell>
          <cell r="D89">
            <v>22.462446956589901</v>
          </cell>
          <cell r="E89">
            <v>-627052</v>
          </cell>
          <cell r="F89">
            <v>27.506850535605</v>
          </cell>
          <cell r="G89">
            <v>9099444</v>
          </cell>
          <cell r="H89">
            <v>29.091421086330101</v>
          </cell>
          <cell r="I89">
            <v>7452443</v>
          </cell>
          <cell r="J89">
            <v>79.566006410457405</v>
          </cell>
          <cell r="K89">
            <v>2778386</v>
          </cell>
          <cell r="L89">
            <v>57.029946121574298</v>
          </cell>
          <cell r="M89">
            <v>878335</v>
          </cell>
          <cell r="N89">
            <v>14.4365769127674</v>
          </cell>
          <cell r="O89">
            <v>237703</v>
          </cell>
          <cell r="P89">
            <v>8.5156160703722605</v>
          </cell>
          <cell r="Q89">
            <v>-344010</v>
          </cell>
          <cell r="R89">
            <v>29.633901187539301</v>
          </cell>
          <cell r="S89">
            <v>2711551</v>
          </cell>
          <cell r="T89">
            <v>14.8369453940899</v>
          </cell>
          <cell r="U89">
            <v>13617</v>
          </cell>
          <cell r="V89">
            <v>46.288023874246598</v>
          </cell>
          <cell r="W89">
            <v>306198</v>
          </cell>
          <cell r="X89">
            <v>11.5397994130784</v>
          </cell>
          <cell r="Y89">
            <v>1415534</v>
          </cell>
          <cell r="Z89">
            <v>35.115249019607802</v>
          </cell>
          <cell r="AA89">
            <v>1065434</v>
          </cell>
          <cell r="AB89">
            <v>7.7669213860111004</v>
          </cell>
          <cell r="AC89">
            <v>122637</v>
          </cell>
          <cell r="AD89">
            <v>15.663989646769901</v>
          </cell>
          <cell r="AE89">
            <v>818697</v>
          </cell>
          <cell r="AF89">
            <v>33.8856509593301</v>
          </cell>
          <cell r="AG89">
            <v>670184</v>
          </cell>
          <cell r="AH89">
            <v>48.204668216236499</v>
          </cell>
          <cell r="AI89">
            <v>-184781</v>
          </cell>
          <cell r="AJ89">
            <v>46.6406172329892</v>
          </cell>
          <cell r="AK89">
            <v>-1278050</v>
          </cell>
          <cell r="AL89">
            <v>28.1688283846213</v>
          </cell>
          <cell r="AM89">
            <v>1755607</v>
          </cell>
          <cell r="AN89">
            <v>40.0403549152633</v>
          </cell>
          <cell r="AO89">
            <v>-5327280</v>
          </cell>
          <cell r="AP89">
            <v>48.186988469783103</v>
          </cell>
          <cell r="AQ89">
            <v>284580</v>
          </cell>
          <cell r="AR89">
            <v>41.380223217836203</v>
          </cell>
          <cell r="AS89">
            <v>-536244</v>
          </cell>
          <cell r="AT89">
            <v>21.3614609652446</v>
          </cell>
          <cell r="AU89">
            <v>81089</v>
          </cell>
          <cell r="AV89">
            <v>49.4865769889308</v>
          </cell>
          <cell r="AW89">
            <v>1333835</v>
          </cell>
          <cell r="AX89">
            <v>31.923579237280201</v>
          </cell>
          <cell r="AY89">
            <v>-341694</v>
          </cell>
          <cell r="AZ89">
            <v>6.8531967321889997</v>
          </cell>
          <cell r="BA89">
            <v>-37927</v>
          </cell>
          <cell r="BB89">
            <v>9.6683081130710207</v>
          </cell>
          <cell r="BC89">
            <v>1539732</v>
          </cell>
          <cell r="BD89">
            <v>11.292357142857099</v>
          </cell>
          <cell r="BE89">
            <v>37799</v>
          </cell>
          <cell r="BF89">
            <v>27.635862160940999</v>
          </cell>
          <cell r="BG89">
            <v>65529</v>
          </cell>
          <cell r="BH89">
            <v>22.168887134075199</v>
          </cell>
          <cell r="BI89">
            <v>116858</v>
          </cell>
        </row>
        <row r="90">
          <cell r="B90">
            <v>45.494777753140802</v>
          </cell>
          <cell r="C90">
            <v>605278</v>
          </cell>
          <cell r="D90">
            <v>22.497637291885901</v>
          </cell>
          <cell r="E90">
            <v>-1448704</v>
          </cell>
          <cell r="F90">
            <v>27.296138052940002</v>
          </cell>
          <cell r="G90">
            <v>-4427818</v>
          </cell>
          <cell r="H90">
            <v>29.3823669559496</v>
          </cell>
          <cell r="I90">
            <v>4615103</v>
          </cell>
          <cell r="J90">
            <v>79.533026955216798</v>
          </cell>
          <cell r="K90">
            <v>-707496</v>
          </cell>
          <cell r="L90">
            <v>57.133925533344801</v>
          </cell>
          <cell r="M90">
            <v>2237038</v>
          </cell>
          <cell r="N90">
            <v>14.5129902798923</v>
          </cell>
          <cell r="O90">
            <v>379666</v>
          </cell>
          <cell r="P90">
            <v>8.6211875920917702</v>
          </cell>
          <cell r="Q90">
            <v>176683</v>
          </cell>
          <cell r="R90">
            <v>29.841826362510599</v>
          </cell>
          <cell r="S90">
            <v>2866405</v>
          </cell>
          <cell r="T90">
            <v>14.655184263719001</v>
          </cell>
          <cell r="U90">
            <v>-541501</v>
          </cell>
          <cell r="V90">
            <v>46.256747363291701</v>
          </cell>
          <cell r="W90">
            <v>-1290961</v>
          </cell>
          <cell r="X90">
            <v>11.635819685912301</v>
          </cell>
          <cell r="Y90">
            <v>890709</v>
          </cell>
          <cell r="Z90">
            <v>35.265221568627403</v>
          </cell>
          <cell r="AA90">
            <v>1218016</v>
          </cell>
          <cell r="AB90">
            <v>7.7827706864111397</v>
          </cell>
          <cell r="AC90">
            <v>88446</v>
          </cell>
          <cell r="AD90">
            <v>15.6985085125275</v>
          </cell>
          <cell r="AE90">
            <v>77388</v>
          </cell>
          <cell r="AF90">
            <v>33.943731965401703</v>
          </cell>
          <cell r="AG90">
            <v>91860</v>
          </cell>
          <cell r="AH90">
            <v>48.227532056023399</v>
          </cell>
          <cell r="AI90">
            <v>182998</v>
          </cell>
          <cell r="AJ90">
            <v>46.656440496158403</v>
          </cell>
          <cell r="AK90">
            <v>55444</v>
          </cell>
          <cell r="AL90">
            <v>28.037507790199101</v>
          </cell>
          <cell r="AM90">
            <v>-903996</v>
          </cell>
          <cell r="AN90">
            <v>39.992887514318298</v>
          </cell>
          <cell r="AO90">
            <v>-525632</v>
          </cell>
          <cell r="AP90">
            <v>48.1616435662743</v>
          </cell>
          <cell r="AQ90">
            <v>-193832</v>
          </cell>
          <cell r="AR90">
            <v>41.396574852204303</v>
          </cell>
          <cell r="AS90">
            <v>197747</v>
          </cell>
          <cell r="AT90">
            <v>21.372206961904599</v>
          </cell>
          <cell r="AU90">
            <v>104959</v>
          </cell>
          <cell r="AV90">
            <v>49.659742626682998</v>
          </cell>
          <cell r="AW90">
            <v>1907721</v>
          </cell>
          <cell r="AX90">
            <v>31.7344386314094</v>
          </cell>
          <cell r="AY90">
            <v>-156937</v>
          </cell>
          <cell r="AZ90">
            <v>6.8271315879250798</v>
          </cell>
          <cell r="BA90">
            <v>-210408</v>
          </cell>
          <cell r="BB90">
            <v>9.7749998299212297</v>
          </cell>
          <cell r="BC90">
            <v>750491</v>
          </cell>
          <cell r="BD90">
            <v>11.3372422360248</v>
          </cell>
          <cell r="BE90">
            <v>133480</v>
          </cell>
          <cell r="BF90">
            <v>27.704257430181901</v>
          </cell>
          <cell r="BG90">
            <v>96385</v>
          </cell>
          <cell r="BH90">
            <v>22.265367174441501</v>
          </cell>
          <cell r="BI90">
            <v>197620</v>
          </cell>
        </row>
        <row r="91">
          <cell r="B91">
            <v>45.39052745363</v>
          </cell>
          <cell r="C91">
            <v>-10180834</v>
          </cell>
          <cell r="D91">
            <v>22.417336613398302</v>
          </cell>
          <cell r="E91">
            <v>-2329218</v>
          </cell>
          <cell r="F91">
            <v>27.134320190970801</v>
          </cell>
          <cell r="G91">
            <v>-3364834</v>
          </cell>
          <cell r="H91">
            <v>29.388805186580601</v>
          </cell>
          <cell r="I91">
            <v>112731</v>
          </cell>
          <cell r="J91">
            <v>79.4569999405076</v>
          </cell>
          <cell r="K91">
            <v>-1621253</v>
          </cell>
          <cell r="L91">
            <v>57.1072664949547</v>
          </cell>
          <cell r="M91">
            <v>-567948</v>
          </cell>
          <cell r="N91">
            <v>14.7015975796573</v>
          </cell>
          <cell r="O91">
            <v>-271788</v>
          </cell>
          <cell r="P91">
            <v>8.52592654255632</v>
          </cell>
          <cell r="Q91">
            <v>-526637</v>
          </cell>
          <cell r="R91">
            <v>29.836336395283599</v>
          </cell>
          <cell r="S91">
            <v>1197958</v>
          </cell>
          <cell r="T91">
            <v>14.541707178306099</v>
          </cell>
          <cell r="U91">
            <v>-491166</v>
          </cell>
          <cell r="V91">
            <v>46.176780015010202</v>
          </cell>
          <cell r="W91">
            <v>-3316611</v>
          </cell>
          <cell r="X91">
            <v>11.668980555015599</v>
          </cell>
          <cell r="Y91">
            <v>-484345</v>
          </cell>
          <cell r="Z91">
            <v>35.267896078431299</v>
          </cell>
          <cell r="AA91">
            <v>22950</v>
          </cell>
          <cell r="AB91">
            <v>7.6878277220089597</v>
          </cell>
          <cell r="AC91">
            <v>-352363</v>
          </cell>
          <cell r="AD91">
            <v>16.182562280390201</v>
          </cell>
          <cell r="AE91">
            <v>933819</v>
          </cell>
          <cell r="AF91">
            <v>33.820337461196303</v>
          </cell>
          <cell r="AG91">
            <v>319008</v>
          </cell>
          <cell r="AH91">
            <v>48.2140741171443</v>
          </cell>
          <cell r="AI91">
            <v>-35741</v>
          </cell>
          <cell r="AJ91">
            <v>46.623321962308403</v>
          </cell>
          <cell r="AK91">
            <v>-307911</v>
          </cell>
          <cell r="AL91">
            <v>28.380834774412101</v>
          </cell>
          <cell r="AM91">
            <v>2376386</v>
          </cell>
          <cell r="AN91">
            <v>40.035197319512299</v>
          </cell>
          <cell r="AO91">
            <v>478904</v>
          </cell>
          <cell r="AP91">
            <v>48.171932882957798</v>
          </cell>
          <cell r="AQ91">
            <v>81883</v>
          </cell>
          <cell r="AR91">
            <v>41.470252644415503</v>
          </cell>
          <cell r="AS91">
            <v>893867</v>
          </cell>
          <cell r="AT91">
            <v>21.395668423372499</v>
          </cell>
          <cell r="AU91">
            <v>236951</v>
          </cell>
          <cell r="AV91">
            <v>49.623939339878298</v>
          </cell>
          <cell r="AW91">
            <v>236070</v>
          </cell>
          <cell r="AX91">
            <v>31.662221027669801</v>
          </cell>
          <cell r="AY91">
            <v>-57958</v>
          </cell>
          <cell r="AZ91">
            <v>6.8101044233653703</v>
          </cell>
          <cell r="BA91">
            <v>-478275</v>
          </cell>
          <cell r="BB91">
            <v>9.6334538601052397</v>
          </cell>
          <cell r="BC91">
            <v>-509658</v>
          </cell>
          <cell r="BD91">
            <v>11.377835403726699</v>
          </cell>
          <cell r="BE91">
            <v>118025</v>
          </cell>
          <cell r="BF91">
            <v>27.712730671639399</v>
          </cell>
          <cell r="BG91">
            <v>11882</v>
          </cell>
          <cell r="BH91">
            <v>22.418896010530499</v>
          </cell>
          <cell r="BI91">
            <v>322279</v>
          </cell>
        </row>
        <row r="92">
          <cell r="B92">
            <v>45.352579557096</v>
          </cell>
          <cell r="C92">
            <v>-3690623</v>
          </cell>
          <cell r="D92">
            <v>22.518855570407101</v>
          </cell>
          <cell r="E92">
            <v>235402</v>
          </cell>
          <cell r="F92">
            <v>27.210997464503599</v>
          </cell>
          <cell r="G92">
            <v>1576371</v>
          </cell>
          <cell r="H92">
            <v>29.387790697836898</v>
          </cell>
          <cell r="I92">
            <v>-20681</v>
          </cell>
          <cell r="J92">
            <v>79.467478890693002</v>
          </cell>
          <cell r="K92">
            <v>227139</v>
          </cell>
          <cell r="L92">
            <v>57.248053365588099</v>
          </cell>
          <cell r="M92">
            <v>3086658</v>
          </cell>
          <cell r="N92">
            <v>14.683669891441101</v>
          </cell>
          <cell r="O92">
            <v>-407153</v>
          </cell>
          <cell r="P92">
            <v>8.4712412205715708</v>
          </cell>
          <cell r="Q92">
            <v>-319829</v>
          </cell>
          <cell r="R92">
            <v>29.530704721319001</v>
          </cell>
          <cell r="S92">
            <v>-5177633</v>
          </cell>
          <cell r="T92">
            <v>14.400286403449201</v>
          </cell>
          <cell r="U92">
            <v>-774926</v>
          </cell>
          <cell r="V92">
            <v>46.311481544203303</v>
          </cell>
          <cell r="W92">
            <v>5802795</v>
          </cell>
          <cell r="X92">
            <v>11.7495068810696</v>
          </cell>
          <cell r="Y92">
            <v>177328</v>
          </cell>
          <cell r="Z92">
            <v>35.180035294117602</v>
          </cell>
          <cell r="AA92">
            <v>-671499</v>
          </cell>
          <cell r="AB92">
            <v>7.6732289143204202</v>
          </cell>
          <cell r="AC92">
            <v>-52815</v>
          </cell>
          <cell r="AD92">
            <v>16.202511720404399</v>
          </cell>
          <cell r="AE92">
            <v>55604</v>
          </cell>
          <cell r="AF92">
            <v>34.305307581508103</v>
          </cell>
          <cell r="AG92">
            <v>2238574</v>
          </cell>
          <cell r="AH92">
            <v>48.3648579629523</v>
          </cell>
          <cell r="AI92">
            <v>2386589</v>
          </cell>
          <cell r="AJ92">
            <v>46.619833984005901</v>
          </cell>
          <cell r="AK92">
            <v>-71673</v>
          </cell>
          <cell r="AL92">
            <v>28.457628959112402</v>
          </cell>
          <cell r="AM92">
            <v>614232</v>
          </cell>
          <cell r="AN92">
            <v>40.067792156656203</v>
          </cell>
          <cell r="AO92">
            <v>366046</v>
          </cell>
          <cell r="AP92">
            <v>48.179534399893001</v>
          </cell>
          <cell r="AQ92">
            <v>61599</v>
          </cell>
          <cell r="AR92">
            <v>41.549582460698197</v>
          </cell>
          <cell r="AS92">
            <v>968310</v>
          </cell>
          <cell r="AT92">
            <v>21.396849415636002</v>
          </cell>
          <cell r="AU92">
            <v>36026</v>
          </cell>
          <cell r="AV92">
            <v>49.747122997082201</v>
          </cell>
          <cell r="AW92">
            <v>1330664</v>
          </cell>
          <cell r="AX92">
            <v>31.6243975512124</v>
          </cell>
          <cell r="AY92">
            <v>-31590</v>
          </cell>
          <cell r="AZ92">
            <v>6.7159347120495596</v>
          </cell>
          <cell r="BA92">
            <v>-1151942</v>
          </cell>
          <cell r="BB92">
            <v>9.7017827061343898</v>
          </cell>
          <cell r="BC92">
            <v>401800</v>
          </cell>
          <cell r="BD92">
            <v>11.378608695652099</v>
          </cell>
          <cell r="BE92">
            <v>1726</v>
          </cell>
          <cell r="BF92">
            <v>27.8234231665549</v>
          </cell>
          <cell r="BG92">
            <v>161740</v>
          </cell>
          <cell r="BH92">
            <v>22.661845371837</v>
          </cell>
          <cell r="BI92">
            <v>521776</v>
          </cell>
        </row>
        <row r="93">
          <cell r="B93">
            <v>45.455190338025702</v>
          </cell>
          <cell r="C93">
            <v>10285436</v>
          </cell>
          <cell r="D93">
            <v>22.2855024083802</v>
          </cell>
          <cell r="E93">
            <v>-4695172</v>
          </cell>
          <cell r="F93">
            <v>27.440824650139501</v>
          </cell>
          <cell r="G93">
            <v>4920180</v>
          </cell>
          <cell r="H93">
            <v>29.4891613196402</v>
          </cell>
          <cell r="I93">
            <v>1624216</v>
          </cell>
          <cell r="J93">
            <v>79.494009372448602</v>
          </cell>
          <cell r="K93">
            <v>584804</v>
          </cell>
          <cell r="L93">
            <v>57.320780094604103</v>
          </cell>
          <cell r="M93">
            <v>1657745</v>
          </cell>
          <cell r="N93">
            <v>15.1367517383999</v>
          </cell>
          <cell r="O93">
            <v>247829</v>
          </cell>
          <cell r="P93">
            <v>8.32748063148874</v>
          </cell>
          <cell r="Q93">
            <v>-856917</v>
          </cell>
          <cell r="R93">
            <v>29.727624492681699</v>
          </cell>
          <cell r="S93">
            <v>1345740</v>
          </cell>
          <cell r="T93">
            <v>14.2353267947075</v>
          </cell>
          <cell r="U93">
            <v>-739747</v>
          </cell>
          <cell r="V93">
            <v>46.342007941909998</v>
          </cell>
          <cell r="W93">
            <v>1268682</v>
          </cell>
          <cell r="X93">
            <v>11.7368489994683</v>
          </cell>
          <cell r="Y93">
            <v>107170</v>
          </cell>
          <cell r="Z93">
            <v>34.913898039215603</v>
          </cell>
          <cell r="AA93">
            <v>-2027038</v>
          </cell>
          <cell r="AB93">
            <v>8.0924163021955096</v>
          </cell>
          <cell r="AC93">
            <v>1654204</v>
          </cell>
          <cell r="AD93">
            <v>16.1815904068444</v>
          </cell>
          <cell r="AE93">
            <v>-49646</v>
          </cell>
          <cell r="AF93">
            <v>34.323332288193399</v>
          </cell>
          <cell r="AG93">
            <v>274295</v>
          </cell>
          <cell r="AH93">
            <v>48.424596579900097</v>
          </cell>
          <cell r="AI93">
            <v>988094</v>
          </cell>
          <cell r="AJ93">
            <v>46.569496486949198</v>
          </cell>
          <cell r="AK93">
            <v>-410235</v>
          </cell>
          <cell r="AL93">
            <v>28.547255623663101</v>
          </cell>
          <cell r="AM93">
            <v>649276</v>
          </cell>
          <cell r="AN93">
            <v>40.111893980336198</v>
          </cell>
          <cell r="AO93">
            <v>509832</v>
          </cell>
          <cell r="AP93">
            <v>48.170957600696198</v>
          </cell>
          <cell r="AQ93">
            <v>-66954</v>
          </cell>
          <cell r="AR93">
            <v>41.652559582195501</v>
          </cell>
          <cell r="AS93">
            <v>1286334</v>
          </cell>
          <cell r="AT93">
            <v>21.421181988015501</v>
          </cell>
          <cell r="AU93">
            <v>243885</v>
          </cell>
          <cell r="AV93">
            <v>49.886480790664002</v>
          </cell>
          <cell r="AW93">
            <v>1539822</v>
          </cell>
          <cell r="AX93">
            <v>31.508674434232798</v>
          </cell>
          <cell r="AY93">
            <v>-96141</v>
          </cell>
          <cell r="AZ93">
            <v>6.5928660868968496</v>
          </cell>
          <cell r="BA93">
            <v>-1620762</v>
          </cell>
          <cell r="BB93">
            <v>9.6536254393681507</v>
          </cell>
          <cell r="BC93">
            <v>-270148</v>
          </cell>
          <cell r="BD93">
            <v>11.2730869565217</v>
          </cell>
          <cell r="BE93">
            <v>-330565</v>
          </cell>
          <cell r="BF93">
            <v>27.8878634899867</v>
          </cell>
          <cell r="BG93">
            <v>94915</v>
          </cell>
          <cell r="BH93">
            <v>22.5909170278941</v>
          </cell>
          <cell r="BI93">
            <v>-151277</v>
          </cell>
        </row>
        <row r="94">
          <cell r="B94">
            <v>45.640798776982898</v>
          </cell>
          <cell r="C94">
            <v>19331795</v>
          </cell>
          <cell r="D94">
            <v>22.7728783186835</v>
          </cell>
          <cell r="E94">
            <v>6242682</v>
          </cell>
          <cell r="F94">
            <v>27.415864024049402</v>
          </cell>
          <cell r="G94">
            <v>-511862</v>
          </cell>
          <cell r="H94">
            <v>29.5290980803804</v>
          </cell>
          <cell r="I94">
            <v>635933</v>
          </cell>
          <cell r="J94">
            <v>79.674197431448107</v>
          </cell>
          <cell r="K94">
            <v>4116519</v>
          </cell>
          <cell r="L94">
            <v>57.448812282583198</v>
          </cell>
          <cell r="M94">
            <v>2926774</v>
          </cell>
          <cell r="N94">
            <v>15.151975760065801</v>
          </cell>
          <cell r="O94">
            <v>-127390</v>
          </cell>
          <cell r="P94">
            <v>8.2071195556726693</v>
          </cell>
          <cell r="Q94">
            <v>-1357402</v>
          </cell>
          <cell r="R94">
            <v>29.893396397628202</v>
          </cell>
          <cell r="S94">
            <v>2572749</v>
          </cell>
          <cell r="T94">
            <v>14.3047101096014</v>
          </cell>
          <cell r="U94">
            <v>441837</v>
          </cell>
          <cell r="V94">
            <v>46.397293811617303</v>
          </cell>
          <cell r="W94">
            <v>2347137</v>
          </cell>
          <cell r="X94">
            <v>11.8469544127666</v>
          </cell>
          <cell r="Y94">
            <v>1124138</v>
          </cell>
          <cell r="Z94">
            <v>35.088215686274502</v>
          </cell>
          <cell r="AA94">
            <v>1343894</v>
          </cell>
          <cell r="AB94">
            <v>7.98373598063937</v>
          </cell>
          <cell r="AC94">
            <v>-426235</v>
          </cell>
          <cell r="AD94">
            <v>16.084081986905201</v>
          </cell>
          <cell r="AE94">
            <v>-92698</v>
          </cell>
          <cell r="AF94">
            <v>34.436165695965997</v>
          </cell>
          <cell r="AG94">
            <v>794296</v>
          </cell>
          <cell r="AH94">
            <v>48.398816258072003</v>
          </cell>
          <cell r="AI94">
            <v>-437329</v>
          </cell>
          <cell r="AJ94">
            <v>46.6057752403322</v>
          </cell>
          <cell r="AK94">
            <v>392790</v>
          </cell>
          <cell r="AL94">
            <v>28.5447688738133</v>
          </cell>
          <cell r="AM94">
            <v>-14257</v>
          </cell>
          <cell r="AN94">
            <v>40.253761930225103</v>
          </cell>
          <cell r="AO94">
            <v>1624676</v>
          </cell>
          <cell r="AP94">
            <v>48.156511343225503</v>
          </cell>
          <cell r="AQ94">
            <v>-110937</v>
          </cell>
          <cell r="AR94">
            <v>41.592137005911802</v>
          </cell>
          <cell r="AS94">
            <v>-751336</v>
          </cell>
          <cell r="AT94">
            <v>21.536147969584999</v>
          </cell>
          <cell r="AU94">
            <v>1200759</v>
          </cell>
          <cell r="AV94">
            <v>49.908747595147503</v>
          </cell>
          <cell r="AW94">
            <v>240574</v>
          </cell>
          <cell r="AX94">
            <v>31.4073654214619</v>
          </cell>
          <cell r="AY94">
            <v>-83537</v>
          </cell>
          <cell r="AZ94">
            <v>6.67237002349954</v>
          </cell>
          <cell r="BA94">
            <v>379304</v>
          </cell>
          <cell r="BB94">
            <v>9.5697575790070495</v>
          </cell>
          <cell r="BC94">
            <v>-384003</v>
          </cell>
          <cell r="BD94">
            <v>11.233739130434699</v>
          </cell>
          <cell r="BE94">
            <v>-123963</v>
          </cell>
          <cell r="BF94">
            <v>27.988450178604801</v>
          </cell>
          <cell r="BG94">
            <v>148502</v>
          </cell>
          <cell r="BH94">
            <v>22.648871690604899</v>
          </cell>
          <cell r="BI94">
            <v>124694</v>
          </cell>
        </row>
        <row r="95">
          <cell r="B95">
            <v>45.6808512315299</v>
          </cell>
          <cell r="C95">
            <v>4612764</v>
          </cell>
          <cell r="D95">
            <v>22.812617138723599</v>
          </cell>
          <cell r="E95">
            <v>536551</v>
          </cell>
          <cell r="F95">
            <v>27.586957518763398</v>
          </cell>
          <cell r="G95">
            <v>3809333</v>
          </cell>
          <cell r="H95">
            <v>29.6013042468511</v>
          </cell>
          <cell r="I95">
            <v>1107716</v>
          </cell>
          <cell r="J95">
            <v>79.668482748494995</v>
          </cell>
          <cell r="K95">
            <v>-86711</v>
          </cell>
          <cell r="L95">
            <v>57.507093766859398</v>
          </cell>
          <cell r="M95">
            <v>1337913</v>
          </cell>
          <cell r="N95">
            <v>15.3584134938546</v>
          </cell>
          <cell r="O95">
            <v>1169674</v>
          </cell>
          <cell r="P95">
            <v>8.1141243893428001</v>
          </cell>
          <cell r="Q95">
            <v>-435757</v>
          </cell>
          <cell r="R95">
            <v>29.869831517176401</v>
          </cell>
          <cell r="S95">
            <v>499762</v>
          </cell>
          <cell r="T95">
            <v>14.2325966194411</v>
          </cell>
          <cell r="U95">
            <v>110800</v>
          </cell>
          <cell r="V95">
            <v>46.403391062423502</v>
          </cell>
          <cell r="W95">
            <v>258972</v>
          </cell>
          <cell r="X95">
            <v>11.927387707704201</v>
          </cell>
          <cell r="Y95">
            <v>702029</v>
          </cell>
          <cell r="Z95">
            <v>35.182429411764701</v>
          </cell>
          <cell r="AA95">
            <v>731375</v>
          </cell>
          <cell r="AB95">
            <v>8.1132800783686498</v>
          </cell>
          <cell r="AC95">
            <v>487200</v>
          </cell>
          <cell r="AD95">
            <v>16.118713659413601</v>
          </cell>
          <cell r="AE95">
            <v>82383</v>
          </cell>
          <cell r="AF95">
            <v>34.620746228885899</v>
          </cell>
          <cell r="AG95">
            <v>633760</v>
          </cell>
          <cell r="AH95">
            <v>48.436083922805302</v>
          </cell>
          <cell r="AI95">
            <v>604141</v>
          </cell>
          <cell r="AJ95">
            <v>46.509562416606798</v>
          </cell>
          <cell r="AK95">
            <v>-1101701</v>
          </cell>
          <cell r="AL95">
            <v>28.662218959719802</v>
          </cell>
          <cell r="AM95">
            <v>966174</v>
          </cell>
          <cell r="AN95">
            <v>40.390671277363303</v>
          </cell>
          <cell r="AO95">
            <v>1479338</v>
          </cell>
          <cell r="AP95">
            <v>48.1695195478896</v>
          </cell>
          <cell r="AQ95">
            <v>98866</v>
          </cell>
          <cell r="AR95">
            <v>41.463248588319502</v>
          </cell>
          <cell r="AS95">
            <v>-1586642</v>
          </cell>
          <cell r="AT95">
            <v>21.560043264945701</v>
          </cell>
          <cell r="AU95">
            <v>247386</v>
          </cell>
          <cell r="AV95">
            <v>50.005573477702399</v>
          </cell>
          <cell r="AW95">
            <v>1069348</v>
          </cell>
          <cell r="AX95">
            <v>31.0152197303231</v>
          </cell>
          <cell r="AY95">
            <v>-318587</v>
          </cell>
          <cell r="AZ95">
            <v>6.67260349424709</v>
          </cell>
          <cell r="BA95">
            <v>-248257</v>
          </cell>
          <cell r="BB95">
            <v>9.5996521924960394</v>
          </cell>
          <cell r="BC95">
            <v>149278</v>
          </cell>
          <cell r="BD95">
            <v>11.1358478260869</v>
          </cell>
          <cell r="BE95">
            <v>-326794</v>
          </cell>
          <cell r="BF95">
            <v>28.0722628383404</v>
          </cell>
          <cell r="BG95">
            <v>121381</v>
          </cell>
          <cell r="BH95">
            <v>22.566489856007699</v>
          </cell>
          <cell r="BI95">
            <v>-169042</v>
          </cell>
        </row>
        <row r="96">
          <cell r="B96">
            <v>45.655631837636797</v>
          </cell>
          <cell r="C96">
            <v>-2652156</v>
          </cell>
          <cell r="D96">
            <v>22.817829715304299</v>
          </cell>
          <cell r="E96">
            <v>201986</v>
          </cell>
          <cell r="F96">
            <v>27.657542754154498</v>
          </cell>
          <cell r="G96">
            <v>1608699</v>
          </cell>
          <cell r="H96">
            <v>29.509946880474999</v>
          </cell>
          <cell r="I96">
            <v>-1408441</v>
          </cell>
          <cell r="J96">
            <v>79.625086772628194</v>
          </cell>
          <cell r="K96">
            <v>-1027511</v>
          </cell>
          <cell r="L96">
            <v>57.473836791253298</v>
          </cell>
          <cell r="M96">
            <v>-731210</v>
          </cell>
          <cell r="N96">
            <v>15.3012953585137</v>
          </cell>
          <cell r="O96">
            <v>-373280</v>
          </cell>
          <cell r="P96">
            <v>8.1078111857796493</v>
          </cell>
          <cell r="Q96">
            <v>232308</v>
          </cell>
          <cell r="R96">
            <v>29.780413863573902</v>
          </cell>
          <cell r="S96">
            <v>-1046443</v>
          </cell>
          <cell r="T96">
            <v>14.379666956344501</v>
          </cell>
          <cell r="U96">
            <v>188920</v>
          </cell>
          <cell r="V96">
            <v>46.3731766384225</v>
          </cell>
          <cell r="W96">
            <v>-1289231</v>
          </cell>
          <cell r="X96">
            <v>11.9087012574624</v>
          </cell>
          <cell r="Y96">
            <v>-311116</v>
          </cell>
          <cell r="Z96">
            <v>35.181121568627397</v>
          </cell>
          <cell r="AA96">
            <v>-10285</v>
          </cell>
          <cell r="AB96">
            <v>8.3070008514882705</v>
          </cell>
          <cell r="AC96">
            <v>755279</v>
          </cell>
          <cell r="AD96">
            <v>16.142238205685398</v>
          </cell>
          <cell r="AE96">
            <v>59406</v>
          </cell>
          <cell r="AF96">
            <v>34.791048933172199</v>
          </cell>
          <cell r="AG96">
            <v>565266</v>
          </cell>
          <cell r="AH96">
            <v>48.399927181552201</v>
          </cell>
          <cell r="AI96">
            <v>-580677</v>
          </cell>
          <cell r="AJ96">
            <v>46.4398573558951</v>
          </cell>
          <cell r="AK96">
            <v>-652762</v>
          </cell>
          <cell r="AL96">
            <v>28.6549142151047</v>
          </cell>
          <cell r="AM96">
            <v>-52914</v>
          </cell>
          <cell r="AN96">
            <v>40.334323813782099</v>
          </cell>
          <cell r="AO96">
            <v>-636475</v>
          </cell>
          <cell r="AP96">
            <v>48.155007561013399</v>
          </cell>
          <cell r="AQ96">
            <v>-109935</v>
          </cell>
          <cell r="AR96">
            <v>41.3170912754168</v>
          </cell>
          <cell r="AS96">
            <v>-1786627</v>
          </cell>
          <cell r="AT96">
            <v>21.540259062187399</v>
          </cell>
          <cell r="AU96">
            <v>-211604</v>
          </cell>
          <cell r="AV96">
            <v>50.078718856603402</v>
          </cell>
          <cell r="AW96">
            <v>823595</v>
          </cell>
          <cell r="AX96">
            <v>30.2159646190252</v>
          </cell>
          <cell r="AY96">
            <v>-632373</v>
          </cell>
          <cell r="AZ96">
            <v>6.6677797027202601</v>
          </cell>
          <cell r="BA96">
            <v>-1091292</v>
          </cell>
          <cell r="BB96">
            <v>9.4716590024973204</v>
          </cell>
          <cell r="BC96">
            <v>-759914</v>
          </cell>
          <cell r="BD96">
            <v>11.0748788819875</v>
          </cell>
          <cell r="BE96">
            <v>-178253</v>
          </cell>
          <cell r="BF96">
            <v>28.133851921770201</v>
          </cell>
          <cell r="BG96">
            <v>142308</v>
          </cell>
          <cell r="BH96">
            <v>22.9789717035266</v>
          </cell>
          <cell r="BI96">
            <v>833241</v>
          </cell>
        </row>
        <row r="97">
          <cell r="B97">
            <v>45.736205180611201</v>
          </cell>
          <cell r="C97">
            <v>8256090</v>
          </cell>
          <cell r="D97">
            <v>23.043141922731099</v>
          </cell>
          <cell r="E97">
            <v>2886841</v>
          </cell>
          <cell r="F97">
            <v>27.605865512768801</v>
          </cell>
          <cell r="G97">
            <v>-1127128</v>
          </cell>
          <cell r="H97">
            <v>29.259087848856201</v>
          </cell>
          <cell r="I97">
            <v>-3908914</v>
          </cell>
          <cell r="J97">
            <v>79.749349837758601</v>
          </cell>
          <cell r="K97">
            <v>3378709</v>
          </cell>
          <cell r="L97">
            <v>57.540759627293603</v>
          </cell>
          <cell r="M97">
            <v>1619757</v>
          </cell>
          <cell r="N97">
            <v>15.690901638381501</v>
          </cell>
          <cell r="O97">
            <v>2140943</v>
          </cell>
          <cell r="P97">
            <v>8.1492339149101802</v>
          </cell>
          <cell r="Q97">
            <v>241528</v>
          </cell>
          <cell r="R97">
            <v>29.776615775899899</v>
          </cell>
          <cell r="S97">
            <v>354252</v>
          </cell>
          <cell r="T97">
            <v>14.5706818833042</v>
          </cell>
          <cell r="U97">
            <v>815475</v>
          </cell>
          <cell r="V97">
            <v>46.359650513750097</v>
          </cell>
          <cell r="W97">
            <v>-623422</v>
          </cell>
          <cell r="X97">
            <v>12.01163219136</v>
          </cell>
          <cell r="Y97">
            <v>55417</v>
          </cell>
          <cell r="Z97">
            <v>35.095799999999997</v>
          </cell>
          <cell r="AA97">
            <v>-646966</v>
          </cell>
          <cell r="AB97">
            <v>8.6662882490463407</v>
          </cell>
          <cell r="AC97">
            <v>1397011</v>
          </cell>
          <cell r="AD97">
            <v>16.281181412953099</v>
          </cell>
          <cell r="AE97">
            <v>324281</v>
          </cell>
          <cell r="AF97">
            <v>34.8267303159463</v>
          </cell>
          <cell r="AG97">
            <v>180780</v>
          </cell>
          <cell r="AH97">
            <v>48.395803709476901</v>
          </cell>
          <cell r="AI97">
            <v>-155176</v>
          </cell>
          <cell r="AJ97">
            <v>46.276568082254997</v>
          </cell>
          <cell r="AK97">
            <v>-2067447</v>
          </cell>
          <cell r="AL97">
            <v>28.817917943103001</v>
          </cell>
          <cell r="AM97">
            <v>1185528</v>
          </cell>
          <cell r="AN97">
            <v>40.2726478800259</v>
          </cell>
          <cell r="AO97">
            <v>-697540</v>
          </cell>
          <cell r="AP97">
            <v>48.162692572058397</v>
          </cell>
          <cell r="AQ97">
            <v>59293</v>
          </cell>
          <cell r="AR97">
            <v>41.279176055777903</v>
          </cell>
          <cell r="AS97">
            <v>-464709</v>
          </cell>
          <cell r="AT97">
            <v>21.536633450369699</v>
          </cell>
          <cell r="AU97">
            <v>-35434</v>
          </cell>
          <cell r="AV97">
            <v>50.221460770765397</v>
          </cell>
          <cell r="AW97">
            <v>1632227</v>
          </cell>
          <cell r="AX97">
            <v>30.2107625363032</v>
          </cell>
          <cell r="AY97">
            <v>-3600</v>
          </cell>
          <cell r="AZ97">
            <v>6.5735709207895603</v>
          </cell>
          <cell r="BA97">
            <v>-869727</v>
          </cell>
          <cell r="BB97">
            <v>9.5333393150311991</v>
          </cell>
          <cell r="BC97">
            <v>349290</v>
          </cell>
          <cell r="BD97">
            <v>10.879801242236001</v>
          </cell>
          <cell r="BE97">
            <v>-616390</v>
          </cell>
          <cell r="BF97">
            <v>28.331990108036699</v>
          </cell>
          <cell r="BG97">
            <v>296306</v>
          </cell>
          <cell r="BH97">
            <v>22.912822588865801</v>
          </cell>
          <cell r="BI97">
            <v>-136163</v>
          </cell>
        </row>
        <row r="98">
          <cell r="B98">
            <v>45.744978471966903</v>
          </cell>
          <cell r="C98">
            <v>408590</v>
          </cell>
          <cell r="D98">
            <v>22.948429362711199</v>
          </cell>
          <cell r="E98">
            <v>-1335312</v>
          </cell>
          <cell r="F98">
            <v>27.727334337731499</v>
          </cell>
          <cell r="G98">
            <v>2725696</v>
          </cell>
          <cell r="H98">
            <v>29.669388458918899</v>
          </cell>
          <cell r="I98">
            <v>6778384</v>
          </cell>
          <cell r="J98">
            <v>79.581966973240895</v>
          </cell>
          <cell r="K98">
            <v>-3913802</v>
          </cell>
          <cell r="L98">
            <v>57.406185534463901</v>
          </cell>
          <cell r="M98">
            <v>-3022139</v>
          </cell>
          <cell r="N98">
            <v>15.4564876139678</v>
          </cell>
          <cell r="O98">
            <v>-860972</v>
          </cell>
          <cell r="P98">
            <v>8.0979569787106307</v>
          </cell>
          <cell r="Q98">
            <v>-791962</v>
          </cell>
          <cell r="R98">
            <v>29.7302851097207</v>
          </cell>
          <cell r="S98">
            <v>-874878</v>
          </cell>
          <cell r="T98">
            <v>14.6737459996128</v>
          </cell>
          <cell r="U98">
            <v>468306</v>
          </cell>
          <cell r="V98">
            <v>46.3283545044386</v>
          </cell>
          <cell r="W98">
            <v>-1332709</v>
          </cell>
          <cell r="X98">
            <v>11.899427875596601</v>
          </cell>
          <cell r="Y98">
            <v>-1289526</v>
          </cell>
          <cell r="Z98">
            <v>34.9645039215686</v>
          </cell>
          <cell r="AA98">
            <v>-970545</v>
          </cell>
          <cell r="AB98">
            <v>8.6871422991650604</v>
          </cell>
          <cell r="AC98">
            <v>83896</v>
          </cell>
          <cell r="AD98">
            <v>16.534823053499899</v>
          </cell>
          <cell r="AE98">
            <v>632370</v>
          </cell>
          <cell r="AF98">
            <v>34.919642340581099</v>
          </cell>
          <cell r="AG98">
            <v>345374</v>
          </cell>
          <cell r="AH98">
            <v>48.375537361508201</v>
          </cell>
          <cell r="AI98">
            <v>-338124</v>
          </cell>
          <cell r="AJ98">
            <v>46.266946073144702</v>
          </cell>
          <cell r="AK98">
            <v>-122929</v>
          </cell>
          <cell r="AL98">
            <v>28.902032821642301</v>
          </cell>
          <cell r="AM98">
            <v>586244</v>
          </cell>
          <cell r="AN98">
            <v>40.147002185592001</v>
          </cell>
          <cell r="AO98">
            <v>-1378572</v>
          </cell>
          <cell r="AP98">
            <v>48.177229429520601</v>
          </cell>
          <cell r="AQ98">
            <v>112314</v>
          </cell>
          <cell r="AR98">
            <v>41.2422735346358</v>
          </cell>
          <cell r="AS98">
            <v>-448803</v>
          </cell>
          <cell r="AT98">
            <v>21.598568403243998</v>
          </cell>
          <cell r="AU98">
            <v>665266</v>
          </cell>
          <cell r="AV98">
            <v>50.144991739242798</v>
          </cell>
          <cell r="AW98">
            <v>-830971</v>
          </cell>
          <cell r="AX98">
            <v>29.615929148871899</v>
          </cell>
          <cell r="AY98">
            <v>-471839</v>
          </cell>
          <cell r="AZ98">
            <v>6.4432551730447001</v>
          </cell>
          <cell r="BA98">
            <v>-1206010</v>
          </cell>
          <cell r="BB98">
            <v>9.5222604081424098</v>
          </cell>
          <cell r="BC98">
            <v>-131813</v>
          </cell>
          <cell r="BD98">
            <v>10.7855838509316</v>
          </cell>
          <cell r="BE98">
            <v>-295021</v>
          </cell>
          <cell r="BF98">
            <v>28.379851850489199</v>
          </cell>
          <cell r="BG98">
            <v>72077</v>
          </cell>
          <cell r="BH98">
            <v>23.035843490757301</v>
          </cell>
          <cell r="BI98">
            <v>270789</v>
          </cell>
        </row>
        <row r="99">
          <cell r="B99">
            <v>45.7444591213604</v>
          </cell>
          <cell r="C99">
            <v>-29520</v>
          </cell>
          <cell r="D99">
            <v>22.4547347818826</v>
          </cell>
          <cell r="E99">
            <v>-1617147</v>
          </cell>
          <cell r="F99">
            <v>27.748776072066999</v>
          </cell>
          <cell r="G99">
            <v>482227</v>
          </cell>
          <cell r="H99">
            <v>29.756727835027899</v>
          </cell>
          <cell r="I99">
            <v>1569752</v>
          </cell>
          <cell r="J99">
            <v>79.4142023965601</v>
          </cell>
          <cell r="K99">
            <v>-3815968</v>
          </cell>
          <cell r="L99">
            <v>57.453135861042597</v>
          </cell>
          <cell r="M99">
            <v>1111512</v>
          </cell>
          <cell r="N99">
            <v>15.551506456219499</v>
          </cell>
          <cell r="O99">
            <v>650009</v>
          </cell>
          <cell r="P99">
            <v>8.1010196712761697</v>
          </cell>
          <cell r="Q99">
            <v>18055</v>
          </cell>
          <cell r="R99">
            <v>29.827171592898399</v>
          </cell>
          <cell r="S99">
            <v>4532240</v>
          </cell>
          <cell r="T99">
            <v>14.7206739109333</v>
          </cell>
          <cell r="U99">
            <v>217100</v>
          </cell>
          <cell r="V99">
            <v>46.422678377991303</v>
          </cell>
          <cell r="W99">
            <v>4192194</v>
          </cell>
          <cell r="X99">
            <v>11.5029957574503</v>
          </cell>
          <cell r="Y99">
            <v>-3836885</v>
          </cell>
          <cell r="Z99">
            <v>34.518725490195997</v>
          </cell>
          <cell r="AA99">
            <v>-3187111</v>
          </cell>
          <cell r="AB99">
            <v>8.6641512959460307</v>
          </cell>
          <cell r="AC99">
            <v>87273</v>
          </cell>
          <cell r="AD99">
            <v>16.624278806917602</v>
          </cell>
          <cell r="AE99">
            <v>223697</v>
          </cell>
          <cell r="AF99">
            <v>34.850677426256702</v>
          </cell>
          <cell r="AG99">
            <v>-288646</v>
          </cell>
          <cell r="AH99">
            <v>48.392958661539602</v>
          </cell>
          <cell r="AI99">
            <v>293656</v>
          </cell>
          <cell r="AJ99">
            <v>46.189388609982998</v>
          </cell>
          <cell r="AK99">
            <v>-1095441</v>
          </cell>
          <cell r="AL99">
            <v>28.974075466677601</v>
          </cell>
          <cell r="AM99">
            <v>550554</v>
          </cell>
          <cell r="AN99">
            <v>40.171653524981402</v>
          </cell>
          <cell r="AO99">
            <v>258369</v>
          </cell>
          <cell r="AP99">
            <v>48.216850937574897</v>
          </cell>
          <cell r="AQ99">
            <v>302078</v>
          </cell>
          <cell r="AR99">
            <v>41.186877336231802</v>
          </cell>
          <cell r="AS99">
            <v>-469632</v>
          </cell>
          <cell r="AT99">
            <v>21.608012898225901</v>
          </cell>
          <cell r="AU99">
            <v>101590</v>
          </cell>
          <cell r="AV99">
            <v>49.460398110826098</v>
          </cell>
          <cell r="AW99">
            <v>-5187581</v>
          </cell>
          <cell r="AX99">
            <v>29.120717193804499</v>
          </cell>
          <cell r="AY99">
            <v>-382246</v>
          </cell>
          <cell r="AZ99">
            <v>6.1906274359575404</v>
          </cell>
          <cell r="BA99">
            <v>-2613384</v>
          </cell>
          <cell r="BB99">
            <v>9.5983260538829498</v>
          </cell>
          <cell r="BC99">
            <v>368170</v>
          </cell>
          <cell r="BD99">
            <v>10.637630434782601</v>
          </cell>
          <cell r="BE99">
            <v>-195565</v>
          </cell>
          <cell r="BF99">
            <v>28.5982246432213</v>
          </cell>
          <cell r="BG99">
            <v>333953</v>
          </cell>
          <cell r="BH99">
            <v>22.908064184112099</v>
          </cell>
          <cell r="BI99">
            <v>-275434</v>
          </cell>
        </row>
        <row r="100">
          <cell r="B100">
            <v>45.625790562791103</v>
          </cell>
          <cell r="C100">
            <v>-12607884</v>
          </cell>
          <cell r="D100">
            <v>22.265751663950599</v>
          </cell>
          <cell r="E100">
            <v>-2538296</v>
          </cell>
          <cell r="F100">
            <v>27.915612329958801</v>
          </cell>
          <cell r="G100">
            <v>3751089</v>
          </cell>
          <cell r="H100">
            <v>29.671355952240202</v>
          </cell>
          <cell r="I100">
            <v>-1471098</v>
          </cell>
          <cell r="J100">
            <v>79.243146295681399</v>
          </cell>
          <cell r="K100">
            <v>-3816752</v>
          </cell>
          <cell r="L100">
            <v>57.2918643653205</v>
          </cell>
          <cell r="M100">
            <v>-3502511</v>
          </cell>
          <cell r="N100">
            <v>15.447429508103999</v>
          </cell>
          <cell r="O100">
            <v>-577054</v>
          </cell>
          <cell r="P100">
            <v>8.0490064868229201</v>
          </cell>
          <cell r="Q100">
            <v>-440664</v>
          </cell>
          <cell r="R100">
            <v>29.752778466455599</v>
          </cell>
          <cell r="S100">
            <v>-876131</v>
          </cell>
          <cell r="T100">
            <v>14.744914296184</v>
          </cell>
          <cell r="U100">
            <v>114048</v>
          </cell>
          <cell r="V100">
            <v>46.471411652917503</v>
          </cell>
          <cell r="W100">
            <v>2293823</v>
          </cell>
          <cell r="X100">
            <v>11.3468073138595</v>
          </cell>
          <cell r="Y100">
            <v>-2004040</v>
          </cell>
          <cell r="Z100">
            <v>34.0979764705882</v>
          </cell>
          <cell r="AA100">
            <v>-2996493</v>
          </cell>
          <cell r="AB100">
            <v>8.6760143034690902</v>
          </cell>
          <cell r="AC100">
            <v>-89865</v>
          </cell>
          <cell r="AD100">
            <v>16.740539179823699</v>
          </cell>
          <cell r="AE100">
            <v>276863</v>
          </cell>
          <cell r="AF100">
            <v>34.626467660171699</v>
          </cell>
          <cell r="AG100">
            <v>-785684</v>
          </cell>
          <cell r="AH100">
            <v>48.418621979231801</v>
          </cell>
          <cell r="AI100">
            <v>437021</v>
          </cell>
          <cell r="AJ100">
            <v>46.127894960218299</v>
          </cell>
          <cell r="AK100">
            <v>-762630</v>
          </cell>
          <cell r="AL100">
            <v>28.9841606926854</v>
          </cell>
          <cell r="AM100">
            <v>90503</v>
          </cell>
          <cell r="AN100">
            <v>40.178160812386302</v>
          </cell>
          <cell r="AO100">
            <v>67569</v>
          </cell>
          <cell r="AP100">
            <v>48.215371137713397</v>
          </cell>
          <cell r="AQ100">
            <v>-9767</v>
          </cell>
          <cell r="AR100">
            <v>41.084843986108503</v>
          </cell>
          <cell r="AS100">
            <v>-1226936</v>
          </cell>
          <cell r="AT100">
            <v>21.619736742707602</v>
          </cell>
          <cell r="AU100">
            <v>121434</v>
          </cell>
          <cell r="AV100">
            <v>49.387122227979098</v>
          </cell>
          <cell r="AW100">
            <v>-742033</v>
          </cell>
          <cell r="AX100">
            <v>29.103794942569198</v>
          </cell>
          <cell r="AY100">
            <v>-12701</v>
          </cell>
          <cell r="AZ100">
            <v>6.1214800711275696</v>
          </cell>
          <cell r="BA100">
            <v>-934181</v>
          </cell>
          <cell r="BB100">
            <v>9.6948986789661191</v>
          </cell>
          <cell r="BC100">
            <v>605045</v>
          </cell>
          <cell r="BD100">
            <v>10.445518633540299</v>
          </cell>
          <cell r="BE100">
            <v>-578873</v>
          </cell>
          <cell r="BF100">
            <v>28.6082384740347</v>
          </cell>
          <cell r="BG100">
            <v>15345</v>
          </cell>
          <cell r="BH100">
            <v>22.984521440361799</v>
          </cell>
          <cell r="BI100">
            <v>165946</v>
          </cell>
        </row>
        <row r="101">
          <cell r="B101">
            <v>45.7165547187765</v>
          </cell>
          <cell r="C101">
            <v>8828810</v>
          </cell>
          <cell r="D101">
            <v>22.281358910788999</v>
          </cell>
          <cell r="E101">
            <v>191267</v>
          </cell>
          <cell r="F101">
            <v>27.837580732467799</v>
          </cell>
          <cell r="G101">
            <v>-1678207</v>
          </cell>
          <cell r="H101">
            <v>29.7001724630864</v>
          </cell>
          <cell r="I101">
            <v>563554</v>
          </cell>
          <cell r="J101">
            <v>79.248648420848994</v>
          </cell>
          <cell r="K101">
            <v>131079</v>
          </cell>
          <cell r="L101">
            <v>57.263667213262302</v>
          </cell>
          <cell r="M101">
            <v>-580975</v>
          </cell>
          <cell r="N101">
            <v>15.391818064637</v>
          </cell>
          <cell r="O101">
            <v>-279416</v>
          </cell>
          <cell r="P101">
            <v>7.8246886727930702</v>
          </cell>
          <cell r="Q101">
            <v>-1136039</v>
          </cell>
          <cell r="R101">
            <v>29.895211529697001</v>
          </cell>
          <cell r="S101">
            <v>2741233</v>
          </cell>
          <cell r="T101">
            <v>15.069024691396899</v>
          </cell>
          <cell r="U101">
            <v>1400878</v>
          </cell>
          <cell r="V101">
            <v>46.5717823109417</v>
          </cell>
          <cell r="W101">
            <v>4593519</v>
          </cell>
          <cell r="X101">
            <v>11.198625160307101</v>
          </cell>
          <cell r="Y101">
            <v>-1273408</v>
          </cell>
          <cell r="Z101">
            <v>33.541545098039201</v>
          </cell>
          <cell r="AA101">
            <v>-3772170</v>
          </cell>
          <cell r="AB101">
            <v>8.6728602829634305</v>
          </cell>
          <cell r="AC101">
            <v>-37629</v>
          </cell>
          <cell r="AD101">
            <v>16.7402788565525</v>
          </cell>
          <cell r="AE101">
            <v>1805</v>
          </cell>
          <cell r="AF101">
            <v>34.831121561561098</v>
          </cell>
          <cell r="AG101">
            <v>-205701</v>
          </cell>
          <cell r="AH101">
            <v>48.473128663868998</v>
          </cell>
          <cell r="AI101">
            <v>506034</v>
          </cell>
          <cell r="AJ101">
            <v>46.124761266616801</v>
          </cell>
          <cell r="AK101">
            <v>-327942</v>
          </cell>
          <cell r="AL101">
            <v>28.993712948789501</v>
          </cell>
          <cell r="AM101">
            <v>133341</v>
          </cell>
          <cell r="AN101">
            <v>40.486548051553498</v>
          </cell>
          <cell r="AO101">
            <v>3193955</v>
          </cell>
          <cell r="AP101">
            <v>48.260192374692501</v>
          </cell>
          <cell r="AQ101">
            <v>347328</v>
          </cell>
          <cell r="AR101">
            <v>41.071005540680197</v>
          </cell>
          <cell r="AS101">
            <v>-154977</v>
          </cell>
          <cell r="AT101">
            <v>21.659973114693901</v>
          </cell>
          <cell r="AU101">
            <v>403292</v>
          </cell>
          <cell r="AV101">
            <v>49.400823276339899</v>
          </cell>
          <cell r="AW101">
            <v>142228</v>
          </cell>
          <cell r="AX101">
            <v>28.9664661516656</v>
          </cell>
          <cell r="AY101">
            <v>-109022</v>
          </cell>
          <cell r="AZ101">
            <v>6.1632217819630899</v>
          </cell>
          <cell r="BA101">
            <v>-150685</v>
          </cell>
          <cell r="BB101">
            <v>9.8161404556578908</v>
          </cell>
          <cell r="BC101">
            <v>730420</v>
          </cell>
          <cell r="BD101">
            <v>10.4530093167701</v>
          </cell>
          <cell r="BE101">
            <v>12217</v>
          </cell>
          <cell r="BF101">
            <v>28.7363603231558</v>
          </cell>
          <cell r="BG101">
            <v>190096</v>
          </cell>
          <cell r="BH101">
            <v>23.039081704933199</v>
          </cell>
          <cell r="BI101">
            <v>114378</v>
          </cell>
        </row>
        <row r="102">
          <cell r="B102">
            <v>45.785877501946899</v>
          </cell>
          <cell r="C102">
            <v>7190851</v>
          </cell>
          <cell r="D102">
            <v>22.255618275727201</v>
          </cell>
          <cell r="E102">
            <v>-335038</v>
          </cell>
          <cell r="F102">
            <v>27.758528725501499</v>
          </cell>
          <cell r="G102">
            <v>0</v>
          </cell>
          <cell r="H102">
            <v>29.712650954108401</v>
          </cell>
          <cell r="I102">
            <v>0</v>
          </cell>
          <cell r="J102">
            <v>79.233106136113307</v>
          </cell>
          <cell r="K102">
            <v>-343276</v>
          </cell>
          <cell r="L102">
            <v>57.171262775697897</v>
          </cell>
          <cell r="M102">
            <v>0</v>
          </cell>
          <cell r="N102">
            <v>15.5163932040865</v>
          </cell>
          <cell r="O102">
            <v>630836</v>
          </cell>
          <cell r="P102">
            <v>7.7378460835431797</v>
          </cell>
          <cell r="Q102">
            <v>-906550</v>
          </cell>
          <cell r="R102">
            <v>29.831700099540701</v>
          </cell>
          <cell r="S102">
            <v>-372567</v>
          </cell>
          <cell r="T102">
            <v>15.0709663413596</v>
          </cell>
          <cell r="U102">
            <v>52879</v>
          </cell>
          <cell r="V102">
            <v>46.689464068743803</v>
          </cell>
          <cell r="W102">
            <v>0</v>
          </cell>
          <cell r="X102">
            <v>11.0314591594269</v>
          </cell>
          <cell r="Y102">
            <v>-1859388</v>
          </cell>
          <cell r="Z102">
            <v>33.6519843137254</v>
          </cell>
          <cell r="AA102">
            <v>774494</v>
          </cell>
          <cell r="AB102">
            <v>8.7391572382179294</v>
          </cell>
          <cell r="AC102">
            <v>277803</v>
          </cell>
          <cell r="AD102">
            <v>17.107621024505701</v>
          </cell>
          <cell r="AE102">
            <v>0</v>
          </cell>
          <cell r="AF102">
            <v>34.986171721368002</v>
          </cell>
          <cell r="AG102">
            <v>538825</v>
          </cell>
          <cell r="AH102">
            <v>48.433995091073001</v>
          </cell>
          <cell r="AI102">
            <v>-249367</v>
          </cell>
          <cell r="AJ102">
            <v>46.094298959602</v>
          </cell>
          <cell r="AK102">
            <v>-612791</v>
          </cell>
          <cell r="AL102">
            <v>28.595588418045601</v>
          </cell>
          <cell r="AM102">
            <v>-3013963</v>
          </cell>
          <cell r="AN102">
            <v>40.2597782240315</v>
          </cell>
          <cell r="AO102">
            <v>-2286218</v>
          </cell>
          <cell r="AP102">
            <v>48.279350719957201</v>
          </cell>
          <cell r="AQ102">
            <v>147181</v>
          </cell>
          <cell r="AR102">
            <v>41.024262347233602</v>
          </cell>
          <cell r="AS102">
            <v>0</v>
          </cell>
          <cell r="AT102">
            <v>21.9421510737698</v>
          </cell>
          <cell r="AU102">
            <v>0</v>
          </cell>
          <cell r="AV102">
            <v>49.267694133092199</v>
          </cell>
          <cell r="AW102">
            <v>0</v>
          </cell>
          <cell r="AX102">
            <v>29.827666985943502</v>
          </cell>
          <cell r="AY102">
            <v>736827</v>
          </cell>
          <cell r="AZ102">
            <v>6.2476867337156499</v>
          </cell>
          <cell r="BA102">
            <v>181536</v>
          </cell>
          <cell r="BB102">
            <v>10.1649624853821</v>
          </cell>
          <cell r="BC102">
            <v>2010607</v>
          </cell>
          <cell r="BD102">
            <v>10.4370683229813</v>
          </cell>
          <cell r="BE102">
            <v>-48146</v>
          </cell>
          <cell r="BF102">
            <v>28.533071509789</v>
          </cell>
          <cell r="BG102">
            <v>-290096</v>
          </cell>
          <cell r="BH102">
            <v>22.894924159790001</v>
          </cell>
          <cell r="BI102">
            <v>0</v>
          </cell>
        </row>
        <row r="103">
          <cell r="B103">
            <v>45.832927951332103</v>
          </cell>
          <cell r="C103">
            <v>5074648</v>
          </cell>
          <cell r="D103">
            <v>22.327015768902001</v>
          </cell>
          <cell r="E103">
            <v>967839</v>
          </cell>
          <cell r="F103">
            <v>27.7967802541419</v>
          </cell>
          <cell r="G103">
            <v>844627</v>
          </cell>
          <cell r="H103">
            <v>29.794944715952902</v>
          </cell>
          <cell r="I103">
            <v>1427494</v>
          </cell>
          <cell r="J103">
            <v>79.212033781550204</v>
          </cell>
          <cell r="K103">
            <v>-455346</v>
          </cell>
          <cell r="L103">
            <v>57.064017838059897</v>
          </cell>
          <cell r="M103">
            <v>-2234857</v>
          </cell>
          <cell r="N103">
            <v>15.4176891760497</v>
          </cell>
          <cell r="O103">
            <v>-479708</v>
          </cell>
          <cell r="P103">
            <v>7.8654408798130904</v>
          </cell>
          <cell r="Q103">
            <v>614204</v>
          </cell>
          <cell r="R103">
            <v>29.771820297941002</v>
          </cell>
          <cell r="S103">
            <v>-1144157</v>
          </cell>
          <cell r="T103">
            <v>15.150478376097499</v>
          </cell>
          <cell r="U103">
            <v>483944</v>
          </cell>
          <cell r="V103">
            <v>46.674440011499399</v>
          </cell>
          <cell r="W103">
            <v>-282154</v>
          </cell>
          <cell r="X103">
            <v>10.9739641918587</v>
          </cell>
          <cell r="Y103">
            <v>-547672</v>
          </cell>
          <cell r="Z103">
            <v>33.280441176470497</v>
          </cell>
          <cell r="AA103">
            <v>-2547273</v>
          </cell>
          <cell r="AB103">
            <v>8.7232509709276904</v>
          </cell>
          <cell r="AC103">
            <v>-59147</v>
          </cell>
          <cell r="AD103">
            <v>17.468342303928601</v>
          </cell>
          <cell r="AE103">
            <v>840109</v>
          </cell>
          <cell r="AF103">
            <v>34.760458430969202</v>
          </cell>
          <cell r="AG103">
            <v>-632857</v>
          </cell>
          <cell r="AH103">
            <v>48.474308558208399</v>
          </cell>
          <cell r="AI103">
            <v>694057</v>
          </cell>
          <cell r="AJ103">
            <v>46.076820914352403</v>
          </cell>
          <cell r="AK103">
            <v>-221919</v>
          </cell>
          <cell r="AL103">
            <v>28.6609549837138</v>
          </cell>
          <cell r="AM103">
            <v>524277</v>
          </cell>
          <cell r="AN103">
            <v>40.198840943640299</v>
          </cell>
          <cell r="AO103">
            <v>-609886</v>
          </cell>
          <cell r="AP103">
            <v>48.219941107873701</v>
          </cell>
          <cell r="AQ103">
            <v>-453592</v>
          </cell>
          <cell r="AR103">
            <v>40.569157763579902</v>
          </cell>
          <cell r="AS103">
            <v>-4897770</v>
          </cell>
          <cell r="AT103">
            <v>22.027743746301599</v>
          </cell>
          <cell r="AU103">
            <v>807368</v>
          </cell>
          <cell r="AV103">
            <v>49.190996104862997</v>
          </cell>
          <cell r="AW103">
            <v>-776681</v>
          </cell>
          <cell r="AX103">
            <v>29.713633253695701</v>
          </cell>
          <cell r="AY103">
            <v>-94527</v>
          </cell>
          <cell r="AZ103">
            <v>6.2994467219754098</v>
          </cell>
          <cell r="BA103">
            <v>573792</v>
          </cell>
          <cell r="BB103">
            <v>10.3128180205277</v>
          </cell>
          <cell r="BC103">
            <v>901134</v>
          </cell>
          <cell r="BD103">
            <v>10.503847826086901</v>
          </cell>
          <cell r="BE103">
            <v>206970</v>
          </cell>
          <cell r="BF103">
            <v>28.4252532487465</v>
          </cell>
          <cell r="BG103">
            <v>-146193</v>
          </cell>
          <cell r="BH103">
            <v>22.744514935718101</v>
          </cell>
          <cell r="BI103">
            <v>-309587</v>
          </cell>
        </row>
        <row r="104">
          <cell r="B104">
            <v>45.967999842388899</v>
          </cell>
          <cell r="C104">
            <v>14796735</v>
          </cell>
          <cell r="D104">
            <v>22.291810192153999</v>
          </cell>
          <cell r="E104">
            <v>-328745</v>
          </cell>
          <cell r="F104">
            <v>28.024310135789499</v>
          </cell>
          <cell r="G104">
            <v>5310238</v>
          </cell>
          <cell r="H104">
            <v>29.8294026785297</v>
          </cell>
          <cell r="I104">
            <v>818644</v>
          </cell>
          <cell r="J104">
            <v>79.216373230494995</v>
          </cell>
          <cell r="K104">
            <v>195454</v>
          </cell>
          <cell r="L104">
            <v>56.751423872635101</v>
          </cell>
          <cell r="M104">
            <v>-6536386</v>
          </cell>
          <cell r="N104">
            <v>15.426998646595599</v>
          </cell>
          <cell r="O104">
            <v>49188</v>
          </cell>
          <cell r="P104">
            <v>7.8006918797276299</v>
          </cell>
          <cell r="Q104">
            <v>-443893</v>
          </cell>
          <cell r="R104">
            <v>29.612251951355599</v>
          </cell>
          <cell r="S104">
            <v>-3258649</v>
          </cell>
          <cell r="T104">
            <v>15.3831739787916</v>
          </cell>
          <cell r="U104">
            <v>1156983</v>
          </cell>
          <cell r="V104">
            <v>46.749907827253899</v>
          </cell>
          <cell r="W104">
            <v>4059664</v>
          </cell>
          <cell r="X104">
            <v>11.011877814317</v>
          </cell>
          <cell r="Y104">
            <v>-305864</v>
          </cell>
          <cell r="Z104">
            <v>33.127192156862698</v>
          </cell>
          <cell r="AA104">
            <v>-1090929</v>
          </cell>
          <cell r="AB104">
            <v>8.5980613667071104</v>
          </cell>
          <cell r="AC104">
            <v>-477964</v>
          </cell>
          <cell r="AD104">
            <v>17.603632307957501</v>
          </cell>
          <cell r="AE104">
            <v>348489</v>
          </cell>
          <cell r="AF104">
            <v>34.8054887957543</v>
          </cell>
          <cell r="AG104">
            <v>163872</v>
          </cell>
          <cell r="AH104">
            <v>48.551677851009899</v>
          </cell>
          <cell r="AI104">
            <v>1325481</v>
          </cell>
          <cell r="AJ104">
            <v>46.219145254547101</v>
          </cell>
          <cell r="AK104">
            <v>1704763</v>
          </cell>
          <cell r="AL104">
            <v>28.557328887752899</v>
          </cell>
          <cell r="AM104">
            <v>-846246</v>
          </cell>
          <cell r="AN104">
            <v>40.040195937159901</v>
          </cell>
          <cell r="AO104">
            <v>-1656687</v>
          </cell>
          <cell r="AP104">
            <v>48.231297195045499</v>
          </cell>
          <cell r="AQ104">
            <v>84280</v>
          </cell>
          <cell r="AR104">
            <v>40.766437793271599</v>
          </cell>
          <cell r="AS104">
            <v>2077969</v>
          </cell>
          <cell r="AT104">
            <v>22.025443738044999</v>
          </cell>
          <cell r="AU104">
            <v>-22145</v>
          </cell>
          <cell r="AV104">
            <v>49.123139138322401</v>
          </cell>
          <cell r="AW104">
            <v>-672352</v>
          </cell>
          <cell r="AX104">
            <v>29.865551972504498</v>
          </cell>
          <cell r="AY104">
            <v>128115</v>
          </cell>
          <cell r="AZ104">
            <v>6.1955503334343396</v>
          </cell>
          <cell r="BA104">
            <v>-935487</v>
          </cell>
          <cell r="BB104">
            <v>10.493264452781901</v>
          </cell>
          <cell r="BC104">
            <v>1344703</v>
          </cell>
          <cell r="BD104">
            <v>10.5148291925465</v>
          </cell>
          <cell r="BE104">
            <v>34716</v>
          </cell>
          <cell r="BF104">
            <v>28.367078755157799</v>
          </cell>
          <cell r="BG104">
            <v>-79184</v>
          </cell>
          <cell r="BH104">
            <v>22.760558447471102</v>
          </cell>
          <cell r="BI104">
            <v>33661</v>
          </cell>
        </row>
        <row r="105">
          <cell r="B105">
            <v>46.000993880916099</v>
          </cell>
          <cell r="C105">
            <v>4396377</v>
          </cell>
          <cell r="D105">
            <v>22.380937848694401</v>
          </cell>
          <cell r="E105">
            <v>1589738</v>
          </cell>
          <cell r="F105">
            <v>28.073918904851102</v>
          </cell>
          <cell r="G105">
            <v>1217520</v>
          </cell>
          <cell r="H105">
            <v>29.715336694281401</v>
          </cell>
          <cell r="I105">
            <v>-1504558</v>
          </cell>
          <cell r="J105">
            <v>79.124247713404401</v>
          </cell>
          <cell r="K105">
            <v>-2072177</v>
          </cell>
          <cell r="L105">
            <v>56.674023993871501</v>
          </cell>
          <cell r="M105">
            <v>-1600823</v>
          </cell>
          <cell r="N105">
            <v>15.8576985633236</v>
          </cell>
          <cell r="O105">
            <v>-59115</v>
          </cell>
          <cell r="P105">
            <v>7.91661953524111</v>
          </cell>
          <cell r="Q105">
            <v>626738</v>
          </cell>
          <cell r="R105">
            <v>29.663645521616601</v>
          </cell>
          <cell r="S105">
            <v>1018316</v>
          </cell>
          <cell r="T105">
            <v>15.5244691886257</v>
          </cell>
          <cell r="U105">
            <v>465515</v>
          </cell>
          <cell r="V105">
            <v>47.069335639950602</v>
          </cell>
          <cell r="W105">
            <v>16615286</v>
          </cell>
          <cell r="X105">
            <v>10.984658771314701</v>
          </cell>
          <cell r="Y105">
            <v>-391834</v>
          </cell>
          <cell r="Z105">
            <v>33.266388235294102</v>
          </cell>
          <cell r="AA105">
            <v>1013447</v>
          </cell>
          <cell r="AB105">
            <v>8.6537847113677309</v>
          </cell>
          <cell r="AC105">
            <v>221001</v>
          </cell>
          <cell r="AD105">
            <v>17.8990992207396</v>
          </cell>
          <cell r="AE105">
            <v>738330</v>
          </cell>
          <cell r="AF105">
            <v>34.881349573472598</v>
          </cell>
          <cell r="AG105">
            <v>281796</v>
          </cell>
          <cell r="AH105">
            <v>48.605106865973802</v>
          </cell>
          <cell r="AI105">
            <v>909259</v>
          </cell>
          <cell r="AJ105">
            <v>46.425466856393598</v>
          </cell>
          <cell r="AK105">
            <v>2688253</v>
          </cell>
          <cell r="AL105">
            <v>28.329749409779001</v>
          </cell>
          <cell r="AM105">
            <v>-1795160</v>
          </cell>
          <cell r="AN105">
            <v>39.974895951534897</v>
          </cell>
          <cell r="AO105">
            <v>-668142</v>
          </cell>
          <cell r="AP105">
            <v>48.292070248177801</v>
          </cell>
          <cell r="AQ105">
            <v>472667</v>
          </cell>
          <cell r="AR105">
            <v>40.926078311815601</v>
          </cell>
          <cell r="AS105">
            <v>1795711</v>
          </cell>
          <cell r="AT105">
            <v>22.013045040841298</v>
          </cell>
          <cell r="AU105">
            <v>-118784</v>
          </cell>
          <cell r="AV105">
            <v>49.094484124985399</v>
          </cell>
          <cell r="AW105">
            <v>-859769</v>
          </cell>
          <cell r="AX105">
            <v>30.046991761232899</v>
          </cell>
          <cell r="AY105">
            <v>153741</v>
          </cell>
          <cell r="AZ105">
            <v>6.2071133295596796</v>
          </cell>
          <cell r="BA105">
            <v>-143683</v>
          </cell>
          <cell r="BB105">
            <v>10.626659724915701</v>
          </cell>
          <cell r="BC105">
            <v>832005</v>
          </cell>
          <cell r="BD105">
            <v>10.6588354037267</v>
          </cell>
          <cell r="BE105">
            <v>455343</v>
          </cell>
          <cell r="BF105">
            <v>28.395936063242299</v>
          </cell>
          <cell r="BG105">
            <v>40095</v>
          </cell>
          <cell r="BH105">
            <v>22.834393999289301</v>
          </cell>
          <cell r="BI105">
            <v>158414</v>
          </cell>
        </row>
        <row r="106">
          <cell r="B106">
            <v>45.984848526507598</v>
          </cell>
          <cell r="C106">
            <v>-1739372</v>
          </cell>
          <cell r="D106">
            <v>22.480490658396398</v>
          </cell>
          <cell r="E106">
            <v>1284323</v>
          </cell>
          <cell r="F106">
            <v>27.1241589589456</v>
          </cell>
          <cell r="G106">
            <v>-20527380</v>
          </cell>
          <cell r="H106">
            <v>29.553226703020499</v>
          </cell>
          <cell r="I106">
            <v>-2403852</v>
          </cell>
          <cell r="J106">
            <v>79.091675834001506</v>
          </cell>
          <cell r="K106">
            <v>-721017</v>
          </cell>
          <cell r="L106">
            <v>56.548481964974798</v>
          </cell>
          <cell r="M106">
            <v>-2582522</v>
          </cell>
          <cell r="N106">
            <v>15.324570531096899</v>
          </cell>
          <cell r="O106">
            <v>194361</v>
          </cell>
          <cell r="P106">
            <v>8.0105326308941596</v>
          </cell>
          <cell r="Q106">
            <v>163068</v>
          </cell>
          <cell r="R106">
            <v>29.7745527743804</v>
          </cell>
          <cell r="S106">
            <v>4334646</v>
          </cell>
          <cell r="T106">
            <v>15.699770632158399</v>
          </cell>
          <cell r="U106">
            <v>821059</v>
          </cell>
          <cell r="V106">
            <v>47.165423541294899</v>
          </cell>
          <cell r="W106">
            <v>4924493</v>
          </cell>
          <cell r="X106">
            <v>10.926198615021701</v>
          </cell>
          <cell r="Y106">
            <v>-829155</v>
          </cell>
          <cell r="Z106">
            <v>33.710801960784302</v>
          </cell>
          <cell r="AA106">
            <v>3174811</v>
          </cell>
          <cell r="AB106">
            <v>8.67749822148674</v>
          </cell>
          <cell r="AC106">
            <v>85712</v>
          </cell>
          <cell r="AD106">
            <v>18.190487735606599</v>
          </cell>
          <cell r="AE106">
            <v>754434</v>
          </cell>
          <cell r="AF106">
            <v>34.765457617910499</v>
          </cell>
          <cell r="AG106">
            <v>-425004</v>
          </cell>
          <cell r="AH106">
            <v>48.6204405658955</v>
          </cell>
          <cell r="AI106">
            <v>261709</v>
          </cell>
          <cell r="AJ106">
            <v>46.552919596631398</v>
          </cell>
          <cell r="AK106">
            <v>1676613</v>
          </cell>
          <cell r="AL106">
            <v>28.283840897452201</v>
          </cell>
          <cell r="AM106">
            <v>-358056</v>
          </cell>
          <cell r="AN106">
            <v>39.938141728092397</v>
          </cell>
          <cell r="AO106">
            <v>-422352</v>
          </cell>
          <cell r="AP106">
            <v>48.319027298594598</v>
          </cell>
          <cell r="AQ106">
            <v>213571</v>
          </cell>
          <cell r="AR106">
            <v>40.915193128496</v>
          </cell>
          <cell r="AS106">
            <v>-92461</v>
          </cell>
          <cell r="AT106">
            <v>22.019111829086999</v>
          </cell>
          <cell r="AU106">
            <v>58719</v>
          </cell>
          <cell r="AV106">
            <v>49.225996735684703</v>
          </cell>
          <cell r="AW106">
            <v>1350171</v>
          </cell>
          <cell r="AX106">
            <v>29.899912055194399</v>
          </cell>
          <cell r="AY106">
            <v>-123037</v>
          </cell>
          <cell r="AZ106">
            <v>6.1960544396606698</v>
          </cell>
          <cell r="BA106">
            <v>-253150</v>
          </cell>
          <cell r="BB106">
            <v>10.6582372856133</v>
          </cell>
          <cell r="BC106">
            <v>185451</v>
          </cell>
          <cell r="BD106">
            <v>10.648059006211099</v>
          </cell>
          <cell r="BE106">
            <v>-30121</v>
          </cell>
          <cell r="BF106">
            <v>28.394728885015599</v>
          </cell>
          <cell r="BG106">
            <v>-17293</v>
          </cell>
          <cell r="BH106">
            <v>22.716415365165801</v>
          </cell>
          <cell r="BI106">
            <v>-249948</v>
          </cell>
        </row>
        <row r="107">
          <cell r="B107">
            <v>45.7881877635335</v>
          </cell>
          <cell r="C107">
            <v>-20709405</v>
          </cell>
          <cell r="D107">
            <v>22.4749645433747</v>
          </cell>
          <cell r="E107">
            <v>94186</v>
          </cell>
          <cell r="F107">
            <v>26.818487557648101</v>
          </cell>
          <cell r="G107">
            <v>-6528573</v>
          </cell>
          <cell r="H107">
            <v>29.535653410400901</v>
          </cell>
          <cell r="I107">
            <v>-287461</v>
          </cell>
          <cell r="J107">
            <v>79.146669438301203</v>
          </cell>
          <cell r="K107">
            <v>1241827</v>
          </cell>
          <cell r="L107">
            <v>56.3484221905561</v>
          </cell>
          <cell r="M107">
            <v>-4062481</v>
          </cell>
          <cell r="N107">
            <v>15.2926876143718</v>
          </cell>
          <cell r="O107">
            <v>-159022</v>
          </cell>
          <cell r="P107">
            <v>7.9168549315130798</v>
          </cell>
          <cell r="Q107">
            <v>-364955</v>
          </cell>
          <cell r="R107">
            <v>29.857267492269902</v>
          </cell>
          <cell r="S107">
            <v>1615368</v>
          </cell>
          <cell r="T107">
            <v>15.642514709719199</v>
          </cell>
          <cell r="U107">
            <v>-92605</v>
          </cell>
          <cell r="V107">
            <v>47.1192858417214</v>
          </cell>
          <cell r="W107">
            <v>-2091933</v>
          </cell>
          <cell r="X107">
            <v>10.790261110586099</v>
          </cell>
          <cell r="Y107">
            <v>-1298086</v>
          </cell>
          <cell r="Z107">
            <v>33.672337254901898</v>
          </cell>
          <cell r="AA107">
            <v>-269670</v>
          </cell>
          <cell r="AB107">
            <v>8.7320224825806694</v>
          </cell>
          <cell r="AC107">
            <v>233677</v>
          </cell>
          <cell r="AD107">
            <v>18.027195625041799</v>
          </cell>
          <cell r="AE107">
            <v>-315986</v>
          </cell>
          <cell r="AF107">
            <v>34.589804025089002</v>
          </cell>
          <cell r="AG107">
            <v>-713760</v>
          </cell>
          <cell r="AH107">
            <v>48.539951573342897</v>
          </cell>
          <cell r="AI107">
            <v>-1350139</v>
          </cell>
          <cell r="AJ107">
            <v>46.643584140254497</v>
          </cell>
          <cell r="AK107">
            <v>1122135</v>
          </cell>
          <cell r="AL107">
            <v>28.2234451732796</v>
          </cell>
          <cell r="AM107">
            <v>-535398</v>
          </cell>
          <cell r="AN107">
            <v>39.968971583842801</v>
          </cell>
          <cell r="AO107">
            <v>414345</v>
          </cell>
          <cell r="AP107">
            <v>48.400844420344399</v>
          </cell>
          <cell r="AQ107">
            <v>666555</v>
          </cell>
          <cell r="AR107">
            <v>41.031011903183902</v>
          </cell>
          <cell r="AS107">
            <v>1286337</v>
          </cell>
          <cell r="AT107">
            <v>21.978624108893101</v>
          </cell>
          <cell r="AU107">
            <v>-386649</v>
          </cell>
          <cell r="AV107">
            <v>49.214267524584102</v>
          </cell>
          <cell r="AW107">
            <v>-118994</v>
          </cell>
          <cell r="AX107">
            <v>29.662011964111201</v>
          </cell>
          <cell r="AY107">
            <v>-196716</v>
          </cell>
          <cell r="AZ107">
            <v>6.3682262512602597</v>
          </cell>
          <cell r="BA107">
            <v>2031766</v>
          </cell>
          <cell r="BB107">
            <v>10.660568435103601</v>
          </cell>
          <cell r="BC107">
            <v>202523</v>
          </cell>
          <cell r="BD107">
            <v>10.619785714285699</v>
          </cell>
          <cell r="BE107">
            <v>-89027</v>
          </cell>
          <cell r="BF107">
            <v>27.874366087719299</v>
          </cell>
          <cell r="BG107">
            <v>-699248</v>
          </cell>
          <cell r="BH107">
            <v>22.4789901312101</v>
          </cell>
          <cell r="BI107">
            <v>-551135</v>
          </cell>
        </row>
        <row r="108">
          <cell r="B108">
            <v>45.816498821036703</v>
          </cell>
          <cell r="C108">
            <v>2776492</v>
          </cell>
          <cell r="D108">
            <v>22.352242549296701</v>
          </cell>
          <cell r="E108">
            <v>-1697178</v>
          </cell>
          <cell r="F108">
            <v>26.821667004245199</v>
          </cell>
          <cell r="G108">
            <v>61381</v>
          </cell>
          <cell r="H108">
            <v>29.449452888735699</v>
          </cell>
          <cell r="I108">
            <v>-1171664</v>
          </cell>
          <cell r="J108">
            <v>79.212999358735402</v>
          </cell>
          <cell r="K108">
            <v>1447767</v>
          </cell>
          <cell r="L108">
            <v>56.156048946108498</v>
          </cell>
          <cell r="M108">
            <v>-3804205</v>
          </cell>
          <cell r="N108">
            <v>15.3756185086099</v>
          </cell>
          <cell r="O108">
            <v>567304</v>
          </cell>
          <cell r="P108">
            <v>7.7424538403562</v>
          </cell>
          <cell r="Q108">
            <v>-1008585</v>
          </cell>
          <cell r="R108">
            <v>29.7665090696023</v>
          </cell>
          <cell r="S108">
            <v>-1697764</v>
          </cell>
          <cell r="T108">
            <v>15.6384050471609</v>
          </cell>
          <cell r="U108">
            <v>110181</v>
          </cell>
          <cell r="V108">
            <v>47.052805621399102</v>
          </cell>
          <cell r="W108">
            <v>-3549794</v>
          </cell>
          <cell r="X108">
            <v>10.699734338787801</v>
          </cell>
          <cell r="Y108">
            <v>-878517</v>
          </cell>
          <cell r="Z108">
            <v>33.6361392156862</v>
          </cell>
          <cell r="AA108">
            <v>-259541</v>
          </cell>
          <cell r="AB108">
            <v>8.7480079477426305</v>
          </cell>
          <cell r="AC108">
            <v>84808</v>
          </cell>
          <cell r="AD108">
            <v>17.916896655045502</v>
          </cell>
          <cell r="AE108">
            <v>-280901</v>
          </cell>
          <cell r="AF108">
            <v>34.673689879532901</v>
          </cell>
          <cell r="AG108">
            <v>355505</v>
          </cell>
          <cell r="AH108">
            <v>48.538880061782102</v>
          </cell>
          <cell r="AI108">
            <v>-50992</v>
          </cell>
          <cell r="AJ108">
            <v>46.628402586605297</v>
          </cell>
          <cell r="AK108">
            <v>-193689</v>
          </cell>
          <cell r="AL108">
            <v>28.2817967385697</v>
          </cell>
          <cell r="AM108">
            <v>446307</v>
          </cell>
          <cell r="AN108">
            <v>39.957811753573402</v>
          </cell>
          <cell r="AO108">
            <v>-140142</v>
          </cell>
          <cell r="AP108">
            <v>48.357724153794301</v>
          </cell>
          <cell r="AQ108">
            <v>-346463</v>
          </cell>
          <cell r="AR108">
            <v>41.071578166008301</v>
          </cell>
          <cell r="AS108">
            <v>451730</v>
          </cell>
          <cell r="AT108">
            <v>21.954412045928201</v>
          </cell>
          <cell r="AU108">
            <v>-229537</v>
          </cell>
          <cell r="AV108">
            <v>49.260207800480103</v>
          </cell>
          <cell r="AW108">
            <v>465119</v>
          </cell>
          <cell r="AX108">
            <v>29.465475383145801</v>
          </cell>
          <cell r="AY108">
            <v>-158917</v>
          </cell>
          <cell r="AZ108">
            <v>6.4211821815125401</v>
          </cell>
          <cell r="BA108">
            <v>338033</v>
          </cell>
          <cell r="BB108">
            <v>10.672609535838101</v>
          </cell>
          <cell r="BC108">
            <v>264716</v>
          </cell>
          <cell r="BD108">
            <v>10.6304968944099</v>
          </cell>
          <cell r="BE108">
            <v>36954</v>
          </cell>
          <cell r="BF108">
            <v>27.654314742405401</v>
          </cell>
          <cell r="BG108">
            <v>-348223</v>
          </cell>
          <cell r="BH108">
            <v>22.324926609522802</v>
          </cell>
          <cell r="BI108">
            <v>-317851</v>
          </cell>
        </row>
        <row r="109">
          <cell r="B109">
            <v>45.810448556194103</v>
          </cell>
          <cell r="C109">
            <v>-105140</v>
          </cell>
          <cell r="D109">
            <v>22.614992117512902</v>
          </cell>
          <cell r="E109">
            <v>807366</v>
          </cell>
          <cell r="F109">
            <v>26.8829268308195</v>
          </cell>
          <cell r="G109">
            <v>1330429</v>
          </cell>
          <cell r="H109">
            <v>29.358116762344402</v>
          </cell>
          <cell r="I109">
            <v>-1663502</v>
          </cell>
          <cell r="J109">
            <v>79.198032020513395</v>
          </cell>
          <cell r="K109">
            <v>-597688</v>
          </cell>
          <cell r="L109">
            <v>56.043718187924298</v>
          </cell>
          <cell r="M109">
            <v>-2185406</v>
          </cell>
          <cell r="N109">
            <v>15.3331633130553</v>
          </cell>
          <cell r="O109">
            <v>176460</v>
          </cell>
          <cell r="P109">
            <v>7.4382467305022901</v>
          </cell>
          <cell r="Q109">
            <v>-1900108</v>
          </cell>
          <cell r="R109">
            <v>29.611066271249499</v>
          </cell>
          <cell r="S109">
            <v>-1467194</v>
          </cell>
          <cell r="T109">
            <v>15.3328111729139</v>
          </cell>
          <cell r="U109">
            <v>-1306233</v>
          </cell>
          <cell r="V109">
            <v>46.996102106470502</v>
          </cell>
          <cell r="W109">
            <v>-2696243</v>
          </cell>
          <cell r="X109">
            <v>10.7388600796726</v>
          </cell>
          <cell r="Y109">
            <v>17853</v>
          </cell>
          <cell r="Z109">
            <v>33.510458823529397</v>
          </cell>
          <cell r="AA109">
            <v>-845480</v>
          </cell>
          <cell r="AB109">
            <v>8.5582554048274897</v>
          </cell>
          <cell r="AC109">
            <v>-655972</v>
          </cell>
          <cell r="AD109">
            <v>17.522324672927599</v>
          </cell>
          <cell r="AE109">
            <v>-780824</v>
          </cell>
          <cell r="AF109">
            <v>34.788131066020298</v>
          </cell>
          <cell r="AG109">
            <v>563066</v>
          </cell>
          <cell r="AH109">
            <v>48.580911642282203</v>
          </cell>
          <cell r="AI109">
            <v>694309</v>
          </cell>
          <cell r="AJ109">
            <v>46.618840169998499</v>
          </cell>
          <cell r="AK109">
            <v>-118317</v>
          </cell>
          <cell r="AL109">
            <v>28.380269906060299</v>
          </cell>
          <cell r="AM109">
            <v>760194</v>
          </cell>
          <cell r="AN109">
            <v>40.058060966350602</v>
          </cell>
          <cell r="AO109">
            <v>1103151</v>
          </cell>
          <cell r="AP109">
            <v>48.384968104184097</v>
          </cell>
          <cell r="AQ109">
            <v>214935</v>
          </cell>
          <cell r="AR109">
            <v>41.108936666578202</v>
          </cell>
          <cell r="AS109">
            <v>156190</v>
          </cell>
          <cell r="AT109">
            <v>21.9702091086249</v>
          </cell>
          <cell r="AU109">
            <v>148759</v>
          </cell>
          <cell r="AV109">
            <v>49.1725244154593</v>
          </cell>
          <cell r="AW109">
            <v>-864679</v>
          </cell>
          <cell r="AX109">
            <v>29.476135125334601</v>
          </cell>
          <cell r="AY109">
            <v>8402</v>
          </cell>
          <cell r="AZ109">
            <v>6.4272590915414902</v>
          </cell>
          <cell r="BA109">
            <v>286922</v>
          </cell>
          <cell r="BB109">
            <v>10.513978381109901</v>
          </cell>
          <cell r="BC109">
            <v>-879475</v>
          </cell>
          <cell r="BD109">
            <v>10.4367453416149</v>
          </cell>
          <cell r="BE109">
            <v>-572253</v>
          </cell>
          <cell r="BF109">
            <v>27.683413486135201</v>
          </cell>
          <cell r="BG109">
            <v>38680</v>
          </cell>
          <cell r="BH109">
            <v>22.3109965519463</v>
          </cell>
          <cell r="BI109">
            <v>-28776</v>
          </cell>
        </row>
        <row r="110">
          <cell r="B110">
            <v>45.836563405577301</v>
          </cell>
          <cell r="C110">
            <v>2741651</v>
          </cell>
          <cell r="D110">
            <v>22.602960079841498</v>
          </cell>
          <cell r="E110">
            <v>-461831</v>
          </cell>
          <cell r="F110">
            <v>26.887797281194899</v>
          </cell>
          <cell r="G110">
            <v>115901</v>
          </cell>
          <cell r="H110">
            <v>29.442539273709901</v>
          </cell>
          <cell r="I110">
            <v>1321750</v>
          </cell>
          <cell r="J110">
            <v>79.258920461637601</v>
          </cell>
          <cell r="K110">
            <v>1317977</v>
          </cell>
          <cell r="L110">
            <v>55.905120365509099</v>
          </cell>
          <cell r="M110">
            <v>-2755477</v>
          </cell>
          <cell r="N110">
            <v>15.495208248532</v>
          </cell>
          <cell r="O110">
            <v>795639</v>
          </cell>
          <cell r="P110">
            <v>7.5422918827126502</v>
          </cell>
          <cell r="Q110">
            <v>445808</v>
          </cell>
          <cell r="R110">
            <v>29.563596315209999</v>
          </cell>
          <cell r="S110">
            <v>492940</v>
          </cell>
          <cell r="T110">
            <v>15.3161219686216</v>
          </cell>
          <cell r="U110">
            <v>-60836</v>
          </cell>
          <cell r="V110">
            <v>46.963645371459997</v>
          </cell>
          <cell r="W110">
            <v>-1575221</v>
          </cell>
          <cell r="X110">
            <v>10.7328742874129</v>
          </cell>
          <cell r="Y110">
            <v>-572622</v>
          </cell>
          <cell r="Z110">
            <v>33.5560549019607</v>
          </cell>
          <cell r="AA110">
            <v>313719</v>
          </cell>
          <cell r="AB110">
            <v>8.6577668359356696</v>
          </cell>
          <cell r="AC110">
            <v>350686</v>
          </cell>
          <cell r="AD110">
            <v>17.178203340763201</v>
          </cell>
          <cell r="AE110">
            <v>-330176</v>
          </cell>
          <cell r="AF110">
            <v>34.730326396915302</v>
          </cell>
          <cell r="AG110">
            <v>-291968</v>
          </cell>
          <cell r="AH110">
            <v>48.595287139911598</v>
          </cell>
          <cell r="AI110">
            <v>237269</v>
          </cell>
          <cell r="AJ110">
            <v>46.581820144010301</v>
          </cell>
          <cell r="AK110">
            <v>-457410</v>
          </cell>
          <cell r="AL110">
            <v>28.275472871233799</v>
          </cell>
          <cell r="AM110">
            <v>-783644</v>
          </cell>
          <cell r="AN110">
            <v>40.060917164794397</v>
          </cell>
          <cell r="AO110">
            <v>29839</v>
          </cell>
          <cell r="AP110">
            <v>48.439721587291899</v>
          </cell>
          <cell r="AQ110">
            <v>439121</v>
          </cell>
          <cell r="AR110">
            <v>41.189061795816599</v>
          </cell>
          <cell r="AS110">
            <v>881659</v>
          </cell>
          <cell r="AT110">
            <v>21.9438450918271</v>
          </cell>
          <cell r="AU110">
            <v>-246043</v>
          </cell>
          <cell r="AV110">
            <v>49.285604815056203</v>
          </cell>
          <cell r="AW110">
            <v>1153340</v>
          </cell>
          <cell r="AX110">
            <v>29.352083245242898</v>
          </cell>
          <cell r="AY110">
            <v>-103505</v>
          </cell>
          <cell r="AZ110">
            <v>6.5543110135298601</v>
          </cell>
          <cell r="BA110">
            <v>1517850</v>
          </cell>
          <cell r="BB110">
            <v>10.5097918269232</v>
          </cell>
          <cell r="BC110">
            <v>-41224</v>
          </cell>
          <cell r="BD110">
            <v>10.452052795030999</v>
          </cell>
          <cell r="BE110">
            <v>74248</v>
          </cell>
          <cell r="BF110">
            <v>27.586908209616698</v>
          </cell>
          <cell r="BG110">
            <v>-130847</v>
          </cell>
          <cell r="BH110">
            <v>22.2485299260426</v>
          </cell>
          <cell r="BI110">
            <v>-124244</v>
          </cell>
        </row>
        <row r="111">
          <cell r="B111">
            <v>45.879120963049502</v>
          </cell>
          <cell r="C111">
            <v>4232828</v>
          </cell>
          <cell r="D111">
            <v>22.8695766221627</v>
          </cell>
          <cell r="E111">
            <v>3008968</v>
          </cell>
          <cell r="F111">
            <v>27.333878685508498</v>
          </cell>
          <cell r="G111">
            <v>8724759</v>
          </cell>
          <cell r="H111">
            <v>29.418661059310701</v>
          </cell>
          <cell r="I111">
            <v>-319241</v>
          </cell>
          <cell r="J111">
            <v>79.165455681856301</v>
          </cell>
          <cell r="K111">
            <v>-2075206</v>
          </cell>
          <cell r="L111">
            <v>55.788235337054999</v>
          </cell>
          <cell r="M111">
            <v>-2313123</v>
          </cell>
          <cell r="N111">
            <v>15.511938962071801</v>
          </cell>
          <cell r="O111">
            <v>415243</v>
          </cell>
          <cell r="P111">
            <v>7.5387856143425998</v>
          </cell>
          <cell r="Q111">
            <v>-597974</v>
          </cell>
          <cell r="R111">
            <v>29.527150864645002</v>
          </cell>
          <cell r="S111">
            <v>-139158</v>
          </cell>
          <cell r="T111">
            <v>15.3205945025761</v>
          </cell>
          <cell r="U111">
            <v>11887</v>
          </cell>
          <cell r="V111">
            <v>46.742841393428201</v>
          </cell>
          <cell r="W111">
            <v>-10534300</v>
          </cell>
          <cell r="X111">
            <v>10.7749965292408</v>
          </cell>
          <cell r="Y111">
            <v>69635</v>
          </cell>
          <cell r="Z111">
            <v>33.535335294117601</v>
          </cell>
          <cell r="AA111">
            <v>-133527</v>
          </cell>
          <cell r="AB111">
            <v>8.5407762955934601</v>
          </cell>
          <cell r="AC111">
            <v>-398662</v>
          </cell>
          <cell r="AD111">
            <v>17.168232959477201</v>
          </cell>
          <cell r="AE111">
            <v>-427127</v>
          </cell>
          <cell r="AF111">
            <v>34.788656106256802</v>
          </cell>
          <cell r="AG111">
            <v>97112</v>
          </cell>
          <cell r="AH111">
            <v>48.514038236286503</v>
          </cell>
          <cell r="AI111">
            <v>-1343014</v>
          </cell>
          <cell r="AJ111">
            <v>46.52532354369</v>
          </cell>
          <cell r="AK111">
            <v>-710621</v>
          </cell>
          <cell r="AL111">
            <v>28.452422866561999</v>
          </cell>
          <cell r="AM111">
            <v>1239182</v>
          </cell>
          <cell r="AN111">
            <v>40.029471944820401</v>
          </cell>
          <cell r="AO111">
            <v>-374404</v>
          </cell>
          <cell r="AP111">
            <v>48.430666917551598</v>
          </cell>
          <cell r="AQ111">
            <v>-73476</v>
          </cell>
          <cell r="AR111">
            <v>41.073630073433797</v>
          </cell>
          <cell r="AS111">
            <v>-1190076</v>
          </cell>
          <cell r="AT111">
            <v>21.931198489541799</v>
          </cell>
          <cell r="AU111">
            <v>-117716</v>
          </cell>
          <cell r="AV111">
            <v>49.3206781690645</v>
          </cell>
          <cell r="AW111">
            <v>354802</v>
          </cell>
          <cell r="AX111">
            <v>29.274736341441901</v>
          </cell>
          <cell r="AY111">
            <v>-61111</v>
          </cell>
          <cell r="AZ111">
            <v>6.5040662027745801</v>
          </cell>
          <cell r="BA111">
            <v>-1038651</v>
          </cell>
          <cell r="BB111">
            <v>10.724257580029899</v>
          </cell>
          <cell r="BC111">
            <v>602323</v>
          </cell>
          <cell r="BD111">
            <v>10.421453416148999</v>
          </cell>
          <cell r="BE111">
            <v>-66414</v>
          </cell>
          <cell r="BF111">
            <v>27.436217876125099</v>
          </cell>
          <cell r="BG111">
            <v>-191558</v>
          </cell>
          <cell r="BH111">
            <v>22.142794750596199</v>
          </cell>
          <cell r="BI111">
            <v>-208224</v>
          </cell>
        </row>
        <row r="112">
          <cell r="B112">
            <v>45.936001735024703</v>
          </cell>
          <cell r="C112">
            <v>5885340</v>
          </cell>
          <cell r="D112">
            <v>22.746458350332901</v>
          </cell>
          <cell r="E112">
            <v>-1647957</v>
          </cell>
          <cell r="F112">
            <v>27.375622143864501</v>
          </cell>
          <cell r="G112">
            <v>844146</v>
          </cell>
          <cell r="H112">
            <v>29.491282243903701</v>
          </cell>
          <cell r="I112">
            <v>1138030</v>
          </cell>
          <cell r="J112">
            <v>79.171646018595197</v>
          </cell>
          <cell r="K112">
            <v>132785</v>
          </cell>
          <cell r="L112">
            <v>55.695278147778502</v>
          </cell>
          <cell r="M112">
            <v>-1841314</v>
          </cell>
          <cell r="N112">
            <v>16.196870315200002</v>
          </cell>
          <cell r="O112">
            <v>454481</v>
          </cell>
          <cell r="P112">
            <v>7.6078267449763803</v>
          </cell>
          <cell r="Q112">
            <v>153150</v>
          </cell>
          <cell r="R112">
            <v>29.484549155577401</v>
          </cell>
          <cell r="S112">
            <v>-797250</v>
          </cell>
          <cell r="T112">
            <v>15.3211791287143</v>
          </cell>
          <cell r="U112">
            <v>236</v>
          </cell>
          <cell r="V112">
            <v>46.631698466861401</v>
          </cell>
          <cell r="W112">
            <v>-5421905</v>
          </cell>
          <cell r="X112">
            <v>10.795333983911901</v>
          </cell>
          <cell r="Y112">
            <v>-1364</v>
          </cell>
          <cell r="Z112">
            <v>33.612803921568599</v>
          </cell>
          <cell r="AA112">
            <v>551824</v>
          </cell>
          <cell r="AB112">
            <v>8.50977797071182</v>
          </cell>
          <cell r="AC112">
            <v>-116258</v>
          </cell>
          <cell r="AD112">
            <v>17.0283959756451</v>
          </cell>
          <cell r="AE112">
            <v>-362077</v>
          </cell>
          <cell r="AF112">
            <v>34.875448523158497</v>
          </cell>
          <cell r="AG112">
            <v>304076</v>
          </cell>
          <cell r="AH112">
            <v>48.509287868366997</v>
          </cell>
          <cell r="AI112">
            <v>-79166</v>
          </cell>
          <cell r="AJ112">
            <v>46.477932968607803</v>
          </cell>
          <cell r="AK112">
            <v>-623585</v>
          </cell>
          <cell r="AL112">
            <v>28.5653672966743</v>
          </cell>
          <cell r="AM112">
            <v>757419</v>
          </cell>
          <cell r="AN112">
            <v>39.918431687714502</v>
          </cell>
          <cell r="AO112">
            <v>-1275795</v>
          </cell>
          <cell r="AP112">
            <v>48.208013885461199</v>
          </cell>
          <cell r="AQ112">
            <v>-1872027</v>
          </cell>
          <cell r="AR112">
            <v>41.0710638636303</v>
          </cell>
          <cell r="AS112">
            <v>-23075</v>
          </cell>
          <cell r="AT112">
            <v>21.962097103456301</v>
          </cell>
          <cell r="AU112">
            <v>291171</v>
          </cell>
          <cell r="AV112">
            <v>49.488841188019201</v>
          </cell>
          <cell r="AW112">
            <v>1749786</v>
          </cell>
          <cell r="AX112">
            <v>29.312690898473999</v>
          </cell>
          <cell r="AY112">
            <v>23855</v>
          </cell>
          <cell r="AZ112">
            <v>6.5194276250212004</v>
          </cell>
          <cell r="BA112">
            <v>142747</v>
          </cell>
          <cell r="BB112">
            <v>10.8479434956005</v>
          </cell>
          <cell r="BC112">
            <v>305096</v>
          </cell>
          <cell r="BD112">
            <v>10.4218229813664</v>
          </cell>
          <cell r="BE112">
            <v>1739</v>
          </cell>
          <cell r="BF112">
            <v>27.362878924622599</v>
          </cell>
          <cell r="BG112">
            <v>-163230</v>
          </cell>
          <cell r="BH112">
            <v>22.0610988150185</v>
          </cell>
          <cell r="BI112">
            <v>-160646</v>
          </cell>
        </row>
        <row r="113">
          <cell r="B113">
            <v>46.010167717183897</v>
          </cell>
          <cell r="C113">
            <v>8809756</v>
          </cell>
          <cell r="D113">
            <v>22.611247075023801</v>
          </cell>
          <cell r="E113">
            <v>-642776</v>
          </cell>
          <cell r="F113">
            <v>27.352139590578201</v>
          </cell>
          <cell r="G113">
            <v>-445418</v>
          </cell>
          <cell r="H113">
            <v>29.559877612972201</v>
          </cell>
          <cell r="I113">
            <v>1075331</v>
          </cell>
          <cell r="J113">
            <v>79.252445029910803</v>
          </cell>
          <cell r="K113">
            <v>1739087</v>
          </cell>
          <cell r="L113">
            <v>55.672701900115797</v>
          </cell>
          <cell r="M113">
            <v>-443428</v>
          </cell>
          <cell r="N113">
            <v>16.019257227838001</v>
          </cell>
          <cell r="O113">
            <v>368372</v>
          </cell>
          <cell r="P113">
            <v>7.7340014771846901</v>
          </cell>
          <cell r="Q113">
            <v>681212</v>
          </cell>
          <cell r="R113">
            <v>29.700981482978602</v>
          </cell>
          <cell r="S113">
            <v>1183299</v>
          </cell>
          <cell r="T113">
            <v>15.3067305112968</v>
          </cell>
          <cell r="U113">
            <v>-59156</v>
          </cell>
          <cell r="V113">
            <v>46.650871086213797</v>
          </cell>
          <cell r="W113">
            <v>963855</v>
          </cell>
          <cell r="X113">
            <v>10.9293212844255</v>
          </cell>
          <cell r="Y113">
            <v>410382</v>
          </cell>
          <cell r="Z113">
            <v>33.7186764705882</v>
          </cell>
          <cell r="AA113">
            <v>759541</v>
          </cell>
          <cell r="AB113">
            <v>8.7656246111749194</v>
          </cell>
          <cell r="AC113">
            <v>915695</v>
          </cell>
          <cell r="AD113">
            <v>17.065813107155201</v>
          </cell>
          <cell r="AE113">
            <v>85055</v>
          </cell>
          <cell r="AF113">
            <v>34.810293290741903</v>
          </cell>
          <cell r="AG113">
            <v>-206157</v>
          </cell>
          <cell r="AH113">
            <v>48.566049653771799</v>
          </cell>
          <cell r="AI113">
            <v>925778</v>
          </cell>
          <cell r="AJ113">
            <v>46.566071734839497</v>
          </cell>
          <cell r="AK113">
            <v>1174157</v>
          </cell>
          <cell r="AL113">
            <v>28.779134746620599</v>
          </cell>
          <cell r="AM113">
            <v>1541241</v>
          </cell>
          <cell r="AN113">
            <v>40.169176927315299</v>
          </cell>
          <cell r="AO113">
            <v>2941985</v>
          </cell>
          <cell r="AP113">
            <v>48.1920416398982</v>
          </cell>
          <cell r="AQ113">
            <v>-135127</v>
          </cell>
          <cell r="AR113">
            <v>41.204183346146699</v>
          </cell>
          <cell r="AS113">
            <v>1445827</v>
          </cell>
          <cell r="AT113">
            <v>22.088707737606502</v>
          </cell>
          <cell r="AU113">
            <v>1218510</v>
          </cell>
          <cell r="AV113">
            <v>49.7192157764268</v>
          </cell>
          <cell r="AW113">
            <v>2305983</v>
          </cell>
          <cell r="AX113">
            <v>29.405095944250199</v>
          </cell>
          <cell r="AY113">
            <v>73153</v>
          </cell>
          <cell r="AZ113">
            <v>6.5964100775504004</v>
          </cell>
          <cell r="BA113">
            <v>797124</v>
          </cell>
          <cell r="BB113">
            <v>11.012485779393399</v>
          </cell>
          <cell r="BC113">
            <v>613700</v>
          </cell>
          <cell r="BD113">
            <v>10.3803913043478</v>
          </cell>
          <cell r="BE113">
            <v>-120784</v>
          </cell>
          <cell r="BF113">
            <v>27.267442863104801</v>
          </cell>
          <cell r="BG113">
            <v>-122248</v>
          </cell>
          <cell r="BH113">
            <v>21.951834275208501</v>
          </cell>
          <cell r="BI113">
            <v>-214487</v>
          </cell>
        </row>
        <row r="114">
          <cell r="B114">
            <v>46.025971590082499</v>
          </cell>
          <cell r="C114">
            <v>1617633</v>
          </cell>
          <cell r="D114">
            <v>22.673212286766699</v>
          </cell>
          <cell r="E114">
            <v>281823</v>
          </cell>
          <cell r="F114">
            <v>27.524694566072</v>
          </cell>
          <cell r="G114">
            <v>3489071</v>
          </cell>
          <cell r="H114">
            <v>29.503450798833001</v>
          </cell>
          <cell r="I114">
            <v>-913945</v>
          </cell>
          <cell r="J114">
            <v>79.212671454906797</v>
          </cell>
          <cell r="K114">
            <v>-864963</v>
          </cell>
          <cell r="L114">
            <v>55.605871189360897</v>
          </cell>
          <cell r="M114">
            <v>-1354867</v>
          </cell>
          <cell r="N114">
            <v>15.964986396008699</v>
          </cell>
          <cell r="O114">
            <v>272588</v>
          </cell>
          <cell r="P114">
            <v>7.7149494306898898</v>
          </cell>
          <cell r="Q114">
            <v>-98889</v>
          </cell>
          <cell r="R114">
            <v>29.6058678348809</v>
          </cell>
          <cell r="S114">
            <v>788362</v>
          </cell>
          <cell r="T114">
            <v>15.213421875681901</v>
          </cell>
          <cell r="U114">
            <v>-391936</v>
          </cell>
          <cell r="V114">
            <v>46.616100928540398</v>
          </cell>
          <cell r="W114">
            <v>-1687439</v>
          </cell>
          <cell r="X114">
            <v>10.938284652359201</v>
          </cell>
          <cell r="Y114">
            <v>157436</v>
          </cell>
          <cell r="Z114">
            <v>33.566249019607802</v>
          </cell>
          <cell r="AA114">
            <v>-1068692</v>
          </cell>
          <cell r="AB114">
            <v>8.7471423288990007</v>
          </cell>
          <cell r="AC114">
            <v>-46631</v>
          </cell>
          <cell r="AD114">
            <v>17.4061423970028</v>
          </cell>
          <cell r="AE114">
            <v>782244</v>
          </cell>
          <cell r="AF114">
            <v>34.747162854644202</v>
          </cell>
          <cell r="AG114">
            <v>-229307</v>
          </cell>
          <cell r="AH114">
            <v>48.613750392564199</v>
          </cell>
          <cell r="AI114">
            <v>795904</v>
          </cell>
          <cell r="AJ114">
            <v>46.580162454978499</v>
          </cell>
          <cell r="AK114">
            <v>183585</v>
          </cell>
          <cell r="AL114">
            <v>28.897629506702401</v>
          </cell>
          <cell r="AM114">
            <v>878120</v>
          </cell>
          <cell r="AN114">
            <v>40.196551442653799</v>
          </cell>
          <cell r="AO114">
            <v>288213</v>
          </cell>
          <cell r="AP114">
            <v>48.104908430410902</v>
          </cell>
          <cell r="AQ114">
            <v>-725552</v>
          </cell>
          <cell r="AR114">
            <v>41.229187985472201</v>
          </cell>
          <cell r="AS114">
            <v>550246</v>
          </cell>
          <cell r="AT114">
            <v>22.1650659458505</v>
          </cell>
          <cell r="AU114">
            <v>752362</v>
          </cell>
          <cell r="AV114">
            <v>49.685091979455301</v>
          </cell>
          <cell r="AW114">
            <v>-335180</v>
          </cell>
          <cell r="AX114">
            <v>29.5238604685354</v>
          </cell>
          <cell r="AY114">
            <v>94213</v>
          </cell>
          <cell r="AZ114">
            <v>6.7627737087161703</v>
          </cell>
          <cell r="BA114">
            <v>2025176</v>
          </cell>
          <cell r="BB114">
            <v>10.9979928089271</v>
          </cell>
          <cell r="BC114">
            <v>-146871</v>
          </cell>
          <cell r="BD114">
            <v>10.416636645962701</v>
          </cell>
          <cell r="BE114">
            <v>116745</v>
          </cell>
          <cell r="BF114">
            <v>27.153508232380599</v>
          </cell>
          <cell r="BG114">
            <v>-147333</v>
          </cell>
          <cell r="BH114">
            <v>21.817145818655799</v>
          </cell>
          <cell r="BI114">
            <v>-267870</v>
          </cell>
        </row>
        <row r="115">
          <cell r="B115">
            <v>46.1268674956765</v>
          </cell>
          <cell r="C115">
            <v>10936592</v>
          </cell>
          <cell r="D115">
            <v>23.1684767371503</v>
          </cell>
          <cell r="E115">
            <v>7033217</v>
          </cell>
          <cell r="F115">
            <v>27.790764262776801</v>
          </cell>
          <cell r="G115">
            <v>5528022</v>
          </cell>
          <cell r="H115">
            <v>29.857261433749201</v>
          </cell>
          <cell r="I115">
            <v>5711974</v>
          </cell>
          <cell r="J115">
            <v>79.1929645239926</v>
          </cell>
          <cell r="K115">
            <v>-433575</v>
          </cell>
          <cell r="L115">
            <v>55.630690246024898</v>
          </cell>
          <cell r="M115">
            <v>506749</v>
          </cell>
          <cell r="N115">
            <v>15.696089027385501</v>
          </cell>
          <cell r="O115">
            <v>-180204</v>
          </cell>
          <cell r="P115">
            <v>7.51627024236116</v>
          </cell>
          <cell r="Q115">
            <v>-1031266</v>
          </cell>
          <cell r="R115">
            <v>29.596990924903601</v>
          </cell>
          <cell r="S115">
            <v>1389739</v>
          </cell>
          <cell r="T115">
            <v>15.1669628172448</v>
          </cell>
          <cell r="U115">
            <v>-158498</v>
          </cell>
          <cell r="V115">
            <v>46.472317753018501</v>
          </cell>
          <cell r="W115">
            <v>-7002282</v>
          </cell>
          <cell r="X115">
            <v>11.102675848305999</v>
          </cell>
          <cell r="Y115">
            <v>919222</v>
          </cell>
          <cell r="Z115">
            <v>32.238158823529403</v>
          </cell>
          <cell r="AA115">
            <v>-8727053</v>
          </cell>
          <cell r="AB115">
            <v>8.9501403685015806</v>
          </cell>
          <cell r="AC115">
            <v>759854</v>
          </cell>
          <cell r="AD115">
            <v>17.571699320026902</v>
          </cell>
          <cell r="AE115">
            <v>389290</v>
          </cell>
          <cell r="AF115">
            <v>34.824513339827902</v>
          </cell>
          <cell r="AG115">
            <v>305152</v>
          </cell>
          <cell r="AH115">
            <v>48.641731623770703</v>
          </cell>
          <cell r="AI115">
            <v>461506</v>
          </cell>
          <cell r="AJ115">
            <v>46.534271866815097</v>
          </cell>
          <cell r="AK115">
            <v>-584449</v>
          </cell>
          <cell r="AL115">
            <v>28.778018300937099</v>
          </cell>
          <cell r="AM115">
            <v>-857160</v>
          </cell>
          <cell r="AN115">
            <v>40.455310476449299</v>
          </cell>
          <cell r="AO115">
            <v>3030013</v>
          </cell>
          <cell r="AP115">
            <v>48.104196954006902</v>
          </cell>
          <cell r="AQ115">
            <v>-3928</v>
          </cell>
          <cell r="AR115">
            <v>41.362371093025097</v>
          </cell>
          <cell r="AS115">
            <v>1473932</v>
          </cell>
          <cell r="AT115">
            <v>22.223850438313299</v>
          </cell>
          <cell r="AU115">
            <v>589226</v>
          </cell>
          <cell r="AV115">
            <v>49.831571021962702</v>
          </cell>
          <cell r="AW115">
            <v>1462181</v>
          </cell>
          <cell r="AX115">
            <v>28.671954589343599</v>
          </cell>
          <cell r="AY115">
            <v>-676650</v>
          </cell>
          <cell r="AZ115">
            <v>6.7984785330794599</v>
          </cell>
          <cell r="BA115">
            <v>358586</v>
          </cell>
          <cell r="BB115">
            <v>10.9003878176411</v>
          </cell>
          <cell r="BC115">
            <v>-135051</v>
          </cell>
          <cell r="BD115">
            <v>10.4232577639751</v>
          </cell>
          <cell r="BE115">
            <v>9716</v>
          </cell>
          <cell r="BF115">
            <v>26.546585007766101</v>
          </cell>
          <cell r="BG115">
            <v>-745679</v>
          </cell>
          <cell r="BH115">
            <v>21.413517715378902</v>
          </cell>
          <cell r="BI115">
            <v>-1253901</v>
          </cell>
        </row>
        <row r="116">
          <cell r="B116">
            <v>46.140911686520298</v>
          </cell>
          <cell r="C116">
            <v>1539719</v>
          </cell>
          <cell r="D116">
            <v>23.2980922222286</v>
          </cell>
          <cell r="E116">
            <v>-1142535</v>
          </cell>
          <cell r="F116">
            <v>27.881053217990502</v>
          </cell>
          <cell r="G116">
            <v>1848693</v>
          </cell>
          <cell r="H116">
            <v>29.848854871376499</v>
          </cell>
          <cell r="I116">
            <v>-131829</v>
          </cell>
          <cell r="J116">
            <v>79.240141650173001</v>
          </cell>
          <cell r="K116">
            <v>1010938</v>
          </cell>
          <cell r="L116">
            <v>55.709586592779502</v>
          </cell>
          <cell r="M116">
            <v>1583877</v>
          </cell>
          <cell r="N116">
            <v>15.7283564722253</v>
          </cell>
          <cell r="O116">
            <v>160878</v>
          </cell>
          <cell r="P116">
            <v>7.5188195303910899</v>
          </cell>
          <cell r="Q116">
            <v>73108</v>
          </cell>
          <cell r="R116">
            <v>29.741085850480101</v>
          </cell>
          <cell r="S116">
            <v>2524468</v>
          </cell>
          <cell r="T116">
            <v>15.236141656986799</v>
          </cell>
          <cell r="U116">
            <v>87277</v>
          </cell>
          <cell r="V116">
            <v>46.538187789475302</v>
          </cell>
          <cell r="W116">
            <v>2692009</v>
          </cell>
          <cell r="X116">
            <v>11.1095574366371</v>
          </cell>
          <cell r="Y116">
            <v>-428344</v>
          </cell>
          <cell r="Z116">
            <v>31.7592196078431</v>
          </cell>
          <cell r="AA116">
            <v>-3884212</v>
          </cell>
          <cell r="AB116">
            <v>9.3436204051009994</v>
          </cell>
          <cell r="AC116">
            <v>1499986</v>
          </cell>
          <cell r="AD116">
            <v>18.026006815436698</v>
          </cell>
          <cell r="AE116">
            <v>1099657</v>
          </cell>
          <cell r="AF116">
            <v>34.696427387575802</v>
          </cell>
          <cell r="AG116">
            <v>-147464</v>
          </cell>
          <cell r="AH116">
            <v>48.639509776810101</v>
          </cell>
          <cell r="AI116">
            <v>-36737</v>
          </cell>
          <cell r="AJ116">
            <v>46.499690046307698</v>
          </cell>
          <cell r="AK116">
            <v>-438724</v>
          </cell>
          <cell r="AL116">
            <v>28.792065580019401</v>
          </cell>
          <cell r="AM116">
            <v>90705</v>
          </cell>
          <cell r="AN116">
            <v>40.487626290799398</v>
          </cell>
          <cell r="AO116">
            <v>372478</v>
          </cell>
          <cell r="AP116">
            <v>48.110891582791801</v>
          </cell>
          <cell r="AQ116">
            <v>56828</v>
          </cell>
          <cell r="AR116">
            <v>41.4507250603112</v>
          </cell>
          <cell r="AS116">
            <v>984699</v>
          </cell>
          <cell r="AT116">
            <v>22.287238390415599</v>
          </cell>
          <cell r="AU116">
            <v>636674</v>
          </cell>
          <cell r="AV116">
            <v>49.904233952236702</v>
          </cell>
          <cell r="AW116">
            <v>734415</v>
          </cell>
          <cell r="AX116">
            <v>28.784712862953899</v>
          </cell>
          <cell r="AY116">
            <v>89572</v>
          </cell>
          <cell r="AZ116">
            <v>6.8005178285886299</v>
          </cell>
          <cell r="BA116">
            <v>-303207</v>
          </cell>
          <cell r="BB116">
            <v>10.832269488683201</v>
          </cell>
          <cell r="BC116">
            <v>-338370</v>
          </cell>
          <cell r="BD116">
            <v>10.4494161490683</v>
          </cell>
          <cell r="BE116">
            <v>134129</v>
          </cell>
          <cell r="BF116">
            <v>26.366853415222099</v>
          </cell>
          <cell r="BG116">
            <v>-225388</v>
          </cell>
          <cell r="BH116">
            <v>21.461825239411102</v>
          </cell>
          <cell r="BI116">
            <v>96805</v>
          </cell>
        </row>
        <row r="117">
          <cell r="B117">
            <v>46.104367733847901</v>
          </cell>
          <cell r="C117">
            <v>-3451280</v>
          </cell>
          <cell r="D117">
            <v>23.266113478602101</v>
          </cell>
          <cell r="E117">
            <v>-441354</v>
          </cell>
          <cell r="F117">
            <v>27.842467083532899</v>
          </cell>
          <cell r="G117">
            <v>-744752</v>
          </cell>
          <cell r="H117">
            <v>29.5438598697597</v>
          </cell>
          <cell r="I117">
            <v>-4708691</v>
          </cell>
          <cell r="J117">
            <v>79.185045483025704</v>
          </cell>
          <cell r="K117">
            <v>-1180734</v>
          </cell>
          <cell r="L117">
            <v>55.640956031587102</v>
          </cell>
          <cell r="M117">
            <v>-1353359</v>
          </cell>
          <cell r="N117">
            <v>15.2346897026438</v>
          </cell>
          <cell r="O117">
            <v>-2362309</v>
          </cell>
          <cell r="P117">
            <v>7.3488912024470698</v>
          </cell>
          <cell r="Q117">
            <v>-868196</v>
          </cell>
          <cell r="R117">
            <v>29.893445061905599</v>
          </cell>
          <cell r="S117">
            <v>2797772</v>
          </cell>
          <cell r="T117">
            <v>15.22192919397</v>
          </cell>
          <cell r="U117">
            <v>171316</v>
          </cell>
          <cell r="V117">
            <v>46.553296721918997</v>
          </cell>
          <cell r="W117">
            <v>748088</v>
          </cell>
          <cell r="X117">
            <v>11.09390353547</v>
          </cell>
          <cell r="Y117">
            <v>-151594</v>
          </cell>
          <cell r="Z117">
            <v>32.043394117646997</v>
          </cell>
          <cell r="AA117">
            <v>-1984608</v>
          </cell>
          <cell r="AB117">
            <v>9.3729041655315495</v>
          </cell>
          <cell r="AC117">
            <v>101219</v>
          </cell>
          <cell r="AD117">
            <v>17.829402003603999</v>
          </cell>
          <cell r="AE117">
            <v>-457026</v>
          </cell>
          <cell r="AF117">
            <v>34.691038816727101</v>
          </cell>
          <cell r="AG117">
            <v>9020</v>
          </cell>
          <cell r="AH117">
            <v>48.660570521280803</v>
          </cell>
          <cell r="AI117">
            <v>339615</v>
          </cell>
          <cell r="AJ117">
            <v>46.484926366921201</v>
          </cell>
          <cell r="AK117">
            <v>-186102</v>
          </cell>
          <cell r="AL117">
            <v>28.667278851049701</v>
          </cell>
          <cell r="AM117">
            <v>-872186</v>
          </cell>
          <cell r="AN117">
            <v>40.513172017206301</v>
          </cell>
          <cell r="AO117">
            <v>274789</v>
          </cell>
          <cell r="AP117">
            <v>48.021024385325198</v>
          </cell>
          <cell r="AQ117">
            <v>-726308</v>
          </cell>
          <cell r="AR117">
            <v>41.429511412740901</v>
          </cell>
          <cell r="AS117">
            <v>-223795</v>
          </cell>
          <cell r="AT117">
            <v>22.365452443645101</v>
          </cell>
          <cell r="AU117">
            <v>776696</v>
          </cell>
          <cell r="AV117">
            <v>49.8685351788234</v>
          </cell>
          <cell r="AW117">
            <v>-350048</v>
          </cell>
          <cell r="AX117">
            <v>28.953081133160701</v>
          </cell>
          <cell r="AY117">
            <v>133271</v>
          </cell>
          <cell r="AZ117">
            <v>6.8250856218231304</v>
          </cell>
          <cell r="BA117">
            <v>450083</v>
          </cell>
          <cell r="BB117">
            <v>10.7347055303857</v>
          </cell>
          <cell r="BC117">
            <v>-1153822</v>
          </cell>
          <cell r="BD117">
            <v>10.3909378881987</v>
          </cell>
          <cell r="BE117">
            <v>-183045</v>
          </cell>
          <cell r="BF117">
            <v>26.410829193478399</v>
          </cell>
          <cell r="BG117">
            <v>56820</v>
          </cell>
          <cell r="BH117">
            <v>21.378286538369199</v>
          </cell>
          <cell r="BI117">
            <v>-116960</v>
          </cell>
        </row>
        <row r="118">
          <cell r="B118">
            <v>46.071392025342199</v>
          </cell>
          <cell r="C118">
            <v>-3433212</v>
          </cell>
          <cell r="D118">
            <v>23.315606827916099</v>
          </cell>
          <cell r="E118">
            <v>214507</v>
          </cell>
          <cell r="F118">
            <v>27.807744816662002</v>
          </cell>
          <cell r="G118">
            <v>-657921</v>
          </cell>
          <cell r="H118">
            <v>29.403557194388</v>
          </cell>
          <cell r="I118">
            <v>-3401980</v>
          </cell>
          <cell r="J118">
            <v>79.068120863959905</v>
          </cell>
          <cell r="K118">
            <v>-2509712</v>
          </cell>
          <cell r="L118">
            <v>55.618372969177202</v>
          </cell>
          <cell r="M118">
            <v>-445438</v>
          </cell>
          <cell r="N118">
            <v>15.9122521804202</v>
          </cell>
          <cell r="O118">
            <v>1688172</v>
          </cell>
          <cell r="P118">
            <v>7.2680777702133801</v>
          </cell>
          <cell r="Q118">
            <v>-378575</v>
          </cell>
          <cell r="R118">
            <v>29.782762938275901</v>
          </cell>
          <cell r="S118">
            <v>-3235451</v>
          </cell>
          <cell r="T118">
            <v>15.0289432417441</v>
          </cell>
          <cell r="U118">
            <v>-288016</v>
          </cell>
          <cell r="V118">
            <v>46.527243476609698</v>
          </cell>
          <cell r="W118">
            <v>-1343509</v>
          </cell>
          <cell r="X118">
            <v>11.1060265221424</v>
          </cell>
          <cell r="Y118">
            <v>-390667</v>
          </cell>
          <cell r="Z118">
            <v>31.364215686274498</v>
          </cell>
          <cell r="AA118">
            <v>-3612005</v>
          </cell>
          <cell r="AB118">
            <v>9.7986427457785403</v>
          </cell>
          <cell r="AC118">
            <v>1645003</v>
          </cell>
          <cell r="AD118">
            <v>18.081984996181401</v>
          </cell>
          <cell r="AE118">
            <v>618920</v>
          </cell>
          <cell r="AF118">
            <v>34.617206603559097</v>
          </cell>
          <cell r="AG118">
            <v>-286039</v>
          </cell>
          <cell r="AH118">
            <v>48.603479892672901</v>
          </cell>
          <cell r="AI118">
            <v>-905856</v>
          </cell>
          <cell r="AJ118">
            <v>46.426091487574197</v>
          </cell>
          <cell r="AK118">
            <v>-752529</v>
          </cell>
          <cell r="AL118">
            <v>28.6346095237867</v>
          </cell>
          <cell r="AM118">
            <v>-255326</v>
          </cell>
          <cell r="AN118">
            <v>40.468475377492901</v>
          </cell>
          <cell r="AO118">
            <v>-496782</v>
          </cell>
          <cell r="AP118">
            <v>47.973610389765398</v>
          </cell>
          <cell r="AQ118">
            <v>-380417</v>
          </cell>
          <cell r="AR118">
            <v>41.437586490283898</v>
          </cell>
          <cell r="AS118">
            <v>89060</v>
          </cell>
          <cell r="AT118">
            <v>22.348216154225</v>
          </cell>
          <cell r="AU118">
            <v>-169081</v>
          </cell>
          <cell r="AV118">
            <v>49.727339995275898</v>
          </cell>
          <cell r="AW118">
            <v>-1359361</v>
          </cell>
          <cell r="AX118">
            <v>29.056725675051901</v>
          </cell>
          <cell r="AY118">
            <v>80530</v>
          </cell>
          <cell r="AZ118">
            <v>6.8364456413393704</v>
          </cell>
          <cell r="BA118">
            <v>75191</v>
          </cell>
          <cell r="BB118">
            <v>10.665942567232101</v>
          </cell>
          <cell r="BC118">
            <v>-180927</v>
          </cell>
          <cell r="BD118">
            <v>10.388170807453401</v>
          </cell>
          <cell r="BE118">
            <v>17803</v>
          </cell>
          <cell r="BF118">
            <v>26.450355657699401</v>
          </cell>
          <cell r="BG118">
            <v>54098</v>
          </cell>
          <cell r="BH118">
            <v>21.390675752506802</v>
          </cell>
          <cell r="BI118">
            <v>26713</v>
          </cell>
        </row>
        <row r="119">
          <cell r="B119">
            <v>46.084125959100497</v>
          </cell>
          <cell r="C119">
            <v>1336713</v>
          </cell>
          <cell r="D119">
            <v>23.216938022429598</v>
          </cell>
          <cell r="E119">
            <v>-1384097</v>
          </cell>
          <cell r="F119">
            <v>28.100708801586102</v>
          </cell>
          <cell r="G119">
            <v>5911212</v>
          </cell>
          <cell r="H119">
            <v>29.3842958819302</v>
          </cell>
          <cell r="I119">
            <v>-289864</v>
          </cell>
          <cell r="J119">
            <v>79.038039032125795</v>
          </cell>
          <cell r="K119">
            <v>-200055</v>
          </cell>
          <cell r="L119">
            <v>55.499448312145702</v>
          </cell>
          <cell r="M119">
            <v>-2304547</v>
          </cell>
          <cell r="N119">
            <v>16.027181200196001</v>
          </cell>
          <cell r="O119">
            <v>192842</v>
          </cell>
          <cell r="P119">
            <v>7.2751947413146203</v>
          </cell>
          <cell r="Q119">
            <v>-73145</v>
          </cell>
          <cell r="R119">
            <v>29.813791645433199</v>
          </cell>
          <cell r="S119">
            <v>537148</v>
          </cell>
          <cell r="T119">
            <v>15.056541627375299</v>
          </cell>
          <cell r="U119">
            <v>108632</v>
          </cell>
          <cell r="V119">
            <v>46.559850463662301</v>
          </cell>
          <cell r="W119">
            <v>1658109</v>
          </cell>
          <cell r="X119">
            <v>10.970946963239999</v>
          </cell>
          <cell r="Y119">
            <v>-1307450</v>
          </cell>
          <cell r="Z119">
            <v>31.394547058823498</v>
          </cell>
          <cell r="AA119">
            <v>-3420102</v>
          </cell>
          <cell r="AB119">
            <v>9.99202866473874</v>
          </cell>
          <cell r="AC119">
            <v>758705</v>
          </cell>
          <cell r="AD119">
            <v>18.255143358723799</v>
          </cell>
          <cell r="AE119">
            <v>426556</v>
          </cell>
          <cell r="AF119">
            <v>34.627083137961002</v>
          </cell>
          <cell r="AG119">
            <v>36756</v>
          </cell>
          <cell r="AH119">
            <v>48.578672552606903</v>
          </cell>
          <cell r="AI119">
            <v>-177794</v>
          </cell>
          <cell r="AJ119">
            <v>46.443203620317199</v>
          </cell>
          <cell r="AK119">
            <v>219016</v>
          </cell>
          <cell r="AL119">
            <v>28.7073193780281</v>
          </cell>
          <cell r="AM119">
            <v>530896</v>
          </cell>
          <cell r="AN119">
            <v>40.452416426076098</v>
          </cell>
          <cell r="AO119">
            <v>-153662</v>
          </cell>
          <cell r="AP119">
            <v>47.9063807548848</v>
          </cell>
          <cell r="AQ119">
            <v>-531076</v>
          </cell>
          <cell r="AR119">
            <v>41.479425253837299</v>
          </cell>
          <cell r="AS119">
            <v>455301</v>
          </cell>
          <cell r="AT119">
            <v>22.3588795158579</v>
          </cell>
          <cell r="AU119">
            <v>102527</v>
          </cell>
          <cell r="AV119">
            <v>49.676618689310402</v>
          </cell>
          <cell r="AW119">
            <v>-566764</v>
          </cell>
          <cell r="AX119">
            <v>29.693550577693799</v>
          </cell>
          <cell r="AY119">
            <v>534908</v>
          </cell>
          <cell r="AZ119">
            <v>6.9084956669735096</v>
          </cell>
          <cell r="BA119">
            <v>2575039</v>
          </cell>
          <cell r="BB119">
            <v>10.729882667537201</v>
          </cell>
          <cell r="BC119">
            <v>326502</v>
          </cell>
          <cell r="BD119">
            <v>10.3988944099378</v>
          </cell>
          <cell r="BE119">
            <v>29477</v>
          </cell>
          <cell r="BF119">
            <v>26.5779256539169</v>
          </cell>
          <cell r="BG119">
            <v>170620</v>
          </cell>
          <cell r="BH119">
            <v>21.475172275145901</v>
          </cell>
          <cell r="BI119">
            <v>172571</v>
          </cell>
        </row>
        <row r="120">
          <cell r="B120">
            <v>45.970809087891503</v>
          </cell>
          <cell r="C120">
            <v>-11430878</v>
          </cell>
          <cell r="D120">
            <v>23.432397719819502</v>
          </cell>
          <cell r="E120">
            <v>1540818</v>
          </cell>
          <cell r="F120">
            <v>27.840856274537199</v>
          </cell>
          <cell r="G120">
            <v>-5039805</v>
          </cell>
          <cell r="H120">
            <v>29.253336843520199</v>
          </cell>
          <cell r="I120">
            <v>-1967106</v>
          </cell>
          <cell r="J120">
            <v>78.841193874830196</v>
          </cell>
          <cell r="K120">
            <v>-4166952</v>
          </cell>
          <cell r="L120">
            <v>55.451596419761003</v>
          </cell>
          <cell r="M120">
            <v>-885696</v>
          </cell>
          <cell r="N120">
            <v>15.7837674224339</v>
          </cell>
          <cell r="O120">
            <v>307030</v>
          </cell>
          <cell r="P120">
            <v>7.3013913052449801</v>
          </cell>
          <cell r="Q120">
            <v>-14862</v>
          </cell>
          <cell r="R120">
            <v>29.786058919759999</v>
          </cell>
          <cell r="S120">
            <v>1116276</v>
          </cell>
          <cell r="T120">
            <v>15.182836712868401</v>
          </cell>
          <cell r="U120">
            <v>509467</v>
          </cell>
          <cell r="V120">
            <v>46.585817686810103</v>
          </cell>
          <cell r="W120">
            <v>1300147</v>
          </cell>
          <cell r="X120">
            <v>11.0108152956368</v>
          </cell>
          <cell r="Y120">
            <v>224349</v>
          </cell>
          <cell r="Z120">
            <v>31.182852941176399</v>
          </cell>
          <cell r="AA120">
            <v>-1358995</v>
          </cell>
          <cell r="AB120">
            <v>9.8449860056665894</v>
          </cell>
          <cell r="AC120">
            <v>-533984</v>
          </cell>
          <cell r="AD120">
            <v>18.364965069389601</v>
          </cell>
          <cell r="AE120">
            <v>256224</v>
          </cell>
          <cell r="AF120">
            <v>34.569873849411302</v>
          </cell>
          <cell r="AG120">
            <v>26951</v>
          </cell>
          <cell r="AH120">
            <v>48.621721453278496</v>
          </cell>
          <cell r="AI120">
            <v>453214</v>
          </cell>
          <cell r="AJ120">
            <v>46.4513503515957</v>
          </cell>
          <cell r="AK120">
            <v>105295</v>
          </cell>
          <cell r="AL120">
            <v>28.587470263004001</v>
          </cell>
          <cell r="AM120">
            <v>-928434</v>
          </cell>
          <cell r="AN120">
            <v>40.325302076781703</v>
          </cell>
          <cell r="AO120">
            <v>-1328048</v>
          </cell>
          <cell r="AP120">
            <v>47.898331567403297</v>
          </cell>
          <cell r="AQ120">
            <v>-64096</v>
          </cell>
          <cell r="AR120">
            <v>41.450014580737502</v>
          </cell>
          <cell r="AS120">
            <v>-319900</v>
          </cell>
          <cell r="AT120">
            <v>22.3796346801855</v>
          </cell>
          <cell r="AU120">
            <v>198263</v>
          </cell>
          <cell r="AV120">
            <v>49.716950968614597</v>
          </cell>
          <cell r="AW120">
            <v>370899</v>
          </cell>
          <cell r="AX120">
            <v>29.653331115323599</v>
          </cell>
          <cell r="AY120">
            <v>-34054</v>
          </cell>
          <cell r="AZ120">
            <v>6.71935386732381</v>
          </cell>
          <cell r="BA120">
            <v>-396612</v>
          </cell>
          <cell r="BB120">
            <v>10.693315733313201</v>
          </cell>
          <cell r="BC120">
            <v>-76857</v>
          </cell>
          <cell r="BD120">
            <v>10.351462732919201</v>
          </cell>
          <cell r="BE120">
            <v>-156004</v>
          </cell>
          <cell r="BF120">
            <v>26.671625678175399</v>
          </cell>
          <cell r="BG120">
            <v>139949</v>
          </cell>
          <cell r="BH120">
            <v>21.449956580489399</v>
          </cell>
          <cell r="BI120">
            <v>-51710</v>
          </cell>
        </row>
        <row r="121">
          <cell r="B121">
            <v>45.853267486193701</v>
          </cell>
          <cell r="C121">
            <v>-11577109</v>
          </cell>
          <cell r="D121">
            <v>23.590908820521701</v>
          </cell>
          <cell r="E121">
            <v>2254881</v>
          </cell>
          <cell r="F121">
            <v>27.678370583602401</v>
          </cell>
          <cell r="G121">
            <v>-3084641</v>
          </cell>
          <cell r="H121">
            <v>29.100252168923799</v>
          </cell>
          <cell r="I121">
            <v>-2319732</v>
          </cell>
          <cell r="J121">
            <v>78.630712318061896</v>
          </cell>
          <cell r="K121">
            <v>-4352623</v>
          </cell>
          <cell r="L121">
            <v>55.285951623165097</v>
          </cell>
          <cell r="M121">
            <v>-3072816</v>
          </cell>
          <cell r="N121">
            <v>15.8204801319784</v>
          </cell>
          <cell r="O121">
            <v>136624</v>
          </cell>
          <cell r="P121">
            <v>7.1544816959366502</v>
          </cell>
          <cell r="Q121">
            <v>-651376</v>
          </cell>
          <cell r="R121">
            <v>29.8620347722362</v>
          </cell>
          <cell r="S121">
            <v>1270513</v>
          </cell>
          <cell r="T121">
            <v>15.2749585286233</v>
          </cell>
          <cell r="U121">
            <v>392138</v>
          </cell>
          <cell r="V121">
            <v>46.605875760944798</v>
          </cell>
          <cell r="W121">
            <v>993510</v>
          </cell>
          <cell r="X121">
            <v>11.015497947937501</v>
          </cell>
          <cell r="Y121">
            <v>-100928</v>
          </cell>
          <cell r="Z121">
            <v>30.826888235294099</v>
          </cell>
          <cell r="AA121">
            <v>-523866</v>
          </cell>
          <cell r="AB121">
            <v>9.7469112517402792</v>
          </cell>
          <cell r="AC121">
            <v>-419544</v>
          </cell>
          <cell r="AD121">
            <v>18.310852538754901</v>
          </cell>
          <cell r="AE121">
            <v>-121637</v>
          </cell>
          <cell r="AF121">
            <v>34.442871891714603</v>
          </cell>
          <cell r="AG121">
            <v>-435691</v>
          </cell>
          <cell r="AH121">
            <v>48.543619345099202</v>
          </cell>
          <cell r="AI121">
            <v>-1192062</v>
          </cell>
          <cell r="AJ121">
            <v>46.434232041580998</v>
          </cell>
          <cell r="AK121">
            <v>-209840</v>
          </cell>
          <cell r="AL121">
            <v>28.473858623685601</v>
          </cell>
          <cell r="AM121">
            <v>-936513</v>
          </cell>
          <cell r="AN121">
            <v>40.305861325844504</v>
          </cell>
          <cell r="AO121">
            <v>-203622</v>
          </cell>
          <cell r="AP121">
            <v>47.837417284872402</v>
          </cell>
          <cell r="AQ121">
            <v>-487434</v>
          </cell>
          <cell r="AR121">
            <v>41.375451340102302</v>
          </cell>
          <cell r="AS121">
            <v>-794000</v>
          </cell>
          <cell r="AT121">
            <v>22.383594275238099</v>
          </cell>
          <cell r="AU121">
            <v>37554</v>
          </cell>
          <cell r="AV121">
            <v>49.587636675956901</v>
          </cell>
          <cell r="AW121">
            <v>-1151730</v>
          </cell>
          <cell r="AX121">
            <v>29.810243447949599</v>
          </cell>
          <cell r="AY121">
            <v>131860</v>
          </cell>
          <cell r="AZ121">
            <v>6.5625806427020796</v>
          </cell>
          <cell r="BA121">
            <v>-648313</v>
          </cell>
          <cell r="BB121">
            <v>10.6525503512828</v>
          </cell>
          <cell r="BC121">
            <v>-204994</v>
          </cell>
          <cell r="BD121">
            <v>10.273251552794999</v>
          </cell>
          <cell r="BE121">
            <v>-252447</v>
          </cell>
          <cell r="BF121">
            <v>26.626730145079801</v>
          </cell>
          <cell r="BG121">
            <v>-60200</v>
          </cell>
          <cell r="BH121">
            <v>21.414511764887699</v>
          </cell>
          <cell r="BI121">
            <v>-65603</v>
          </cell>
        </row>
        <row r="122">
          <cell r="B122">
            <v>45.788713224147003</v>
          </cell>
          <cell r="C122">
            <v>-6422642</v>
          </cell>
          <cell r="D122">
            <v>23.675677421792901</v>
          </cell>
          <cell r="E122">
            <v>-307906</v>
          </cell>
          <cell r="F122">
            <v>27.543080602656001</v>
          </cell>
          <cell r="G122">
            <v>-2635157</v>
          </cell>
          <cell r="H122">
            <v>29.028237441789098</v>
          </cell>
          <cell r="I122">
            <v>-1084072</v>
          </cell>
          <cell r="J122">
            <v>78.473863698482305</v>
          </cell>
          <cell r="K122">
            <v>-3246847</v>
          </cell>
          <cell r="L122">
            <v>55.192144862079303</v>
          </cell>
          <cell r="M122">
            <v>-1713474</v>
          </cell>
          <cell r="N122">
            <v>15.604976811234</v>
          </cell>
          <cell r="O122">
            <v>-321936</v>
          </cell>
          <cell r="P122">
            <v>7.0715446917487501</v>
          </cell>
          <cell r="Q122">
            <v>-465017</v>
          </cell>
          <cell r="R122">
            <v>29.7796461504864</v>
          </cell>
          <cell r="S122">
            <v>-1427226</v>
          </cell>
          <cell r="T122">
            <v>15.102934447382999</v>
          </cell>
          <cell r="U122">
            <v>-689188</v>
          </cell>
          <cell r="V122">
            <v>46.610124108760203</v>
          </cell>
          <cell r="W122">
            <v>415154</v>
          </cell>
          <cell r="X122">
            <v>10.970795561087099</v>
          </cell>
          <cell r="Y122">
            <v>-454133</v>
          </cell>
          <cell r="Z122">
            <v>30.8639823529411</v>
          </cell>
          <cell r="AA122">
            <v>-390962</v>
          </cell>
          <cell r="AB122">
            <v>9.6616609952885408</v>
          </cell>
          <cell r="AC122">
            <v>-314206</v>
          </cell>
          <cell r="AD122">
            <v>18.4540824025547</v>
          </cell>
          <cell r="AE122">
            <v>330788</v>
          </cell>
          <cell r="AF122">
            <v>34.210334334317899</v>
          </cell>
          <cell r="AG122">
            <v>-698387</v>
          </cell>
          <cell r="AH122">
            <v>48.700720182625901</v>
          </cell>
          <cell r="AI122">
            <v>2331323</v>
          </cell>
          <cell r="AJ122">
            <v>46.418795402946998</v>
          </cell>
          <cell r="AK122">
            <v>-155625</v>
          </cell>
          <cell r="AL122">
            <v>28.417967226205299</v>
          </cell>
          <cell r="AM122">
            <v>-446491</v>
          </cell>
          <cell r="AN122">
            <v>40.264153907069598</v>
          </cell>
          <cell r="AO122">
            <v>-435905</v>
          </cell>
          <cell r="AP122">
            <v>47.770836949931002</v>
          </cell>
          <cell r="AQ122">
            <v>-544377</v>
          </cell>
          <cell r="AR122">
            <v>41.317356379735401</v>
          </cell>
          <cell r="AS122">
            <v>-615565</v>
          </cell>
          <cell r="AT122">
            <v>22.391723496037301</v>
          </cell>
          <cell r="AU122">
            <v>77423</v>
          </cell>
          <cell r="AV122">
            <v>49.2557259743784</v>
          </cell>
          <cell r="AW122">
            <v>-2967044</v>
          </cell>
          <cell r="AX122">
            <v>29.960096718281601</v>
          </cell>
          <cell r="AY122">
            <v>143452</v>
          </cell>
          <cell r="AZ122">
            <v>6.4355630266194703</v>
          </cell>
          <cell r="BA122">
            <v>-550732</v>
          </cell>
          <cell r="BB122">
            <v>10.527369407697201</v>
          </cell>
          <cell r="BC122">
            <v>-809786</v>
          </cell>
          <cell r="BD122">
            <v>10.2169223602484</v>
          </cell>
          <cell r="BE122">
            <v>-202906</v>
          </cell>
          <cell r="BF122">
            <v>26.590422822796501</v>
          </cell>
          <cell r="BG122">
            <v>-48218</v>
          </cell>
          <cell r="BH122">
            <v>21.385521004560498</v>
          </cell>
          <cell r="BI122">
            <v>-57448</v>
          </cell>
        </row>
        <row r="123">
          <cell r="B123">
            <v>45.6317518930855</v>
          </cell>
          <cell r="C123">
            <v>-15441721</v>
          </cell>
          <cell r="D123">
            <v>23.636522131629</v>
          </cell>
          <cell r="E123">
            <v>-1803630</v>
          </cell>
          <cell r="F123">
            <v>27.229289479618402</v>
          </cell>
          <cell r="G123">
            <v>-6092151</v>
          </cell>
          <cell r="H123">
            <v>28.7930060084004</v>
          </cell>
          <cell r="I123">
            <v>-3684913</v>
          </cell>
          <cell r="J123">
            <v>78.013722171741406</v>
          </cell>
          <cell r="K123">
            <v>-7588535</v>
          </cell>
          <cell r="L123">
            <v>55.107223269266001</v>
          </cell>
          <cell r="M123">
            <v>-1491694</v>
          </cell>
          <cell r="N123">
            <v>15.6536458015776</v>
          </cell>
          <cell r="O123">
            <v>-178974</v>
          </cell>
          <cell r="P123">
            <v>7.00002689523913</v>
          </cell>
          <cell r="Q123">
            <v>-361144</v>
          </cell>
          <cell r="R123">
            <v>29.668747993849198</v>
          </cell>
          <cell r="S123">
            <v>-1921955</v>
          </cell>
          <cell r="T123">
            <v>15.000892706833501</v>
          </cell>
          <cell r="U123">
            <v>-407550</v>
          </cell>
          <cell r="V123">
            <v>46.469496226121699</v>
          </cell>
          <cell r="W123">
            <v>-6696984</v>
          </cell>
          <cell r="X123">
            <v>10.866558783620601</v>
          </cell>
          <cell r="Y123">
            <v>-984742</v>
          </cell>
          <cell r="Z123">
            <v>31.030958823529399</v>
          </cell>
          <cell r="AA123">
            <v>-624618</v>
          </cell>
          <cell r="AB123">
            <v>9.4278813828743093</v>
          </cell>
          <cell r="AC123">
            <v>-826964</v>
          </cell>
          <cell r="AD123">
            <v>18.5365094276506</v>
          </cell>
          <cell r="AE123">
            <v>179089</v>
          </cell>
          <cell r="AF123">
            <v>34.104384229167898</v>
          </cell>
          <cell r="AG123">
            <v>-361721</v>
          </cell>
          <cell r="AH123">
            <v>48.698160871104903</v>
          </cell>
          <cell r="AI123">
            <v>-45009</v>
          </cell>
          <cell r="AJ123">
            <v>46.330046176922799</v>
          </cell>
          <cell r="AK123">
            <v>-1075167</v>
          </cell>
          <cell r="AL123">
            <v>27.9510762868664</v>
          </cell>
          <cell r="AM123">
            <v>-3748669</v>
          </cell>
          <cell r="AN123">
            <v>40.214053093322299</v>
          </cell>
          <cell r="AO123">
            <v>-519355</v>
          </cell>
          <cell r="AP123">
            <v>47.586836361279701</v>
          </cell>
          <cell r="AQ123">
            <v>-1528026</v>
          </cell>
          <cell r="AR123">
            <v>41.169809920203598</v>
          </cell>
          <cell r="AS123">
            <v>-1530971</v>
          </cell>
          <cell r="AT123">
            <v>22.3892272295911</v>
          </cell>
          <cell r="AU123">
            <v>-25506</v>
          </cell>
          <cell r="AV123">
            <v>48.933632902994901</v>
          </cell>
          <cell r="AW123">
            <v>-2810033</v>
          </cell>
          <cell r="AX123">
            <v>29.998455900033701</v>
          </cell>
          <cell r="AY123">
            <v>32057</v>
          </cell>
          <cell r="AZ123">
            <v>6.3951925990725904</v>
          </cell>
          <cell r="BA123">
            <v>-416110</v>
          </cell>
          <cell r="BB123">
            <v>10.4988485073007</v>
          </cell>
          <cell r="BC123">
            <v>-649742</v>
          </cell>
          <cell r="BD123">
            <v>10.212701863354001</v>
          </cell>
          <cell r="BE123">
            <v>-13791</v>
          </cell>
          <cell r="BF123">
            <v>26.346538330207999</v>
          </cell>
          <cell r="BG123">
            <v>-264339</v>
          </cell>
          <cell r="BH123">
            <v>21.400968863923399</v>
          </cell>
          <cell r="BI123">
            <v>32573</v>
          </cell>
        </row>
        <row r="124">
          <cell r="B124">
            <v>45.565415545624603</v>
          </cell>
          <cell r="C124">
            <v>-6641730</v>
          </cell>
          <cell r="D124">
            <v>23.4506787528071</v>
          </cell>
          <cell r="E124">
            <v>-1811146</v>
          </cell>
          <cell r="F124">
            <v>27.107470839483199</v>
          </cell>
          <cell r="G124">
            <v>-2338883</v>
          </cell>
          <cell r="H124">
            <v>28.5910668536903</v>
          </cell>
          <cell r="I124">
            <v>-2932812</v>
          </cell>
          <cell r="J124">
            <v>77.919247519516006</v>
          </cell>
          <cell r="K124">
            <v>-1043233</v>
          </cell>
          <cell r="L124">
            <v>55.169818236079998</v>
          </cell>
          <cell r="M124">
            <v>1132913</v>
          </cell>
          <cell r="N124">
            <v>15.5976258905024</v>
          </cell>
          <cell r="O124">
            <v>-20818</v>
          </cell>
          <cell r="P124">
            <v>7.0542656274987303</v>
          </cell>
          <cell r="Q124">
            <v>148973</v>
          </cell>
          <cell r="R124">
            <v>29.652052508227801</v>
          </cell>
          <cell r="S124">
            <v>164695</v>
          </cell>
          <cell r="T124">
            <v>14.873105816711799</v>
          </cell>
          <cell r="U124">
            <v>-144096</v>
          </cell>
          <cell r="V124">
            <v>46.468944537326003</v>
          </cell>
          <cell r="W124">
            <v>132617</v>
          </cell>
          <cell r="X124">
            <v>10.8931091337809</v>
          </cell>
          <cell r="Y124">
            <v>118611</v>
          </cell>
          <cell r="Z124">
            <v>31.0009450980392</v>
          </cell>
          <cell r="AA124">
            <v>-266981</v>
          </cell>
          <cell r="AB124">
            <v>9.2399587276270001</v>
          </cell>
          <cell r="AC124">
            <v>-670624</v>
          </cell>
          <cell r="AD124">
            <v>18.1955900717216</v>
          </cell>
          <cell r="AE124">
            <v>-677948</v>
          </cell>
          <cell r="AF124">
            <v>34.4283327990399</v>
          </cell>
          <cell r="AG124">
            <v>904703</v>
          </cell>
          <cell r="AH124">
            <v>48.734038034054102</v>
          </cell>
          <cell r="AI124">
            <v>611783</v>
          </cell>
          <cell r="AJ124">
            <v>46.257009023177098</v>
          </cell>
          <cell r="AK124">
            <v>-879000</v>
          </cell>
          <cell r="AL124">
            <v>27.700163094106902</v>
          </cell>
          <cell r="AM124">
            <v>-1962048</v>
          </cell>
          <cell r="AN124">
            <v>40.135939688855402</v>
          </cell>
          <cell r="AO124">
            <v>-822045</v>
          </cell>
          <cell r="AP124">
            <v>47.495148281630797</v>
          </cell>
          <cell r="AQ124">
            <v>-749038</v>
          </cell>
          <cell r="AR124">
            <v>41.032618435354301</v>
          </cell>
          <cell r="AS124">
            <v>-1454185</v>
          </cell>
          <cell r="AT124">
            <v>22.388297585535302</v>
          </cell>
          <cell r="AU124">
            <v>-8488</v>
          </cell>
          <cell r="AV124">
            <v>48.990826572570299</v>
          </cell>
          <cell r="AW124">
            <v>528515</v>
          </cell>
          <cell r="AX124">
            <v>30.234921794310502</v>
          </cell>
          <cell r="AY124">
            <v>209742</v>
          </cell>
          <cell r="AZ124">
            <v>6.2952213779157598</v>
          </cell>
          <cell r="BA124">
            <v>735771</v>
          </cell>
          <cell r="BB124">
            <v>10.3658599969656</v>
          </cell>
          <cell r="BC124">
            <v>-316607</v>
          </cell>
          <cell r="BD124">
            <v>10.2170217391304</v>
          </cell>
          <cell r="BE124">
            <v>13879</v>
          </cell>
          <cell r="BF124">
            <v>26.162932270403299</v>
          </cell>
          <cell r="BG124">
            <v>-250497</v>
          </cell>
          <cell r="BH124">
            <v>21.320887743924398</v>
          </cell>
          <cell r="BI124">
            <v>-179416</v>
          </cell>
        </row>
        <row r="125">
          <cell r="B125">
            <v>45.566384321200303</v>
          </cell>
          <cell r="C125">
            <v>136356</v>
          </cell>
          <cell r="D125">
            <v>23.512700575657401</v>
          </cell>
          <cell r="E125">
            <v>1004046</v>
          </cell>
          <cell r="F125">
            <v>27.099970553305401</v>
          </cell>
          <cell r="G125">
            <v>-135077</v>
          </cell>
          <cell r="H125">
            <v>28.5851188195487</v>
          </cell>
          <cell r="I125">
            <v>-216601</v>
          </cell>
          <cell r="J125">
            <v>77.790155676608606</v>
          </cell>
          <cell r="K125">
            <v>-2443209</v>
          </cell>
          <cell r="L125">
            <v>55.186839455236402</v>
          </cell>
          <cell r="M125">
            <v>466553</v>
          </cell>
          <cell r="N125">
            <v>15.4944466733941</v>
          </cell>
          <cell r="O125">
            <v>-272920</v>
          </cell>
          <cell r="P125">
            <v>7.1787740338076897</v>
          </cell>
          <cell r="Q125">
            <v>515282</v>
          </cell>
          <cell r="R125">
            <v>29.641841196473901</v>
          </cell>
          <cell r="S125">
            <v>-166466</v>
          </cell>
          <cell r="T125">
            <v>14.7969440065388</v>
          </cell>
          <cell r="U125">
            <v>-203470</v>
          </cell>
          <cell r="V125">
            <v>46.317595999441799</v>
          </cell>
          <cell r="W125">
            <v>2634540</v>
          </cell>
          <cell r="X125">
            <v>10.878045641973101</v>
          </cell>
          <cell r="Y125">
            <v>-543030</v>
          </cell>
          <cell r="Z125">
            <v>31.050645098039201</v>
          </cell>
          <cell r="AA125">
            <v>314609</v>
          </cell>
          <cell r="AB125">
            <v>9.14209655746164</v>
          </cell>
          <cell r="AC125">
            <v>-366555</v>
          </cell>
          <cell r="AD125">
            <v>18.519761963871801</v>
          </cell>
          <cell r="AE125">
            <v>638341</v>
          </cell>
          <cell r="AF125">
            <v>34.491366517199303</v>
          </cell>
          <cell r="AG125">
            <v>34307</v>
          </cell>
          <cell r="AH125">
            <v>48.782514695011201</v>
          </cell>
          <cell r="AI125">
            <v>741111</v>
          </cell>
          <cell r="AJ125">
            <v>46.271944576064698</v>
          </cell>
          <cell r="AK125">
            <v>181822</v>
          </cell>
          <cell r="AL125">
            <v>27.658381443503099</v>
          </cell>
          <cell r="AM125">
            <v>-328027</v>
          </cell>
          <cell r="AN125">
            <v>40.122507661338602</v>
          </cell>
          <cell r="AO125">
            <v>-138728</v>
          </cell>
          <cell r="AP125">
            <v>47.475876242259098</v>
          </cell>
          <cell r="AQ125">
            <v>-153074</v>
          </cell>
          <cell r="AR125">
            <v>40.926645635057298</v>
          </cell>
          <cell r="AS125">
            <v>-1120840</v>
          </cell>
          <cell r="AT125">
            <v>22.4088737073041</v>
          </cell>
          <cell r="AU125">
            <v>80592</v>
          </cell>
          <cell r="AV125">
            <v>48.986720829233803</v>
          </cell>
          <cell r="AW125">
            <v>-66365</v>
          </cell>
          <cell r="AX125">
            <v>30.337686706519701</v>
          </cell>
          <cell r="AY125">
            <v>83483</v>
          </cell>
          <cell r="AZ125">
            <v>6.2950822484090603</v>
          </cell>
          <cell r="BA125">
            <v>596020</v>
          </cell>
          <cell r="BB125">
            <v>10.2624366468498</v>
          </cell>
          <cell r="BC125">
            <v>-46717</v>
          </cell>
          <cell r="BD125">
            <v>10.223226708074501</v>
          </cell>
          <cell r="BE125">
            <v>21782</v>
          </cell>
          <cell r="BF125">
            <v>25.988328311088601</v>
          </cell>
          <cell r="BG125">
            <v>-139633</v>
          </cell>
          <cell r="BH125">
            <v>21.293437605689999</v>
          </cell>
          <cell r="BI125">
            <v>-55620</v>
          </cell>
        </row>
        <row r="126">
          <cell r="B126">
            <v>45.548107932081102</v>
          </cell>
          <cell r="C126">
            <v>-1906042</v>
          </cell>
          <cell r="D126">
            <v>23.581093325439799</v>
          </cell>
          <cell r="E126">
            <v>-648207</v>
          </cell>
          <cell r="F126">
            <v>26.9927452896038</v>
          </cell>
          <cell r="G126">
            <v>-2128714</v>
          </cell>
          <cell r="H126">
            <v>28.474931088825802</v>
          </cell>
          <cell r="I126">
            <v>-1187864</v>
          </cell>
          <cell r="J126">
            <v>77.661413141950206</v>
          </cell>
          <cell r="K126">
            <v>-2741479</v>
          </cell>
          <cell r="L126">
            <v>55.221744590056801</v>
          </cell>
          <cell r="M126">
            <v>510031</v>
          </cell>
          <cell r="N126">
            <v>15.321959630083899</v>
          </cell>
          <cell r="O126">
            <v>-1243657</v>
          </cell>
          <cell r="P126">
            <v>7.0693754164333198</v>
          </cell>
          <cell r="Q126">
            <v>-521194</v>
          </cell>
          <cell r="R126">
            <v>29.566533454498501</v>
          </cell>
          <cell r="S126">
            <v>-1347667</v>
          </cell>
          <cell r="T126">
            <v>14.6604407150864</v>
          </cell>
          <cell r="U126">
            <v>-587248</v>
          </cell>
          <cell r="V126">
            <v>46.333430958928602</v>
          </cell>
          <cell r="W126">
            <v>715674</v>
          </cell>
          <cell r="X126">
            <v>10.865073202459699</v>
          </cell>
          <cell r="Y126">
            <v>-160022</v>
          </cell>
          <cell r="Z126">
            <v>31.1060960784313</v>
          </cell>
          <cell r="AA126">
            <v>-250281</v>
          </cell>
          <cell r="AB126">
            <v>8.9977452365919</v>
          </cell>
          <cell r="AC126">
            <v>-535665</v>
          </cell>
          <cell r="AD126">
            <v>18.6852321124721</v>
          </cell>
          <cell r="AE126">
            <v>331934</v>
          </cell>
          <cell r="AF126">
            <v>34.441169907215802</v>
          </cell>
          <cell r="AG126">
            <v>-114201</v>
          </cell>
          <cell r="AH126">
            <v>48.794439263898099</v>
          </cell>
          <cell r="AI126">
            <v>182858</v>
          </cell>
          <cell r="AJ126">
            <v>46.232326462269199</v>
          </cell>
          <cell r="AK126">
            <v>-489387</v>
          </cell>
          <cell r="AL126">
            <v>27.726947157695399</v>
          </cell>
          <cell r="AM126">
            <v>559713</v>
          </cell>
          <cell r="AN126">
            <v>40.169690632071401</v>
          </cell>
          <cell r="AO126">
            <v>393181</v>
          </cell>
          <cell r="AP126">
            <v>47.456535808776103</v>
          </cell>
          <cell r="AQ126">
            <v>-154936</v>
          </cell>
          <cell r="AR126">
            <v>40.897293284907597</v>
          </cell>
          <cell r="AS126">
            <v>-312612</v>
          </cell>
          <cell r="AT126">
            <v>22.346639202456199</v>
          </cell>
          <cell r="AU126">
            <v>-471374</v>
          </cell>
          <cell r="AV126">
            <v>48.794517602584897</v>
          </cell>
          <cell r="AW126">
            <v>-1718028</v>
          </cell>
          <cell r="AX126">
            <v>30.3207858024372</v>
          </cell>
          <cell r="AY126">
            <v>-12841</v>
          </cell>
          <cell r="AZ126">
            <v>6.2363734083489097</v>
          </cell>
          <cell r="BA126">
            <v>-188488</v>
          </cell>
          <cell r="BB126">
            <v>10.270636703054301</v>
          </cell>
          <cell r="BC126">
            <v>39699</v>
          </cell>
          <cell r="BD126">
            <v>10.2124316770186</v>
          </cell>
          <cell r="BE126">
            <v>-27739</v>
          </cell>
          <cell r="BF126">
            <v>26.0485262653239</v>
          </cell>
          <cell r="BG126">
            <v>77843</v>
          </cell>
          <cell r="BH126">
            <v>21.4179885742052</v>
          </cell>
          <cell r="BI126">
            <v>257790</v>
          </cell>
        </row>
        <row r="127">
          <cell r="B127">
            <v>45.5459626406872</v>
          </cell>
          <cell r="C127">
            <v>-97958</v>
          </cell>
          <cell r="D127">
            <v>23.6222887928201</v>
          </cell>
          <cell r="E127">
            <v>-1449059</v>
          </cell>
          <cell r="F127">
            <v>26.864556003590899</v>
          </cell>
          <cell r="G127">
            <v>-2492428</v>
          </cell>
          <cell r="H127">
            <v>28.413842377514399</v>
          </cell>
          <cell r="I127">
            <v>-909918</v>
          </cell>
          <cell r="J127">
            <v>77.580675073775893</v>
          </cell>
          <cell r="K127">
            <v>-1723690</v>
          </cell>
          <cell r="L127">
            <v>55.160991119357199</v>
          </cell>
          <cell r="M127">
            <v>-1166121</v>
          </cell>
          <cell r="N127">
            <v>14.9619425642175</v>
          </cell>
          <cell r="O127">
            <v>-1133789</v>
          </cell>
          <cell r="P127">
            <v>6.9133735790494102</v>
          </cell>
          <cell r="Q127">
            <v>-298455</v>
          </cell>
          <cell r="R127">
            <v>29.484728804078301</v>
          </cell>
          <cell r="S127">
            <v>-1489289</v>
          </cell>
          <cell r="T127">
            <v>14.537487790349401</v>
          </cell>
          <cell r="U127">
            <v>-525289</v>
          </cell>
          <cell r="V127">
            <v>46.296983942587197</v>
          </cell>
          <cell r="W127">
            <v>-1760303</v>
          </cell>
          <cell r="X127">
            <v>10.7352740148501</v>
          </cell>
          <cell r="Y127">
            <v>-873947</v>
          </cell>
          <cell r="Z127">
            <v>30.946188235294098</v>
          </cell>
          <cell r="AA127">
            <v>-970975</v>
          </cell>
          <cell r="AB127">
            <v>9.0827176057744108</v>
          </cell>
          <cell r="AC127">
            <v>310067</v>
          </cell>
          <cell r="AD127">
            <v>18.6976495325071</v>
          </cell>
          <cell r="AE127">
            <v>29801</v>
          </cell>
          <cell r="AF127">
            <v>34.290819987995398</v>
          </cell>
          <cell r="AG127">
            <v>-296398</v>
          </cell>
          <cell r="AH127">
            <v>48.7304195271971</v>
          </cell>
          <cell r="AI127">
            <v>-990215</v>
          </cell>
          <cell r="AJ127">
            <v>46.208386264073198</v>
          </cell>
          <cell r="AK127">
            <v>-301136</v>
          </cell>
          <cell r="AL127">
            <v>27.673127830239601</v>
          </cell>
          <cell r="AM127">
            <v>-435982</v>
          </cell>
          <cell r="AN127">
            <v>40.053471149540599</v>
          </cell>
          <cell r="AO127">
            <v>-1208841</v>
          </cell>
          <cell r="AP127">
            <v>47.422564364898598</v>
          </cell>
          <cell r="AQ127">
            <v>-274963</v>
          </cell>
          <cell r="AR127">
            <v>40.767800429468899</v>
          </cell>
          <cell r="AS127">
            <v>-1375653</v>
          </cell>
          <cell r="AT127">
            <v>22.376208769683501</v>
          </cell>
          <cell r="AU127">
            <v>282615</v>
          </cell>
          <cell r="AV127">
            <v>48.729877078698699</v>
          </cell>
          <cell r="AW127">
            <v>-548407</v>
          </cell>
          <cell r="AX127">
            <v>30.087958082668099</v>
          </cell>
          <cell r="AY127">
            <v>-197390</v>
          </cell>
          <cell r="AZ127">
            <v>6.7050092340063001</v>
          </cell>
          <cell r="BA127">
            <v>-1565490</v>
          </cell>
          <cell r="BB127">
            <v>10.2435317381007</v>
          </cell>
          <cell r="BC127">
            <v>-40156</v>
          </cell>
          <cell r="BD127">
            <v>10.1836273291925</v>
          </cell>
          <cell r="BE127">
            <v>-86929</v>
          </cell>
          <cell r="BF127">
            <v>26.0918007305152</v>
          </cell>
          <cell r="BG127">
            <v>57909</v>
          </cell>
          <cell r="BH127">
            <v>21.708937138350599</v>
          </cell>
          <cell r="BI127">
            <v>195664</v>
          </cell>
        </row>
        <row r="128">
          <cell r="B128">
            <v>45.4731496856635</v>
          </cell>
          <cell r="C128">
            <v>-7333585</v>
          </cell>
          <cell r="D128">
            <v>23.764117035643402</v>
          </cell>
          <cell r="E128">
            <v>-1129712</v>
          </cell>
          <cell r="F128">
            <v>26.4960644341296</v>
          </cell>
          <cell r="G128">
            <v>-6930739</v>
          </cell>
          <cell r="H128">
            <v>28.2902497011729</v>
          </cell>
          <cell r="I128">
            <v>-1779055</v>
          </cell>
          <cell r="J128">
            <v>77.4241427639639</v>
          </cell>
          <cell r="K128">
            <v>-3274691</v>
          </cell>
          <cell r="L128">
            <v>55.195888429838199</v>
          </cell>
          <cell r="M128">
            <v>656520</v>
          </cell>
          <cell r="N128">
            <v>14.8829856259051</v>
          </cell>
          <cell r="O128">
            <v>-369597</v>
          </cell>
          <cell r="P128">
            <v>6.88098922433886</v>
          </cell>
          <cell r="Q128">
            <v>344</v>
          </cell>
          <cell r="R128">
            <v>29.515703389282201</v>
          </cell>
          <cell r="S128">
            <v>559585</v>
          </cell>
          <cell r="T128">
            <v>14.3880654132138</v>
          </cell>
          <cell r="U128">
            <v>-636045</v>
          </cell>
          <cell r="V128">
            <v>46.329362684171201</v>
          </cell>
          <cell r="W128">
            <v>1700797</v>
          </cell>
          <cell r="X128">
            <v>10.6373229051596</v>
          </cell>
          <cell r="Y128">
            <v>-1132612</v>
          </cell>
          <cell r="Z128">
            <v>31.228319607843101</v>
          </cell>
          <cell r="AA128">
            <v>481421</v>
          </cell>
          <cell r="AB128">
            <v>9.14794052673337</v>
          </cell>
          <cell r="AC128">
            <v>250838</v>
          </cell>
          <cell r="AD128">
            <v>18.684642046390799</v>
          </cell>
          <cell r="AE128">
            <v>-28522</v>
          </cell>
          <cell r="AF128">
            <v>34.275169267068698</v>
          </cell>
          <cell r="AG128">
            <v>-136744</v>
          </cell>
          <cell r="AH128">
            <v>48.717996151204296</v>
          </cell>
          <cell r="AI128">
            <v>-184787</v>
          </cell>
          <cell r="AJ128">
            <v>46.133328052371603</v>
          </cell>
          <cell r="AK128">
            <v>-946084</v>
          </cell>
          <cell r="AL128">
            <v>27.5670216299389</v>
          </cell>
          <cell r="AM128">
            <v>-864590</v>
          </cell>
          <cell r="AN128">
            <v>40.066344049986</v>
          </cell>
          <cell r="AO128">
            <v>145520</v>
          </cell>
          <cell r="AP128">
            <v>47.399554631759301</v>
          </cell>
          <cell r="AQ128">
            <v>-182716</v>
          </cell>
          <cell r="AR128">
            <v>41.018085416611399</v>
          </cell>
          <cell r="AS128">
            <v>2693504</v>
          </cell>
          <cell r="AT128">
            <v>22.3731340580471</v>
          </cell>
          <cell r="AU128">
            <v>-28897</v>
          </cell>
          <cell r="AV128">
            <v>48.676570982899896</v>
          </cell>
          <cell r="AW128">
            <v>-469231</v>
          </cell>
          <cell r="AX128">
            <v>29.888345119551101</v>
          </cell>
          <cell r="AY128">
            <v>-168370</v>
          </cell>
          <cell r="AZ128">
            <v>6.77680005946356</v>
          </cell>
          <cell r="BA128">
            <v>101168</v>
          </cell>
          <cell r="BB128">
            <v>10.213536028843</v>
          </cell>
          <cell r="BC128">
            <v>-149958</v>
          </cell>
          <cell r="BD128">
            <v>10.1621304347826</v>
          </cell>
          <cell r="BE128">
            <v>-72953</v>
          </cell>
          <cell r="BF128">
            <v>26.0981355419712</v>
          </cell>
          <cell r="BG128">
            <v>10937</v>
          </cell>
          <cell r="BH128">
            <v>21.5488477656139</v>
          </cell>
          <cell r="BI128">
            <v>78271</v>
          </cell>
        </row>
        <row r="129">
          <cell r="B129">
            <v>45.4778027955414</v>
          </cell>
          <cell r="C129">
            <v>589888</v>
          </cell>
          <cell r="D129">
            <v>23.705864206135399</v>
          </cell>
          <cell r="E129">
            <v>-1288341</v>
          </cell>
          <cell r="F129">
            <v>26.374451120291301</v>
          </cell>
          <cell r="G129">
            <v>-2211507</v>
          </cell>
          <cell r="H129">
            <v>28.128237525631199</v>
          </cell>
          <cell r="I129">
            <v>-2259074</v>
          </cell>
          <cell r="J129">
            <v>77.2830326363067</v>
          </cell>
          <cell r="K129">
            <v>-2876199</v>
          </cell>
          <cell r="L129">
            <v>55.253699444164198</v>
          </cell>
          <cell r="M129">
            <v>1110018</v>
          </cell>
          <cell r="N129">
            <v>14.7773795426404</v>
          </cell>
          <cell r="O129">
            <v>-5538</v>
          </cell>
          <cell r="P129">
            <v>6.8915469446806199</v>
          </cell>
          <cell r="Q129">
            <v>35670</v>
          </cell>
          <cell r="R129">
            <v>29.582780501077199</v>
          </cell>
          <cell r="S129">
            <v>1154816</v>
          </cell>
          <cell r="T129">
            <v>14.227305032906701</v>
          </cell>
          <cell r="U129">
            <v>-659806</v>
          </cell>
          <cell r="V129">
            <v>46.372849754208801</v>
          </cell>
          <cell r="W129">
            <v>1658998</v>
          </cell>
          <cell r="X129">
            <v>10.4929986583311</v>
          </cell>
          <cell r="Y129">
            <v>-1363684</v>
          </cell>
          <cell r="Z129">
            <v>31.0732294117647</v>
          </cell>
          <cell r="AA129">
            <v>-1618835</v>
          </cell>
          <cell r="AB129">
            <v>9.2356806531173294</v>
          </cell>
          <cell r="AC129">
            <v>331353</v>
          </cell>
          <cell r="AD129">
            <v>18.665282672457799</v>
          </cell>
          <cell r="AE129">
            <v>-41291</v>
          </cell>
          <cell r="AF129">
            <v>34.962987049870001</v>
          </cell>
          <cell r="AG129">
            <v>210593</v>
          </cell>
          <cell r="AH129">
            <v>48.722418907543201</v>
          </cell>
          <cell r="AI129">
            <v>90406</v>
          </cell>
          <cell r="AJ129">
            <v>46.154428522425597</v>
          </cell>
          <cell r="AK129">
            <v>283920</v>
          </cell>
          <cell r="AL129">
            <v>27.612831788717401</v>
          </cell>
          <cell r="AM129">
            <v>430745</v>
          </cell>
          <cell r="AN129">
            <v>40.113709791463499</v>
          </cell>
          <cell r="AO129">
            <v>690797</v>
          </cell>
          <cell r="AP129">
            <v>47.253950674806497</v>
          </cell>
          <cell r="AQ129">
            <v>-1107511</v>
          </cell>
          <cell r="AR129">
            <v>40.977317674504903</v>
          </cell>
          <cell r="AS129">
            <v>-411947</v>
          </cell>
          <cell r="AT129">
            <v>22.2490885528657</v>
          </cell>
          <cell r="AU129">
            <v>-829824</v>
          </cell>
          <cell r="AV129">
            <v>48.622009892680502</v>
          </cell>
          <cell r="AW129">
            <v>-473441</v>
          </cell>
          <cell r="AX129">
            <v>29.702002610370801</v>
          </cell>
          <cell r="AY129">
            <v>-157706</v>
          </cell>
          <cell r="AZ129">
            <v>6.7649292631281996</v>
          </cell>
          <cell r="BA129">
            <v>-319474</v>
          </cell>
          <cell r="BB129">
            <v>10.148909666672701</v>
          </cell>
          <cell r="BC129">
            <v>-112855</v>
          </cell>
          <cell r="BD129">
            <v>9.9001242236024805</v>
          </cell>
          <cell r="BE129">
            <v>-784417</v>
          </cell>
          <cell r="BF129">
            <v>26.021703914821501</v>
          </cell>
          <cell r="BG129">
            <v>-97450</v>
          </cell>
          <cell r="BH129">
            <v>21.591829040080999</v>
          </cell>
          <cell r="BI129">
            <v>205792</v>
          </cell>
        </row>
        <row r="130">
          <cell r="B130">
            <v>45.388541022421499</v>
          </cell>
          <cell r="C130">
            <v>-8611090</v>
          </cell>
          <cell r="D130">
            <v>23.5984228563531</v>
          </cell>
          <cell r="E130">
            <v>-2027857</v>
          </cell>
          <cell r="F130">
            <v>26.0571521668485</v>
          </cell>
          <cell r="G130">
            <v>-5677636</v>
          </cell>
          <cell r="H130">
            <v>27.997809766312599</v>
          </cell>
          <cell r="I130">
            <v>-1848813</v>
          </cell>
          <cell r="J130">
            <v>77.134761540903696</v>
          </cell>
          <cell r="K130">
            <v>-3004507</v>
          </cell>
          <cell r="L130">
            <v>55.238868535216298</v>
          </cell>
          <cell r="M130">
            <v>-266151</v>
          </cell>
          <cell r="N130">
            <v>14.870578983383901</v>
          </cell>
          <cell r="O130">
            <v>300238</v>
          </cell>
          <cell r="P130">
            <v>6.7862276741840404</v>
          </cell>
          <cell r="Q130">
            <v>-469566</v>
          </cell>
          <cell r="R130">
            <v>29.467742697211101</v>
          </cell>
          <cell r="S130">
            <v>-38352</v>
          </cell>
          <cell r="T130">
            <v>14.173631745521799</v>
          </cell>
          <cell r="U130">
            <v>-220285</v>
          </cell>
          <cell r="V130">
            <v>46.324319491583701</v>
          </cell>
          <cell r="W130">
            <v>-2263691</v>
          </cell>
          <cell r="X130">
            <v>10.4466822913855</v>
          </cell>
          <cell r="Y130">
            <v>-772931</v>
          </cell>
          <cell r="Z130">
            <v>31.038584313725401</v>
          </cell>
          <cell r="AA130">
            <v>-862722</v>
          </cell>
          <cell r="AB130">
            <v>9.1910547365530704</v>
          </cell>
          <cell r="AC130">
            <v>-173221</v>
          </cell>
          <cell r="AD130">
            <v>18.777742325604802</v>
          </cell>
          <cell r="AE130">
            <v>239526</v>
          </cell>
          <cell r="AF130">
            <v>34.775982288106697</v>
          </cell>
          <cell r="AG130">
            <v>-225301</v>
          </cell>
          <cell r="AH130">
            <v>48.740470798286303</v>
          </cell>
          <cell r="AI130">
            <v>272174</v>
          </cell>
          <cell r="AJ130">
            <v>46.107143324331403</v>
          </cell>
          <cell r="AK130">
            <v>-582784</v>
          </cell>
          <cell r="AL130">
            <v>27.270396631949101</v>
          </cell>
          <cell r="AM130">
            <v>-2802957</v>
          </cell>
          <cell r="AN130">
            <v>39.963199705351897</v>
          </cell>
          <cell r="AO130">
            <v>-1519943</v>
          </cell>
          <cell r="AP130">
            <v>47.127641851340798</v>
          </cell>
          <cell r="AQ130">
            <v>-955642</v>
          </cell>
          <cell r="AR130">
            <v>41.044792025661998</v>
          </cell>
          <cell r="AS130">
            <v>701685</v>
          </cell>
          <cell r="AT130">
            <v>22.226487872930999</v>
          </cell>
          <cell r="AU130">
            <v>-207281</v>
          </cell>
          <cell r="AV130">
            <v>48.5040840510488</v>
          </cell>
          <cell r="AW130">
            <v>-1018950</v>
          </cell>
          <cell r="AX130">
            <v>29.351455613537102</v>
          </cell>
          <cell r="AY130">
            <v>-297601</v>
          </cell>
          <cell r="AZ130">
            <v>6.7944656950471796</v>
          </cell>
          <cell r="BA130">
            <v>57367</v>
          </cell>
          <cell r="BB130">
            <v>10.152103698283</v>
          </cell>
          <cell r="BC130">
            <v>-346115</v>
          </cell>
          <cell r="BD130">
            <v>9.6381335403726691</v>
          </cell>
          <cell r="BE130">
            <v>-771918</v>
          </cell>
          <cell r="BF130">
            <v>26.019622969497401</v>
          </cell>
          <cell r="BG130">
            <v>253</v>
          </cell>
          <cell r="BH130">
            <v>21.559902770090499</v>
          </cell>
          <cell r="BI130">
            <v>-67898</v>
          </cell>
        </row>
        <row r="131">
          <cell r="B131">
            <v>45.358081957965602</v>
          </cell>
          <cell r="C131">
            <v>-2940928</v>
          </cell>
          <cell r="D131">
            <v>23.497916367226502</v>
          </cell>
          <cell r="E131">
            <v>-1811352</v>
          </cell>
          <cell r="F131">
            <v>25.897370975824</v>
          </cell>
          <cell r="G131">
            <v>-2886447</v>
          </cell>
          <cell r="H131">
            <v>27.870233474942498</v>
          </cell>
          <cell r="I131">
            <v>-1805762</v>
          </cell>
          <cell r="J131">
            <v>77.122083286526006</v>
          </cell>
          <cell r="K131">
            <v>-263420</v>
          </cell>
          <cell r="L131">
            <v>55.2532443704945</v>
          </cell>
          <cell r="M131">
            <v>258744</v>
          </cell>
          <cell r="N131">
            <v>14.8515141692251</v>
          </cell>
          <cell r="O131">
            <v>-83847</v>
          </cell>
          <cell r="P131">
            <v>6.7651548049535002</v>
          </cell>
          <cell r="Q131">
            <v>-273916</v>
          </cell>
          <cell r="R131">
            <v>29.433760932543599</v>
          </cell>
          <cell r="S131">
            <v>-548302</v>
          </cell>
          <cell r="T131">
            <v>13.993164856463901</v>
          </cell>
          <cell r="U131">
            <v>-1283452</v>
          </cell>
          <cell r="V131">
            <v>46.271875794091997</v>
          </cell>
          <cell r="W131">
            <v>-2477672</v>
          </cell>
          <cell r="X131">
            <v>10.462176949445601</v>
          </cell>
          <cell r="Y131">
            <v>127599</v>
          </cell>
          <cell r="Z131">
            <v>30.9756117647058</v>
          </cell>
          <cell r="AA131">
            <v>-295271</v>
          </cell>
          <cell r="AB131">
            <v>9.1141647185958501</v>
          </cell>
          <cell r="AC131">
            <v>-295347</v>
          </cell>
          <cell r="AD131">
            <v>18.766652554252801</v>
          </cell>
          <cell r="AE131">
            <v>-201558</v>
          </cell>
          <cell r="AF131">
            <v>34.727020401933103</v>
          </cell>
          <cell r="AG131">
            <v>-77679</v>
          </cell>
          <cell r="AH131">
            <v>48.782512231766297</v>
          </cell>
          <cell r="AI131">
            <v>643117</v>
          </cell>
          <cell r="AJ131">
            <v>46.077495690444501</v>
          </cell>
          <cell r="AK131">
            <v>-364322</v>
          </cell>
          <cell r="AL131">
            <v>27.1678763488557</v>
          </cell>
          <cell r="AM131">
            <v>-805849</v>
          </cell>
          <cell r="AN131">
            <v>39.840215542296299</v>
          </cell>
          <cell r="AO131">
            <v>-1245218</v>
          </cell>
          <cell r="AP131">
            <v>47.086721743408098</v>
          </cell>
          <cell r="AQ131">
            <v>-311712</v>
          </cell>
          <cell r="AR131">
            <v>41.030486996633101</v>
          </cell>
          <cell r="AS131">
            <v>-148557</v>
          </cell>
          <cell r="AT131">
            <v>22.125204874612699</v>
          </cell>
          <cell r="AU131">
            <v>-934144</v>
          </cell>
          <cell r="AV131">
            <v>48.446921548553398</v>
          </cell>
          <cell r="AW131">
            <v>-485903</v>
          </cell>
          <cell r="AX131">
            <v>29.325324096850199</v>
          </cell>
          <cell r="AY131">
            <v>-23225</v>
          </cell>
          <cell r="AZ131">
            <v>6.7557676804061799</v>
          </cell>
          <cell r="BA131">
            <v>-423156</v>
          </cell>
          <cell r="BB131">
            <v>10.058477122836299</v>
          </cell>
          <cell r="BC131">
            <v>-459765</v>
          </cell>
          <cell r="BD131">
            <v>9.6453105590062105</v>
          </cell>
          <cell r="BE131">
            <v>19129</v>
          </cell>
          <cell r="BF131">
            <v>26.088420631480599</v>
          </cell>
          <cell r="BG131">
            <v>129800</v>
          </cell>
          <cell r="BH131">
            <v>21.5625051722743</v>
          </cell>
          <cell r="BI131">
            <v>4834</v>
          </cell>
        </row>
        <row r="132">
          <cell r="B132">
            <v>45.277963471077904</v>
          </cell>
          <cell r="C132">
            <v>-7684740</v>
          </cell>
          <cell r="D132">
            <v>23.446528723165098</v>
          </cell>
          <cell r="E132">
            <v>-760024</v>
          </cell>
          <cell r="F132">
            <v>25.725099447406699</v>
          </cell>
          <cell r="G132">
            <v>-3075508</v>
          </cell>
          <cell r="H132">
            <v>27.827804928626598</v>
          </cell>
          <cell r="I132">
            <v>-613484</v>
          </cell>
          <cell r="J132">
            <v>77.086487438179702</v>
          </cell>
          <cell r="K132">
            <v>-747350</v>
          </cell>
          <cell r="L132">
            <v>55.168131459965402</v>
          </cell>
          <cell r="M132">
            <v>-1603203</v>
          </cell>
          <cell r="N132">
            <v>14.7652511967315</v>
          </cell>
          <cell r="O132">
            <v>-389670</v>
          </cell>
          <cell r="P132">
            <v>6.6927307466033596</v>
          </cell>
          <cell r="Q132">
            <v>-288470</v>
          </cell>
          <cell r="R132">
            <v>29.570729497712598</v>
          </cell>
          <cell r="S132">
            <v>2259478</v>
          </cell>
          <cell r="T132">
            <v>13.7504499713309</v>
          </cell>
          <cell r="U132">
            <v>-986035</v>
          </cell>
          <cell r="V132">
            <v>46.199509363999702</v>
          </cell>
          <cell r="W132">
            <v>-3280969</v>
          </cell>
          <cell r="X132">
            <v>10.408410170587199</v>
          </cell>
          <cell r="Y132">
            <v>-479439</v>
          </cell>
          <cell r="Z132">
            <v>30.773719607843098</v>
          </cell>
          <cell r="AA132">
            <v>-740215</v>
          </cell>
          <cell r="AB132">
            <v>9.0718591607295895</v>
          </cell>
          <cell r="AC132">
            <v>-161383</v>
          </cell>
          <cell r="AD132">
            <v>18.545186870023102</v>
          </cell>
          <cell r="AE132">
            <v>-451882</v>
          </cell>
          <cell r="AF132">
            <v>34.673913461260398</v>
          </cell>
          <cell r="AG132">
            <v>165766</v>
          </cell>
          <cell r="AH132">
            <v>48.813815148811202</v>
          </cell>
          <cell r="AI132">
            <v>485567</v>
          </cell>
          <cell r="AJ132">
            <v>46.066968892713099</v>
          </cell>
          <cell r="AK132">
            <v>96509</v>
          </cell>
          <cell r="AL132">
            <v>27.148721330771298</v>
          </cell>
          <cell r="AM132">
            <v>-144279</v>
          </cell>
          <cell r="AN132">
            <v>39.756270777735097</v>
          </cell>
          <cell r="AO132">
            <v>-863456</v>
          </cell>
          <cell r="AP132">
            <v>47.063701351446298</v>
          </cell>
          <cell r="AQ132">
            <v>-175547</v>
          </cell>
          <cell r="AR132">
            <v>40.930876699981397</v>
          </cell>
          <cell r="AS132">
            <v>-1046992</v>
          </cell>
          <cell r="AT132">
            <v>22.106584448487201</v>
          </cell>
          <cell r="AU132">
            <v>-174034</v>
          </cell>
          <cell r="AV132">
            <v>48.406169552572003</v>
          </cell>
          <cell r="AW132">
            <v>-347763</v>
          </cell>
          <cell r="AX132">
            <v>29.4830169473274</v>
          </cell>
          <cell r="AY132">
            <v>139208</v>
          </cell>
          <cell r="AZ132">
            <v>6.6681925118607097</v>
          </cell>
          <cell r="BA132">
            <v>-1107429</v>
          </cell>
          <cell r="BB132">
            <v>9.9493710011568606</v>
          </cell>
          <cell r="BC132">
            <v>-126826</v>
          </cell>
          <cell r="BD132">
            <v>9.6711118012422297</v>
          </cell>
          <cell r="BE132">
            <v>77034</v>
          </cell>
          <cell r="BF132">
            <v>26.124348554892599</v>
          </cell>
          <cell r="BG132">
            <v>45490</v>
          </cell>
          <cell r="BH132">
            <v>21.591756172819899</v>
          </cell>
          <cell r="BI132">
            <v>60174</v>
          </cell>
        </row>
        <row r="133">
          <cell r="B133">
            <v>45.327342512071098</v>
          </cell>
          <cell r="C133">
            <v>4847625</v>
          </cell>
          <cell r="D133">
            <v>23.395556953007901</v>
          </cell>
          <cell r="E133">
            <v>-567372</v>
          </cell>
          <cell r="F133">
            <v>25.595896665261701</v>
          </cell>
          <cell r="G133">
            <v>-2355557</v>
          </cell>
          <cell r="H133">
            <v>27.781998665793498</v>
          </cell>
          <cell r="I133">
            <v>-671903</v>
          </cell>
          <cell r="J133">
            <v>77.070502498139604</v>
          </cell>
          <cell r="K133">
            <v>-335058</v>
          </cell>
          <cell r="L133">
            <v>55.177005775122097</v>
          </cell>
          <cell r="M133">
            <v>161485</v>
          </cell>
          <cell r="N133">
            <v>14.7909248073226</v>
          </cell>
          <cell r="O133">
            <v>-221970</v>
          </cell>
          <cell r="P133">
            <v>6.6872841048236298</v>
          </cell>
          <cell r="Q133">
            <v>-148057</v>
          </cell>
          <cell r="R133">
            <v>29.682596846642099</v>
          </cell>
          <cell r="S133">
            <v>1929839</v>
          </cell>
          <cell r="T133">
            <v>13.7214064359648</v>
          </cell>
          <cell r="U133">
            <v>-718614</v>
          </cell>
          <cell r="V133">
            <v>46.194461583563601</v>
          </cell>
          <cell r="W133">
            <v>-240731</v>
          </cell>
          <cell r="X133">
            <v>10.474606918231901</v>
          </cell>
          <cell r="Y133">
            <v>113652</v>
          </cell>
          <cell r="Z133">
            <v>30.634025490195999</v>
          </cell>
          <cell r="AA133">
            <v>-845188</v>
          </cell>
          <cell r="AB133">
            <v>9.1389355897742508</v>
          </cell>
          <cell r="AC133">
            <v>261265</v>
          </cell>
          <cell r="AD133">
            <v>18.121458681533699</v>
          </cell>
          <cell r="AE133">
            <v>-447272</v>
          </cell>
          <cell r="AF133">
            <v>34.618683750253297</v>
          </cell>
          <cell r="AG133">
            <v>-16677</v>
          </cell>
          <cell r="AH133">
            <v>48.773422857836799</v>
          </cell>
          <cell r="AI133">
            <v>-635053</v>
          </cell>
          <cell r="AJ133">
            <v>46.019755278296898</v>
          </cell>
          <cell r="AK133">
            <v>-408116</v>
          </cell>
          <cell r="AL133">
            <v>27.044707137025199</v>
          </cell>
          <cell r="AM133">
            <v>-786475</v>
          </cell>
          <cell r="AN133">
            <v>39.766175005432203</v>
          </cell>
          <cell r="AO133">
            <v>108124</v>
          </cell>
          <cell r="AP133">
            <v>47.093021107524102</v>
          </cell>
          <cell r="AQ133">
            <v>228130</v>
          </cell>
          <cell r="AR133">
            <v>40.928326396436901</v>
          </cell>
          <cell r="AS133">
            <v>-15751</v>
          </cell>
          <cell r="AT133">
            <v>22.081745736566202</v>
          </cell>
          <cell r="AU133">
            <v>-231452</v>
          </cell>
          <cell r="AV133">
            <v>48.196635351646897</v>
          </cell>
          <cell r="AW133">
            <v>-1853453</v>
          </cell>
          <cell r="AX133">
            <v>29.530884818716501</v>
          </cell>
          <cell r="AY133">
            <v>49560</v>
          </cell>
          <cell r="AZ133">
            <v>6.7494980814180003</v>
          </cell>
          <cell r="BA133">
            <v>714409</v>
          </cell>
          <cell r="BB133">
            <v>9.9213490381130001</v>
          </cell>
          <cell r="BC133">
            <v>-53569</v>
          </cell>
          <cell r="BD133">
            <v>9.6717857142857095</v>
          </cell>
          <cell r="BE133">
            <v>3240</v>
          </cell>
          <cell r="BF133">
            <v>26.1044473595563</v>
          </cell>
          <cell r="BG133">
            <v>-29203</v>
          </cell>
          <cell r="BH133">
            <v>21.5730917443579</v>
          </cell>
          <cell r="BI133">
            <v>-37318</v>
          </cell>
        </row>
        <row r="134">
          <cell r="B134">
            <v>45.228679474640103</v>
          </cell>
          <cell r="C134">
            <v>-9351081</v>
          </cell>
          <cell r="D134">
            <v>23.2395955294887</v>
          </cell>
          <cell r="E134">
            <v>-2158367</v>
          </cell>
          <cell r="F134">
            <v>25.510673116705298</v>
          </cell>
          <cell r="G134">
            <v>-1456190</v>
          </cell>
          <cell r="H134">
            <v>27.657906849811202</v>
          </cell>
          <cell r="I134">
            <v>-1559447</v>
          </cell>
          <cell r="J134">
            <v>77.024987781940595</v>
          </cell>
          <cell r="K134">
            <v>-939497</v>
          </cell>
          <cell r="L134">
            <v>55.149230380192101</v>
          </cell>
          <cell r="M134">
            <v>-499393</v>
          </cell>
          <cell r="N134">
            <v>14.867984540772801</v>
          </cell>
          <cell r="O134">
            <v>341431</v>
          </cell>
          <cell r="P134">
            <v>6.4364756416287996</v>
          </cell>
          <cell r="Q134">
            <v>-1081855</v>
          </cell>
          <cell r="R134">
            <v>29.4655978305519</v>
          </cell>
          <cell r="S134">
            <v>-3304730</v>
          </cell>
          <cell r="T134">
            <v>13.3046788767419</v>
          </cell>
          <cell r="U134">
            <v>-943024</v>
          </cell>
          <cell r="V134">
            <v>46.121424180611598</v>
          </cell>
          <cell r="W134">
            <v>-3276234</v>
          </cell>
          <cell r="X134">
            <v>10.292675572858499</v>
          </cell>
          <cell r="Y134">
            <v>-1281919</v>
          </cell>
          <cell r="Z134">
            <v>30.673268627450899</v>
          </cell>
          <cell r="AA134">
            <v>226907</v>
          </cell>
          <cell r="AB134">
            <v>9.1458452567234403</v>
          </cell>
          <cell r="AC134">
            <v>29840</v>
          </cell>
          <cell r="AD134">
            <v>18.355463269991699</v>
          </cell>
          <cell r="AE134">
            <v>465463</v>
          </cell>
          <cell r="AF134">
            <v>34.459521193952497</v>
          </cell>
          <cell r="AG134">
            <v>40244</v>
          </cell>
          <cell r="AH134">
            <v>48.807169313889297</v>
          </cell>
          <cell r="AI134">
            <v>198495</v>
          </cell>
          <cell r="AJ134">
            <v>45.957935323238402</v>
          </cell>
          <cell r="AK134">
            <v>-756286</v>
          </cell>
          <cell r="AL134">
            <v>26.893018054388701</v>
          </cell>
          <cell r="AM134">
            <v>-1132063</v>
          </cell>
          <cell r="AN134">
            <v>39.787531063996902</v>
          </cell>
          <cell r="AO134">
            <v>226191</v>
          </cell>
          <cell r="AP134">
            <v>47.089780825474598</v>
          </cell>
          <cell r="AQ134">
            <v>-25729</v>
          </cell>
          <cell r="AR134">
            <v>40.9068264362026</v>
          </cell>
          <cell r="AS134">
            <v>-225198</v>
          </cell>
          <cell r="AT134">
            <v>22.040806966848901</v>
          </cell>
          <cell r="AU134">
            <v>-377196</v>
          </cell>
          <cell r="AV134">
            <v>48.1577076687472</v>
          </cell>
          <cell r="AW134">
            <v>-337703</v>
          </cell>
          <cell r="AX134">
            <v>29.1473779691771</v>
          </cell>
          <cell r="AY134">
            <v>-332124</v>
          </cell>
          <cell r="AZ134">
            <v>6.7310564445202399</v>
          </cell>
          <cell r="BA134">
            <v>-201493</v>
          </cell>
          <cell r="BB134">
            <v>9.68321498150803</v>
          </cell>
          <cell r="BC134">
            <v>-1160819</v>
          </cell>
          <cell r="BD134">
            <v>9.6645869565217293</v>
          </cell>
          <cell r="BE134">
            <v>-22289</v>
          </cell>
          <cell r="BF134">
            <v>26.036546458541402</v>
          </cell>
          <cell r="BG134">
            <v>-89381</v>
          </cell>
          <cell r="BH134">
            <v>21.604518353129102</v>
          </cell>
          <cell r="BI134">
            <v>65681</v>
          </cell>
        </row>
        <row r="135">
          <cell r="B135">
            <v>45.184176219340301</v>
          </cell>
          <cell r="C135">
            <v>-4185359</v>
          </cell>
          <cell r="D135">
            <v>23.3335460169091</v>
          </cell>
          <cell r="E135">
            <v>712437</v>
          </cell>
          <cell r="F135">
            <v>25.5126171488495</v>
          </cell>
          <cell r="G135">
            <v>39538</v>
          </cell>
          <cell r="H135">
            <v>27.6137008521425</v>
          </cell>
          <cell r="I135">
            <v>-629059</v>
          </cell>
          <cell r="J135">
            <v>76.974575615449297</v>
          </cell>
          <cell r="K135">
            <v>-1048215</v>
          </cell>
          <cell r="L135">
            <v>55.159708684905802</v>
          </cell>
          <cell r="M135">
            <v>199937</v>
          </cell>
          <cell r="N135">
            <v>15.2408765655026</v>
          </cell>
          <cell r="O135">
            <v>164760</v>
          </cell>
          <cell r="P135">
            <v>6.3798613643485798</v>
          </cell>
          <cell r="Q135">
            <v>-276240</v>
          </cell>
          <cell r="R135">
            <v>29.3473768371719</v>
          </cell>
          <cell r="S135">
            <v>-1855325</v>
          </cell>
          <cell r="T135">
            <v>13.2627413110984</v>
          </cell>
          <cell r="U135">
            <v>-176507</v>
          </cell>
          <cell r="V135">
            <v>46.102371992285299</v>
          </cell>
          <cell r="W135">
            <v>-891203</v>
          </cell>
          <cell r="X135">
            <v>10.3471190884545</v>
          </cell>
          <cell r="Y135">
            <v>254955</v>
          </cell>
          <cell r="Z135">
            <v>30.7050274509803</v>
          </cell>
          <cell r="AA135">
            <v>182490</v>
          </cell>
          <cell r="AB135">
            <v>9.1576526867926606</v>
          </cell>
          <cell r="AC135">
            <v>50564</v>
          </cell>
          <cell r="AD135">
            <v>18.397219122688</v>
          </cell>
          <cell r="AE135">
            <v>84030</v>
          </cell>
          <cell r="AF135">
            <v>34.511246449792203</v>
          </cell>
          <cell r="AG135">
            <v>165630</v>
          </cell>
          <cell r="AH135">
            <v>48.749519528673801</v>
          </cell>
          <cell r="AI135">
            <v>-521780</v>
          </cell>
          <cell r="AJ135">
            <v>45.883439243262401</v>
          </cell>
          <cell r="AK135">
            <v>-692356</v>
          </cell>
          <cell r="AL135">
            <v>26.960588271179802</v>
          </cell>
          <cell r="AM135">
            <v>405475</v>
          </cell>
          <cell r="AN135">
            <v>39.818286297372197</v>
          </cell>
          <cell r="AO135">
            <v>332428</v>
          </cell>
          <cell r="AP135">
            <v>47.077113703131403</v>
          </cell>
          <cell r="AQ135">
            <v>-96721</v>
          </cell>
          <cell r="AR135">
            <v>40.848233079716799</v>
          </cell>
          <cell r="AS135">
            <v>-621277</v>
          </cell>
          <cell r="AT135">
            <v>21.962537823601298</v>
          </cell>
          <cell r="AU135">
            <v>-708132</v>
          </cell>
          <cell r="AV135">
            <v>48.199779071114598</v>
          </cell>
          <cell r="AW135">
            <v>371438</v>
          </cell>
          <cell r="AX135">
            <v>29.003828425544</v>
          </cell>
          <cell r="AY135">
            <v>-127344</v>
          </cell>
          <cell r="AZ135">
            <v>6.7650897164576804</v>
          </cell>
          <cell r="BA135">
            <v>453653</v>
          </cell>
          <cell r="BB135">
            <v>9.7830202924660092</v>
          </cell>
          <cell r="BC135">
            <v>-98869</v>
          </cell>
          <cell r="BD135">
            <v>9.6617080745341593</v>
          </cell>
          <cell r="BE135">
            <v>-11659</v>
          </cell>
          <cell r="BF135">
            <v>25.956010425421098</v>
          </cell>
          <cell r="BG135">
            <v>-105439</v>
          </cell>
          <cell r="BH135">
            <v>21.5617452708366</v>
          </cell>
          <cell r="BI135">
            <v>-89367</v>
          </cell>
        </row>
        <row r="136">
          <cell r="B136">
            <v>45.099251193506703</v>
          </cell>
          <cell r="C136">
            <v>-8177335</v>
          </cell>
          <cell r="D136">
            <v>23.294321051536102</v>
          </cell>
          <cell r="E136">
            <v>-693934</v>
          </cell>
          <cell r="F136">
            <v>25.536121133500099</v>
          </cell>
          <cell r="G136">
            <v>404240</v>
          </cell>
          <cell r="H136">
            <v>27.6634247742622</v>
          </cell>
          <cell r="I136">
            <v>688541</v>
          </cell>
          <cell r="J136">
            <v>76.8893794821673</v>
          </cell>
          <cell r="K136">
            <v>-1757944</v>
          </cell>
          <cell r="L136">
            <v>55.139776559131001</v>
          </cell>
          <cell r="M136">
            <v>-378854</v>
          </cell>
          <cell r="N136">
            <v>15.3193158122673</v>
          </cell>
          <cell r="O136">
            <v>15271</v>
          </cell>
          <cell r="P136">
            <v>6.2875865133072999</v>
          </cell>
          <cell r="Q136">
            <v>-369637</v>
          </cell>
          <cell r="R136">
            <v>29.3399775929655</v>
          </cell>
          <cell r="S136">
            <v>-111916</v>
          </cell>
          <cell r="T136">
            <v>13.375053752125501</v>
          </cell>
          <cell r="U136">
            <v>-652090</v>
          </cell>
          <cell r="V136">
            <v>46.096435316180397</v>
          </cell>
          <cell r="W136">
            <v>-284259</v>
          </cell>
          <cell r="X136">
            <v>10.278549707214401</v>
          </cell>
          <cell r="Y136">
            <v>-430262</v>
          </cell>
          <cell r="Z136">
            <v>30.702021568627401</v>
          </cell>
          <cell r="AA136">
            <v>68927</v>
          </cell>
          <cell r="AB136">
            <v>9.2388124426414606</v>
          </cell>
          <cell r="AC136">
            <v>280433</v>
          </cell>
          <cell r="AD136">
            <v>18.4690162808777</v>
          </cell>
          <cell r="AE136">
            <v>144298</v>
          </cell>
          <cell r="AF136">
            <v>34.720189854549503</v>
          </cell>
          <cell r="AG136">
            <v>642818</v>
          </cell>
          <cell r="AH136">
            <v>48.771895645957102</v>
          </cell>
          <cell r="AI136">
            <v>346497</v>
          </cell>
          <cell r="AJ136">
            <v>45.832465850588498</v>
          </cell>
          <cell r="AK136">
            <v>-628269</v>
          </cell>
          <cell r="AL136">
            <v>27.099613669920402</v>
          </cell>
          <cell r="AM136">
            <v>1059604</v>
          </cell>
          <cell r="AN136">
            <v>39.794222203630298</v>
          </cell>
          <cell r="AO136">
            <v>-269077</v>
          </cell>
          <cell r="AP136">
            <v>47.0636214102773</v>
          </cell>
          <cell r="AQ136">
            <v>-102221</v>
          </cell>
          <cell r="AR136">
            <v>40.776723840831302</v>
          </cell>
          <cell r="AS136">
            <v>-768444</v>
          </cell>
          <cell r="AT136">
            <v>21.9072825354244</v>
          </cell>
          <cell r="AU136">
            <v>-513072</v>
          </cell>
          <cell r="AV136">
            <v>48.1744319238665</v>
          </cell>
          <cell r="AW136">
            <v>-221478</v>
          </cell>
          <cell r="AX136">
            <v>28.884417513198802</v>
          </cell>
          <cell r="AY136">
            <v>-103754</v>
          </cell>
          <cell r="AZ136">
            <v>6.7926197243759399</v>
          </cell>
          <cell r="BA136">
            <v>212646</v>
          </cell>
          <cell r="BB136">
            <v>9.7203712445954693</v>
          </cell>
          <cell r="BC136">
            <v>-455531</v>
          </cell>
          <cell r="BD136">
            <v>9.6502546583850908</v>
          </cell>
          <cell r="BE136">
            <v>-72269</v>
          </cell>
          <cell r="BF136">
            <v>25.704503464601501</v>
          </cell>
          <cell r="BG136">
            <v>-327652</v>
          </cell>
          <cell r="BH136">
            <v>21.539833044449299</v>
          </cell>
          <cell r="BI136">
            <v>-44580</v>
          </cell>
        </row>
        <row r="137">
          <cell r="B137">
            <v>45.024620850805299</v>
          </cell>
          <cell r="C137">
            <v>-6936207</v>
          </cell>
          <cell r="D137">
            <v>23.337397749562101</v>
          </cell>
          <cell r="E137">
            <v>-620079</v>
          </cell>
          <cell r="F137">
            <v>25.370184301575399</v>
          </cell>
          <cell r="G137">
            <v>-2810992</v>
          </cell>
          <cell r="H137">
            <v>27.733597771143</v>
          </cell>
          <cell r="I137">
            <v>941760</v>
          </cell>
          <cell r="J137">
            <v>76.669789452684</v>
          </cell>
          <cell r="K137">
            <v>-4386221</v>
          </cell>
          <cell r="L137">
            <v>55.030756001267598</v>
          </cell>
          <cell r="M137">
            <v>-2031074</v>
          </cell>
          <cell r="N137">
            <v>15.2629981537413</v>
          </cell>
          <cell r="O137">
            <v>-209835</v>
          </cell>
          <cell r="P137">
            <v>6.1179443282744899</v>
          </cell>
          <cell r="Q137">
            <v>-642350</v>
          </cell>
          <cell r="R137">
            <v>29.1677469833059</v>
          </cell>
          <cell r="S137">
            <v>-2819896</v>
          </cell>
          <cell r="T137">
            <v>13.279103067154599</v>
          </cell>
          <cell r="U137">
            <v>-386218</v>
          </cell>
          <cell r="V137">
            <v>45.975181918233403</v>
          </cell>
          <cell r="W137">
            <v>-5549137</v>
          </cell>
          <cell r="X137">
            <v>10.1766742453371</v>
          </cell>
          <cell r="Y137">
            <v>-499431</v>
          </cell>
          <cell r="Z137">
            <v>30.8490901960784</v>
          </cell>
          <cell r="AA137">
            <v>799674</v>
          </cell>
          <cell r="AB137">
            <v>9.1162961139507797</v>
          </cell>
          <cell r="AC137">
            <v>-396142</v>
          </cell>
          <cell r="AD137">
            <v>18.4456132187991</v>
          </cell>
          <cell r="AE137">
            <v>-57965</v>
          </cell>
          <cell r="AF137">
            <v>35.002141485883399</v>
          </cell>
          <cell r="AG137">
            <v>828625</v>
          </cell>
          <cell r="AH137">
            <v>48.842341988777903</v>
          </cell>
          <cell r="AI137">
            <v>1096354</v>
          </cell>
          <cell r="AJ137">
            <v>45.753171483969602</v>
          </cell>
          <cell r="AK137">
            <v>-984791</v>
          </cell>
          <cell r="AL137">
            <v>26.7598553245886</v>
          </cell>
          <cell r="AM137">
            <v>-2653994</v>
          </cell>
          <cell r="AN137">
            <v>39.816191463451098</v>
          </cell>
          <cell r="AO137">
            <v>238348</v>
          </cell>
          <cell r="AP137">
            <v>46.897627125822197</v>
          </cell>
          <cell r="AQ137">
            <v>-1224157</v>
          </cell>
          <cell r="AR137">
            <v>40.9324196071153</v>
          </cell>
          <cell r="AS137">
            <v>1667547</v>
          </cell>
          <cell r="AT137">
            <v>21.874837957876299</v>
          </cell>
          <cell r="AU137">
            <v>-298262</v>
          </cell>
          <cell r="AV137">
            <v>48.274289170328998</v>
          </cell>
          <cell r="AW137">
            <v>872541</v>
          </cell>
          <cell r="AX137">
            <v>28.4093538007298</v>
          </cell>
          <cell r="AY137">
            <v>-374421</v>
          </cell>
          <cell r="AZ137">
            <v>6.9464188216371401</v>
          </cell>
          <cell r="BA137">
            <v>1533594</v>
          </cell>
          <cell r="BB137">
            <v>10.071417381231299</v>
          </cell>
          <cell r="BC137">
            <v>1568227</v>
          </cell>
          <cell r="BD137">
            <v>9.6732981366459594</v>
          </cell>
          <cell r="BE137">
            <v>61338</v>
          </cell>
          <cell r="BF137">
            <v>25.5834752246788</v>
          </cell>
          <cell r="BG137">
            <v>-149204</v>
          </cell>
          <cell r="BH137">
            <v>21.3986162923492</v>
          </cell>
          <cell r="BI137">
            <v>-290371</v>
          </cell>
        </row>
        <row r="138">
          <cell r="B138">
            <v>44.944682269683199</v>
          </cell>
          <cell r="C138">
            <v>-7420578</v>
          </cell>
          <cell r="D138">
            <v>23.234735683654002</v>
          </cell>
          <cell r="E138">
            <v>-1066553</v>
          </cell>
          <cell r="F138">
            <v>24.9237931794807</v>
          </cell>
          <cell r="G138">
            <v>-7305909</v>
          </cell>
          <cell r="H138">
            <v>27.614251694377799</v>
          </cell>
          <cell r="I138">
            <v>-1582931</v>
          </cell>
          <cell r="J138">
            <v>76.629836021092302</v>
          </cell>
          <cell r="K138">
            <v>-793436</v>
          </cell>
          <cell r="L138">
            <v>55.037282762235598</v>
          </cell>
          <cell r="M138">
            <v>128844</v>
          </cell>
          <cell r="N138">
            <v>15.301967160550801</v>
          </cell>
          <cell r="O138">
            <v>164373</v>
          </cell>
          <cell r="P138">
            <v>6.3282572649291398</v>
          </cell>
          <cell r="Q138">
            <v>874240</v>
          </cell>
          <cell r="R138">
            <v>28.551605837472</v>
          </cell>
          <cell r="S138">
            <v>-9691583</v>
          </cell>
          <cell r="T138">
            <v>12.965616740040799</v>
          </cell>
          <cell r="U138">
            <v>-1353692</v>
          </cell>
          <cell r="V138">
            <v>45.783182747716403</v>
          </cell>
          <cell r="W138">
            <v>-8117792</v>
          </cell>
          <cell r="X138">
            <v>10.2009520631594</v>
          </cell>
          <cell r="Y138">
            <v>204926</v>
          </cell>
          <cell r="Z138">
            <v>31.398549019607799</v>
          </cell>
          <cell r="AA138">
            <v>2899545</v>
          </cell>
          <cell r="AB138">
            <v>9.0760094070954107</v>
          </cell>
          <cell r="AC138">
            <v>-111823</v>
          </cell>
          <cell r="AD138">
            <v>18.277331578870101</v>
          </cell>
          <cell r="AE138">
            <v>-270705</v>
          </cell>
          <cell r="AF138">
            <v>35.114284051239601</v>
          </cell>
          <cell r="AG138">
            <v>326473</v>
          </cell>
          <cell r="AH138">
            <v>48.837293568217298</v>
          </cell>
          <cell r="AI138">
            <v>-80973</v>
          </cell>
          <cell r="AJ138">
            <v>45.699586558838099</v>
          </cell>
          <cell r="AK138">
            <v>-660465</v>
          </cell>
          <cell r="AL138">
            <v>26.424776747413599</v>
          </cell>
          <cell r="AM138">
            <v>-2405478</v>
          </cell>
          <cell r="AN138">
            <v>39.803310992619899</v>
          </cell>
          <cell r="AO138">
            <v>-137735</v>
          </cell>
          <cell r="AP138">
            <v>46.860102741100903</v>
          </cell>
          <cell r="AQ138">
            <v>-271334</v>
          </cell>
          <cell r="AR138">
            <v>40.9763898093899</v>
          </cell>
          <cell r="AS138">
            <v>471353</v>
          </cell>
          <cell r="AT138">
            <v>21.856355256796199</v>
          </cell>
          <cell r="AU138">
            <v>-168963</v>
          </cell>
          <cell r="AV138">
            <v>48.164880252754202</v>
          </cell>
          <cell r="AW138">
            <v>-922705</v>
          </cell>
          <cell r="AX138">
            <v>28.234242513915198</v>
          </cell>
          <cell r="AY138">
            <v>-140037</v>
          </cell>
          <cell r="AZ138">
            <v>6.9721603128427301</v>
          </cell>
          <cell r="BA138">
            <v>156281</v>
          </cell>
          <cell r="BB138">
            <v>9.9535813425832007</v>
          </cell>
          <cell r="BC138">
            <v>-638404</v>
          </cell>
          <cell r="BD138">
            <v>9.6562329192546503</v>
          </cell>
          <cell r="BE138">
            <v>-40942</v>
          </cell>
          <cell r="BF138">
            <v>25.390119763577001</v>
          </cell>
          <cell r="BG138">
            <v>-228264</v>
          </cell>
          <cell r="BH138">
            <v>21.293593749821</v>
          </cell>
          <cell r="BI138">
            <v>-211258</v>
          </cell>
        </row>
        <row r="139">
          <cell r="B139">
            <v>44.838850836103802</v>
          </cell>
          <cell r="C139">
            <v>-9721525</v>
          </cell>
          <cell r="D139">
            <v>23.4372553883039</v>
          </cell>
          <cell r="E139">
            <v>2106508</v>
          </cell>
          <cell r="F139">
            <v>25.028686572477302</v>
          </cell>
          <cell r="G139">
            <v>1806830</v>
          </cell>
          <cell r="H139">
            <v>27.705737339082599</v>
          </cell>
          <cell r="I139">
            <v>1295732</v>
          </cell>
          <cell r="J139">
            <v>76.456367166384894</v>
          </cell>
          <cell r="K139">
            <v>-2927765</v>
          </cell>
          <cell r="L139">
            <v>54.999655009736202</v>
          </cell>
          <cell r="M139">
            <v>-708974</v>
          </cell>
          <cell r="N139">
            <v>15.317517357816</v>
          </cell>
          <cell r="O139">
            <v>72820</v>
          </cell>
          <cell r="P139">
            <v>6.3817896002175996</v>
          </cell>
          <cell r="Q139">
            <v>183765</v>
          </cell>
          <cell r="R139">
            <v>28.427083957175999</v>
          </cell>
          <cell r="S139">
            <v>-1961115</v>
          </cell>
          <cell r="T139">
            <v>13.064297600278101</v>
          </cell>
          <cell r="U139">
            <v>-830963</v>
          </cell>
          <cell r="V139">
            <v>45.719507996820802</v>
          </cell>
          <cell r="W139">
            <v>-2680550</v>
          </cell>
          <cell r="X139">
            <v>10.079344003306</v>
          </cell>
          <cell r="Y139">
            <v>-968892</v>
          </cell>
          <cell r="Z139">
            <v>31.536682352941099</v>
          </cell>
          <cell r="AA139">
            <v>963342</v>
          </cell>
          <cell r="AB139">
            <v>9.0444414133118602</v>
          </cell>
          <cell r="AC139">
            <v>-97662</v>
          </cell>
          <cell r="AD139">
            <v>18.3346894729521</v>
          </cell>
          <cell r="AE139">
            <v>100690</v>
          </cell>
          <cell r="AF139">
            <v>35.404878749242599</v>
          </cell>
          <cell r="AG139">
            <v>232580</v>
          </cell>
          <cell r="AH139">
            <v>48.838413113054997</v>
          </cell>
          <cell r="AI139">
            <v>16696</v>
          </cell>
          <cell r="AJ139">
            <v>45.682482783580298</v>
          </cell>
          <cell r="AK139">
            <v>11977</v>
          </cell>
          <cell r="AL139">
            <v>26.4922884837165</v>
          </cell>
          <cell r="AM139">
            <v>152741</v>
          </cell>
          <cell r="AN139">
            <v>39.757044038578499</v>
          </cell>
          <cell r="AO139">
            <v>-471519</v>
          </cell>
          <cell r="AP139">
            <v>46.793933659062198</v>
          </cell>
          <cell r="AQ139">
            <v>-469770</v>
          </cell>
          <cell r="AR139">
            <v>40.866212454600799</v>
          </cell>
          <cell r="AS139">
            <v>-1152215</v>
          </cell>
          <cell r="AT139">
            <v>21.8427308066893</v>
          </cell>
          <cell r="AU139">
            <v>-127444</v>
          </cell>
          <cell r="AV139">
            <v>48.053530664999101</v>
          </cell>
          <cell r="AW139">
            <v>-881047</v>
          </cell>
          <cell r="AX139">
            <v>28.3792287888826</v>
          </cell>
          <cell r="AY139">
            <v>134721</v>
          </cell>
          <cell r="AZ139">
            <v>7.0339532317648903</v>
          </cell>
          <cell r="BA139">
            <v>530681</v>
          </cell>
          <cell r="BB139">
            <v>9.9877588485796096</v>
          </cell>
          <cell r="BC139">
            <v>-218660</v>
          </cell>
          <cell r="BD139">
            <v>9.6686552795031009</v>
          </cell>
          <cell r="BE139">
            <v>30945</v>
          </cell>
          <cell r="BF139">
            <v>25.441729506999899</v>
          </cell>
          <cell r="BG139">
            <v>59003</v>
          </cell>
          <cell r="BH139">
            <v>21.174945029458598</v>
          </cell>
          <cell r="BI139">
            <v>-229851</v>
          </cell>
        </row>
        <row r="140">
          <cell r="B140">
            <v>44.782160153239502</v>
          </cell>
          <cell r="C140">
            <v>-5108791</v>
          </cell>
          <cell r="D140">
            <v>23.541935857925601</v>
          </cell>
          <cell r="E140">
            <v>1032525</v>
          </cell>
          <cell r="F140">
            <v>25.043747982254299</v>
          </cell>
          <cell r="G140">
            <v>274789</v>
          </cell>
          <cell r="H140">
            <v>27.742764221916399</v>
          </cell>
          <cell r="I140">
            <v>506471</v>
          </cell>
          <cell r="J140">
            <v>76.448435936789807</v>
          </cell>
          <cell r="K140">
            <v>-152684</v>
          </cell>
          <cell r="L140">
            <v>55.027450848907598</v>
          </cell>
          <cell r="M140">
            <v>512323</v>
          </cell>
          <cell r="N140">
            <v>15.1206808571505</v>
          </cell>
          <cell r="O140">
            <v>-593973</v>
          </cell>
          <cell r="P140">
            <v>6.4878801360503102</v>
          </cell>
          <cell r="Q140">
            <v>351820</v>
          </cell>
          <cell r="R140">
            <v>28.150467562739401</v>
          </cell>
          <cell r="S140">
            <v>-4282947</v>
          </cell>
          <cell r="T140">
            <v>12.7740053792228</v>
          </cell>
          <cell r="U140">
            <v>-1633093</v>
          </cell>
          <cell r="V140">
            <v>45.699404044200001</v>
          </cell>
          <cell r="W140">
            <v>-863208</v>
          </cell>
          <cell r="X140">
            <v>10.0999714076475</v>
          </cell>
          <cell r="Y140">
            <v>239783</v>
          </cell>
          <cell r="Z140">
            <v>31.617274509803899</v>
          </cell>
          <cell r="AA140">
            <v>596305</v>
          </cell>
          <cell r="AB140">
            <v>9.1923205130643701</v>
          </cell>
          <cell r="AC140">
            <v>427104</v>
          </cell>
          <cell r="AD140">
            <v>18.388437551007002</v>
          </cell>
          <cell r="AE140">
            <v>92113</v>
          </cell>
          <cell r="AF140">
            <v>35.687357932967302</v>
          </cell>
          <cell r="AG140">
            <v>803192</v>
          </cell>
          <cell r="AH140">
            <v>48.757680259250598</v>
          </cell>
          <cell r="AI140">
            <v>-1281351</v>
          </cell>
          <cell r="AJ140">
            <v>45.648071746467302</v>
          </cell>
          <cell r="AK140">
            <v>-438214</v>
          </cell>
          <cell r="AL140">
            <v>26.684032713453401</v>
          </cell>
          <cell r="AM140">
            <v>1350027</v>
          </cell>
          <cell r="AN140">
            <v>39.793077993878804</v>
          </cell>
          <cell r="AO140">
            <v>369584</v>
          </cell>
          <cell r="AP140">
            <v>46.8014365818889</v>
          </cell>
          <cell r="AQ140">
            <v>57227</v>
          </cell>
          <cell r="AR140">
            <v>40.814734498024897</v>
          </cell>
          <cell r="AS140">
            <v>-540734</v>
          </cell>
          <cell r="AT140">
            <v>21.819933868564899</v>
          </cell>
          <cell r="AU140">
            <v>-212554</v>
          </cell>
          <cell r="AV140">
            <v>48.221257344834001</v>
          </cell>
          <cell r="AW140">
            <v>1320352</v>
          </cell>
          <cell r="AX140">
            <v>28.303352380837602</v>
          </cell>
          <cell r="AY140">
            <v>-62288</v>
          </cell>
          <cell r="AZ140">
            <v>7.2464084354718903</v>
          </cell>
          <cell r="BA140">
            <v>1881760</v>
          </cell>
          <cell r="BB140">
            <v>9.9720134799432802</v>
          </cell>
          <cell r="BC140">
            <v>-151815</v>
          </cell>
          <cell r="BD140">
            <v>9.7726552795031001</v>
          </cell>
          <cell r="BE140">
            <v>239624</v>
          </cell>
          <cell r="BF140">
            <v>25.411021192301099</v>
          </cell>
          <cell r="BG140">
            <v>-35056</v>
          </cell>
          <cell r="BH140">
            <v>21.137928460796701</v>
          </cell>
          <cell r="BI140">
            <v>-71738</v>
          </cell>
        </row>
        <row r="141">
          <cell r="B141">
            <v>44.706907947589698</v>
          </cell>
          <cell r="C141">
            <v>-6663147</v>
          </cell>
          <cell r="D141">
            <v>23.508890212659701</v>
          </cell>
          <cell r="E141">
            <v>-345394</v>
          </cell>
          <cell r="F141">
            <v>24.876495541093998</v>
          </cell>
          <cell r="G141">
            <v>-2809493</v>
          </cell>
          <cell r="H141">
            <v>27.994680222248402</v>
          </cell>
          <cell r="I141">
            <v>3289371</v>
          </cell>
          <cell r="J141">
            <v>76.292226476984894</v>
          </cell>
          <cell r="K141">
            <v>-2883135</v>
          </cell>
          <cell r="L141">
            <v>54.8868510052232</v>
          </cell>
          <cell r="M141">
            <v>-2455206</v>
          </cell>
          <cell r="N141">
            <v>15.148178357904801</v>
          </cell>
          <cell r="O141">
            <v>-509532</v>
          </cell>
          <cell r="P141">
            <v>6.5407338324809698</v>
          </cell>
          <cell r="Q141">
            <v>161190</v>
          </cell>
          <cell r="R141">
            <v>28.069284177768001</v>
          </cell>
          <cell r="S141">
            <v>-1247095</v>
          </cell>
          <cell r="T141">
            <v>12.5597226199527</v>
          </cell>
          <cell r="U141">
            <v>-923798</v>
          </cell>
          <cell r="V141">
            <v>45.682672160309501</v>
          </cell>
          <cell r="W141">
            <v>-710610</v>
          </cell>
          <cell r="X141">
            <v>9.9140210931001391</v>
          </cell>
          <cell r="Y141">
            <v>-996965</v>
          </cell>
          <cell r="Z141">
            <v>31.150596078431299</v>
          </cell>
          <cell r="AA141">
            <v>-1419253</v>
          </cell>
          <cell r="AB141">
            <v>9.5357641679677894</v>
          </cell>
          <cell r="AC141">
            <v>988104</v>
          </cell>
          <cell r="AD141">
            <v>18.5082036106317</v>
          </cell>
          <cell r="AE141">
            <v>206561</v>
          </cell>
          <cell r="AF141">
            <v>36.149192368788803</v>
          </cell>
          <cell r="AG141">
            <v>1288435</v>
          </cell>
          <cell r="AH141">
            <v>48.675430046546303</v>
          </cell>
          <cell r="AI141">
            <v>-1303247</v>
          </cell>
          <cell r="AJ141">
            <v>45.628920023953199</v>
          </cell>
          <cell r="AK141">
            <v>-82961</v>
          </cell>
          <cell r="AL141">
            <v>26.4841756450829</v>
          </cell>
          <cell r="AM141">
            <v>-1406197</v>
          </cell>
          <cell r="AN141">
            <v>39.763877934059799</v>
          </cell>
          <cell r="AO141">
            <v>-295364</v>
          </cell>
          <cell r="AP141">
            <v>46.806239269674499</v>
          </cell>
          <cell r="AQ141">
            <v>34601</v>
          </cell>
          <cell r="AR141">
            <v>40.485983934678202</v>
          </cell>
          <cell r="AS141">
            <v>-3214782</v>
          </cell>
          <cell r="AT141">
            <v>21.797615524973001</v>
          </cell>
          <cell r="AU141">
            <v>-202871</v>
          </cell>
          <cell r="AV141">
            <v>48.347062224285601</v>
          </cell>
          <cell r="AW141">
            <v>1016155</v>
          </cell>
          <cell r="AX141">
            <v>28.343179191371998</v>
          </cell>
          <cell r="AY141">
            <v>32845</v>
          </cell>
          <cell r="AZ141">
            <v>7.3321419417174098</v>
          </cell>
          <cell r="BA141">
            <v>701190</v>
          </cell>
          <cell r="BB141">
            <v>9.9883017923256894</v>
          </cell>
          <cell r="BC141">
            <v>70380</v>
          </cell>
          <cell r="BD141">
            <v>9.8230559006211102</v>
          </cell>
          <cell r="BE141">
            <v>99595</v>
          </cell>
          <cell r="BF141">
            <v>25.4616651931427</v>
          </cell>
          <cell r="BG141">
            <v>56354</v>
          </cell>
          <cell r="BH141">
            <v>21.0060178989058</v>
          </cell>
          <cell r="BI141">
            <v>-250411</v>
          </cell>
        </row>
        <row r="142">
          <cell r="B142">
            <v>44.664150796551098</v>
          </cell>
          <cell r="C142">
            <v>-3751126</v>
          </cell>
          <cell r="D142">
            <v>23.618245453341999</v>
          </cell>
          <cell r="E142">
            <v>863519</v>
          </cell>
          <cell r="F142">
            <v>24.889588030690799</v>
          </cell>
          <cell r="G142">
            <v>222434</v>
          </cell>
          <cell r="H142">
            <v>28.704424372658799</v>
          </cell>
          <cell r="I142">
            <v>8851771</v>
          </cell>
          <cell r="J142">
            <v>76.077959310648694</v>
          </cell>
          <cell r="K142">
            <v>-3856533</v>
          </cell>
          <cell r="L142">
            <v>54.8252676497615</v>
          </cell>
          <cell r="M142">
            <v>-1097923</v>
          </cell>
          <cell r="N142">
            <v>15.3106167988064</v>
          </cell>
          <cell r="O142">
            <v>240605</v>
          </cell>
          <cell r="P142">
            <v>6.6064365915661298</v>
          </cell>
          <cell r="Q142">
            <v>46340</v>
          </cell>
          <cell r="R142">
            <v>27.884264868874201</v>
          </cell>
          <cell r="S142">
            <v>-2855709</v>
          </cell>
          <cell r="T142">
            <v>12.566188930633899</v>
          </cell>
          <cell r="U142">
            <v>-526234</v>
          </cell>
          <cell r="V142">
            <v>45.630083945586499</v>
          </cell>
          <cell r="W142">
            <v>-2031896</v>
          </cell>
          <cell r="X142">
            <v>10.126031629287301</v>
          </cell>
          <cell r="Y142">
            <v>1365117</v>
          </cell>
          <cell r="Z142">
            <v>31.0942137254901</v>
          </cell>
          <cell r="AA142">
            <v>-276592</v>
          </cell>
          <cell r="AB142">
            <v>9.1984743266412803</v>
          </cell>
          <cell r="AC142">
            <v>-976503</v>
          </cell>
          <cell r="AD142">
            <v>18.592617770030898</v>
          </cell>
          <cell r="AE142">
            <v>169795</v>
          </cell>
          <cell r="AF142">
            <v>32.796721413158899</v>
          </cell>
          <cell r="AG142">
            <v>-653445</v>
          </cell>
          <cell r="AH142">
            <v>48.518863733177497</v>
          </cell>
          <cell r="AI142">
            <v>-2472951</v>
          </cell>
          <cell r="AJ142">
            <v>45.687418423676498</v>
          </cell>
          <cell r="AK142">
            <v>906662</v>
          </cell>
          <cell r="AL142">
            <v>26.576205326057199</v>
          </cell>
          <cell r="AM142">
            <v>692613</v>
          </cell>
          <cell r="AN142">
            <v>39.7642348236798</v>
          </cell>
          <cell r="AO142">
            <v>-4918</v>
          </cell>
          <cell r="AP142">
            <v>46.811462092714798</v>
          </cell>
          <cell r="AQ142">
            <v>36240</v>
          </cell>
          <cell r="AR142">
            <v>40.233572810901002</v>
          </cell>
          <cell r="AS142">
            <v>-2456327</v>
          </cell>
          <cell r="AT142">
            <v>21.7786645587389</v>
          </cell>
          <cell r="AU142">
            <v>-163302</v>
          </cell>
          <cell r="AV142">
            <v>48.499593913725803</v>
          </cell>
          <cell r="AW142">
            <v>1282165</v>
          </cell>
          <cell r="AX142">
            <v>28.5418122167154</v>
          </cell>
          <cell r="AY142">
            <v>179359</v>
          </cell>
          <cell r="AZ142">
            <v>7.1637231257974197</v>
          </cell>
          <cell r="BA142">
            <v>-1398517</v>
          </cell>
          <cell r="BB142">
            <v>9.8181100391047895</v>
          </cell>
          <cell r="BC142">
            <v>-796058</v>
          </cell>
          <cell r="BD142">
            <v>9.8261677018633495</v>
          </cell>
          <cell r="BE142">
            <v>2209</v>
          </cell>
          <cell r="BF142">
            <v>25.312756884652298</v>
          </cell>
          <cell r="BG142">
            <v>-153077</v>
          </cell>
          <cell r="BH142">
            <v>21.104940410715201</v>
          </cell>
          <cell r="BI142">
            <v>187545</v>
          </cell>
        </row>
        <row r="143">
          <cell r="B143">
            <v>44.571874074355101</v>
          </cell>
          <cell r="C143">
            <v>-7604167</v>
          </cell>
          <cell r="D143">
            <v>23.804787761605201</v>
          </cell>
          <cell r="E143">
            <v>1927985</v>
          </cell>
          <cell r="F143">
            <v>24.955952669979499</v>
          </cell>
          <cell r="G143">
            <v>1013871</v>
          </cell>
          <cell r="H143">
            <v>29.333040445123</v>
          </cell>
          <cell r="I143">
            <v>7175529</v>
          </cell>
          <cell r="J143">
            <v>75.819027361972104</v>
          </cell>
          <cell r="K143">
            <v>-5036396</v>
          </cell>
          <cell r="L143">
            <v>54.695076701329299</v>
          </cell>
          <cell r="M143">
            <v>-2461851</v>
          </cell>
          <cell r="N143">
            <v>15.1129409196491</v>
          </cell>
          <cell r="O143">
            <v>-748689</v>
          </cell>
          <cell r="P143">
            <v>6.3872813161406796</v>
          </cell>
          <cell r="Q143">
            <v>-782678</v>
          </cell>
          <cell r="R143">
            <v>27.9809380478824</v>
          </cell>
          <cell r="S143">
            <v>1432753</v>
          </cell>
          <cell r="T143">
            <v>12.069057997807199</v>
          </cell>
          <cell r="U143">
            <v>-2309601</v>
          </cell>
          <cell r="V143">
            <v>45.565342519888397</v>
          </cell>
          <cell r="W143">
            <v>-2392124</v>
          </cell>
          <cell r="X143">
            <v>10.2187337489692</v>
          </cell>
          <cell r="Y143">
            <v>957480</v>
          </cell>
          <cell r="Z143">
            <v>30.807064705882301</v>
          </cell>
          <cell r="AA143">
            <v>-2106406</v>
          </cell>
          <cell r="AB143">
            <v>9.2059147582746803</v>
          </cell>
          <cell r="AC143">
            <v>1318</v>
          </cell>
          <cell r="AD143">
            <v>18.7312572668156</v>
          </cell>
          <cell r="AE143">
            <v>273098</v>
          </cell>
          <cell r="AF143">
            <v>33.075602372855599</v>
          </cell>
          <cell r="AG143">
            <v>-714696</v>
          </cell>
          <cell r="AH143">
            <v>48.641341199443303</v>
          </cell>
          <cell r="AI143">
            <v>1946867</v>
          </cell>
          <cell r="AJ143">
            <v>45.534062202945897</v>
          </cell>
          <cell r="AK143">
            <v>-1948602</v>
          </cell>
          <cell r="AL143">
            <v>26.250394577157401</v>
          </cell>
          <cell r="AM143">
            <v>-1980675</v>
          </cell>
          <cell r="AN143">
            <v>39.699556691180703</v>
          </cell>
          <cell r="AO143">
            <v>-632332</v>
          </cell>
          <cell r="AP143">
            <v>46.7954472118616</v>
          </cell>
          <cell r="AQ143">
            <v>-112931</v>
          </cell>
          <cell r="AR143">
            <v>39.980663291005001</v>
          </cell>
          <cell r="AS143">
            <v>-2357141</v>
          </cell>
          <cell r="AT143">
            <v>21.743221018329301</v>
          </cell>
          <cell r="AU143">
            <v>-304197</v>
          </cell>
          <cell r="AV143">
            <v>48.339185264271002</v>
          </cell>
          <cell r="AW143">
            <v>-1329078</v>
          </cell>
          <cell r="AX143">
            <v>28.303190560010801</v>
          </cell>
          <cell r="AY143">
            <v>-193050</v>
          </cell>
          <cell r="AZ143">
            <v>7.1180735473899697</v>
          </cell>
          <cell r="BA143">
            <v>-421809</v>
          </cell>
          <cell r="BB143">
            <v>9.7903087027091207</v>
          </cell>
          <cell r="BC143">
            <v>-129213</v>
          </cell>
          <cell r="BD143">
            <v>9.7804099378881908</v>
          </cell>
          <cell r="BE143">
            <v>-101857</v>
          </cell>
          <cell r="BF143">
            <v>25.200834217639201</v>
          </cell>
          <cell r="BG143">
            <v>-125761</v>
          </cell>
          <cell r="BH143">
            <v>21.0487159655864</v>
          </cell>
          <cell r="BI143">
            <v>-101881</v>
          </cell>
        </row>
        <row r="144">
          <cell r="B144">
            <v>44.5189057436151</v>
          </cell>
          <cell r="C144">
            <v>-4391982</v>
          </cell>
          <cell r="D144">
            <v>23.5703350376847</v>
          </cell>
          <cell r="E144">
            <v>-2248715</v>
          </cell>
          <cell r="F144">
            <v>24.946706764611001</v>
          </cell>
          <cell r="G144">
            <v>-141038</v>
          </cell>
          <cell r="H144">
            <v>29.314608051016201</v>
          </cell>
          <cell r="I144">
            <v>-223720</v>
          </cell>
          <cell r="J144">
            <v>75.528799772456694</v>
          </cell>
          <cell r="K144">
            <v>-4381427</v>
          </cell>
          <cell r="L144">
            <v>54.678396219529603</v>
          </cell>
          <cell r="M144">
            <v>-295191</v>
          </cell>
          <cell r="N144">
            <v>15.1536679830146</v>
          </cell>
          <cell r="O144">
            <v>408262</v>
          </cell>
          <cell r="P144">
            <v>6.3346279559041996</v>
          </cell>
          <cell r="Q144">
            <v>-210984</v>
          </cell>
          <cell r="R144">
            <v>27.960738279477098</v>
          </cell>
          <cell r="S144">
            <v>-323416</v>
          </cell>
          <cell r="T144">
            <v>12.0805345256941</v>
          </cell>
          <cell r="U144">
            <v>-1426642</v>
          </cell>
          <cell r="V144">
            <v>45.496054536215198</v>
          </cell>
          <cell r="W144">
            <v>-2957540</v>
          </cell>
          <cell r="X144">
            <v>9.9952871729192108</v>
          </cell>
          <cell r="Y144">
            <v>-1578752</v>
          </cell>
          <cell r="Z144">
            <v>30.861782352941098</v>
          </cell>
          <cell r="AA144">
            <v>307258</v>
          </cell>
          <cell r="AB144">
            <v>9.1305656252252998</v>
          </cell>
          <cell r="AC144">
            <v>-229817</v>
          </cell>
          <cell r="AD144">
            <v>18.628160573988499</v>
          </cell>
          <cell r="AE144">
            <v>-210844</v>
          </cell>
          <cell r="AF144">
            <v>32.895749340144803</v>
          </cell>
          <cell r="AG144">
            <v>-507483</v>
          </cell>
          <cell r="AH144">
            <v>48.739767541848103</v>
          </cell>
          <cell r="AI144">
            <v>1529748</v>
          </cell>
          <cell r="AJ144">
            <v>45.366258433792702</v>
          </cell>
          <cell r="AK144">
            <v>-2049017</v>
          </cell>
          <cell r="AL144">
            <v>26.286951527782801</v>
          </cell>
          <cell r="AM144">
            <v>262096</v>
          </cell>
          <cell r="AN144">
            <v>39.702110074189299</v>
          </cell>
          <cell r="AO144">
            <v>36788</v>
          </cell>
          <cell r="AP144">
            <v>46.755116003873802</v>
          </cell>
          <cell r="AQ144">
            <v>-286189</v>
          </cell>
          <cell r="AR144">
            <v>40.006807878900297</v>
          </cell>
          <cell r="AS144">
            <v>246929</v>
          </cell>
          <cell r="AT144">
            <v>21.754855341531599</v>
          </cell>
          <cell r="AU144">
            <v>97664</v>
          </cell>
          <cell r="AV144">
            <v>48.2537791538943</v>
          </cell>
          <cell r="AW144">
            <v>-706861</v>
          </cell>
          <cell r="AX144">
            <v>28.150592215145</v>
          </cell>
          <cell r="AY144">
            <v>-124992</v>
          </cell>
          <cell r="AZ144">
            <v>6.8713659141302301</v>
          </cell>
          <cell r="BA144">
            <v>-2033046</v>
          </cell>
          <cell r="BB144">
            <v>9.8611138003907097</v>
          </cell>
          <cell r="BC144">
            <v>337675</v>
          </cell>
          <cell r="BD144">
            <v>9.8263198757763899</v>
          </cell>
          <cell r="BE144">
            <v>108140</v>
          </cell>
          <cell r="BF144">
            <v>25.192383970052699</v>
          </cell>
          <cell r="BG144">
            <v>-9732</v>
          </cell>
          <cell r="BH144">
            <v>21.030959853180001</v>
          </cell>
          <cell r="BI144">
            <v>-34451</v>
          </cell>
        </row>
        <row r="145">
          <cell r="B145">
            <v>44.466910261788797</v>
          </cell>
          <cell r="C145">
            <v>-4328012</v>
          </cell>
          <cell r="D145">
            <v>23.476266973348999</v>
          </cell>
          <cell r="E145">
            <v>149710</v>
          </cell>
          <cell r="F145">
            <v>24.885104727541801</v>
          </cell>
          <cell r="G145">
            <v>-988886</v>
          </cell>
          <cell r="H145">
            <v>29.345099725920299</v>
          </cell>
          <cell r="I145">
            <v>352202</v>
          </cell>
          <cell r="J145">
            <v>75.306402493786194</v>
          </cell>
          <cell r="K145">
            <v>-3941952</v>
          </cell>
          <cell r="L145">
            <v>54.701674890943202</v>
          </cell>
          <cell r="M145">
            <v>408965</v>
          </cell>
          <cell r="N145">
            <v>15.3550260555203</v>
          </cell>
          <cell r="O145">
            <v>255773</v>
          </cell>
          <cell r="P145">
            <v>6.4463905102347496</v>
          </cell>
          <cell r="Q145">
            <v>177230</v>
          </cell>
          <cell r="R145">
            <v>27.9601856897843</v>
          </cell>
          <cell r="S145">
            <v>-39883</v>
          </cell>
          <cell r="T145">
            <v>12.013345718767599</v>
          </cell>
          <cell r="U145">
            <v>-492889</v>
          </cell>
          <cell r="V145">
            <v>45.455385552187998</v>
          </cell>
          <cell r="W145">
            <v>-1848546</v>
          </cell>
          <cell r="X145">
            <v>9.8184182869224905</v>
          </cell>
          <cell r="Y145">
            <v>-1185604</v>
          </cell>
          <cell r="Z145">
            <v>30.662837254901898</v>
          </cell>
          <cell r="AA145">
            <v>-731626</v>
          </cell>
          <cell r="AB145">
            <v>9.16951152600668</v>
          </cell>
          <cell r="AC145">
            <v>121490</v>
          </cell>
          <cell r="AD145">
            <v>18.537203623040401</v>
          </cell>
          <cell r="AE145">
            <v>-182696</v>
          </cell>
          <cell r="AF145">
            <v>32.814904772284002</v>
          </cell>
          <cell r="AG145">
            <v>-277103</v>
          </cell>
          <cell r="AH145">
            <v>48.729420681362797</v>
          </cell>
          <cell r="AI145">
            <v>-159730</v>
          </cell>
          <cell r="AJ145">
            <v>45.1414784173393</v>
          </cell>
          <cell r="AK145">
            <v>-2650667</v>
          </cell>
          <cell r="AL145">
            <v>26.2957927143147</v>
          </cell>
          <cell r="AM145">
            <v>56724</v>
          </cell>
          <cell r="AN145">
            <v>39.682862908833798</v>
          </cell>
          <cell r="AO145">
            <v>-188366</v>
          </cell>
          <cell r="AP145">
            <v>46.765076673529201</v>
          </cell>
          <cell r="AQ145">
            <v>71278</v>
          </cell>
          <cell r="AR145">
            <v>39.8416319821849</v>
          </cell>
          <cell r="AS145">
            <v>-1544436</v>
          </cell>
          <cell r="AT145">
            <v>21.728629049779101</v>
          </cell>
          <cell r="AU145">
            <v>-225653</v>
          </cell>
          <cell r="AV145">
            <v>48.2520878203539</v>
          </cell>
          <cell r="AW145">
            <v>-7236</v>
          </cell>
          <cell r="AX145">
            <v>28.177212963594101</v>
          </cell>
          <cell r="AY145">
            <v>20910</v>
          </cell>
          <cell r="AZ145">
            <v>6.9753628726036698</v>
          </cell>
          <cell r="BA145">
            <v>976813</v>
          </cell>
          <cell r="BB145">
            <v>9.8027926051094099</v>
          </cell>
          <cell r="BC145">
            <v>-373584</v>
          </cell>
          <cell r="BD145">
            <v>9.7809099378881896</v>
          </cell>
          <cell r="BE145">
            <v>-106524</v>
          </cell>
          <cell r="BF145">
            <v>25.176805622461298</v>
          </cell>
          <cell r="BG145">
            <v>-17507</v>
          </cell>
          <cell r="BH145">
            <v>20.9939905030818</v>
          </cell>
          <cell r="BI145">
            <v>-69472</v>
          </cell>
        </row>
        <row r="146">
          <cell r="B146">
            <v>44.441008583765701</v>
          </cell>
          <cell r="C146">
            <v>-2147081</v>
          </cell>
          <cell r="D146">
            <v>23.5818270924856</v>
          </cell>
          <cell r="E146">
            <v>942692</v>
          </cell>
          <cell r="F146">
            <v>24.855254293714999</v>
          </cell>
          <cell r="G146">
            <v>-490542</v>
          </cell>
          <cell r="H146">
            <v>29.774742136803901</v>
          </cell>
          <cell r="I146">
            <v>4774216</v>
          </cell>
          <cell r="J146">
            <v>75.0082490257807</v>
          </cell>
          <cell r="K146">
            <v>-5610004</v>
          </cell>
          <cell r="L146">
            <v>54.707463135240403</v>
          </cell>
          <cell r="M146">
            <v>85508</v>
          </cell>
          <cell r="N146">
            <v>15.3104043358013</v>
          </cell>
          <cell r="O146">
            <v>640474</v>
          </cell>
          <cell r="P146">
            <v>6.3561666009814299</v>
          </cell>
          <cell r="Q146">
            <v>-322799</v>
          </cell>
          <cell r="R146">
            <v>27.949391316313498</v>
          </cell>
          <cell r="S146">
            <v>-170431</v>
          </cell>
          <cell r="T146">
            <v>11.8682691585909</v>
          </cell>
          <cell r="U146">
            <v>-348974</v>
          </cell>
          <cell r="V146">
            <v>45.377974782545998</v>
          </cell>
          <cell r="W146">
            <v>-3400785</v>
          </cell>
          <cell r="X146">
            <v>9.6541848237416108</v>
          </cell>
          <cell r="Y146">
            <v>-1076190</v>
          </cell>
          <cell r="Z146">
            <v>30.351627450980299</v>
          </cell>
          <cell r="AA146">
            <v>-1986478</v>
          </cell>
          <cell r="AB146">
            <v>9.21627995341664</v>
          </cell>
          <cell r="AC146">
            <v>129134</v>
          </cell>
          <cell r="AD146">
            <v>18.341154167519498</v>
          </cell>
          <cell r="AE146">
            <v>-377031</v>
          </cell>
          <cell r="AF146">
            <v>32.798201680321803</v>
          </cell>
          <cell r="AG146">
            <v>-54297</v>
          </cell>
          <cell r="AH146">
            <v>48.657576447022997</v>
          </cell>
          <cell r="AI146">
            <v>-1088077</v>
          </cell>
          <cell r="AJ146">
            <v>44.972479164425799</v>
          </cell>
          <cell r="AK146">
            <v>-1943581</v>
          </cell>
          <cell r="AL146">
            <v>26.482564773453799</v>
          </cell>
          <cell r="AM146">
            <v>1332639</v>
          </cell>
          <cell r="AN146">
            <v>39.683282524508201</v>
          </cell>
          <cell r="AO146">
            <v>2263</v>
          </cell>
          <cell r="AP146">
            <v>46.746864298764201</v>
          </cell>
          <cell r="AQ146">
            <v>-128978</v>
          </cell>
          <cell r="AR146">
            <v>39.760780467113797</v>
          </cell>
          <cell r="AS146">
            <v>-750102</v>
          </cell>
          <cell r="AT146">
            <v>21.709017003327499</v>
          </cell>
          <cell r="AU146">
            <v>-168234</v>
          </cell>
          <cell r="AV146">
            <v>48.181639830564102</v>
          </cell>
          <cell r="AW146">
            <v>-556213</v>
          </cell>
          <cell r="AX146">
            <v>28.239464441188499</v>
          </cell>
          <cell r="AY146">
            <v>50028</v>
          </cell>
          <cell r="AZ146">
            <v>6.9617341275097102</v>
          </cell>
          <cell r="BA146">
            <v>51298</v>
          </cell>
          <cell r="BB146">
            <v>9.7278494028537992</v>
          </cell>
          <cell r="BC146">
            <v>-346638</v>
          </cell>
          <cell r="BD146">
            <v>9.7548012422360202</v>
          </cell>
          <cell r="BE146">
            <v>-58629</v>
          </cell>
          <cell r="BF146">
            <v>25.174115339556199</v>
          </cell>
          <cell r="BG146">
            <v>-1540</v>
          </cell>
          <cell r="BH146">
            <v>20.972039951460999</v>
          </cell>
          <cell r="BI146">
            <v>-41569</v>
          </cell>
        </row>
        <row r="147">
          <cell r="B147">
            <v>44.333357725839498</v>
          </cell>
          <cell r="C147">
            <v>-8880849</v>
          </cell>
          <cell r="D147">
            <v>23.307443941700001</v>
          </cell>
          <cell r="E147">
            <v>-2955016</v>
          </cell>
          <cell r="F147">
            <v>24.719935968061002</v>
          </cell>
          <cell r="G147">
            <v>-2035233</v>
          </cell>
          <cell r="H147">
            <v>29.797434824687599</v>
          </cell>
          <cell r="I147">
            <v>241407</v>
          </cell>
          <cell r="J147">
            <v>74.559730991147504</v>
          </cell>
          <cell r="K147">
            <v>-8040716</v>
          </cell>
          <cell r="L147">
            <v>54.697195835289897</v>
          </cell>
          <cell r="M147">
            <v>-205410</v>
          </cell>
          <cell r="N147">
            <v>14.947040229495901</v>
          </cell>
          <cell r="O147">
            <v>-789651</v>
          </cell>
          <cell r="P147">
            <v>6.3744798333323001</v>
          </cell>
          <cell r="Q147">
            <v>80168</v>
          </cell>
          <cell r="R147">
            <v>27.939910878334299</v>
          </cell>
          <cell r="S147">
            <v>-163623</v>
          </cell>
          <cell r="T147">
            <v>11.818737213013099</v>
          </cell>
          <cell r="U147">
            <v>-54685</v>
          </cell>
          <cell r="V147">
            <v>45.329890688198503</v>
          </cell>
          <cell r="W147">
            <v>-2145294</v>
          </cell>
          <cell r="X147">
            <v>9.6970733524051091</v>
          </cell>
          <cell r="Y147">
            <v>266160</v>
          </cell>
          <cell r="Z147">
            <v>30.386413725490101</v>
          </cell>
          <cell r="AA147">
            <v>-716594</v>
          </cell>
          <cell r="AB147">
            <v>9.0009089831519802</v>
          </cell>
          <cell r="AC147">
            <v>-639872</v>
          </cell>
          <cell r="AD147">
            <v>18.274494055214301</v>
          </cell>
          <cell r="AE147">
            <v>-128268</v>
          </cell>
          <cell r="AF147">
            <v>32.990418893511801</v>
          </cell>
          <cell r="AG147">
            <v>-118604</v>
          </cell>
          <cell r="AH147">
            <v>48.662377311464397</v>
          </cell>
          <cell r="AI147">
            <v>49679</v>
          </cell>
          <cell r="AJ147">
            <v>44.843317863506996</v>
          </cell>
          <cell r="AK147">
            <v>-1478328</v>
          </cell>
          <cell r="AL147">
            <v>26.319837498672499</v>
          </cell>
          <cell r="AM147">
            <v>-1112002</v>
          </cell>
          <cell r="AN147">
            <v>39.693184589237902</v>
          </cell>
          <cell r="AO147">
            <v>98072</v>
          </cell>
          <cell r="AP147">
            <v>46.676206964204603</v>
          </cell>
          <cell r="AQ147">
            <v>-503426</v>
          </cell>
          <cell r="AR147">
            <v>39.661122451684697</v>
          </cell>
          <cell r="AS147">
            <v>-827247</v>
          </cell>
          <cell r="AT147">
            <v>21.7568489115624</v>
          </cell>
          <cell r="AU147">
            <v>415407</v>
          </cell>
          <cell r="AV147">
            <v>48.354436355409703</v>
          </cell>
          <cell r="AW147">
            <v>1301798</v>
          </cell>
          <cell r="AX147">
            <v>28.297901925240598</v>
          </cell>
          <cell r="AY147">
            <v>46480</v>
          </cell>
          <cell r="AZ147">
            <v>6.9636608088059404</v>
          </cell>
          <cell r="BA147">
            <v>88670</v>
          </cell>
          <cell r="BB147">
            <v>9.8157849003822495</v>
          </cell>
          <cell r="BC147">
            <v>168094</v>
          </cell>
          <cell r="BD147">
            <v>9.7102577639751502</v>
          </cell>
          <cell r="BE147">
            <v>-102357</v>
          </cell>
          <cell r="BF147">
            <v>25.1400959074358</v>
          </cell>
          <cell r="BG147">
            <v>-36191</v>
          </cell>
          <cell r="BH147">
            <v>21.0933560395084</v>
          </cell>
          <cell r="BI147">
            <v>229845</v>
          </cell>
        </row>
        <row r="148">
          <cell r="B148">
            <v>44.317377341623697</v>
          </cell>
          <cell r="C148">
            <v>-1891709</v>
          </cell>
          <cell r="D148">
            <v>23.0295247740526</v>
          </cell>
          <cell r="E148">
            <v>-2878444</v>
          </cell>
          <cell r="F148">
            <v>24.5769438313115</v>
          </cell>
          <cell r="G148">
            <v>-2246730</v>
          </cell>
          <cell r="H148">
            <v>29.790152025190601</v>
          </cell>
          <cell r="I148">
            <v>-59954</v>
          </cell>
          <cell r="J148">
            <v>74.653041778015705</v>
          </cell>
          <cell r="K148">
            <v>1700243</v>
          </cell>
          <cell r="L148">
            <v>54.661024924288903</v>
          </cell>
          <cell r="M148">
            <v>-615965</v>
          </cell>
          <cell r="N148">
            <v>15.396697232661801</v>
          </cell>
          <cell r="O148">
            <v>445590</v>
          </cell>
          <cell r="P148">
            <v>6.3579445847048204</v>
          </cell>
          <cell r="Q148">
            <v>-41797</v>
          </cell>
          <cell r="R148">
            <v>27.9249618490256</v>
          </cell>
          <cell r="S148">
            <v>-224555</v>
          </cell>
          <cell r="T148">
            <v>11.5265882999807</v>
          </cell>
          <cell r="U148">
            <v>-504801</v>
          </cell>
          <cell r="V148">
            <v>45.285480313627602</v>
          </cell>
          <cell r="W148">
            <v>-1975661</v>
          </cell>
          <cell r="X148">
            <v>9.7512402259525697</v>
          </cell>
          <cell r="Y148">
            <v>179600</v>
          </cell>
          <cell r="Z148">
            <v>30.4754509803921</v>
          </cell>
          <cell r="AA148">
            <v>48250</v>
          </cell>
          <cell r="AB148">
            <v>8.9235173786738198</v>
          </cell>
          <cell r="AC148">
            <v>-238772</v>
          </cell>
          <cell r="AD148">
            <v>18.2339270121231</v>
          </cell>
          <cell r="AE148">
            <v>-83550</v>
          </cell>
          <cell r="AF148">
            <v>32.9716734221076</v>
          </cell>
          <cell r="AG148">
            <v>-60202</v>
          </cell>
          <cell r="AH148">
            <v>48.747839595606102</v>
          </cell>
          <cell r="AI148">
            <v>1233336</v>
          </cell>
          <cell r="AJ148">
            <v>44.786962977066999</v>
          </cell>
          <cell r="AK148">
            <v>-642632</v>
          </cell>
          <cell r="AL148">
            <v>25.887606881399002</v>
          </cell>
          <cell r="AM148">
            <v>-2866009</v>
          </cell>
          <cell r="AN148">
            <v>39.793495446585901</v>
          </cell>
          <cell r="AO148">
            <v>1005318</v>
          </cell>
          <cell r="AP148">
            <v>46.509851168018599</v>
          </cell>
          <cell r="AQ148">
            <v>-1177338</v>
          </cell>
          <cell r="AR148">
            <v>39.776840486731501</v>
          </cell>
          <cell r="AS148">
            <v>1090744</v>
          </cell>
          <cell r="AT148">
            <v>21.738868906897601</v>
          </cell>
          <cell r="AU148">
            <v>-155931</v>
          </cell>
          <cell r="AV148">
            <v>48.314207966372102</v>
          </cell>
          <cell r="AW148">
            <v>-321003</v>
          </cell>
          <cell r="AX148">
            <v>28.2337820540486</v>
          </cell>
          <cell r="AY148">
            <v>-54327</v>
          </cell>
          <cell r="AZ148">
            <v>6.9281029621533801</v>
          </cell>
          <cell r="BA148">
            <v>-68303</v>
          </cell>
          <cell r="BB148">
            <v>9.8251756890767599</v>
          </cell>
          <cell r="BC148">
            <v>130894</v>
          </cell>
          <cell r="BD148">
            <v>9.6919782608695595</v>
          </cell>
          <cell r="BE148">
            <v>-42919</v>
          </cell>
          <cell r="BF148">
            <v>25.084910617075</v>
          </cell>
          <cell r="BG148">
            <v>-58826</v>
          </cell>
          <cell r="BH148">
            <v>21.095531319398798</v>
          </cell>
          <cell r="BI148">
            <v>3556</v>
          </cell>
        </row>
        <row r="149">
          <cell r="B149">
            <v>44.314411272604701</v>
          </cell>
          <cell r="C149">
            <v>-253576</v>
          </cell>
          <cell r="D149">
            <v>22.855759157258099</v>
          </cell>
          <cell r="E149">
            <v>-1812998</v>
          </cell>
          <cell r="F149">
            <v>24.4236210856252</v>
          </cell>
          <cell r="G149">
            <v>-2453782</v>
          </cell>
          <cell r="H149">
            <v>29.885761860085999</v>
          </cell>
          <cell r="I149">
            <v>1014281</v>
          </cell>
          <cell r="J149">
            <v>74.735460687755605</v>
          </cell>
          <cell r="K149">
            <v>1475299</v>
          </cell>
          <cell r="L149">
            <v>54.629283598925099</v>
          </cell>
          <cell r="M149">
            <v>-527447</v>
          </cell>
          <cell r="N149">
            <v>14.7073954257463</v>
          </cell>
          <cell r="O149">
            <v>-1721651</v>
          </cell>
          <cell r="P149">
            <v>6.2585227399360202</v>
          </cell>
          <cell r="Q149">
            <v>12608</v>
          </cell>
          <cell r="R149">
            <v>27.808667415265699</v>
          </cell>
          <cell r="S149">
            <v>-1743371</v>
          </cell>
          <cell r="T149">
            <v>11.5571558952108</v>
          </cell>
          <cell r="U149">
            <v>120355</v>
          </cell>
          <cell r="V149">
            <v>45.152576074128604</v>
          </cell>
          <cell r="W149">
            <v>-5688095</v>
          </cell>
          <cell r="X149">
            <v>9.7313057784035895</v>
          </cell>
          <cell r="Y149">
            <v>-149398</v>
          </cell>
          <cell r="Z149">
            <v>30.627905882352898</v>
          </cell>
          <cell r="AA149">
            <v>674269</v>
          </cell>
          <cell r="AB149">
            <v>8.9809802976397695</v>
          </cell>
          <cell r="AC149">
            <v>176478</v>
          </cell>
          <cell r="AD149">
            <v>18.260436598571001</v>
          </cell>
          <cell r="AE149">
            <v>53518</v>
          </cell>
          <cell r="AF149">
            <v>32.859823382032197</v>
          </cell>
          <cell r="AG149">
            <v>-319809</v>
          </cell>
          <cell r="AH149">
            <v>48.699212676705898</v>
          </cell>
          <cell r="AI149">
            <v>-700268</v>
          </cell>
          <cell r="AJ149">
            <v>44.714234686906799</v>
          </cell>
          <cell r="AK149">
            <v>-821520</v>
          </cell>
          <cell r="AL149">
            <v>25.7291726060912</v>
          </cell>
          <cell r="AM149">
            <v>-1069574</v>
          </cell>
          <cell r="AN149">
            <v>39.804612017507402</v>
          </cell>
          <cell r="AO149">
            <v>109690</v>
          </cell>
          <cell r="AP149">
            <v>46.465195142788701</v>
          </cell>
          <cell r="AQ149">
            <v>-313379</v>
          </cell>
          <cell r="AR149">
            <v>39.779465019485102</v>
          </cell>
          <cell r="AS149">
            <v>24240</v>
          </cell>
          <cell r="AT149">
            <v>21.751450089786399</v>
          </cell>
          <cell r="AU149">
            <v>109164</v>
          </cell>
          <cell r="AV149">
            <v>48.258713941558398</v>
          </cell>
          <cell r="AW149">
            <v>-424531</v>
          </cell>
          <cell r="AX149">
            <v>27.853880502949899</v>
          </cell>
          <cell r="AY149">
            <v>-318414</v>
          </cell>
          <cell r="AZ149">
            <v>6.9377601901144601</v>
          </cell>
          <cell r="BA149">
            <v>100726</v>
          </cell>
          <cell r="BB149">
            <v>9.8162819059120405</v>
          </cell>
          <cell r="BC149">
            <v>32796</v>
          </cell>
          <cell r="BD149">
            <v>9.7513105590062104</v>
          </cell>
          <cell r="BE149">
            <v>139158</v>
          </cell>
          <cell r="BF149">
            <v>25.121723804519899</v>
          </cell>
          <cell r="BG149">
            <v>39354</v>
          </cell>
          <cell r="BH149">
            <v>21.038193439418201</v>
          </cell>
          <cell r="BI149">
            <v>-110042</v>
          </cell>
        </row>
        <row r="150">
          <cell r="B150">
            <v>44.241368173978898</v>
          </cell>
          <cell r="C150">
            <v>-6376525</v>
          </cell>
          <cell r="D150">
            <v>22.800498007040801</v>
          </cell>
          <cell r="E150">
            <v>-598241</v>
          </cell>
          <cell r="F150">
            <v>24.306715067259798</v>
          </cell>
          <cell r="G150">
            <v>-1917024</v>
          </cell>
          <cell r="H150">
            <v>29.894643527380101</v>
          </cell>
          <cell r="I150">
            <v>83053</v>
          </cell>
          <cell r="J150">
            <v>74.703429269966904</v>
          </cell>
          <cell r="K150">
            <v>-636852</v>
          </cell>
          <cell r="L150">
            <v>54.3654761558345</v>
          </cell>
          <cell r="M150">
            <v>-4569560</v>
          </cell>
          <cell r="N150">
            <v>14.4063862189911</v>
          </cell>
          <cell r="O150">
            <v>-705885</v>
          </cell>
          <cell r="P150">
            <v>6.2952518769372796</v>
          </cell>
          <cell r="Q150">
            <v>82641</v>
          </cell>
          <cell r="R150">
            <v>27.768380670425199</v>
          </cell>
          <cell r="S150">
            <v>-629905</v>
          </cell>
          <cell r="T150">
            <v>11.3610469450325</v>
          </cell>
          <cell r="U150">
            <v>-892485</v>
          </cell>
          <cell r="V150">
            <v>45.155747424482101</v>
          </cell>
          <cell r="W150">
            <v>147161</v>
          </cell>
          <cell r="X150">
            <v>9.8228103173606893</v>
          </cell>
          <cell r="Y150">
            <v>464617</v>
          </cell>
          <cell r="Z150">
            <v>31.1412745098039</v>
          </cell>
          <cell r="AA150">
            <v>2352257</v>
          </cell>
          <cell r="AB150">
            <v>8.9655019767441395</v>
          </cell>
          <cell r="AC150">
            <v>-59625</v>
          </cell>
          <cell r="AD150">
            <v>18.201395280668802</v>
          </cell>
          <cell r="AE150">
            <v>-117665</v>
          </cell>
          <cell r="AF150">
            <v>32.7339720523956</v>
          </cell>
          <cell r="AG150">
            <v>-303927</v>
          </cell>
          <cell r="AH150">
            <v>48.675882051997803</v>
          </cell>
          <cell r="AI150">
            <v>-347338</v>
          </cell>
          <cell r="AJ150">
            <v>44.675477757461401</v>
          </cell>
          <cell r="AK150">
            <v>-447447</v>
          </cell>
          <cell r="AL150">
            <v>25.6239635496433</v>
          </cell>
          <cell r="AM150">
            <v>-735325</v>
          </cell>
          <cell r="AN150">
            <v>39.769581679077803</v>
          </cell>
          <cell r="AO150">
            <v>-348468</v>
          </cell>
          <cell r="AP150">
            <v>46.447635620903696</v>
          </cell>
          <cell r="AQ150">
            <v>-134826</v>
          </cell>
          <cell r="AR150">
            <v>39.912351210201201</v>
          </cell>
          <cell r="AS150">
            <v>1293999</v>
          </cell>
          <cell r="AT150">
            <v>21.7613869518052</v>
          </cell>
          <cell r="AU150">
            <v>84217</v>
          </cell>
          <cell r="AV150">
            <v>48.214138783765698</v>
          </cell>
          <cell r="AW150">
            <v>-337318</v>
          </cell>
          <cell r="AX150">
            <v>27.767895794284598</v>
          </cell>
          <cell r="AY150">
            <v>-71634</v>
          </cell>
          <cell r="AZ150">
            <v>6.9186610803708097</v>
          </cell>
          <cell r="BA150">
            <v>-175867</v>
          </cell>
          <cell r="BB150">
            <v>9.8240758562656207</v>
          </cell>
          <cell r="BC150">
            <v>94926</v>
          </cell>
          <cell r="BD150">
            <v>9.7723633540372603</v>
          </cell>
          <cell r="BE150">
            <v>50611</v>
          </cell>
          <cell r="BF150">
            <v>25.190199552309299</v>
          </cell>
          <cell r="BG150">
            <v>51251</v>
          </cell>
          <cell r="BH150">
            <v>20.935913652420801</v>
          </cell>
          <cell r="BI150">
            <v>-201239</v>
          </cell>
        </row>
        <row r="151">
          <cell r="B151">
            <v>44.179015551169698</v>
          </cell>
          <cell r="C151">
            <v>-5353329</v>
          </cell>
          <cell r="D151">
            <v>22.697781507375499</v>
          </cell>
          <cell r="E151">
            <v>-1089961</v>
          </cell>
          <cell r="F151">
            <v>24.153340471498499</v>
          </cell>
          <cell r="G151">
            <v>-2397162</v>
          </cell>
          <cell r="H151">
            <v>30.031261903823602</v>
          </cell>
          <cell r="I151">
            <v>1517955</v>
          </cell>
          <cell r="J151">
            <v>74.743120497409194</v>
          </cell>
          <cell r="K151">
            <v>822983</v>
          </cell>
          <cell r="L151">
            <v>54.282047749837702</v>
          </cell>
          <cell r="M151">
            <v>-1456345</v>
          </cell>
          <cell r="N151">
            <v>14.214684739687501</v>
          </cell>
          <cell r="O151">
            <v>-819808</v>
          </cell>
          <cell r="P151">
            <v>6.2905064133375399</v>
          </cell>
          <cell r="Q151">
            <v>-67438</v>
          </cell>
          <cell r="R151">
            <v>27.773123390849701</v>
          </cell>
          <cell r="S151">
            <v>75598</v>
          </cell>
          <cell r="T151">
            <v>11.243966201063699</v>
          </cell>
          <cell r="U151">
            <v>-571233</v>
          </cell>
          <cell r="V151">
            <v>45.122855990815502</v>
          </cell>
          <cell r="W151">
            <v>-1445638</v>
          </cell>
          <cell r="X151">
            <v>9.7873055181618192</v>
          </cell>
          <cell r="Y151">
            <v>-177133</v>
          </cell>
          <cell r="Z151">
            <v>31.1029058823529</v>
          </cell>
          <cell r="AA151">
            <v>-409032</v>
          </cell>
          <cell r="AB151">
            <v>9.0093109047368891</v>
          </cell>
          <cell r="AC151">
            <v>139293</v>
          </cell>
          <cell r="AD151">
            <v>18.197733399987602</v>
          </cell>
          <cell r="AE151">
            <v>-6165</v>
          </cell>
          <cell r="AF151">
            <v>32.794842744625001</v>
          </cell>
          <cell r="AG151">
            <v>228336</v>
          </cell>
          <cell r="AH151">
            <v>48.586391130712002</v>
          </cell>
          <cell r="AI151">
            <v>-1306533</v>
          </cell>
          <cell r="AJ151">
            <v>44.581898631697896</v>
          </cell>
          <cell r="AK151">
            <v>-1067630</v>
          </cell>
          <cell r="AL151">
            <v>25.842870637039901</v>
          </cell>
          <cell r="AM151">
            <v>1582106</v>
          </cell>
          <cell r="AN151">
            <v>39.764134245695999</v>
          </cell>
          <cell r="AO151">
            <v>-49684</v>
          </cell>
          <cell r="AP151">
            <v>46.461919331330797</v>
          </cell>
          <cell r="AQ151">
            <v>106177</v>
          </cell>
          <cell r="AR151">
            <v>39.976564778240203</v>
          </cell>
          <cell r="AS151">
            <v>629510</v>
          </cell>
          <cell r="AT151">
            <v>21.770576655453301</v>
          </cell>
          <cell r="AU151">
            <v>82241</v>
          </cell>
          <cell r="AV151">
            <v>48.238989335539401</v>
          </cell>
          <cell r="AW151">
            <v>187752</v>
          </cell>
          <cell r="AX151">
            <v>27.810621786719999</v>
          </cell>
          <cell r="AY151">
            <v>34628</v>
          </cell>
          <cell r="AZ151">
            <v>6.9274940851265301</v>
          </cell>
          <cell r="BA151">
            <v>57463</v>
          </cell>
          <cell r="BB151">
            <v>9.8447467680729108</v>
          </cell>
          <cell r="BC151">
            <v>99636</v>
          </cell>
          <cell r="BD151">
            <v>9.6927173913043401</v>
          </cell>
          <cell r="BE151">
            <v>-196725</v>
          </cell>
          <cell r="BF151">
            <v>25.175265033105401</v>
          </cell>
          <cell r="BG151">
            <v>-17007</v>
          </cell>
          <cell r="BH151">
            <v>20.927795382973599</v>
          </cell>
          <cell r="BI151">
            <v>-15694</v>
          </cell>
        </row>
        <row r="152">
          <cell r="B152">
            <v>44.076507961471599</v>
          </cell>
          <cell r="C152">
            <v>-8847310</v>
          </cell>
          <cell r="D152">
            <v>22.7045095197543</v>
          </cell>
          <cell r="E152">
            <v>288155</v>
          </cell>
          <cell r="F152">
            <v>23.623640105615401</v>
          </cell>
          <cell r="G152">
            <v>-8272189</v>
          </cell>
          <cell r="H152">
            <v>29.9371016978852</v>
          </cell>
          <cell r="I152">
            <v>-1061098</v>
          </cell>
          <cell r="J152">
            <v>74.838805688519599</v>
          </cell>
          <cell r="K152">
            <v>2229819</v>
          </cell>
          <cell r="L152">
            <v>54.226522452180099</v>
          </cell>
          <cell r="M152">
            <v>-1012971</v>
          </cell>
          <cell r="N152">
            <v>14.2670059990126</v>
          </cell>
          <cell r="O152">
            <v>179060</v>
          </cell>
          <cell r="P152">
            <v>6.2752357869358404</v>
          </cell>
          <cell r="Q152">
            <v>-174872</v>
          </cell>
          <cell r="R152">
            <v>27.764176895503599</v>
          </cell>
          <cell r="S152">
            <v>-143185</v>
          </cell>
          <cell r="T152">
            <v>11.136409391278701</v>
          </cell>
          <cell r="U152">
            <v>-427302</v>
          </cell>
          <cell r="V152">
            <v>45.124356217311899</v>
          </cell>
          <cell r="W152">
            <v>77393</v>
          </cell>
          <cell r="X152">
            <v>9.7673404327312401</v>
          </cell>
          <cell r="Y152">
            <v>216735</v>
          </cell>
          <cell r="Z152">
            <v>31.427639215686199</v>
          </cell>
          <cell r="AA152">
            <v>1650037</v>
          </cell>
          <cell r="AB152">
            <v>8.8677773607770494</v>
          </cell>
          <cell r="AC152">
            <v>-491000</v>
          </cell>
          <cell r="AD152">
            <v>18.1656268632095</v>
          </cell>
          <cell r="AE152">
            <v>-66333</v>
          </cell>
          <cell r="AF152">
            <v>32.828718309474901</v>
          </cell>
          <cell r="AG152">
            <v>-432085</v>
          </cell>
          <cell r="AH152">
            <v>48.530816629381498</v>
          </cell>
          <cell r="AI152">
            <v>-829782</v>
          </cell>
          <cell r="AJ152">
            <v>44.479090661999997</v>
          </cell>
          <cell r="AK152">
            <v>-1191401</v>
          </cell>
          <cell r="AL152">
            <v>26.199478008478799</v>
          </cell>
          <cell r="AM152">
            <v>2641463</v>
          </cell>
          <cell r="AN152">
            <v>39.680523659597199</v>
          </cell>
          <cell r="AO152">
            <v>-820179</v>
          </cell>
          <cell r="AP152">
            <v>46.410891994932904</v>
          </cell>
          <cell r="AQ152">
            <v>-385935</v>
          </cell>
          <cell r="AR152">
            <v>40.024585774502199</v>
          </cell>
          <cell r="AS152">
            <v>405316</v>
          </cell>
          <cell r="AT152">
            <v>21.784504100659898</v>
          </cell>
          <cell r="AU152">
            <v>123229</v>
          </cell>
          <cell r="AV152">
            <v>48.208108992691599</v>
          </cell>
          <cell r="AW152">
            <v>-239947</v>
          </cell>
          <cell r="AX152">
            <v>28.536152991479501</v>
          </cell>
          <cell r="AY152">
            <v>595536</v>
          </cell>
          <cell r="AZ152">
            <v>7.0204845670160099</v>
          </cell>
          <cell r="BA152">
            <v>948327</v>
          </cell>
          <cell r="BB152">
            <v>9.8888030979662496</v>
          </cell>
          <cell r="BC152">
            <v>82833</v>
          </cell>
          <cell r="BD152">
            <v>9.5891645962732905</v>
          </cell>
          <cell r="BE152">
            <v>-260833</v>
          </cell>
          <cell r="BF152">
            <v>25.211526367646702</v>
          </cell>
          <cell r="BG152">
            <v>42184</v>
          </cell>
          <cell r="BH152">
            <v>20.876369268436701</v>
          </cell>
          <cell r="BI152">
            <v>-101067</v>
          </cell>
        </row>
        <row r="153">
          <cell r="B153">
            <v>44.115985396458299</v>
          </cell>
          <cell r="C153">
            <v>3542649</v>
          </cell>
          <cell r="D153">
            <v>22.7202887772651</v>
          </cell>
          <cell r="E153">
            <v>176355</v>
          </cell>
          <cell r="F153">
            <v>23.583103717004601</v>
          </cell>
          <cell r="G153">
            <v>-573100</v>
          </cell>
          <cell r="H153">
            <v>29.846902749096799</v>
          </cell>
          <cell r="I153">
            <v>-1068439</v>
          </cell>
          <cell r="J153">
            <v>74.908052555795393</v>
          </cell>
          <cell r="K153">
            <v>1438760</v>
          </cell>
          <cell r="L153">
            <v>54.128165963989197</v>
          </cell>
          <cell r="M153">
            <v>-1839394</v>
          </cell>
          <cell r="N153">
            <v>14.085118215837401</v>
          </cell>
          <cell r="O153">
            <v>-869476</v>
          </cell>
          <cell r="P153">
            <v>6.6794190671074603</v>
          </cell>
          <cell r="Q153">
            <v>1592145</v>
          </cell>
          <cell r="R153">
            <v>27.901131361676299</v>
          </cell>
          <cell r="S153">
            <v>2221734</v>
          </cell>
          <cell r="T153">
            <v>11.1257046850916</v>
          </cell>
          <cell r="U153">
            <v>-264674</v>
          </cell>
          <cell r="V153">
            <v>45.163365547103503</v>
          </cell>
          <cell r="W153">
            <v>1909809</v>
          </cell>
          <cell r="X153">
            <v>9.9113087394647295</v>
          </cell>
          <cell r="Y153">
            <v>630952</v>
          </cell>
          <cell r="Z153">
            <v>32.079547058823501</v>
          </cell>
          <cell r="AA153">
            <v>3355862</v>
          </cell>
          <cell r="AB153">
            <v>9.1893624030835106</v>
          </cell>
          <cell r="AC153">
            <v>1077818</v>
          </cell>
          <cell r="AD153">
            <v>18.348608090517502</v>
          </cell>
          <cell r="AE153">
            <v>382386</v>
          </cell>
          <cell r="AF153">
            <v>32.797979583005798</v>
          </cell>
          <cell r="AG153">
            <v>-110452</v>
          </cell>
          <cell r="AH153">
            <v>48.439364965101703</v>
          </cell>
          <cell r="AI153">
            <v>-1362129</v>
          </cell>
          <cell r="AJ153">
            <v>44.3658322020447</v>
          </cell>
          <cell r="AK153">
            <v>-1338748</v>
          </cell>
          <cell r="AL153">
            <v>26.269593455608</v>
          </cell>
          <cell r="AM153">
            <v>514593</v>
          </cell>
          <cell r="AN153">
            <v>39.590499875175098</v>
          </cell>
          <cell r="AO153">
            <v>-901409</v>
          </cell>
          <cell r="AP153">
            <v>46.3542119296526</v>
          </cell>
          <cell r="AQ153">
            <v>-431241</v>
          </cell>
          <cell r="AR153">
            <v>40.049935049441899</v>
          </cell>
          <cell r="AS153">
            <v>245409</v>
          </cell>
          <cell r="AT153">
            <v>21.761173477985</v>
          </cell>
          <cell r="AU153">
            <v>-213391</v>
          </cell>
          <cell r="AV153">
            <v>48.3410012661314</v>
          </cell>
          <cell r="AW153">
            <v>1114449</v>
          </cell>
          <cell r="AX153">
            <v>29.3422181368054</v>
          </cell>
          <cell r="AY153">
            <v>681159</v>
          </cell>
          <cell r="AZ153">
            <v>7.1079732399023099</v>
          </cell>
          <cell r="BA153">
            <v>525702</v>
          </cell>
          <cell r="BB153">
            <v>10.006723010447599</v>
          </cell>
          <cell r="BC153">
            <v>677196</v>
          </cell>
          <cell r="BD153">
            <v>9.6183198757763897</v>
          </cell>
          <cell r="BE153">
            <v>56463</v>
          </cell>
          <cell r="BF153">
            <v>25.245246879444199</v>
          </cell>
          <cell r="BG153">
            <v>39547</v>
          </cell>
          <cell r="BH153">
            <v>20.804845232999</v>
          </cell>
          <cell r="BI153">
            <v>-151321</v>
          </cell>
        </row>
        <row r="154">
          <cell r="B154">
            <v>44.017297240109002</v>
          </cell>
          <cell r="C154">
            <v>-8581649</v>
          </cell>
          <cell r="D154">
            <v>22.595548379473499</v>
          </cell>
          <cell r="E154">
            <v>-403090</v>
          </cell>
          <cell r="F154">
            <v>23.6268167868751</v>
          </cell>
          <cell r="G154">
            <v>697886</v>
          </cell>
          <cell r="H154">
            <v>29.809634401173501</v>
          </cell>
          <cell r="I154">
            <v>-418219</v>
          </cell>
          <cell r="J154">
            <v>74.918022259146397</v>
          </cell>
          <cell r="K154">
            <v>196863</v>
          </cell>
          <cell r="L154">
            <v>54.119962018031998</v>
          </cell>
          <cell r="M154">
            <v>-154964</v>
          </cell>
          <cell r="N154">
            <v>13.5184389834303</v>
          </cell>
          <cell r="O154">
            <v>-2456814</v>
          </cell>
          <cell r="P154">
            <v>6.7598690742870096</v>
          </cell>
          <cell r="Q154">
            <v>239856</v>
          </cell>
          <cell r="R154">
            <v>27.951384732464302</v>
          </cell>
          <cell r="S154">
            <v>779671</v>
          </cell>
          <cell r="T154">
            <v>10.963086460834701</v>
          </cell>
          <cell r="U154">
            <v>-708607</v>
          </cell>
          <cell r="V154">
            <v>45.0667718354496</v>
          </cell>
          <cell r="W154">
            <v>-4230545</v>
          </cell>
          <cell r="X154">
            <v>9.9829905690292602</v>
          </cell>
          <cell r="Y154">
            <v>-59971</v>
          </cell>
          <cell r="Z154">
            <v>32.1026176470588</v>
          </cell>
          <cell r="AA154">
            <v>131978</v>
          </cell>
          <cell r="AB154">
            <v>9.2514979964814099</v>
          </cell>
          <cell r="AC154">
            <v>235253</v>
          </cell>
          <cell r="AD154">
            <v>18.299198733648701</v>
          </cell>
          <cell r="AE154">
            <v>-107303</v>
          </cell>
          <cell r="AF154">
            <v>32.7001537291221</v>
          </cell>
          <cell r="AG154">
            <v>-318211</v>
          </cell>
          <cell r="AH154">
            <v>48.380447840350499</v>
          </cell>
          <cell r="AI154">
            <v>-886575</v>
          </cell>
          <cell r="AJ154">
            <v>44.367181390859898</v>
          </cell>
          <cell r="AK154">
            <v>12468</v>
          </cell>
          <cell r="AL154">
            <v>26.5080915065464</v>
          </cell>
          <cell r="AM154">
            <v>1805955</v>
          </cell>
          <cell r="AN154">
            <v>39.560329724479899</v>
          </cell>
          <cell r="AO154">
            <v>-299279</v>
          </cell>
          <cell r="AP154">
            <v>46.243570687072598</v>
          </cell>
          <cell r="AQ154">
            <v>-827846</v>
          </cell>
          <cell r="AR154">
            <v>39.977747143500899</v>
          </cell>
          <cell r="AS154">
            <v>-735966</v>
          </cell>
          <cell r="AT154">
            <v>21.7439612904478</v>
          </cell>
          <cell r="AU154">
            <v>-153179</v>
          </cell>
          <cell r="AV154">
            <v>48.345235833398498</v>
          </cell>
          <cell r="AW154">
            <v>62026</v>
          </cell>
          <cell r="AX154">
            <v>29.535704963047799</v>
          </cell>
          <cell r="AY154">
            <v>169055</v>
          </cell>
          <cell r="AZ154">
            <v>7.1162554920421899</v>
          </cell>
          <cell r="BA154">
            <v>24424</v>
          </cell>
          <cell r="BB154">
            <v>10.0063781979987</v>
          </cell>
          <cell r="BC154">
            <v>5263</v>
          </cell>
          <cell r="BD154">
            <v>9.6519130434782596</v>
          </cell>
          <cell r="BE154">
            <v>87358</v>
          </cell>
          <cell r="BF154">
            <v>25.290349357378702</v>
          </cell>
          <cell r="BG154">
            <v>52341</v>
          </cell>
          <cell r="BH154">
            <v>20.787286873309899</v>
          </cell>
          <cell r="BI154">
            <v>-34715</v>
          </cell>
        </row>
        <row r="155">
          <cell r="B155">
            <v>43.985569330838103</v>
          </cell>
          <cell r="C155">
            <v>-2523118</v>
          </cell>
          <cell r="D155">
            <v>22.6405259042977</v>
          </cell>
          <cell r="E155">
            <v>1085649</v>
          </cell>
          <cell r="F155">
            <v>23.5887650538569</v>
          </cell>
          <cell r="G155">
            <v>-578400</v>
          </cell>
          <cell r="H155">
            <v>30.008278563517401</v>
          </cell>
          <cell r="I155">
            <v>2147654</v>
          </cell>
          <cell r="J155">
            <v>74.886741185204798</v>
          </cell>
          <cell r="K155">
            <v>-357990</v>
          </cell>
          <cell r="L155">
            <v>53.9990136334998</v>
          </cell>
          <cell r="M155">
            <v>-2214979</v>
          </cell>
          <cell r="N155">
            <v>13.2652548998719</v>
          </cell>
          <cell r="O155">
            <v>-1097722</v>
          </cell>
          <cell r="P155">
            <v>6.63573660244524</v>
          </cell>
          <cell r="Q155">
            <v>-170873</v>
          </cell>
          <cell r="R155">
            <v>27.918316673716699</v>
          </cell>
          <cell r="S155">
            <v>-505458</v>
          </cell>
          <cell r="T155">
            <v>10.7831886462839</v>
          </cell>
          <cell r="U155">
            <v>-784439</v>
          </cell>
          <cell r="V155">
            <v>45.036613612594103</v>
          </cell>
          <cell r="W155">
            <v>-1296357</v>
          </cell>
          <cell r="X155">
            <v>10.084924603327201</v>
          </cell>
          <cell r="Y155">
            <v>685720</v>
          </cell>
          <cell r="Z155">
            <v>32.106429411764701</v>
          </cell>
          <cell r="AA155">
            <v>22604</v>
          </cell>
          <cell r="AB155">
            <v>9.2091062935616907</v>
          </cell>
          <cell r="AC155">
            <v>-155976</v>
          </cell>
          <cell r="AD155">
            <v>18.138423081371901</v>
          </cell>
          <cell r="AE155">
            <v>-350342</v>
          </cell>
          <cell r="AF155">
            <v>32.602311847597001</v>
          </cell>
          <cell r="AG155">
            <v>-324353</v>
          </cell>
          <cell r="AH155">
            <v>48.377749355488803</v>
          </cell>
          <cell r="AI155">
            <v>-36239</v>
          </cell>
          <cell r="AJ155">
            <v>44.329165734019703</v>
          </cell>
          <cell r="AK155">
            <v>-429124</v>
          </cell>
          <cell r="AL155">
            <v>26.620658471689499</v>
          </cell>
          <cell r="AM155">
            <v>864182</v>
          </cell>
          <cell r="AN155">
            <v>39.404412219883199</v>
          </cell>
          <cell r="AO155">
            <v>-1562822</v>
          </cell>
          <cell r="AP155">
            <v>46.2080768080436</v>
          </cell>
          <cell r="AQ155">
            <v>-264310</v>
          </cell>
          <cell r="AR155">
            <v>39.912717054160801</v>
          </cell>
          <cell r="AS155">
            <v>-653408</v>
          </cell>
          <cell r="AT155">
            <v>21.743448264653999</v>
          </cell>
          <cell r="AU155">
            <v>-1120</v>
          </cell>
          <cell r="AV155">
            <v>48.241686326860702</v>
          </cell>
          <cell r="AW155">
            <v>-855098</v>
          </cell>
          <cell r="AX155">
            <v>29.654834356484699</v>
          </cell>
          <cell r="AY155">
            <v>99124</v>
          </cell>
          <cell r="AZ155">
            <v>7.0962654589493903</v>
          </cell>
          <cell r="BA155">
            <v>-210815</v>
          </cell>
          <cell r="BB155">
            <v>10.014471183975999</v>
          </cell>
          <cell r="BC155">
            <v>-2387</v>
          </cell>
          <cell r="BD155">
            <v>9.6254037267080701</v>
          </cell>
          <cell r="BE155">
            <v>-66614</v>
          </cell>
          <cell r="BF155">
            <v>25.5158617470513</v>
          </cell>
          <cell r="BG155">
            <v>255909</v>
          </cell>
          <cell r="BH155">
            <v>20.684309747783001</v>
          </cell>
          <cell r="BI155">
            <v>-199884</v>
          </cell>
        </row>
        <row r="156">
          <cell r="B156">
            <v>43.9776324315702</v>
          </cell>
          <cell r="C156">
            <v>-572658</v>
          </cell>
          <cell r="D156">
            <v>22.682760476715099</v>
          </cell>
          <cell r="E156">
            <v>849456</v>
          </cell>
          <cell r="F156">
            <v>23.383496829063699</v>
          </cell>
          <cell r="G156">
            <v>-3036221</v>
          </cell>
          <cell r="H156">
            <v>30.075012918661699</v>
          </cell>
          <cell r="I156">
            <v>1119608</v>
          </cell>
          <cell r="J156">
            <v>75.005029444217897</v>
          </cell>
          <cell r="K156">
            <v>828919</v>
          </cell>
          <cell r="L156">
            <v>54.011648427084303</v>
          </cell>
          <cell r="M156">
            <v>225136</v>
          </cell>
          <cell r="N156">
            <v>13.094201233736699</v>
          </cell>
          <cell r="O156">
            <v>-1000944</v>
          </cell>
          <cell r="P156">
            <v>6.3241137304282802</v>
          </cell>
          <cell r="Q156">
            <v>-1169702</v>
          </cell>
          <cell r="R156">
            <v>28.012175056339501</v>
          </cell>
          <cell r="S156">
            <v>1455610</v>
          </cell>
          <cell r="T156">
            <v>10.600227160373899</v>
          </cell>
          <cell r="U156">
            <v>-1135288</v>
          </cell>
          <cell r="V156">
            <v>45.0078925333165</v>
          </cell>
          <cell r="W156">
            <v>-1245760</v>
          </cell>
          <cell r="X156">
            <v>9.9130695165423308</v>
          </cell>
          <cell r="Y156">
            <v>-1204489</v>
          </cell>
          <cell r="Z156">
            <v>32.247256862744997</v>
          </cell>
          <cell r="AA156">
            <v>715075</v>
          </cell>
          <cell r="AB156">
            <v>9.0854631319943202</v>
          </cell>
          <cell r="AC156">
            <v>-390774</v>
          </cell>
          <cell r="AD156">
            <v>18.157739068093001</v>
          </cell>
          <cell r="AE156">
            <v>39223</v>
          </cell>
          <cell r="AF156">
            <v>32.665540892769599</v>
          </cell>
          <cell r="AG156">
            <v>196736</v>
          </cell>
          <cell r="AH156">
            <v>48.294290921128102</v>
          </cell>
          <cell r="AI156">
            <v>-1277160</v>
          </cell>
          <cell r="AJ156">
            <v>44.314097188105897</v>
          </cell>
          <cell r="AK156">
            <v>-166892</v>
          </cell>
          <cell r="AL156">
            <v>26.718964172327599</v>
          </cell>
          <cell r="AM156">
            <v>737053</v>
          </cell>
          <cell r="AN156">
            <v>39.416946615931501</v>
          </cell>
          <cell r="AO156">
            <v>125807</v>
          </cell>
          <cell r="AP156">
            <v>46.1696259939973</v>
          </cell>
          <cell r="AQ156">
            <v>-288099</v>
          </cell>
          <cell r="AR156">
            <v>39.8733490628562</v>
          </cell>
          <cell r="AS156">
            <v>-380950</v>
          </cell>
          <cell r="AT156">
            <v>21.643346258599198</v>
          </cell>
          <cell r="AU156">
            <v>-858998</v>
          </cell>
          <cell r="AV156">
            <v>48.177606810414197</v>
          </cell>
          <cell r="AW156">
            <v>-513771</v>
          </cell>
          <cell r="AX156">
            <v>29.681594076358401</v>
          </cell>
          <cell r="AY156">
            <v>23104</v>
          </cell>
          <cell r="AZ156">
            <v>7.0834847585407097</v>
          </cell>
          <cell r="BA156">
            <v>-342389</v>
          </cell>
          <cell r="BB156">
            <v>9.9212885921821297</v>
          </cell>
          <cell r="BC156">
            <v>-466707</v>
          </cell>
          <cell r="BD156">
            <v>9.6162111801242194</v>
          </cell>
          <cell r="BE156">
            <v>-21861</v>
          </cell>
          <cell r="BF156">
            <v>25.9028485957068</v>
          </cell>
          <cell r="BG156">
            <v>455116</v>
          </cell>
          <cell r="BH156">
            <v>20.631166307016901</v>
          </cell>
          <cell r="BI156">
            <v>-103736</v>
          </cell>
        </row>
        <row r="157">
          <cell r="B157">
            <v>43.943629562976199</v>
          </cell>
          <cell r="C157">
            <v>-2750430</v>
          </cell>
          <cell r="D157">
            <v>22.7503819113021</v>
          </cell>
          <cell r="E157">
            <v>443705</v>
          </cell>
          <cell r="F157">
            <v>23.5064195301285</v>
          </cell>
          <cell r="G157">
            <v>1851527</v>
          </cell>
          <cell r="H157">
            <v>30.1297355035008</v>
          </cell>
          <cell r="I157">
            <v>643699</v>
          </cell>
          <cell r="J157">
            <v>74.783978265761306</v>
          </cell>
          <cell r="K157">
            <v>-2628239</v>
          </cell>
          <cell r="L157">
            <v>53.886872678643101</v>
          </cell>
          <cell r="M157">
            <v>-2300556</v>
          </cell>
          <cell r="N157">
            <v>12.880132786385699</v>
          </cell>
          <cell r="O157">
            <v>-902427</v>
          </cell>
          <cell r="P157">
            <v>6.3658036819980204</v>
          </cell>
          <cell r="Q157">
            <v>-1633</v>
          </cell>
          <cell r="R157">
            <v>27.959321557754599</v>
          </cell>
          <cell r="S157">
            <v>-824412</v>
          </cell>
          <cell r="T157">
            <v>10.5565636516531</v>
          </cell>
          <cell r="U157">
            <v>-171941</v>
          </cell>
          <cell r="V157">
            <v>45.035134031416497</v>
          </cell>
          <cell r="W157">
            <v>1182905</v>
          </cell>
          <cell r="X157">
            <v>9.9075483900559096</v>
          </cell>
          <cell r="Y157">
            <v>36218</v>
          </cell>
          <cell r="Z157">
            <v>32.272011764705802</v>
          </cell>
          <cell r="AA157">
            <v>329199</v>
          </cell>
          <cell r="AB157">
            <v>8.9814207489614901</v>
          </cell>
          <cell r="AC157">
            <v>-344532</v>
          </cell>
          <cell r="AD157">
            <v>18.0764487879478</v>
          </cell>
          <cell r="AE157">
            <v>-178659</v>
          </cell>
          <cell r="AF157">
            <v>32.760321494794603</v>
          </cell>
          <cell r="AG157">
            <v>136983</v>
          </cell>
          <cell r="AH157">
            <v>48.270919652878</v>
          </cell>
          <cell r="AI157">
            <v>-325967</v>
          </cell>
          <cell r="AJ157">
            <v>44.208160611971401</v>
          </cell>
          <cell r="AK157">
            <v>-1215297</v>
          </cell>
          <cell r="AL157">
            <v>26.734002961504999</v>
          </cell>
          <cell r="AM157">
            <v>127132</v>
          </cell>
          <cell r="AN157">
            <v>39.223018203836403</v>
          </cell>
          <cell r="AO157">
            <v>-1934201</v>
          </cell>
          <cell r="AP157">
            <v>46.0959904067754</v>
          </cell>
          <cell r="AQ157">
            <v>-560905</v>
          </cell>
          <cell r="AR157">
            <v>39.839049866122302</v>
          </cell>
          <cell r="AS157">
            <v>-336431</v>
          </cell>
          <cell r="AT157">
            <v>21.592728861323</v>
          </cell>
          <cell r="AU157">
            <v>-438636</v>
          </cell>
          <cell r="AV157">
            <v>48.014962442421897</v>
          </cell>
          <cell r="AW157">
            <v>-1311295</v>
          </cell>
          <cell r="AX157">
            <v>29.806853653747901</v>
          </cell>
          <cell r="AY157">
            <v>110192</v>
          </cell>
          <cell r="AZ157">
            <v>7.0330889884732599</v>
          </cell>
          <cell r="BA157">
            <v>-586138</v>
          </cell>
          <cell r="BB157">
            <v>9.9273638308292096</v>
          </cell>
          <cell r="BC157">
            <v>-81158</v>
          </cell>
          <cell r="BD157">
            <v>9.7202888198757709</v>
          </cell>
          <cell r="BE157">
            <v>264239</v>
          </cell>
          <cell r="BF157">
            <v>25.7838553133662</v>
          </cell>
          <cell r="BG157">
            <v>-139051</v>
          </cell>
          <cell r="BH157">
            <v>20.758893746320101</v>
          </cell>
          <cell r="BI157">
            <v>257091</v>
          </cell>
        </row>
        <row r="158">
          <cell r="B158">
            <v>43.965727422113197</v>
          </cell>
          <cell r="C158">
            <v>1833582</v>
          </cell>
          <cell r="D158">
            <v>22.8568064175589</v>
          </cell>
          <cell r="E158">
            <v>847225</v>
          </cell>
          <cell r="F158">
            <v>23.274621350309499</v>
          </cell>
          <cell r="G158">
            <v>-3521904</v>
          </cell>
          <cell r="H158">
            <v>29.928718331811599</v>
          </cell>
          <cell r="I158">
            <v>-2168970</v>
          </cell>
          <cell r="J158">
            <v>74.788488058218206</v>
          </cell>
          <cell r="K158">
            <v>85199</v>
          </cell>
          <cell r="L158">
            <v>53.8613539746067</v>
          </cell>
          <cell r="M158">
            <v>-452850</v>
          </cell>
          <cell r="N158">
            <v>12.727111543750899</v>
          </cell>
          <cell r="O158">
            <v>-642318</v>
          </cell>
          <cell r="P158">
            <v>6.3679848417659901</v>
          </cell>
          <cell r="Q158">
            <v>-13628</v>
          </cell>
          <cell r="R158">
            <v>27.925463500409201</v>
          </cell>
          <cell r="S158">
            <v>89153</v>
          </cell>
          <cell r="T158">
            <v>10.6676238983703</v>
          </cell>
          <cell r="U158">
            <v>413418</v>
          </cell>
          <cell r="V158">
            <v>45.183680540760498</v>
          </cell>
          <cell r="W158">
            <v>7207400</v>
          </cell>
          <cell r="X158">
            <v>9.8440297537083694</v>
          </cell>
          <cell r="Y158">
            <v>-483383</v>
          </cell>
          <cell r="Z158">
            <v>32.318715686274501</v>
          </cell>
          <cell r="AA158">
            <v>244842</v>
          </cell>
          <cell r="AB158">
            <v>9.0876292632579005</v>
          </cell>
          <cell r="AC158">
            <v>347265</v>
          </cell>
          <cell r="AD158">
            <v>18.110325522969902</v>
          </cell>
          <cell r="AE158">
            <v>72600</v>
          </cell>
          <cell r="AF158">
            <v>32.801283566789401</v>
          </cell>
          <cell r="AG158">
            <v>-396899</v>
          </cell>
          <cell r="AH158">
            <v>48.268122638217598</v>
          </cell>
          <cell r="AI158">
            <v>-44221</v>
          </cell>
          <cell r="AJ158">
            <v>44.440385295228303</v>
          </cell>
          <cell r="AK158">
            <v>-423732</v>
          </cell>
          <cell r="AL158">
            <v>26.923297656248199</v>
          </cell>
          <cell r="AM158">
            <v>1482273</v>
          </cell>
          <cell r="AN158">
            <v>39.191948258705203</v>
          </cell>
          <cell r="AO158">
            <v>-289362</v>
          </cell>
          <cell r="AP158">
            <v>46.179909981269603</v>
          </cell>
          <cell r="AQ158">
            <v>654451</v>
          </cell>
          <cell r="AR158">
            <v>39.832316216431103</v>
          </cell>
          <cell r="AS158">
            <v>-67329</v>
          </cell>
          <cell r="AT158">
            <v>21.5648188808917</v>
          </cell>
          <cell r="AU158">
            <v>-238683</v>
          </cell>
          <cell r="AV158">
            <v>47.9666430794205</v>
          </cell>
          <cell r="AW158">
            <v>-382232</v>
          </cell>
          <cell r="AX158">
            <v>29.344611533562698</v>
          </cell>
          <cell r="AY158">
            <v>-393658</v>
          </cell>
          <cell r="AZ158">
            <v>7.0225484600366004</v>
          </cell>
          <cell r="BA158">
            <v>-117178</v>
          </cell>
          <cell r="BB158">
            <v>9.8411904438154707</v>
          </cell>
          <cell r="BC158">
            <v>-415894</v>
          </cell>
          <cell r="BD158">
            <v>9.8490031055900609</v>
          </cell>
          <cell r="BE158">
            <v>333696</v>
          </cell>
          <cell r="BF158">
            <v>25.472828717505301</v>
          </cell>
          <cell r="BG158">
            <v>-340726</v>
          </cell>
          <cell r="BH158">
            <v>20.745654722298401</v>
          </cell>
          <cell r="BI158">
            <v>-26670</v>
          </cell>
        </row>
        <row r="159">
          <cell r="B159">
            <v>43.982923697748802</v>
          </cell>
          <cell r="C159">
            <v>1662447</v>
          </cell>
          <cell r="D159">
            <v>22.953624802843301</v>
          </cell>
          <cell r="E159">
            <v>632222</v>
          </cell>
          <cell r="F159">
            <v>23.2821907699206</v>
          </cell>
          <cell r="G159">
            <v>166949</v>
          </cell>
          <cell r="H159">
            <v>29.944864912299799</v>
          </cell>
          <cell r="I159">
            <v>196192</v>
          </cell>
          <cell r="J159">
            <v>74.740791280276696</v>
          </cell>
          <cell r="K159">
            <v>-845672</v>
          </cell>
          <cell r="L159">
            <v>53.878408510304602</v>
          </cell>
          <cell r="M159">
            <v>382281</v>
          </cell>
          <cell r="N159">
            <v>12.6035672987416</v>
          </cell>
          <cell r="O159">
            <v>-258386</v>
          </cell>
          <cell r="P159">
            <v>6.2590570718608696</v>
          </cell>
          <cell r="Q159">
            <v>-430063</v>
          </cell>
          <cell r="R159">
            <v>27.908973587249601</v>
          </cell>
          <cell r="S159">
            <v>-207106</v>
          </cell>
          <cell r="T159">
            <v>10.603965887727201</v>
          </cell>
          <cell r="U159">
            <v>-341558</v>
          </cell>
          <cell r="V159">
            <v>45.1526334222362</v>
          </cell>
          <cell r="W159">
            <v>-1272414</v>
          </cell>
          <cell r="X159">
            <v>9.5505909371524194</v>
          </cell>
          <cell r="Y159">
            <v>-2165718</v>
          </cell>
          <cell r="Z159">
            <v>31.926527450980299</v>
          </cell>
          <cell r="AA159">
            <v>-1864082</v>
          </cell>
          <cell r="AB159">
            <v>9.1011734887597502</v>
          </cell>
          <cell r="AC159">
            <v>51038</v>
          </cell>
          <cell r="AD159">
            <v>18.124704044981002</v>
          </cell>
          <cell r="AE159">
            <v>40205</v>
          </cell>
          <cell r="AF159">
            <v>32.7862198735723</v>
          </cell>
          <cell r="AG159">
            <v>-300825</v>
          </cell>
          <cell r="AH159">
            <v>48.246650531837297</v>
          </cell>
          <cell r="AI159">
            <v>-288244</v>
          </cell>
          <cell r="AJ159">
            <v>44.480687164417603</v>
          </cell>
          <cell r="AK159">
            <v>200798</v>
          </cell>
          <cell r="AL159">
            <v>27.235563526623299</v>
          </cell>
          <cell r="AM159">
            <v>2492357</v>
          </cell>
          <cell r="AN159">
            <v>39.164355283659901</v>
          </cell>
          <cell r="AO159">
            <v>-235509</v>
          </cell>
          <cell r="AP159">
            <v>46.077480473214699</v>
          </cell>
          <cell r="AQ159">
            <v>-759226</v>
          </cell>
          <cell r="AR159">
            <v>39.824511545292999</v>
          </cell>
          <cell r="AS159">
            <v>-43496</v>
          </cell>
          <cell r="AT159">
            <v>21.576714881680001</v>
          </cell>
          <cell r="AU159">
            <v>111930</v>
          </cell>
          <cell r="AV159">
            <v>48.001203215511701</v>
          </cell>
          <cell r="AW159">
            <v>280262</v>
          </cell>
          <cell r="AX159">
            <v>29.502791897317401</v>
          </cell>
          <cell r="AY159">
            <v>136092</v>
          </cell>
          <cell r="AZ159">
            <v>7.0053055200086103</v>
          </cell>
          <cell r="BA159">
            <v>-157229</v>
          </cell>
          <cell r="BB159">
            <v>9.7139843753827098</v>
          </cell>
          <cell r="BC159">
            <v>-579639</v>
          </cell>
          <cell r="BD159">
            <v>9.8301490683229797</v>
          </cell>
          <cell r="BE159">
            <v>-43111</v>
          </cell>
          <cell r="BF159">
            <v>25.438820782320398</v>
          </cell>
          <cell r="BG159">
            <v>-34932</v>
          </cell>
          <cell r="BH159">
            <v>20.665544055714602</v>
          </cell>
          <cell r="BI159">
            <v>-150931</v>
          </cell>
        </row>
        <row r="160">
          <cell r="B160">
            <v>44.005291076089499</v>
          </cell>
          <cell r="C160">
            <v>1868104</v>
          </cell>
          <cell r="D160">
            <v>22.955015133828901</v>
          </cell>
          <cell r="E160">
            <v>216813</v>
          </cell>
          <cell r="F160">
            <v>23.123691312749401</v>
          </cell>
          <cell r="G160">
            <v>-2427113</v>
          </cell>
          <cell r="H160">
            <v>29.863696590171902</v>
          </cell>
          <cell r="I160">
            <v>-862353</v>
          </cell>
          <cell r="J160">
            <v>74.730149121386006</v>
          </cell>
          <cell r="K160">
            <v>-197547</v>
          </cell>
          <cell r="L160">
            <v>53.873226526104297</v>
          </cell>
          <cell r="M160">
            <v>-88588</v>
          </cell>
          <cell r="N160">
            <v>12.614156035972901</v>
          </cell>
          <cell r="O160">
            <v>-201344</v>
          </cell>
          <cell r="P160">
            <v>6.3077562842693702</v>
          </cell>
          <cell r="Q160">
            <v>184822</v>
          </cell>
          <cell r="R160">
            <v>27.9761339286032</v>
          </cell>
          <cell r="S160">
            <v>1010547</v>
          </cell>
          <cell r="T160">
            <v>10.5679848848511</v>
          </cell>
          <cell r="U160">
            <v>-297242</v>
          </cell>
          <cell r="V160">
            <v>45.074812040143399</v>
          </cell>
          <cell r="W160">
            <v>-3404992</v>
          </cell>
          <cell r="X160">
            <v>9.59331996860878</v>
          </cell>
          <cell r="Y160">
            <v>-34986</v>
          </cell>
          <cell r="Z160">
            <v>32.004092156862697</v>
          </cell>
          <cell r="AA160">
            <v>358772</v>
          </cell>
          <cell r="AB160">
            <v>9.1195751837275907</v>
          </cell>
          <cell r="AC160">
            <v>70676</v>
          </cell>
          <cell r="AD160">
            <v>18.027855110662099</v>
          </cell>
          <cell r="AE160">
            <v>-199314</v>
          </cell>
          <cell r="AF160">
            <v>33.603240340309398</v>
          </cell>
          <cell r="AG160">
            <v>1907108</v>
          </cell>
          <cell r="AH160">
            <v>48.260851139073999</v>
          </cell>
          <cell r="AI160">
            <v>221746</v>
          </cell>
          <cell r="AJ160">
            <v>44.233498223449402</v>
          </cell>
          <cell r="AK160">
            <v>-2577053</v>
          </cell>
          <cell r="AL160">
            <v>27.224726028881101</v>
          </cell>
          <cell r="AM160">
            <v>-82819</v>
          </cell>
          <cell r="AN160">
            <v>39.136290781722799</v>
          </cell>
          <cell r="AO160">
            <v>-257289</v>
          </cell>
          <cell r="AP160">
            <v>46.038743647430501</v>
          </cell>
          <cell r="AQ160">
            <v>-287780</v>
          </cell>
          <cell r="AR160">
            <v>39.820487261737398</v>
          </cell>
          <cell r="AS160">
            <v>-36570</v>
          </cell>
          <cell r="AT160">
            <v>21.568568445250101</v>
          </cell>
          <cell r="AU160">
            <v>-70077</v>
          </cell>
          <cell r="AV160">
            <v>47.982488422884202</v>
          </cell>
          <cell r="AW160">
            <v>-152449</v>
          </cell>
          <cell r="AX160">
            <v>29.768543864361401</v>
          </cell>
          <cell r="AY160">
            <v>215756</v>
          </cell>
          <cell r="AZ160">
            <v>6.9888372545077297</v>
          </cell>
          <cell r="BA160">
            <v>-158045</v>
          </cell>
          <cell r="BB160">
            <v>9.5495730437136999</v>
          </cell>
          <cell r="BC160">
            <v>-736051</v>
          </cell>
          <cell r="BD160">
            <v>9.7511956521739105</v>
          </cell>
          <cell r="BE160">
            <v>-194830</v>
          </cell>
          <cell r="BF160">
            <v>25.412883695850802</v>
          </cell>
          <cell r="BG160">
            <v>-26294</v>
          </cell>
          <cell r="BH160">
            <v>20.521819462385199</v>
          </cell>
          <cell r="BI160">
            <v>-278251</v>
          </cell>
        </row>
        <row r="161">
          <cell r="B161">
            <v>43.950330883023497</v>
          </cell>
          <cell r="C161">
            <v>-4605284</v>
          </cell>
          <cell r="D161">
            <v>22.773464886929801</v>
          </cell>
          <cell r="E161">
            <v>-934247</v>
          </cell>
          <cell r="F161">
            <v>23.040432536367199</v>
          </cell>
          <cell r="G161">
            <v>-1270553</v>
          </cell>
          <cell r="H161">
            <v>30.303649336795399</v>
          </cell>
          <cell r="I161">
            <v>4455107</v>
          </cell>
          <cell r="J161">
            <v>74.523597059455895</v>
          </cell>
          <cell r="K161">
            <v>-4112314</v>
          </cell>
          <cell r="L161">
            <v>53.842937246676101</v>
          </cell>
          <cell r="M161">
            <v>-570025</v>
          </cell>
          <cell r="N161">
            <v>12.436150939404399</v>
          </cell>
          <cell r="O161">
            <v>-732487</v>
          </cell>
          <cell r="P161">
            <v>6.4581937032146204</v>
          </cell>
          <cell r="Q161">
            <v>457791</v>
          </cell>
          <cell r="R161">
            <v>27.9409637549916</v>
          </cell>
          <cell r="S161">
            <v>-573891</v>
          </cell>
          <cell r="T161">
            <v>10.5785513543159</v>
          </cell>
          <cell r="U161">
            <v>46085</v>
          </cell>
          <cell r="V161">
            <v>44.790971022173203</v>
          </cell>
          <cell r="W161">
            <v>-12095312</v>
          </cell>
          <cell r="X161">
            <v>9.3824448362689008</v>
          </cell>
          <cell r="Y161">
            <v>-1616783</v>
          </cell>
          <cell r="Z161">
            <v>31.944511764705801</v>
          </cell>
          <cell r="AA161">
            <v>-70178</v>
          </cell>
          <cell r="AB161">
            <v>9.0836999372711098</v>
          </cell>
          <cell r="AC161">
            <v>-108879</v>
          </cell>
          <cell r="AD161">
            <v>18.029304243538299</v>
          </cell>
          <cell r="AE161">
            <v>-11896</v>
          </cell>
          <cell r="AF161">
            <v>33.963523400820002</v>
          </cell>
          <cell r="AG161">
            <v>919426</v>
          </cell>
          <cell r="AH161">
            <v>48.1662034144491</v>
          </cell>
          <cell r="AI161">
            <v>-1522933</v>
          </cell>
          <cell r="AJ161">
            <v>43.9152523783915</v>
          </cell>
          <cell r="AK161">
            <v>-3745493</v>
          </cell>
          <cell r="AL161">
            <v>27.313573839657401</v>
          </cell>
          <cell r="AM161">
            <v>676567</v>
          </cell>
          <cell r="AN161">
            <v>39.172437211327598</v>
          </cell>
          <cell r="AO161">
            <v>326137</v>
          </cell>
          <cell r="AP161">
            <v>45.869811969132897</v>
          </cell>
          <cell r="AQ161">
            <v>-1262480</v>
          </cell>
          <cell r="AR161">
            <v>39.753267410726103</v>
          </cell>
          <cell r="AS161">
            <v>-657432</v>
          </cell>
          <cell r="AT161">
            <v>21.573357833700701</v>
          </cell>
          <cell r="AU161">
            <v>41170</v>
          </cell>
          <cell r="AV161">
            <v>47.928426005944502</v>
          </cell>
          <cell r="AW161">
            <v>-436551</v>
          </cell>
          <cell r="AX161">
            <v>29.8434571828654</v>
          </cell>
          <cell r="AY161">
            <v>63945</v>
          </cell>
          <cell r="AZ161">
            <v>6.9431657603387604</v>
          </cell>
          <cell r="BA161">
            <v>-437056</v>
          </cell>
          <cell r="BB161">
            <v>9.5640016611874703</v>
          </cell>
          <cell r="BC161">
            <v>-10366</v>
          </cell>
          <cell r="BD161">
            <v>9.6194813664596204</v>
          </cell>
          <cell r="BE161">
            <v>-320579</v>
          </cell>
          <cell r="BF161">
            <v>25.511159500435099</v>
          </cell>
          <cell r="BG161">
            <v>104794</v>
          </cell>
          <cell r="BH161">
            <v>20.410391010203099</v>
          </cell>
          <cell r="BI161">
            <v>-223969</v>
          </cell>
        </row>
        <row r="162">
          <cell r="B162">
            <v>43.9816521373752</v>
          </cell>
          <cell r="C162">
            <v>2671158</v>
          </cell>
          <cell r="D162">
            <v>22.822935865989798</v>
          </cell>
          <cell r="E162">
            <v>576502</v>
          </cell>
          <cell r="F162">
            <v>22.823080478768901</v>
          </cell>
          <cell r="G162">
            <v>-3452766</v>
          </cell>
          <cell r="H162">
            <v>30.4671801712445</v>
          </cell>
          <cell r="I162">
            <v>1688475</v>
          </cell>
          <cell r="J162">
            <v>74.556166857873507</v>
          </cell>
          <cell r="K162">
            <v>719002</v>
          </cell>
          <cell r="L162">
            <v>53.858984714186398</v>
          </cell>
          <cell r="M162">
            <v>262123</v>
          </cell>
          <cell r="N162">
            <v>12.028320720087899</v>
          </cell>
          <cell r="O162">
            <v>-1746717</v>
          </cell>
          <cell r="P162">
            <v>6.2454442308749796</v>
          </cell>
          <cell r="Q162">
            <v>-960312</v>
          </cell>
          <cell r="R162">
            <v>27.866041688785401</v>
          </cell>
          <cell r="S162">
            <v>-1146232</v>
          </cell>
          <cell r="T162">
            <v>10.891657530443201</v>
          </cell>
          <cell r="U162">
            <v>1461194</v>
          </cell>
          <cell r="V162">
            <v>44.775670547049899</v>
          </cell>
          <cell r="W162">
            <v>-713785</v>
          </cell>
          <cell r="X162">
            <v>9.4128430214970606</v>
          </cell>
          <cell r="Y162">
            <v>283897</v>
          </cell>
          <cell r="Z162">
            <v>31.952217647058799</v>
          </cell>
          <cell r="AA162">
            <v>277165</v>
          </cell>
          <cell r="AB162">
            <v>8.7936828887482008</v>
          </cell>
          <cell r="AC162">
            <v>-953722</v>
          </cell>
          <cell r="AD162">
            <v>18.143160964907199</v>
          </cell>
          <cell r="AE162">
            <v>221449</v>
          </cell>
          <cell r="AF162">
            <v>34.025266454672099</v>
          </cell>
          <cell r="AG162">
            <v>211921</v>
          </cell>
          <cell r="AH162">
            <v>48.2034501416002</v>
          </cell>
          <cell r="AI162">
            <v>610517</v>
          </cell>
          <cell r="AJ162">
            <v>43.869532569240498</v>
          </cell>
          <cell r="AK162">
            <v>-500041</v>
          </cell>
          <cell r="AL162">
            <v>27.272896672819002</v>
          </cell>
          <cell r="AM162">
            <v>-316640</v>
          </cell>
          <cell r="AN162">
            <v>39.158358456560102</v>
          </cell>
          <cell r="AO162">
            <v>-114851</v>
          </cell>
          <cell r="AP162">
            <v>45.781668836210699</v>
          </cell>
          <cell r="AQ162">
            <v>-651025</v>
          </cell>
          <cell r="AR162">
            <v>39.8512552689483</v>
          </cell>
          <cell r="AS162">
            <v>998602</v>
          </cell>
          <cell r="AT162">
            <v>21.5511668857757</v>
          </cell>
          <cell r="AU162">
            <v>-197659</v>
          </cell>
          <cell r="AV162">
            <v>47.952316611654602</v>
          </cell>
          <cell r="AW162">
            <v>197512</v>
          </cell>
          <cell r="AX162">
            <v>30.5850164252642</v>
          </cell>
          <cell r="AY162">
            <v>616237</v>
          </cell>
          <cell r="AZ162">
            <v>6.8950940138526597</v>
          </cell>
          <cell r="BA162">
            <v>-452740</v>
          </cell>
          <cell r="BB162">
            <v>9.6121981184844998</v>
          </cell>
          <cell r="BC162">
            <v>181001</v>
          </cell>
          <cell r="BD162">
            <v>9.6579130434782599</v>
          </cell>
          <cell r="BE162">
            <v>95563</v>
          </cell>
          <cell r="BF162">
            <v>25.360101265007799</v>
          </cell>
          <cell r="BG162">
            <v>-160675</v>
          </cell>
          <cell r="BH162">
            <v>20.639659265823202</v>
          </cell>
          <cell r="BI162">
            <v>472683</v>
          </cell>
        </row>
        <row r="163">
          <cell r="B163">
            <v>44.044327911672802</v>
          </cell>
          <cell r="C163">
            <v>5597363</v>
          </cell>
          <cell r="D163">
            <v>22.6962939019582</v>
          </cell>
          <cell r="E163">
            <v>-1273810</v>
          </cell>
          <cell r="F163">
            <v>22.9656930729696</v>
          </cell>
          <cell r="G163">
            <v>2313416</v>
          </cell>
          <cell r="H163">
            <v>30.6476364787794</v>
          </cell>
          <cell r="I163">
            <v>1875234</v>
          </cell>
          <cell r="J163">
            <v>74.538007288181305</v>
          </cell>
          <cell r="K163">
            <v>-250961</v>
          </cell>
          <cell r="L163">
            <v>53.900209895978499</v>
          </cell>
          <cell r="M163">
            <v>904012</v>
          </cell>
          <cell r="N163">
            <v>11.950242061944399</v>
          </cell>
          <cell r="O163">
            <v>-321415</v>
          </cell>
          <cell r="P163">
            <v>6.2057275903238001</v>
          </cell>
          <cell r="Q163">
            <v>-87804</v>
          </cell>
          <cell r="R163">
            <v>27.8967120085535</v>
          </cell>
          <cell r="S163">
            <v>513250</v>
          </cell>
          <cell r="T163">
            <v>10.8544084936328</v>
          </cell>
          <cell r="U163">
            <v>-1001254</v>
          </cell>
          <cell r="V163">
            <v>44.799141980552399</v>
          </cell>
          <cell r="W163">
            <v>1114449</v>
          </cell>
          <cell r="X163">
            <v>9.4516395907391697</v>
          </cell>
          <cell r="Y163">
            <v>150436</v>
          </cell>
          <cell r="Z163">
            <v>32.029792156862698</v>
          </cell>
          <cell r="AA163">
            <v>150219</v>
          </cell>
          <cell r="AB163">
            <v>8.7557123722817902</v>
          </cell>
          <cell r="AC163">
            <v>-121512</v>
          </cell>
          <cell r="AD163">
            <v>18.108225581915701</v>
          </cell>
          <cell r="AE163">
            <v>-63528</v>
          </cell>
          <cell r="AF163">
            <v>33.933731450022798</v>
          </cell>
          <cell r="AG163">
            <v>-243654</v>
          </cell>
          <cell r="AH163">
            <v>48.126877708545599</v>
          </cell>
          <cell r="AI163">
            <v>-1215304</v>
          </cell>
          <cell r="AJ163">
            <v>43.846913949440598</v>
          </cell>
          <cell r="AK163">
            <v>-238274</v>
          </cell>
          <cell r="AL163">
            <v>26.936068997406501</v>
          </cell>
          <cell r="AM163">
            <v>-2691763</v>
          </cell>
          <cell r="AN163">
            <v>39.144247257281599</v>
          </cell>
          <cell r="AO163">
            <v>-99857</v>
          </cell>
          <cell r="AP163">
            <v>45.763210420292197</v>
          </cell>
          <cell r="AQ163">
            <v>-118338</v>
          </cell>
          <cell r="AR163">
            <v>39.894064314307599</v>
          </cell>
          <cell r="AS163">
            <v>476478</v>
          </cell>
          <cell r="AT163">
            <v>21.491056789751699</v>
          </cell>
          <cell r="AU163">
            <v>-514328</v>
          </cell>
          <cell r="AV163">
            <v>48.151975003835602</v>
          </cell>
          <cell r="AW163">
            <v>1683526</v>
          </cell>
          <cell r="AX163">
            <v>30.823900583548699</v>
          </cell>
          <cell r="AY163">
            <v>199832</v>
          </cell>
          <cell r="AZ163">
            <v>6.8391802361756797</v>
          </cell>
          <cell r="BA163">
            <v>-684489</v>
          </cell>
          <cell r="BB163">
            <v>9.7379238714038792</v>
          </cell>
          <cell r="BC163">
            <v>253757</v>
          </cell>
          <cell r="BD163">
            <v>9.6655993788819803</v>
          </cell>
          <cell r="BE163">
            <v>23758</v>
          </cell>
          <cell r="BF163">
            <v>25.3069854230354</v>
          </cell>
          <cell r="BG163">
            <v>-52150</v>
          </cell>
          <cell r="BH163">
            <v>20.6608396226503</v>
          </cell>
          <cell r="BI163">
            <v>48365</v>
          </cell>
        </row>
        <row r="164">
          <cell r="B164">
            <v>44.014881071732098</v>
          </cell>
          <cell r="C164">
            <v>-2463711</v>
          </cell>
          <cell r="D164">
            <v>22.593078688664999</v>
          </cell>
          <cell r="E164">
            <v>-1158894</v>
          </cell>
          <cell r="F164">
            <v>23.0708989490847</v>
          </cell>
          <cell r="G164">
            <v>1732794</v>
          </cell>
          <cell r="H164">
            <v>30.6972011010137</v>
          </cell>
          <cell r="I164">
            <v>504709</v>
          </cell>
          <cell r="J164">
            <v>74.539864716215007</v>
          </cell>
          <cell r="K164">
            <v>22374</v>
          </cell>
          <cell r="L164">
            <v>54.0140192018928</v>
          </cell>
          <cell r="M164">
            <v>2235240</v>
          </cell>
          <cell r="N164">
            <v>11.8489824929735</v>
          </cell>
          <cell r="O164">
            <v>-436040</v>
          </cell>
          <cell r="P164">
            <v>6.0859766602382104</v>
          </cell>
          <cell r="Q164">
            <v>-542681</v>
          </cell>
          <cell r="R164">
            <v>27.914444907417</v>
          </cell>
          <cell r="S164">
            <v>274057</v>
          </cell>
          <cell r="T164">
            <v>10.849365733198701</v>
          </cell>
          <cell r="U164">
            <v>-1117633</v>
          </cell>
          <cell r="V164">
            <v>44.816810932522003</v>
          </cell>
          <cell r="W164">
            <v>710007</v>
          </cell>
          <cell r="X164">
            <v>9.5180760347516404</v>
          </cell>
          <cell r="Y164">
            <v>408018</v>
          </cell>
          <cell r="Z164">
            <v>32.0778117647058</v>
          </cell>
          <cell r="AA164">
            <v>248086</v>
          </cell>
          <cell r="AB164">
            <v>8.7169470982254094</v>
          </cell>
          <cell r="AC164">
            <v>-136174</v>
          </cell>
          <cell r="AD164">
            <v>17.903264393078398</v>
          </cell>
          <cell r="AE164">
            <v>-537379</v>
          </cell>
          <cell r="AF164">
            <v>33.637036911783902</v>
          </cell>
          <cell r="AG164">
            <v>-776121</v>
          </cell>
          <cell r="AH164">
            <v>47.9897821150211</v>
          </cell>
          <cell r="AI164">
            <v>-2320362</v>
          </cell>
          <cell r="AJ164">
            <v>43.854112278579997</v>
          </cell>
          <cell r="AK164">
            <v>86320</v>
          </cell>
          <cell r="AL164">
            <v>26.9373874665946</v>
          </cell>
          <cell r="AM164">
            <v>8890</v>
          </cell>
          <cell r="AN164">
            <v>39.074569425651198</v>
          </cell>
          <cell r="AO164">
            <v>-623624</v>
          </cell>
          <cell r="AP164">
            <v>45.739415487226502</v>
          </cell>
          <cell r="AQ164">
            <v>-170114</v>
          </cell>
          <cell r="AR164">
            <v>39.911465761777201</v>
          </cell>
          <cell r="AS164">
            <v>174883</v>
          </cell>
          <cell r="AT164">
            <v>21.417635568098898</v>
          </cell>
          <cell r="AU164">
            <v>-630511</v>
          </cell>
          <cell r="AV164">
            <v>47.9541679362057</v>
          </cell>
          <cell r="AW164">
            <v>0</v>
          </cell>
          <cell r="AX164">
            <v>32.071562871869098</v>
          </cell>
          <cell r="AY164">
            <v>105422</v>
          </cell>
          <cell r="AZ164">
            <v>6.9323174583814904</v>
          </cell>
          <cell r="BA164">
            <v>546714</v>
          </cell>
          <cell r="BB164">
            <v>9.7269546739993196</v>
          </cell>
          <cell r="BC164">
            <v>-80142</v>
          </cell>
          <cell r="BD164">
            <v>9.6664161490683203</v>
          </cell>
          <cell r="BE164">
            <v>1671</v>
          </cell>
          <cell r="BF164">
            <v>25.219344283781101</v>
          </cell>
          <cell r="BG164">
            <v>-89194</v>
          </cell>
          <cell r="BH164">
            <v>20.731343670388199</v>
          </cell>
          <cell r="BI164">
            <v>145237</v>
          </cell>
        </row>
        <row r="165">
          <cell r="B165">
            <v>43.999733685155597</v>
          </cell>
          <cell r="C165">
            <v>-1295956</v>
          </cell>
          <cell r="D165">
            <v>22.598509465096999</v>
          </cell>
          <cell r="E165">
            <v>739766</v>
          </cell>
          <cell r="F165">
            <v>23.065203736850101</v>
          </cell>
          <cell r="G165">
            <v>-68446</v>
          </cell>
          <cell r="H165">
            <v>30.594262632969901</v>
          </cell>
          <cell r="I165">
            <v>-1042942</v>
          </cell>
          <cell r="J165">
            <v>74.447292084565603</v>
          </cell>
          <cell r="K165">
            <v>-2099097</v>
          </cell>
          <cell r="L165">
            <v>54.066094470714297</v>
          </cell>
          <cell r="M165">
            <v>1046792</v>
          </cell>
          <cell r="N165">
            <v>12.0380221998404</v>
          </cell>
          <cell r="O165">
            <v>818581</v>
          </cell>
          <cell r="P165">
            <v>5.8466045793283099</v>
          </cell>
          <cell r="Q165">
            <v>-1085275</v>
          </cell>
          <cell r="R165">
            <v>27.566455755384901</v>
          </cell>
          <cell r="S165">
            <v>-5554589</v>
          </cell>
          <cell r="T165">
            <v>10.5986878368719</v>
          </cell>
          <cell r="U165">
            <v>-1151684</v>
          </cell>
          <cell r="V165">
            <v>44.794931482488103</v>
          </cell>
          <cell r="W165">
            <v>-824121</v>
          </cell>
          <cell r="X165">
            <v>9.6697713954464692</v>
          </cell>
          <cell r="Y165">
            <v>1138777</v>
          </cell>
          <cell r="Z165">
            <v>32.414039215686202</v>
          </cell>
          <cell r="AA165">
            <v>1769416</v>
          </cell>
          <cell r="AB165">
            <v>8.7959435016833201</v>
          </cell>
          <cell r="AC165">
            <v>273766</v>
          </cell>
          <cell r="AD165">
            <v>17.9040193305648</v>
          </cell>
          <cell r="AE165">
            <v>-1449</v>
          </cell>
          <cell r="AF165">
            <v>33.549358844545303</v>
          </cell>
          <cell r="AG165">
            <v>-270885</v>
          </cell>
          <cell r="AH165">
            <v>47.9660647608532</v>
          </cell>
          <cell r="AI165">
            <v>-573497</v>
          </cell>
          <cell r="AJ165">
            <v>43.827578264921101</v>
          </cell>
          <cell r="AK165">
            <v>-309102</v>
          </cell>
          <cell r="AL165">
            <v>26.786773627479501</v>
          </cell>
          <cell r="AM165">
            <v>-1084179</v>
          </cell>
          <cell r="AN165">
            <v>39.155831029160197</v>
          </cell>
          <cell r="AO165">
            <v>706624</v>
          </cell>
          <cell r="AP165">
            <v>45.660536647554402</v>
          </cell>
          <cell r="AQ165">
            <v>-566857</v>
          </cell>
          <cell r="AR165">
            <v>39.858349460512699</v>
          </cell>
          <cell r="AS165">
            <v>-548761</v>
          </cell>
          <cell r="AT165">
            <v>21.373511906708899</v>
          </cell>
          <cell r="AU165">
            <v>-384459</v>
          </cell>
          <cell r="AV165">
            <v>48.062724953594198</v>
          </cell>
          <cell r="AW165">
            <v>852127</v>
          </cell>
          <cell r="AX165">
            <v>32.003473133034703</v>
          </cell>
          <cell r="AY165">
            <v>-48885</v>
          </cell>
          <cell r="AZ165">
            <v>6.9371370201996596</v>
          </cell>
          <cell r="BA165">
            <v>49159</v>
          </cell>
          <cell r="BB165">
            <v>9.71835279240773</v>
          </cell>
          <cell r="BC165">
            <v>-42452</v>
          </cell>
          <cell r="BD165">
            <v>9.6559068322981307</v>
          </cell>
          <cell r="BE165">
            <v>-25170</v>
          </cell>
          <cell r="BF165">
            <v>25.152455113089601</v>
          </cell>
          <cell r="BG165">
            <v>-70596</v>
          </cell>
          <cell r="BH165">
            <v>20.9854230129685</v>
          </cell>
          <cell r="BI165">
            <v>539587</v>
          </cell>
        </row>
        <row r="166">
          <cell r="B166">
            <v>44.093681154858103</v>
          </cell>
          <cell r="C166">
            <v>8232679</v>
          </cell>
          <cell r="D166">
            <v>22.524438983496999</v>
          </cell>
          <cell r="E166">
            <v>-1348687</v>
          </cell>
          <cell r="F166">
            <v>23.551357644436901</v>
          </cell>
          <cell r="G166">
            <v>8596567</v>
          </cell>
          <cell r="H166">
            <v>30.7802438517929</v>
          </cell>
          <cell r="I166">
            <v>2015606</v>
          </cell>
          <cell r="J166">
            <v>74.403756385399305</v>
          </cell>
          <cell r="K166">
            <v>-903165</v>
          </cell>
          <cell r="L166">
            <v>54.093724484371997</v>
          </cell>
          <cell r="M166">
            <v>542227</v>
          </cell>
          <cell r="N166">
            <v>12.034935501393599</v>
          </cell>
          <cell r="O166">
            <v>-14432</v>
          </cell>
          <cell r="P166">
            <v>5.9441131816990804</v>
          </cell>
          <cell r="Q166">
            <v>173005</v>
          </cell>
          <cell r="R166">
            <v>27.390921432533698</v>
          </cell>
          <cell r="S166">
            <v>-2873327</v>
          </cell>
          <cell r="T166">
            <v>10.747732942952799</v>
          </cell>
          <cell r="U166">
            <v>648767</v>
          </cell>
          <cell r="V166">
            <v>44.744667013087401</v>
          </cell>
          <cell r="W166">
            <v>-2066705</v>
          </cell>
          <cell r="X166">
            <v>9.8611869674020998</v>
          </cell>
          <cell r="Y166">
            <v>1516802</v>
          </cell>
          <cell r="Z166">
            <v>32.546896078431303</v>
          </cell>
          <cell r="AA166">
            <v>489697</v>
          </cell>
          <cell r="AB166">
            <v>8.8192721379344494</v>
          </cell>
          <cell r="AC166">
            <v>79353</v>
          </cell>
          <cell r="AD166">
            <v>17.955632757796099</v>
          </cell>
          <cell r="AE166">
            <v>147135</v>
          </cell>
          <cell r="AF166">
            <v>33.587607665823903</v>
          </cell>
          <cell r="AG166">
            <v>-33936</v>
          </cell>
          <cell r="AH166">
            <v>48.020349753443298</v>
          </cell>
          <cell r="AI166">
            <v>661109</v>
          </cell>
          <cell r="AJ166">
            <v>43.786088251003399</v>
          </cell>
          <cell r="AK166">
            <v>-483730</v>
          </cell>
          <cell r="AL166">
            <v>26.759661275696001</v>
          </cell>
          <cell r="AM166">
            <v>-204759</v>
          </cell>
          <cell r="AN166">
            <v>39.207519460974602</v>
          </cell>
          <cell r="AO166">
            <v>448689</v>
          </cell>
          <cell r="AP166">
            <v>45.606338311453399</v>
          </cell>
          <cell r="AQ166">
            <v>-691644</v>
          </cell>
          <cell r="AR166">
            <v>39.876493200074201</v>
          </cell>
          <cell r="AS166">
            <v>191933</v>
          </cell>
          <cell r="AT166">
            <v>21.319007220028901</v>
          </cell>
          <cell r="AU166">
            <v>-469219</v>
          </cell>
          <cell r="AV166">
            <v>48.207791088475702</v>
          </cell>
          <cell r="AW166">
            <v>1160078</v>
          </cell>
          <cell r="AX166">
            <v>31.9399204476269</v>
          </cell>
          <cell r="AY166">
            <v>-53808</v>
          </cell>
          <cell r="AZ166">
            <v>6.9146828932235502</v>
          </cell>
          <cell r="BA166">
            <v>-131882</v>
          </cell>
          <cell r="BB166">
            <v>9.7603253850021208</v>
          </cell>
          <cell r="BC166">
            <v>98156</v>
          </cell>
          <cell r="BD166">
            <v>9.6802080745341605</v>
          </cell>
          <cell r="BE166">
            <v>57813</v>
          </cell>
          <cell r="BF166">
            <v>25.098408019342401</v>
          </cell>
          <cell r="BG166">
            <v>-53814</v>
          </cell>
          <cell r="BH166">
            <v>21.2003331252427</v>
          </cell>
          <cell r="BI166">
            <v>449869</v>
          </cell>
        </row>
        <row r="167">
          <cell r="B167">
            <v>44.099505349436797</v>
          </cell>
          <cell r="C167">
            <v>509461</v>
          </cell>
          <cell r="D167">
            <v>22.525091721048899</v>
          </cell>
          <cell r="E167">
            <v>-234670</v>
          </cell>
          <cell r="F167">
            <v>23.482642468416401</v>
          </cell>
          <cell r="G167">
            <v>-1196627</v>
          </cell>
          <cell r="H167">
            <v>30.782340182389898</v>
          </cell>
          <cell r="I167">
            <v>176978</v>
          </cell>
          <cell r="J167">
            <v>74.407519104128895</v>
          </cell>
          <cell r="K167">
            <v>78291</v>
          </cell>
          <cell r="L167">
            <v>54.166980239684001</v>
          </cell>
          <cell r="M167">
            <v>1501644</v>
          </cell>
          <cell r="N167">
            <v>12.152912317939199</v>
          </cell>
          <cell r="O167">
            <v>520861</v>
          </cell>
          <cell r="P167">
            <v>6.0413137672715704</v>
          </cell>
          <cell r="Q167">
            <v>220355</v>
          </cell>
          <cell r="R167">
            <v>27.332702128850102</v>
          </cell>
          <cell r="S167">
            <v>-933791</v>
          </cell>
          <cell r="T167">
            <v>10.823083764354701</v>
          </cell>
          <cell r="U167">
            <v>350703</v>
          </cell>
          <cell r="V167">
            <v>44.662580078746899</v>
          </cell>
          <cell r="W167">
            <v>-3340528</v>
          </cell>
          <cell r="X167">
            <v>9.86617193096059</v>
          </cell>
          <cell r="Y167">
            <v>39294</v>
          </cell>
          <cell r="Z167">
            <v>32.824658823529397</v>
          </cell>
          <cell r="AA167">
            <v>1010777</v>
          </cell>
          <cell r="AB167">
            <v>8.7375996800739397</v>
          </cell>
          <cell r="AC167">
            <v>-269888</v>
          </cell>
          <cell r="AD167">
            <v>18.176664569907299</v>
          </cell>
          <cell r="AE167">
            <v>437478</v>
          </cell>
          <cell r="AF167">
            <v>33.680231405254197</v>
          </cell>
          <cell r="AG167">
            <v>186718</v>
          </cell>
          <cell r="AH167">
            <v>48.047587084669601</v>
          </cell>
          <cell r="AI167">
            <v>69075</v>
          </cell>
          <cell r="AJ167">
            <v>43.6771372073188</v>
          </cell>
          <cell r="AK167">
            <v>-829106</v>
          </cell>
          <cell r="AL167">
            <v>26.9196133854926</v>
          </cell>
          <cell r="AM167">
            <v>1262788</v>
          </cell>
          <cell r="AN167">
            <v>39.2854241390881</v>
          </cell>
          <cell r="AO167">
            <v>684304</v>
          </cell>
          <cell r="AP167">
            <v>45.480700993807197</v>
          </cell>
          <cell r="AQ167">
            <v>-871094</v>
          </cell>
          <cell r="AR167">
            <v>39.892871344874202</v>
          </cell>
          <cell r="AS167">
            <v>169206</v>
          </cell>
          <cell r="AT167">
            <v>21.3006071539759</v>
          </cell>
          <cell r="AU167">
            <v>-157294</v>
          </cell>
          <cell r="AV167">
            <v>48.123357390994499</v>
          </cell>
          <cell r="AW167">
            <v>-661613</v>
          </cell>
          <cell r="AX167">
            <v>31.980328688160601</v>
          </cell>
          <cell r="AY167">
            <v>33925</v>
          </cell>
          <cell r="AZ167">
            <v>6.8956123692558</v>
          </cell>
          <cell r="BA167">
            <v>-226067</v>
          </cell>
          <cell r="BB167">
            <v>9.8072198780524396</v>
          </cell>
          <cell r="BC167">
            <v>184667</v>
          </cell>
          <cell r="BD167">
            <v>9.6700217391304299</v>
          </cell>
          <cell r="BE167">
            <v>-23667</v>
          </cell>
          <cell r="BF167">
            <v>25.1125837408038</v>
          </cell>
          <cell r="BG167">
            <v>15542</v>
          </cell>
          <cell r="BH167">
            <v>21.195837620279399</v>
          </cell>
          <cell r="BI167">
            <v>-9415</v>
          </cell>
        </row>
        <row r="168">
          <cell r="B168">
            <v>44.054856132855498</v>
          </cell>
          <cell r="C168">
            <v>-3845251</v>
          </cell>
          <cell r="D168">
            <v>22.481314789233501</v>
          </cell>
          <cell r="E168">
            <v>-458529</v>
          </cell>
          <cell r="F168">
            <v>23.345230782402201</v>
          </cell>
          <cell r="G168">
            <v>-2360908</v>
          </cell>
          <cell r="H168">
            <v>30.802887072870099</v>
          </cell>
          <cell r="I168">
            <v>740160</v>
          </cell>
          <cell r="J168">
            <v>74.272786601888797</v>
          </cell>
          <cell r="K168">
            <v>-2686123</v>
          </cell>
          <cell r="L168">
            <v>54.245196373715501</v>
          </cell>
          <cell r="M168">
            <v>1542583</v>
          </cell>
          <cell r="N168">
            <v>12.142718582351</v>
          </cell>
          <cell r="O168">
            <v>-41502</v>
          </cell>
          <cell r="P168">
            <v>5.8849388976058696</v>
          </cell>
          <cell r="Q168">
            <v>-654107</v>
          </cell>
          <cell r="R168">
            <v>27.286102672129001</v>
          </cell>
          <cell r="S168">
            <v>-746147</v>
          </cell>
          <cell r="T168">
            <v>10.9216177480745</v>
          </cell>
          <cell r="U168">
            <v>427934</v>
          </cell>
          <cell r="V168">
            <v>44.750265335357099</v>
          </cell>
          <cell r="W168">
            <v>3661396</v>
          </cell>
          <cell r="X168">
            <v>9.8422716799732601</v>
          </cell>
          <cell r="Y168">
            <v>-42086</v>
          </cell>
          <cell r="Z168">
            <v>33.220872549019603</v>
          </cell>
          <cell r="AA168">
            <v>1885465</v>
          </cell>
          <cell r="AB168">
            <v>8.4918222848110805</v>
          </cell>
          <cell r="AC168">
            <v>-777108</v>
          </cell>
          <cell r="AD168">
            <v>18.321838180798501</v>
          </cell>
          <cell r="AE168">
            <v>293844</v>
          </cell>
          <cell r="AF168">
            <v>33.819351332275303</v>
          </cell>
          <cell r="AG168">
            <v>265723</v>
          </cell>
          <cell r="AH168">
            <v>48.0448922946753</v>
          </cell>
          <cell r="AI168">
            <v>-72375</v>
          </cell>
          <cell r="AJ168">
            <v>43.585185772825902</v>
          </cell>
          <cell r="AK168">
            <v>-1078735</v>
          </cell>
          <cell r="AL168">
            <v>26.837387160901201</v>
          </cell>
          <cell r="AM168">
            <v>-631451</v>
          </cell>
          <cell r="AN168">
            <v>39.134311666557203</v>
          </cell>
          <cell r="AO168">
            <v>-1332414</v>
          </cell>
          <cell r="AP168">
            <v>45.394460460706902</v>
          </cell>
          <cell r="AQ168">
            <v>-542430</v>
          </cell>
          <cell r="AR168">
            <v>39.819262479785699</v>
          </cell>
          <cell r="AS168">
            <v>-695741</v>
          </cell>
          <cell r="AT168">
            <v>21.2710548023793</v>
          </cell>
          <cell r="AU168">
            <v>-251962</v>
          </cell>
          <cell r="AV168">
            <v>48.039975063011497</v>
          </cell>
          <cell r="AW168">
            <v>-642940</v>
          </cell>
          <cell r="AX168">
            <v>31.906720246944001</v>
          </cell>
          <cell r="AY168">
            <v>-62551</v>
          </cell>
          <cell r="AZ168">
            <v>6.8823781078693704</v>
          </cell>
          <cell r="BA168">
            <v>-151619</v>
          </cell>
          <cell r="BB168">
            <v>9.6916779824600301</v>
          </cell>
          <cell r="BC168">
            <v>-445090</v>
          </cell>
          <cell r="BD168">
            <v>9.7505931677018598</v>
          </cell>
          <cell r="BE168">
            <v>191013</v>
          </cell>
          <cell r="BF168">
            <v>25.048879221243499</v>
          </cell>
          <cell r="BG168">
            <v>-64469</v>
          </cell>
          <cell r="BH168">
            <v>21.243768860698498</v>
          </cell>
          <cell r="BI168">
            <v>99703</v>
          </cell>
        </row>
        <row r="169">
          <cell r="B169">
            <v>44.073533066886696</v>
          </cell>
          <cell r="C169">
            <v>1652904</v>
          </cell>
          <cell r="D169">
            <v>22.466458482551801</v>
          </cell>
          <cell r="E169">
            <v>-319513</v>
          </cell>
          <cell r="F169">
            <v>23.124665402824501</v>
          </cell>
          <cell r="G169">
            <v>-3749255</v>
          </cell>
          <cell r="H169">
            <v>31.138487215625201</v>
          </cell>
          <cell r="I169">
            <v>3164210</v>
          </cell>
          <cell r="J169">
            <v>74.182041075344202</v>
          </cell>
          <cell r="K169">
            <v>-1837258</v>
          </cell>
          <cell r="L169">
            <v>54.241702427620098</v>
          </cell>
          <cell r="M169">
            <v>-51708</v>
          </cell>
          <cell r="N169">
            <v>12.1103493946637</v>
          </cell>
          <cell r="O169">
            <v>190916</v>
          </cell>
          <cell r="P169">
            <v>5.9061194348407602</v>
          </cell>
          <cell r="Q169">
            <v>91796</v>
          </cell>
          <cell r="R169">
            <v>27.210567526988001</v>
          </cell>
          <cell r="S169">
            <v>-1185996</v>
          </cell>
          <cell r="T169">
            <v>10.818513312721899</v>
          </cell>
          <cell r="U169">
            <v>-463714</v>
          </cell>
          <cell r="V169">
            <v>44.742265274338699</v>
          </cell>
          <cell r="W169">
            <v>-282621</v>
          </cell>
          <cell r="X169">
            <v>9.7924648986937708</v>
          </cell>
          <cell r="Y169">
            <v>-187653</v>
          </cell>
          <cell r="Z169">
            <v>33.545043137254901</v>
          </cell>
          <cell r="AA169">
            <v>1839208</v>
          </cell>
          <cell r="AB169">
            <v>8.4872927223227705</v>
          </cell>
          <cell r="AC169">
            <v>-12645</v>
          </cell>
          <cell r="AD169">
            <v>18.3521137772359</v>
          </cell>
          <cell r="AE169">
            <v>137906</v>
          </cell>
          <cell r="AF169">
            <v>33.941310234724</v>
          </cell>
          <cell r="AG169">
            <v>344763</v>
          </cell>
          <cell r="AH169">
            <v>47.9706968930142</v>
          </cell>
          <cell r="AI169">
            <v>-1132065</v>
          </cell>
          <cell r="AJ169">
            <v>43.611277431062902</v>
          </cell>
          <cell r="AK169">
            <v>309694</v>
          </cell>
          <cell r="AL169">
            <v>26.9385703673784</v>
          </cell>
          <cell r="AM169">
            <v>696144</v>
          </cell>
          <cell r="AN169">
            <v>39.105122421575203</v>
          </cell>
          <cell r="AO169">
            <v>-236370</v>
          </cell>
          <cell r="AP169">
            <v>45.395279413571402</v>
          </cell>
          <cell r="AQ169">
            <v>11375</v>
          </cell>
          <cell r="AR169">
            <v>39.906137164974403</v>
          </cell>
          <cell r="AS169">
            <v>910789</v>
          </cell>
          <cell r="AT169">
            <v>21.294781384559499</v>
          </cell>
          <cell r="AU169">
            <v>208685</v>
          </cell>
          <cell r="AV169">
            <v>47.979033032616698</v>
          </cell>
          <cell r="AW169">
            <v>-460402</v>
          </cell>
          <cell r="AX169">
            <v>31.885590040186699</v>
          </cell>
          <cell r="AY169">
            <v>-16604</v>
          </cell>
          <cell r="AZ169">
            <v>6.9024443696979301</v>
          </cell>
          <cell r="BA169">
            <v>156015</v>
          </cell>
          <cell r="BB169">
            <v>9.7016597083514409</v>
          </cell>
          <cell r="BC169">
            <v>31096</v>
          </cell>
          <cell r="BD169">
            <v>9.8146614906832195</v>
          </cell>
          <cell r="BE169">
            <v>156979</v>
          </cell>
          <cell r="BF169">
            <v>24.817595369954098</v>
          </cell>
          <cell r="BG169">
            <v>-229695</v>
          </cell>
          <cell r="BH169">
            <v>21.252478901564899</v>
          </cell>
          <cell r="BI169">
            <v>20373</v>
          </cell>
        </row>
        <row r="170">
          <cell r="B170">
            <v>44.042942976722202</v>
          </cell>
          <cell r="C170">
            <v>-2568128</v>
          </cell>
          <cell r="D170">
            <v>22.3478778272864</v>
          </cell>
          <cell r="E170">
            <v>-1430737</v>
          </cell>
          <cell r="F170">
            <v>22.896401324115399</v>
          </cell>
          <cell r="G170">
            <v>-3698408</v>
          </cell>
          <cell r="H170">
            <v>31.221114109861499</v>
          </cell>
          <cell r="I170">
            <v>881787</v>
          </cell>
          <cell r="J170">
            <v>73.769913230879595</v>
          </cell>
          <cell r="K170">
            <v>-8407084</v>
          </cell>
          <cell r="L170">
            <v>54.212988364372002</v>
          </cell>
          <cell r="M170">
            <v>-540546</v>
          </cell>
          <cell r="N170">
            <v>12.024803110757601</v>
          </cell>
          <cell r="O170">
            <v>-384051</v>
          </cell>
          <cell r="P170">
            <v>5.9266614006645701</v>
          </cell>
          <cell r="Q170">
            <v>-77524</v>
          </cell>
          <cell r="R170">
            <v>27.116690952111899</v>
          </cell>
          <cell r="S170">
            <v>-1445515</v>
          </cell>
          <cell r="T170">
            <v>10.467173163137399</v>
          </cell>
          <cell r="U170">
            <v>-1792603</v>
          </cell>
          <cell r="V170">
            <v>44.693092712907799</v>
          </cell>
          <cell r="W170">
            <v>-1964568</v>
          </cell>
          <cell r="X170">
            <v>9.6650766356805402</v>
          </cell>
          <cell r="Y170">
            <v>-447266</v>
          </cell>
          <cell r="Z170">
            <v>33.608396078431298</v>
          </cell>
          <cell r="AA170">
            <v>465607</v>
          </cell>
          <cell r="AB170">
            <v>8.4741292023797499</v>
          </cell>
          <cell r="AC170">
            <v>-45456</v>
          </cell>
          <cell r="AD170">
            <v>18.315260679480101</v>
          </cell>
          <cell r="AE170">
            <v>-74166</v>
          </cell>
          <cell r="AF170">
            <v>34.124872521578503</v>
          </cell>
          <cell r="AG170">
            <v>406744</v>
          </cell>
          <cell r="AH170">
            <v>47.844237591258697</v>
          </cell>
          <cell r="AI170">
            <v>-1935128</v>
          </cell>
          <cell r="AJ170">
            <v>43.561152346841702</v>
          </cell>
          <cell r="AK170">
            <v>-561599</v>
          </cell>
          <cell r="AL170">
            <v>26.823113934478101</v>
          </cell>
          <cell r="AM170">
            <v>-905768</v>
          </cell>
          <cell r="AN170">
            <v>39.097118360733703</v>
          </cell>
          <cell r="AO170">
            <v>-84477</v>
          </cell>
          <cell r="AP170">
            <v>45.373358656800697</v>
          </cell>
          <cell r="AQ170">
            <v>-152206</v>
          </cell>
          <cell r="AR170">
            <v>39.8280215264706</v>
          </cell>
          <cell r="AS170">
            <v>-803872</v>
          </cell>
          <cell r="AT170">
            <v>21.299539784874799</v>
          </cell>
          <cell r="AU170">
            <v>45872</v>
          </cell>
          <cell r="AV170">
            <v>47.904878238114101</v>
          </cell>
          <cell r="AW170">
            <v>-553914</v>
          </cell>
          <cell r="AX170">
            <v>31.577697151658899</v>
          </cell>
          <cell r="AY170">
            <v>-257927</v>
          </cell>
          <cell r="AZ170">
            <v>6.8614228284100598</v>
          </cell>
          <cell r="BA170">
            <v>-434971</v>
          </cell>
          <cell r="BB170">
            <v>10.0350874013949</v>
          </cell>
          <cell r="BC170">
            <v>1743950</v>
          </cell>
          <cell r="BD170">
            <v>9.7935434782608599</v>
          </cell>
          <cell r="BE170">
            <v>-50815</v>
          </cell>
          <cell r="BF170">
            <v>24.885162859839699</v>
          </cell>
          <cell r="BG170">
            <v>66779</v>
          </cell>
          <cell r="BH170">
            <v>21.259034846303098</v>
          </cell>
          <cell r="BI170">
            <v>13921</v>
          </cell>
        </row>
        <row r="171">
          <cell r="B171">
            <v>44.000326355847697</v>
          </cell>
          <cell r="C171">
            <v>-3776025</v>
          </cell>
          <cell r="D171">
            <v>22.200374371095499</v>
          </cell>
          <cell r="E171">
            <v>-1525520</v>
          </cell>
          <cell r="F171">
            <v>22.706088734946199</v>
          </cell>
          <cell r="G171">
            <v>-3056500</v>
          </cell>
          <cell r="H171">
            <v>31.213875746648299</v>
          </cell>
          <cell r="I171">
            <v>-77595</v>
          </cell>
          <cell r="J171">
            <v>73.402671347765803</v>
          </cell>
          <cell r="K171">
            <v>-7534137</v>
          </cell>
          <cell r="L171">
            <v>54.202299559691298</v>
          </cell>
          <cell r="M171">
            <v>-206407</v>
          </cell>
          <cell r="N171">
            <v>11.916309326085999</v>
          </cell>
          <cell r="O171">
            <v>-452511</v>
          </cell>
          <cell r="P171">
            <v>5.8313364620995198</v>
          </cell>
          <cell r="Q171">
            <v>-505766</v>
          </cell>
          <cell r="R171">
            <v>26.948765539185999</v>
          </cell>
          <cell r="S171">
            <v>-2535816</v>
          </cell>
          <cell r="T171">
            <v>10.478766616252001</v>
          </cell>
          <cell r="U171">
            <v>-332703</v>
          </cell>
          <cell r="V171">
            <v>44.696198686418597</v>
          </cell>
          <cell r="W171">
            <v>119552</v>
          </cell>
          <cell r="X171">
            <v>9.6175277931967091</v>
          </cell>
          <cell r="Y171">
            <v>82583</v>
          </cell>
          <cell r="Z171">
            <v>33.5170078431372</v>
          </cell>
          <cell r="AA171">
            <v>-507016</v>
          </cell>
          <cell r="AB171">
            <v>8.3569163522221608</v>
          </cell>
          <cell r="AC171">
            <v>-362549</v>
          </cell>
          <cell r="AD171">
            <v>18.1042686681939</v>
          </cell>
          <cell r="AE171">
            <v>-426608</v>
          </cell>
          <cell r="AF171">
            <v>34.250538388507799</v>
          </cell>
          <cell r="AG171">
            <v>278382</v>
          </cell>
          <cell r="AH171">
            <v>47.6539088107452</v>
          </cell>
          <cell r="AI171">
            <v>-2944383</v>
          </cell>
          <cell r="AJ171">
            <v>43.292770559747701</v>
          </cell>
          <cell r="AK171">
            <v>-3016139</v>
          </cell>
          <cell r="AL171">
            <v>26.860902962661399</v>
          </cell>
          <cell r="AM171">
            <v>302725</v>
          </cell>
          <cell r="AN171">
            <v>39.053585397478301</v>
          </cell>
          <cell r="AO171">
            <v>-374303</v>
          </cell>
          <cell r="AP171">
            <v>45.344542530087502</v>
          </cell>
          <cell r="AQ171">
            <v>-511643</v>
          </cell>
          <cell r="AR171">
            <v>39.848307308926003</v>
          </cell>
          <cell r="AS171">
            <v>217058</v>
          </cell>
          <cell r="AT171">
            <v>21.2981005581514</v>
          </cell>
          <cell r="AU171">
            <v>-10292</v>
          </cell>
          <cell r="AV171">
            <v>48.264074679315598</v>
          </cell>
          <cell r="AW171">
            <v>2542112</v>
          </cell>
          <cell r="AX171">
            <v>32.089128416014702</v>
          </cell>
          <cell r="AY171">
            <v>423160</v>
          </cell>
          <cell r="AZ171">
            <v>6.8573455439063196</v>
          </cell>
          <cell r="BA171">
            <v>-68429</v>
          </cell>
          <cell r="BB171">
            <v>10.003531117278399</v>
          </cell>
          <cell r="BC171">
            <v>-186730</v>
          </cell>
          <cell r="BD171">
            <v>9.8842018633540292</v>
          </cell>
          <cell r="BE171">
            <v>224732</v>
          </cell>
          <cell r="BF171">
            <v>24.941693291653099</v>
          </cell>
          <cell r="BG171">
            <v>54884</v>
          </cell>
          <cell r="BH171">
            <v>21.275591208332401</v>
          </cell>
          <cell r="BI171">
            <v>34879</v>
          </cell>
        </row>
        <row r="172">
          <cell r="B172">
            <v>44.001785289773501</v>
          </cell>
          <cell r="C172">
            <v>204387</v>
          </cell>
          <cell r="D172">
            <v>22.203189845736102</v>
          </cell>
          <cell r="E172">
            <v>216199</v>
          </cell>
          <cell r="F172">
            <v>22.928265614853998</v>
          </cell>
          <cell r="G172">
            <v>-1189833</v>
          </cell>
          <cell r="H172">
            <v>31.247694832842701</v>
          </cell>
          <cell r="I172">
            <v>353951</v>
          </cell>
          <cell r="J172">
            <v>73.054215113639799</v>
          </cell>
          <cell r="K172">
            <v>-7015123</v>
          </cell>
          <cell r="L172">
            <v>54.232795805514002</v>
          </cell>
          <cell r="M172">
            <v>492383</v>
          </cell>
          <cell r="N172">
            <v>11.863289332793499</v>
          </cell>
          <cell r="O172">
            <v>-301867</v>
          </cell>
          <cell r="P172">
            <v>5.7786054887541596</v>
          </cell>
          <cell r="Q172">
            <v>-248807</v>
          </cell>
          <cell r="R172">
            <v>26.912449253619101</v>
          </cell>
          <cell r="S172">
            <v>-540080</v>
          </cell>
          <cell r="T172">
            <v>10.409365733774701</v>
          </cell>
          <cell r="U172">
            <v>-294146</v>
          </cell>
          <cell r="V172">
            <v>44.712830784601799</v>
          </cell>
          <cell r="W172">
            <v>744926</v>
          </cell>
          <cell r="X172">
            <v>9.5462135393702603</v>
          </cell>
          <cell r="Y172">
            <v>-134956</v>
          </cell>
          <cell r="Z172">
            <v>33.590694117646997</v>
          </cell>
          <cell r="AA172">
            <v>382886</v>
          </cell>
          <cell r="AB172">
            <v>8.3405807491009796</v>
          </cell>
          <cell r="AC172">
            <v>-31898</v>
          </cell>
          <cell r="AD172">
            <v>17.971885607359699</v>
          </cell>
          <cell r="AE172">
            <v>-182941</v>
          </cell>
          <cell r="AF172">
            <v>34.342804940502099</v>
          </cell>
          <cell r="AG172">
            <v>70684</v>
          </cell>
          <cell r="AH172">
            <v>47.224171093743898</v>
          </cell>
          <cell r="AI172">
            <v>-5905724</v>
          </cell>
          <cell r="AJ172">
            <v>43.253382648041899</v>
          </cell>
          <cell r="AK172">
            <v>-432527</v>
          </cell>
          <cell r="AL172">
            <v>26.911152322133901</v>
          </cell>
          <cell r="AM172">
            <v>411325</v>
          </cell>
          <cell r="AN172">
            <v>39.010133545500203</v>
          </cell>
          <cell r="AO172">
            <v>272960</v>
          </cell>
          <cell r="AP172">
            <v>45.2995702931225</v>
          </cell>
          <cell r="AQ172">
            <v>2128</v>
          </cell>
          <cell r="AR172">
            <v>39.827427692797102</v>
          </cell>
          <cell r="AS172">
            <v>-204503</v>
          </cell>
          <cell r="AT172">
            <v>21.260088445646801</v>
          </cell>
          <cell r="AU172">
            <v>-332905</v>
          </cell>
          <cell r="AV172">
            <v>48.326919979394802</v>
          </cell>
          <cell r="AW172">
            <v>448295</v>
          </cell>
          <cell r="AX172">
            <v>32.165098377782002</v>
          </cell>
          <cell r="AY172">
            <v>60344</v>
          </cell>
          <cell r="AZ172">
            <v>6.8983718494901698</v>
          </cell>
          <cell r="BA172">
            <v>430628</v>
          </cell>
          <cell r="BB172">
            <v>10.1092072153027</v>
          </cell>
          <cell r="BC172">
            <v>452792</v>
          </cell>
          <cell r="BD172">
            <v>9.9357111801242208</v>
          </cell>
          <cell r="BE172">
            <v>129125</v>
          </cell>
          <cell r="BF172">
            <v>24.944073157299901</v>
          </cell>
          <cell r="BG172">
            <v>22419</v>
          </cell>
          <cell r="BH172">
            <v>21.274311238169201</v>
          </cell>
          <cell r="BI172">
            <v>103</v>
          </cell>
        </row>
        <row r="173">
          <cell r="B173">
            <v>43.984857854451803</v>
          </cell>
          <cell r="C173">
            <v>-1199905</v>
          </cell>
          <cell r="D173">
            <v>22.128301266404399</v>
          </cell>
          <cell r="E173">
            <v>-932918</v>
          </cell>
          <cell r="F173">
            <v>23.0275363857209</v>
          </cell>
          <cell r="G173">
            <v>-4794671</v>
          </cell>
          <cell r="H173">
            <v>31.313379485584299</v>
          </cell>
          <cell r="I173">
            <v>654234</v>
          </cell>
          <cell r="J173">
            <v>72.674472157183502</v>
          </cell>
          <cell r="K173">
            <v>-7226102</v>
          </cell>
          <cell r="L173">
            <v>54.232110797228003</v>
          </cell>
          <cell r="M173">
            <v>127711</v>
          </cell>
          <cell r="N173">
            <v>11.8516038675149</v>
          </cell>
          <cell r="O173">
            <v>273651</v>
          </cell>
          <cell r="P173">
            <v>5.7722147662401602</v>
          </cell>
          <cell r="Q173">
            <v>-12905</v>
          </cell>
          <cell r="R173">
            <v>26.923951305741699</v>
          </cell>
          <cell r="S173">
            <v>203083</v>
          </cell>
          <cell r="T173">
            <v>10.2693837728029</v>
          </cell>
          <cell r="U173">
            <v>-604549</v>
          </cell>
          <cell r="V173">
            <v>44.6765718700535</v>
          </cell>
          <cell r="W173">
            <v>-1380465</v>
          </cell>
          <cell r="X173">
            <v>9.5633737935474503</v>
          </cell>
          <cell r="Y173">
            <v>-127777</v>
          </cell>
          <cell r="Z173">
            <v>33.551972549019602</v>
          </cell>
          <cell r="AA173">
            <v>-1108641</v>
          </cell>
          <cell r="AB173">
            <v>8.3618947026502699</v>
          </cell>
          <cell r="AC173">
            <v>65996</v>
          </cell>
          <cell r="AD173">
            <v>18.026961334097699</v>
          </cell>
          <cell r="AE173">
            <v>109779</v>
          </cell>
          <cell r="AF173">
            <v>34.302048938181898</v>
          </cell>
          <cell r="AG173">
            <v>86722</v>
          </cell>
          <cell r="AH173">
            <v>46.883000581165703</v>
          </cell>
          <cell r="AI173">
            <v>-3402735</v>
          </cell>
          <cell r="AJ173">
            <v>43.254614662729502</v>
          </cell>
          <cell r="AK173">
            <v>25989</v>
          </cell>
          <cell r="AL173">
            <v>26.709457105691602</v>
          </cell>
          <cell r="AM173">
            <v>-1515391</v>
          </cell>
          <cell r="AN173">
            <v>38.936091927152397</v>
          </cell>
          <cell r="AO173">
            <v>-616794</v>
          </cell>
          <cell r="AP173">
            <v>45.2416484750173</v>
          </cell>
          <cell r="AQ173">
            <v>-360695</v>
          </cell>
          <cell r="AR173">
            <v>39.811091964688103</v>
          </cell>
          <cell r="AS173">
            <v>-156691</v>
          </cell>
          <cell r="AT173">
            <v>21.236379079097301</v>
          </cell>
          <cell r="AU173">
            <v>-204109</v>
          </cell>
          <cell r="AV173">
            <v>48.2648081445979</v>
          </cell>
          <cell r="AW173">
            <v>-556822</v>
          </cell>
          <cell r="AX173">
            <v>32.062086690493302</v>
          </cell>
          <cell r="AY173">
            <v>-78875</v>
          </cell>
          <cell r="AZ173">
            <v>6.9362899283735704</v>
          </cell>
          <cell r="BA173">
            <v>456481</v>
          </cell>
          <cell r="BB173">
            <v>10.052432062078701</v>
          </cell>
          <cell r="BC173">
            <v>-265110</v>
          </cell>
          <cell r="BD173">
            <v>9.9245155279503106</v>
          </cell>
          <cell r="BE173">
            <v>-25379</v>
          </cell>
          <cell r="BF173">
            <v>24.960789701505</v>
          </cell>
          <cell r="BG173">
            <v>16007</v>
          </cell>
          <cell r="BH173">
            <v>21.2204484287013</v>
          </cell>
          <cell r="BI173">
            <v>-109150</v>
          </cell>
        </row>
        <row r="174">
          <cell r="B174">
            <v>43.963512205081997</v>
          </cell>
          <cell r="C174">
            <v>-1748050</v>
          </cell>
          <cell r="D174">
            <v>22.040079434678798</v>
          </cell>
          <cell r="E174">
            <v>-262228</v>
          </cell>
          <cell r="F174">
            <v>23.091052036223601</v>
          </cell>
          <cell r="G174">
            <v>-4771550</v>
          </cell>
          <cell r="H174">
            <v>31.352251452353801</v>
          </cell>
          <cell r="I174">
            <v>394699</v>
          </cell>
          <cell r="J174">
            <v>72.632371148748703</v>
          </cell>
          <cell r="K174">
            <v>-816405</v>
          </cell>
          <cell r="L174">
            <v>54.211471956935597</v>
          </cell>
          <cell r="M174">
            <v>-394442</v>
          </cell>
          <cell r="N174">
            <v>11.8267950711276</v>
          </cell>
          <cell r="O174">
            <v>-102228</v>
          </cell>
          <cell r="P174">
            <v>5.7527245650934198</v>
          </cell>
          <cell r="Q174">
            <v>116863</v>
          </cell>
          <cell r="R174">
            <v>26.888063902545401</v>
          </cell>
          <cell r="S174">
            <v>-206941</v>
          </cell>
          <cell r="T174">
            <v>10.4009160141209</v>
          </cell>
          <cell r="U174">
            <v>782725</v>
          </cell>
          <cell r="V174">
            <v>44.694084835170301</v>
          </cell>
          <cell r="W174">
            <v>854241</v>
          </cell>
          <cell r="X174">
            <v>9.48645087741642</v>
          </cell>
          <cell r="Y174">
            <v>-516394</v>
          </cell>
          <cell r="Z174">
            <v>33.574839215686197</v>
          </cell>
          <cell r="AA174">
            <v>120072</v>
          </cell>
          <cell r="AB174">
            <v>8.4210707966309606</v>
          </cell>
          <cell r="AC174">
            <v>178431</v>
          </cell>
          <cell r="AD174">
            <v>17.9983691614805</v>
          </cell>
          <cell r="AE174">
            <v>-63509</v>
          </cell>
          <cell r="AF174">
            <v>34.358218952166098</v>
          </cell>
          <cell r="AG174">
            <v>147116</v>
          </cell>
          <cell r="AH174">
            <v>46.52183714081</v>
          </cell>
          <cell r="AI174">
            <v>-3792912</v>
          </cell>
          <cell r="AJ174">
            <v>43.269157554205897</v>
          </cell>
          <cell r="AK174">
            <v>168458</v>
          </cell>
          <cell r="AL174">
            <v>26.643219978210698</v>
          </cell>
          <cell r="AM174">
            <v>-501828</v>
          </cell>
          <cell r="AN174">
            <v>39.027323728863998</v>
          </cell>
          <cell r="AO174">
            <v>770304</v>
          </cell>
          <cell r="AP174">
            <v>45.256709391253999</v>
          </cell>
          <cell r="AQ174">
            <v>107658</v>
          </cell>
          <cell r="AR174">
            <v>39.811007131306098</v>
          </cell>
          <cell r="AS174">
            <v>-10521</v>
          </cell>
          <cell r="AT174">
            <v>21.198563224782301</v>
          </cell>
          <cell r="AU174">
            <v>-329336</v>
          </cell>
          <cell r="AV174">
            <v>48.488475577392997</v>
          </cell>
          <cell r="AW174">
            <v>1607952</v>
          </cell>
          <cell r="AX174">
            <v>31.9633195662859</v>
          </cell>
          <cell r="AY174">
            <v>-77033</v>
          </cell>
          <cell r="AZ174">
            <v>6.9801157342780602</v>
          </cell>
          <cell r="BA174">
            <v>496141</v>
          </cell>
          <cell r="BB174">
            <v>10.1434702771431</v>
          </cell>
          <cell r="BC174">
            <v>309401</v>
          </cell>
          <cell r="BD174">
            <v>9.9465496894409906</v>
          </cell>
          <cell r="BE174">
            <v>55454</v>
          </cell>
          <cell r="BF174">
            <v>24.929575521644701</v>
          </cell>
          <cell r="BG174">
            <v>-30427</v>
          </cell>
          <cell r="BH174">
            <v>21.184099357319599</v>
          </cell>
          <cell r="BI174">
            <v>-76269</v>
          </cell>
        </row>
        <row r="175">
          <cell r="B175">
            <v>43.855677368052199</v>
          </cell>
          <cell r="C175">
            <v>-8638246</v>
          </cell>
          <cell r="D175">
            <v>21.902097243578499</v>
          </cell>
          <cell r="E175">
            <v>-897239</v>
          </cell>
          <cell r="F175">
            <v>23.410397339291901</v>
          </cell>
          <cell r="G175">
            <v>-2498172</v>
          </cell>
          <cell r="H175">
            <v>31.298231463851302</v>
          </cell>
          <cell r="I175">
            <v>-406565</v>
          </cell>
          <cell r="J175">
            <v>72.397956477179093</v>
          </cell>
          <cell r="K175">
            <v>-4653468</v>
          </cell>
          <cell r="L175">
            <v>54.115414057713203</v>
          </cell>
          <cell r="M175">
            <v>-1943074</v>
          </cell>
          <cell r="N175">
            <v>11.837799757059001</v>
          </cell>
          <cell r="O175">
            <v>158268</v>
          </cell>
          <cell r="P175">
            <v>5.8027860595203098</v>
          </cell>
          <cell r="Q175">
            <v>61480</v>
          </cell>
          <cell r="R175">
            <v>26.867978745335499</v>
          </cell>
          <cell r="S175">
            <v>-346209</v>
          </cell>
          <cell r="T175">
            <v>10.4700222795837</v>
          </cell>
          <cell r="U175">
            <v>177111</v>
          </cell>
          <cell r="V175">
            <v>44.640825647587697</v>
          </cell>
          <cell r="W175">
            <v>-1290857</v>
          </cell>
          <cell r="X175">
            <v>9.4430150539559605</v>
          </cell>
          <cell r="Y175">
            <v>-331187</v>
          </cell>
          <cell r="Z175">
            <v>33.3970450980392</v>
          </cell>
          <cell r="AA175">
            <v>163856</v>
          </cell>
          <cell r="AB175">
            <v>8.4925434022747108</v>
          </cell>
          <cell r="AC175">
            <v>211420</v>
          </cell>
          <cell r="AD175">
            <v>17.997345223280501</v>
          </cell>
          <cell r="AE175">
            <v>-1948</v>
          </cell>
          <cell r="AF175">
            <v>34.455678459961597</v>
          </cell>
          <cell r="AG175">
            <v>56320</v>
          </cell>
          <cell r="AH175">
            <v>46.357810890057699</v>
          </cell>
          <cell r="AI175">
            <v>-2675527</v>
          </cell>
          <cell r="AJ175">
            <v>43.255345828716301</v>
          </cell>
          <cell r="AK175">
            <v>-162787</v>
          </cell>
          <cell r="AL175">
            <v>26.412841411415901</v>
          </cell>
          <cell r="AM175">
            <v>-1682132</v>
          </cell>
          <cell r="AN175">
            <v>39.0495741744461</v>
          </cell>
          <cell r="AO175">
            <v>175985</v>
          </cell>
          <cell r="AP175">
            <v>45.2412851868161</v>
          </cell>
          <cell r="AQ175">
            <v>-110619</v>
          </cell>
          <cell r="AR175">
            <v>39.686376289069699</v>
          </cell>
          <cell r="AS175">
            <v>-1300194</v>
          </cell>
          <cell r="AT175">
            <v>21.162165938434001</v>
          </cell>
          <cell r="AU175">
            <v>-316734</v>
          </cell>
          <cell r="AV175">
            <v>48.4719320913376</v>
          </cell>
          <cell r="AW175">
            <v>-117940</v>
          </cell>
          <cell r="AX175">
            <v>32.076695704880301</v>
          </cell>
          <cell r="AY175">
            <v>84608</v>
          </cell>
          <cell r="AZ175">
            <v>6.9989414339520497</v>
          </cell>
          <cell r="BA175">
            <v>206760</v>
          </cell>
          <cell r="BB175">
            <v>10.1783498398619</v>
          </cell>
          <cell r="BC175">
            <v>59060</v>
          </cell>
          <cell r="BD175">
            <v>9.9276490683229799</v>
          </cell>
          <cell r="BE175">
            <v>-48578</v>
          </cell>
          <cell r="BF175">
            <v>24.791267387677799</v>
          </cell>
          <cell r="BG175">
            <v>-132995</v>
          </cell>
          <cell r="BH175">
            <v>21.1996046869385</v>
          </cell>
          <cell r="BI175">
            <v>32648</v>
          </cell>
        </row>
        <row r="176">
          <cell r="B176">
            <v>43.793802004689198</v>
          </cell>
          <cell r="C176">
            <v>-4543855</v>
          </cell>
          <cell r="D176">
            <v>22.211768992960199</v>
          </cell>
          <cell r="E176">
            <v>2871902</v>
          </cell>
          <cell r="F176">
            <v>23.214700638338002</v>
          </cell>
          <cell r="G176">
            <v>-2808900</v>
          </cell>
          <cell r="H176">
            <v>31.190791795888199</v>
          </cell>
          <cell r="I176">
            <v>-1021316</v>
          </cell>
          <cell r="J176">
            <v>72.111089976227802</v>
          </cell>
          <cell r="K176">
            <v>-5631151</v>
          </cell>
          <cell r="L176">
            <v>54.082232549121699</v>
          </cell>
          <cell r="M176">
            <v>-591193</v>
          </cell>
          <cell r="N176">
            <v>11.7087090306427</v>
          </cell>
          <cell r="O176">
            <v>-217108</v>
          </cell>
          <cell r="P176">
            <v>5.7663674554759803</v>
          </cell>
          <cell r="Q176">
            <v>-100849</v>
          </cell>
          <cell r="R176">
            <v>26.8153981305495</v>
          </cell>
          <cell r="S176">
            <v>-291304</v>
          </cell>
          <cell r="T176">
            <v>10.405387972089001</v>
          </cell>
          <cell r="U176">
            <v>-231160</v>
          </cell>
          <cell r="V176">
            <v>44.654194638445098</v>
          </cell>
          <cell r="W176">
            <v>666726</v>
          </cell>
          <cell r="X176">
            <v>9.4515122899711308</v>
          </cell>
          <cell r="Y176">
            <v>67585</v>
          </cell>
          <cell r="Z176">
            <v>33.243729411764697</v>
          </cell>
          <cell r="AA176">
            <v>524</v>
          </cell>
          <cell r="AB176">
            <v>8.4144570796234905</v>
          </cell>
          <cell r="AC176">
            <v>-208962</v>
          </cell>
          <cell r="AD176">
            <v>17.951788650825101</v>
          </cell>
          <cell r="AE176">
            <v>-89049</v>
          </cell>
          <cell r="AF176">
            <v>34.520659097368799</v>
          </cell>
          <cell r="AG176">
            <v>50694</v>
          </cell>
          <cell r="AH176">
            <v>46.198989475921302</v>
          </cell>
          <cell r="AI176">
            <v>-2154022</v>
          </cell>
          <cell r="AJ176">
            <v>43.083182195230798</v>
          </cell>
          <cell r="AK176">
            <v>-2029175</v>
          </cell>
          <cell r="AL176">
            <v>26.189787525766299</v>
          </cell>
          <cell r="AM176">
            <v>-1560215</v>
          </cell>
          <cell r="AN176">
            <v>39.060226788861598</v>
          </cell>
          <cell r="AO176">
            <v>111473</v>
          </cell>
          <cell r="AP176">
            <v>45.228143746870302</v>
          </cell>
          <cell r="AQ176">
            <v>-80660</v>
          </cell>
          <cell r="AR176">
            <v>39.530553272712801</v>
          </cell>
          <cell r="AS176">
            <v>-1554173</v>
          </cell>
          <cell r="AT176">
            <v>21.167206675092199</v>
          </cell>
          <cell r="AU176">
            <v>52625</v>
          </cell>
          <cell r="AV176">
            <v>48.384092870916902</v>
          </cell>
          <cell r="AW176">
            <v>-639125</v>
          </cell>
          <cell r="AX176">
            <v>32.126249049507202</v>
          </cell>
          <cell r="AY176">
            <v>39834</v>
          </cell>
          <cell r="AZ176">
            <v>6.97354537684856</v>
          </cell>
          <cell r="BA176">
            <v>-233370</v>
          </cell>
          <cell r="BB176">
            <v>10.141508413209699</v>
          </cell>
          <cell r="BC176">
            <v>-165245</v>
          </cell>
          <cell r="BD176">
            <v>9.7941552795030997</v>
          </cell>
          <cell r="BE176">
            <v>-304350</v>
          </cell>
          <cell r="BF176">
            <v>24.723676903921199</v>
          </cell>
          <cell r="BG176">
            <v>-64872</v>
          </cell>
          <cell r="BH176">
            <v>21.272708673899899</v>
          </cell>
          <cell r="BI176">
            <v>162138</v>
          </cell>
        </row>
        <row r="177">
          <cell r="B177">
            <v>43.8000301386285</v>
          </cell>
          <cell r="C177">
            <v>491217</v>
          </cell>
          <cell r="D177">
            <v>22.324007215012699</v>
          </cell>
          <cell r="E177">
            <v>1037474</v>
          </cell>
          <cell r="F177">
            <v>23.259709268748399</v>
          </cell>
          <cell r="G177">
            <v>1368328</v>
          </cell>
          <cell r="H177">
            <v>31.146162675366099</v>
          </cell>
          <cell r="I177">
            <v>-439201</v>
          </cell>
          <cell r="J177">
            <v>71.734517549537699</v>
          </cell>
          <cell r="K177">
            <v>-7496667</v>
          </cell>
          <cell r="L177">
            <v>54.124486505332897</v>
          </cell>
          <cell r="M177">
            <v>829608</v>
          </cell>
          <cell r="N177">
            <v>11.773791536236899</v>
          </cell>
          <cell r="O177">
            <v>262752</v>
          </cell>
          <cell r="P177">
            <v>5.7583515061157398</v>
          </cell>
          <cell r="Q177">
            <v>-110132</v>
          </cell>
          <cell r="R177">
            <v>26.885838989971901</v>
          </cell>
          <cell r="S177">
            <v>1100070</v>
          </cell>
          <cell r="T177">
            <v>10.5669913084092</v>
          </cell>
          <cell r="U177">
            <v>227100</v>
          </cell>
          <cell r="V177">
            <v>44.657250145621099</v>
          </cell>
          <cell r="W177">
            <v>124067</v>
          </cell>
          <cell r="X177">
            <v>9.4355845900160595</v>
          </cell>
          <cell r="Y177">
            <v>-69430</v>
          </cell>
          <cell r="Z177">
            <v>33.513484313725399</v>
          </cell>
          <cell r="AA177">
            <v>874110</v>
          </cell>
          <cell r="AB177">
            <v>8.4269342180115299</v>
          </cell>
          <cell r="AC177">
            <v>37828</v>
          </cell>
          <cell r="AD177">
            <v>18.018214472186301</v>
          </cell>
          <cell r="AE177">
            <v>135153</v>
          </cell>
          <cell r="AF177">
            <v>34.5200523366601</v>
          </cell>
          <cell r="AG177">
            <v>-91304</v>
          </cell>
          <cell r="AH177">
            <v>46.094321270769299</v>
          </cell>
          <cell r="AI177">
            <v>-705208</v>
          </cell>
          <cell r="AJ177">
            <v>43.064314456942903</v>
          </cell>
          <cell r="AK177">
            <v>-215691</v>
          </cell>
          <cell r="AL177">
            <v>26.217677402222201</v>
          </cell>
          <cell r="AM177">
            <v>207768</v>
          </cell>
          <cell r="AN177">
            <v>39.038566833377999</v>
          </cell>
          <cell r="AO177">
            <v>-183076</v>
          </cell>
          <cell r="AP177">
            <v>45.220136306443699</v>
          </cell>
          <cell r="AQ177">
            <v>-56105</v>
          </cell>
          <cell r="AR177">
            <v>39.536878661753299</v>
          </cell>
          <cell r="AS177">
            <v>-21864</v>
          </cell>
          <cell r="AT177">
            <v>21.155038667339401</v>
          </cell>
          <cell r="AU177">
            <v>-103201</v>
          </cell>
          <cell r="AV177">
            <v>48.368428296517102</v>
          </cell>
          <cell r="AW177">
            <v>-114227</v>
          </cell>
          <cell r="AX177">
            <v>32.243985511994197</v>
          </cell>
          <cell r="AY177">
            <v>88106</v>
          </cell>
          <cell r="AZ177">
            <v>7.0228349180063798</v>
          </cell>
          <cell r="BA177">
            <v>261409</v>
          </cell>
          <cell r="BB177">
            <v>10.1317288187538</v>
          </cell>
          <cell r="BC177">
            <v>-108451</v>
          </cell>
          <cell r="BD177">
            <v>9.6365496894409901</v>
          </cell>
          <cell r="BE177">
            <v>-396489</v>
          </cell>
          <cell r="BF177">
            <v>24.716882215045501</v>
          </cell>
          <cell r="BG177">
            <v>-6106</v>
          </cell>
          <cell r="BH177">
            <v>21.607405262175799</v>
          </cell>
          <cell r="BI177">
            <v>709329</v>
          </cell>
        </row>
        <row r="178">
          <cell r="B178">
            <v>43.683194582199597</v>
          </cell>
          <cell r="C178">
            <v>-8724895</v>
          </cell>
          <cell r="D178">
            <v>22.435124904267798</v>
          </cell>
          <cell r="E178">
            <v>1025920</v>
          </cell>
          <cell r="F178">
            <v>23.029339385661199</v>
          </cell>
          <cell r="G178">
            <v>-3381242</v>
          </cell>
          <cell r="H178">
            <v>31.105465746751701</v>
          </cell>
          <cell r="I178">
            <v>-416102</v>
          </cell>
          <cell r="J178">
            <v>71.367508142211705</v>
          </cell>
          <cell r="K178">
            <v>-7256513</v>
          </cell>
          <cell r="L178">
            <v>54.119207095488399</v>
          </cell>
          <cell r="M178">
            <v>-134750</v>
          </cell>
          <cell r="N178">
            <v>11.794871756507201</v>
          </cell>
          <cell r="O178">
            <v>59438</v>
          </cell>
          <cell r="P178">
            <v>5.6306948205372596</v>
          </cell>
          <cell r="Q178">
            <v>-91516</v>
          </cell>
          <cell r="R178">
            <v>26.7634342331488</v>
          </cell>
          <cell r="S178">
            <v>-1847478</v>
          </cell>
          <cell r="T178">
            <v>10.518282735309</v>
          </cell>
          <cell r="U178">
            <v>-249477</v>
          </cell>
          <cell r="V178">
            <v>44.694737456635501</v>
          </cell>
          <cell r="W178">
            <v>1672847</v>
          </cell>
          <cell r="X178">
            <v>9.3927929743544301</v>
          </cell>
          <cell r="Y178">
            <v>-254589</v>
          </cell>
          <cell r="Z178">
            <v>33.420409803921501</v>
          </cell>
          <cell r="AA178">
            <v>-204668</v>
          </cell>
          <cell r="AB178">
            <v>8.4542685992485005</v>
          </cell>
          <cell r="AC178">
            <v>78591</v>
          </cell>
          <cell r="AD178">
            <v>18.146154682525701</v>
          </cell>
          <cell r="AE178">
            <v>260740</v>
          </cell>
          <cell r="AF178">
            <v>34.397799212509298</v>
          </cell>
          <cell r="AG178">
            <v>-306822</v>
          </cell>
          <cell r="AH178">
            <v>46.075574744945399</v>
          </cell>
          <cell r="AI178">
            <v>-264252</v>
          </cell>
          <cell r="AJ178">
            <v>43.0296396411876</v>
          </cell>
          <cell r="AK178">
            <v>97573</v>
          </cell>
          <cell r="AL178">
            <v>26.190899984143801</v>
          </cell>
          <cell r="AM178">
            <v>-153060</v>
          </cell>
          <cell r="AN178">
            <v>39.051601956378001</v>
          </cell>
          <cell r="AO178">
            <v>119055</v>
          </cell>
          <cell r="AP178">
            <v>45.189043632884797</v>
          </cell>
          <cell r="AQ178">
            <v>-212082</v>
          </cell>
          <cell r="AR178">
            <v>39.515087086768602</v>
          </cell>
          <cell r="AS178">
            <v>-106267</v>
          </cell>
          <cell r="AT178">
            <v>21.1214922894289</v>
          </cell>
          <cell r="AU178">
            <v>-285466</v>
          </cell>
          <cell r="AV178">
            <v>48.275868302381497</v>
          </cell>
          <cell r="AW178">
            <v>-672909</v>
          </cell>
          <cell r="AX178">
            <v>32.312809173010102</v>
          </cell>
          <cell r="AY178">
            <v>51846</v>
          </cell>
          <cell r="AZ178">
            <v>7.0701988408177696</v>
          </cell>
          <cell r="BA178">
            <v>930630</v>
          </cell>
          <cell r="BB178">
            <v>10.3220950157574</v>
          </cell>
          <cell r="BC178">
            <v>776940</v>
          </cell>
          <cell r="BD178">
            <v>9.4654099378881895</v>
          </cell>
          <cell r="BE178">
            <v>-428793</v>
          </cell>
          <cell r="BF178">
            <v>24.870550254829499</v>
          </cell>
          <cell r="BG178">
            <v>158398</v>
          </cell>
          <cell r="BH178">
            <v>21.917178854185199</v>
          </cell>
          <cell r="BI178">
            <v>663742</v>
          </cell>
        </row>
        <row r="179">
          <cell r="B179">
            <v>43.590431096101902</v>
          </cell>
          <cell r="C179">
            <v>-6704878</v>
          </cell>
          <cell r="D179">
            <v>22.700932690160499</v>
          </cell>
          <cell r="E179">
            <v>2578105</v>
          </cell>
          <cell r="F179">
            <v>23.3181684999401</v>
          </cell>
          <cell r="G179">
            <v>3888526</v>
          </cell>
          <cell r="H179">
            <v>31.068803297339901</v>
          </cell>
          <cell r="I179">
            <v>-361854</v>
          </cell>
          <cell r="J179">
            <v>70.865232905838297</v>
          </cell>
          <cell r="K179">
            <v>-9774102</v>
          </cell>
          <cell r="L179">
            <v>54.0547383256106</v>
          </cell>
          <cell r="M179">
            <v>-1197087</v>
          </cell>
          <cell r="N179">
            <v>11.8123281359446</v>
          </cell>
          <cell r="O179">
            <v>72537</v>
          </cell>
          <cell r="P179">
            <v>5.6224835434512901</v>
          </cell>
          <cell r="Q179">
            <v>-230115</v>
          </cell>
          <cell r="R179">
            <v>26.782322340094201</v>
          </cell>
          <cell r="S179">
            <v>326423</v>
          </cell>
          <cell r="T179">
            <v>10.137382966594901</v>
          </cell>
          <cell r="U179">
            <v>-1722477</v>
          </cell>
          <cell r="V179">
            <v>44.698127876760203</v>
          </cell>
          <cell r="W179">
            <v>267212</v>
          </cell>
          <cell r="X179">
            <v>9.5793465429989499</v>
          </cell>
          <cell r="Y179">
            <v>1119963</v>
          </cell>
          <cell r="Z179">
            <v>33.411843137254898</v>
          </cell>
          <cell r="AA179">
            <v>203115</v>
          </cell>
          <cell r="AB179">
            <v>8.7150796957762395</v>
          </cell>
          <cell r="AC179">
            <v>637365</v>
          </cell>
          <cell r="AD179">
            <v>18.204501805038099</v>
          </cell>
          <cell r="AE179">
            <v>112484</v>
          </cell>
          <cell r="AF179">
            <v>34.572317330309602</v>
          </cell>
          <cell r="AG179">
            <v>310533</v>
          </cell>
          <cell r="AH179">
            <v>46.004332774000098</v>
          </cell>
          <cell r="AI179">
            <v>-1127324</v>
          </cell>
          <cell r="AJ179">
            <v>42.990620968305002</v>
          </cell>
          <cell r="AK179">
            <v>-446827</v>
          </cell>
          <cell r="AL179">
            <v>26.426386289940599</v>
          </cell>
          <cell r="AM179">
            <v>1645877</v>
          </cell>
          <cell r="AN179">
            <v>39.192889149521598</v>
          </cell>
          <cell r="AO179">
            <v>1079939</v>
          </cell>
          <cell r="AP179">
            <v>45.172440740322003</v>
          </cell>
          <cell r="AQ179">
            <v>-116110</v>
          </cell>
          <cell r="AR179">
            <v>39.470570769597799</v>
          </cell>
          <cell r="AS179">
            <v>-429017</v>
          </cell>
          <cell r="AT179">
            <v>21.078198421436799</v>
          </cell>
          <cell r="AU179">
            <v>-368411</v>
          </cell>
          <cell r="AV179">
            <v>48.299393214353202</v>
          </cell>
          <cell r="AW179">
            <v>162693</v>
          </cell>
          <cell r="AX179">
            <v>33.194744490036101</v>
          </cell>
          <cell r="AY179">
            <v>628969</v>
          </cell>
          <cell r="AZ179">
            <v>7.08899386679599</v>
          </cell>
          <cell r="BA179">
            <v>484832</v>
          </cell>
          <cell r="BB179">
            <v>10.7270689139306</v>
          </cell>
          <cell r="BC179">
            <v>1274584</v>
          </cell>
          <cell r="BD179">
            <v>9.4302826086956504</v>
          </cell>
          <cell r="BE179">
            <v>-85732</v>
          </cell>
          <cell r="BF179">
            <v>24.912456584697299</v>
          </cell>
          <cell r="BG179">
            <v>44337</v>
          </cell>
          <cell r="BH179">
            <v>22.018348528382901</v>
          </cell>
          <cell r="BI179">
            <v>226926</v>
          </cell>
        </row>
        <row r="180">
          <cell r="B180">
            <v>43.466510646955498</v>
          </cell>
          <cell r="C180">
            <v>-9335253</v>
          </cell>
          <cell r="D180">
            <v>22.7062416222495</v>
          </cell>
          <cell r="E180">
            <v>502406</v>
          </cell>
          <cell r="F180">
            <v>23.263461831507499</v>
          </cell>
          <cell r="G180">
            <v>-440874</v>
          </cell>
          <cell r="H180">
            <v>31.060936677736599</v>
          </cell>
          <cell r="I180">
            <v>-94006</v>
          </cell>
          <cell r="J180">
            <v>70.315614659026494</v>
          </cell>
          <cell r="K180">
            <v>-10305205</v>
          </cell>
          <cell r="L180">
            <v>54.019203710073498</v>
          </cell>
          <cell r="M180">
            <v>-671376</v>
          </cell>
          <cell r="N180">
            <v>11.843434515348299</v>
          </cell>
          <cell r="O180">
            <v>111152</v>
          </cell>
          <cell r="P180">
            <v>5.6058431237390796</v>
          </cell>
          <cell r="Q180">
            <v>5591</v>
          </cell>
          <cell r="R180">
            <v>26.625717511564599</v>
          </cell>
          <cell r="S180">
            <v>-2436877</v>
          </cell>
          <cell r="T180">
            <v>9.8414671028784007</v>
          </cell>
          <cell r="U180">
            <v>-1203367</v>
          </cell>
          <cell r="V180">
            <v>44.567166591148698</v>
          </cell>
          <cell r="W180">
            <v>-5487064</v>
          </cell>
          <cell r="X180">
            <v>9.6134508137704895</v>
          </cell>
          <cell r="Y180">
            <v>335486</v>
          </cell>
          <cell r="Z180">
            <v>33.5005176470588</v>
          </cell>
          <cell r="AA180">
            <v>359286</v>
          </cell>
          <cell r="AB180">
            <v>8.9348051595495992</v>
          </cell>
          <cell r="AC180">
            <v>513161</v>
          </cell>
          <cell r="AD180">
            <v>18.2243644706287</v>
          </cell>
          <cell r="AE180">
            <v>31892</v>
          </cell>
          <cell r="AF180">
            <v>34.677359057300798</v>
          </cell>
          <cell r="AG180">
            <v>153941</v>
          </cell>
          <cell r="AH180">
            <v>45.920355826573797</v>
          </cell>
          <cell r="AI180">
            <v>-1428286</v>
          </cell>
          <cell r="AJ180">
            <v>43.054040478080097</v>
          </cell>
          <cell r="AK180">
            <v>786768</v>
          </cell>
          <cell r="AL180">
            <v>26.4498888006808</v>
          </cell>
          <cell r="AM180">
            <v>164424</v>
          </cell>
          <cell r="AN180">
            <v>39.2124164191547</v>
          </cell>
          <cell r="AO180">
            <v>151120</v>
          </cell>
          <cell r="AP180">
            <v>45.0748760965174</v>
          </cell>
          <cell r="AQ180">
            <v>-1035162</v>
          </cell>
          <cell r="AR180">
            <v>39.3368203388033</v>
          </cell>
          <cell r="AS180">
            <v>-1390704</v>
          </cell>
          <cell r="AT180">
            <v>21.004673906000001</v>
          </cell>
          <cell r="AU180">
            <v>-630175</v>
          </cell>
          <cell r="AV180">
            <v>48.358857925156698</v>
          </cell>
          <cell r="AW180">
            <v>387304</v>
          </cell>
          <cell r="AX180">
            <v>34.057617860133597</v>
          </cell>
          <cell r="AY180">
            <v>595744</v>
          </cell>
          <cell r="AZ180">
            <v>7.2797158355192204</v>
          </cell>
          <cell r="BA180">
            <v>1784545</v>
          </cell>
          <cell r="BB180">
            <v>10.644407263357699</v>
          </cell>
          <cell r="BC180">
            <v>-197887</v>
          </cell>
          <cell r="BD180">
            <v>9.3382049689440905</v>
          </cell>
          <cell r="BE180">
            <v>-212110</v>
          </cell>
          <cell r="BF180">
            <v>25.015032243155499</v>
          </cell>
          <cell r="BG180">
            <v>108275</v>
          </cell>
          <cell r="BH180">
            <v>22.131173215448399</v>
          </cell>
          <cell r="BI180">
            <v>249012</v>
          </cell>
        </row>
        <row r="181">
          <cell r="B181">
            <v>43.431591277291297</v>
          </cell>
          <cell r="C181">
            <v>-2593847</v>
          </cell>
          <cell r="D181">
            <v>22.597234451078901</v>
          </cell>
          <cell r="E181">
            <v>-843326</v>
          </cell>
          <cell r="F181">
            <v>23.040089634538099</v>
          </cell>
          <cell r="G181">
            <v>-895508</v>
          </cell>
          <cell r="H181">
            <v>31.0595552403094</v>
          </cell>
          <cell r="I181">
            <v>-19250</v>
          </cell>
          <cell r="J181">
            <v>70.304009003935903</v>
          </cell>
          <cell r="K181">
            <v>-230791</v>
          </cell>
          <cell r="L181">
            <v>54.0925336704099</v>
          </cell>
          <cell r="M181">
            <v>1387500</v>
          </cell>
          <cell r="N181">
            <v>11.7367870641151</v>
          </cell>
          <cell r="O181">
            <v>-550248</v>
          </cell>
          <cell r="P181">
            <v>5.3892196674886002</v>
          </cell>
          <cell r="Q181">
            <v>-542812</v>
          </cell>
          <cell r="R181">
            <v>26.3898849652888</v>
          </cell>
          <cell r="S181">
            <v>-3675029</v>
          </cell>
          <cell r="T181">
            <v>9.9508042864500403</v>
          </cell>
          <cell r="U181">
            <v>463732</v>
          </cell>
          <cell r="V181">
            <v>44.592021261008</v>
          </cell>
          <cell r="W181">
            <v>1080459</v>
          </cell>
          <cell r="X181">
            <v>9.4544089725910894</v>
          </cell>
          <cell r="Y181">
            <v>-837995</v>
          </cell>
          <cell r="Z181">
            <v>33.180880392156801</v>
          </cell>
          <cell r="AA181">
            <v>-1161340</v>
          </cell>
          <cell r="AB181">
            <v>8.9742373630521097</v>
          </cell>
          <cell r="AC181">
            <v>100822</v>
          </cell>
          <cell r="AD181">
            <v>18.313108673771801</v>
          </cell>
          <cell r="AE181">
            <v>153238</v>
          </cell>
          <cell r="AF181">
            <v>34.921299758828603</v>
          </cell>
          <cell r="AG181">
            <v>483284</v>
          </cell>
          <cell r="AH181">
            <v>46.0963078778355</v>
          </cell>
          <cell r="AI181">
            <v>2987405</v>
          </cell>
          <cell r="AJ181">
            <v>43.092025282257403</v>
          </cell>
          <cell r="AK181">
            <v>492257</v>
          </cell>
          <cell r="AL181">
            <v>26.451556823695999</v>
          </cell>
          <cell r="AM181">
            <v>-24714</v>
          </cell>
          <cell r="AN181">
            <v>38.8281966246374</v>
          </cell>
          <cell r="AO181">
            <v>-2691581</v>
          </cell>
          <cell r="AP181">
            <v>45.1257622035168</v>
          </cell>
          <cell r="AQ181">
            <v>-341892</v>
          </cell>
          <cell r="AR181">
            <v>39.314705336549899</v>
          </cell>
          <cell r="AS181">
            <v>-213380</v>
          </cell>
          <cell r="AT181">
            <v>21.024447779379901</v>
          </cell>
          <cell r="AU181">
            <v>172159</v>
          </cell>
          <cell r="AV181">
            <v>48.6152757255987</v>
          </cell>
          <cell r="AW181">
            <v>1739389</v>
          </cell>
          <cell r="AX181">
            <v>34.170137368724298</v>
          </cell>
          <cell r="AY181">
            <v>73168</v>
          </cell>
          <cell r="AZ181">
            <v>7.3108420602305904</v>
          </cell>
          <cell r="BA181">
            <v>310077</v>
          </cell>
          <cell r="BB181">
            <v>10.7208545612955</v>
          </cell>
          <cell r="BC181">
            <v>380085</v>
          </cell>
          <cell r="BD181">
            <v>9.4198571428571398</v>
          </cell>
          <cell r="BE181">
            <v>196573</v>
          </cell>
          <cell r="BF181">
            <v>24.930794196806801</v>
          </cell>
          <cell r="BG181">
            <v>-86265</v>
          </cell>
          <cell r="BH181">
            <v>22.468596244234501</v>
          </cell>
          <cell r="BI181">
            <v>740290</v>
          </cell>
        </row>
        <row r="182">
          <cell r="B182">
            <v>43.406170932052397</v>
          </cell>
          <cell r="C182">
            <v>-1666132</v>
          </cell>
          <cell r="D182">
            <v>22.5118172150347</v>
          </cell>
          <cell r="E182">
            <v>-410755</v>
          </cell>
          <cell r="F182">
            <v>23.016012533725501</v>
          </cell>
          <cell r="G182">
            <v>-1351974</v>
          </cell>
          <cell r="H182">
            <v>30.8746941512068</v>
          </cell>
          <cell r="I182">
            <v>-1727886</v>
          </cell>
          <cell r="J182">
            <v>70.636600400602703</v>
          </cell>
          <cell r="K182">
            <v>6378834</v>
          </cell>
          <cell r="L182">
            <v>54.0693781692407</v>
          </cell>
          <cell r="M182">
            <v>-355295</v>
          </cell>
          <cell r="N182">
            <v>11.7203466169343</v>
          </cell>
          <cell r="O182">
            <v>184589</v>
          </cell>
          <cell r="P182">
            <v>5.3936445917371296</v>
          </cell>
          <cell r="Q182">
            <v>-125360</v>
          </cell>
          <cell r="R182">
            <v>26.332131383288701</v>
          </cell>
          <cell r="S182">
            <v>-855576</v>
          </cell>
          <cell r="T182">
            <v>10.0088314546026</v>
          </cell>
          <cell r="U182">
            <v>192772</v>
          </cell>
          <cell r="V182">
            <v>44.412234943497999</v>
          </cell>
          <cell r="W182">
            <v>-6944445</v>
          </cell>
          <cell r="X182">
            <v>9.3988737553815191</v>
          </cell>
          <cell r="Y182">
            <v>-153136</v>
          </cell>
          <cell r="Z182">
            <v>33.211049019607799</v>
          </cell>
          <cell r="AA182">
            <v>-69543</v>
          </cell>
          <cell r="AB182">
            <v>8.7581383281420901</v>
          </cell>
          <cell r="AC182">
            <v>-580628</v>
          </cell>
          <cell r="AD182">
            <v>17.773397790532201</v>
          </cell>
          <cell r="AE182">
            <v>-943267</v>
          </cell>
          <cell r="AF182">
            <v>34.821774974960498</v>
          </cell>
          <cell r="AG182">
            <v>-186843</v>
          </cell>
          <cell r="AH182">
            <v>46.041665714725099</v>
          </cell>
          <cell r="AI182">
            <v>-861558</v>
          </cell>
          <cell r="AJ182">
            <v>43.040396189601502</v>
          </cell>
          <cell r="AK182">
            <v>-577007</v>
          </cell>
          <cell r="AL182">
            <v>26.130958812856701</v>
          </cell>
          <cell r="AM182">
            <v>-2186394</v>
          </cell>
          <cell r="AN182">
            <v>38.5193129844533</v>
          </cell>
          <cell r="AO182">
            <v>-2255779</v>
          </cell>
          <cell r="AP182">
            <v>45.064491738666398</v>
          </cell>
          <cell r="AQ182">
            <v>-426773</v>
          </cell>
          <cell r="AR182">
            <v>39.270019352615201</v>
          </cell>
          <cell r="AS182">
            <v>-435475</v>
          </cell>
          <cell r="AT182">
            <v>21.047647563261702</v>
          </cell>
          <cell r="AU182">
            <v>215580</v>
          </cell>
          <cell r="AV182">
            <v>48.769396936118099</v>
          </cell>
          <cell r="AW182">
            <v>1106297</v>
          </cell>
          <cell r="AX182">
            <v>34.320734466847703</v>
          </cell>
          <cell r="AY182">
            <v>100401</v>
          </cell>
          <cell r="AZ182">
            <v>7.1756552676285503</v>
          </cell>
          <cell r="BA182">
            <v>-636964</v>
          </cell>
          <cell r="BB182">
            <v>10.506431750939001</v>
          </cell>
          <cell r="BC182">
            <v>-569402</v>
          </cell>
          <cell r="BD182">
            <v>9.4023105590062102</v>
          </cell>
          <cell r="BE182">
            <v>-36894</v>
          </cell>
          <cell r="BF182">
            <v>24.896659795331502</v>
          </cell>
          <cell r="BG182">
            <v>-28534</v>
          </cell>
          <cell r="BH182">
            <v>22.6380205875396</v>
          </cell>
          <cell r="BI182">
            <v>369730</v>
          </cell>
        </row>
        <row r="183">
          <cell r="B183">
            <v>43.296010897862999</v>
          </cell>
          <cell r="C183">
            <v>-8350869</v>
          </cell>
          <cell r="D183">
            <v>22.505261554221601</v>
          </cell>
          <cell r="E183">
            <v>-285921</v>
          </cell>
          <cell r="F183">
            <v>23.0024789728242</v>
          </cell>
          <cell r="G183">
            <v>723020</v>
          </cell>
          <cell r="H183">
            <v>30.7839309454559</v>
          </cell>
          <cell r="I183">
            <v>-831480</v>
          </cell>
          <cell r="J183">
            <v>70.729742627660599</v>
          </cell>
          <cell r="K183">
            <v>1548427</v>
          </cell>
          <cell r="L183">
            <v>54.0808070049805</v>
          </cell>
          <cell r="M183">
            <v>201563</v>
          </cell>
          <cell r="N183">
            <v>11.6240021252285</v>
          </cell>
          <cell r="O183">
            <v>-480332</v>
          </cell>
          <cell r="P183">
            <v>5.3047178882909201</v>
          </cell>
          <cell r="Q183">
            <v>-327857</v>
          </cell>
          <cell r="R183">
            <v>26.486997942019499</v>
          </cell>
          <cell r="S183">
            <v>2421200</v>
          </cell>
          <cell r="T183">
            <v>9.9329193345094104</v>
          </cell>
          <cell r="U183">
            <v>-276433</v>
          </cell>
          <cell r="V183">
            <v>44.325837725385902</v>
          </cell>
          <cell r="W183">
            <v>-3278056</v>
          </cell>
          <cell r="X183">
            <v>9.2754822836908701</v>
          </cell>
          <cell r="Y183">
            <v>-196338</v>
          </cell>
          <cell r="Z183">
            <v>33.275315686274503</v>
          </cell>
          <cell r="AA183">
            <v>285560</v>
          </cell>
          <cell r="AB183">
            <v>8.6362708662250505</v>
          </cell>
          <cell r="AC183">
            <v>-327374</v>
          </cell>
          <cell r="AD183">
            <v>17.801417251952898</v>
          </cell>
          <cell r="AE183">
            <v>46632</v>
          </cell>
          <cell r="AF183">
            <v>34.537810963288997</v>
          </cell>
          <cell r="AG183">
            <v>-513454</v>
          </cell>
          <cell r="AH183">
            <v>45.992611422823103</v>
          </cell>
          <cell r="AI183">
            <v>-803164</v>
          </cell>
          <cell r="AJ183">
            <v>43.076347621169703</v>
          </cell>
          <cell r="AK183">
            <v>423460</v>
          </cell>
          <cell r="AL183">
            <v>25.770582108133802</v>
          </cell>
          <cell r="AM183">
            <v>-2250796</v>
          </cell>
          <cell r="AN183">
            <v>38.4438416446581</v>
          </cell>
          <cell r="AO183">
            <v>-547464</v>
          </cell>
          <cell r="AP183">
            <v>45.041334558481999</v>
          </cell>
          <cell r="AQ183">
            <v>-166608</v>
          </cell>
          <cell r="AR183">
            <v>39.193382996209003</v>
          </cell>
          <cell r="AS183">
            <v>-752937</v>
          </cell>
          <cell r="AT183">
            <v>21.085490962585801</v>
          </cell>
          <cell r="AU183">
            <v>326127</v>
          </cell>
          <cell r="AV183">
            <v>48.908427046509402</v>
          </cell>
          <cell r="AW183">
            <v>1014437</v>
          </cell>
          <cell r="AX183">
            <v>34.3745015050063</v>
          </cell>
          <cell r="AY183">
            <v>30904</v>
          </cell>
          <cell r="AZ183">
            <v>7.1031191968237302</v>
          </cell>
          <cell r="BA183">
            <v>-672403</v>
          </cell>
          <cell r="BB183">
            <v>10.496134937809799</v>
          </cell>
          <cell r="BC183">
            <v>-50017</v>
          </cell>
          <cell r="BD183">
            <v>9.3132173913043399</v>
          </cell>
          <cell r="BE183">
            <v>-212831</v>
          </cell>
          <cell r="BF183">
            <v>24.8939005308135</v>
          </cell>
          <cell r="BG183">
            <v>-2874</v>
          </cell>
          <cell r="BH183">
            <v>22.549910771510799</v>
          </cell>
          <cell r="BI183">
            <v>-188253</v>
          </cell>
        </row>
        <row r="184">
          <cell r="B184">
            <v>43.343675063520401</v>
          </cell>
          <cell r="C184">
            <v>3788686</v>
          </cell>
          <cell r="D184">
            <v>22.6724515749784</v>
          </cell>
          <cell r="E184">
            <v>1402226</v>
          </cell>
          <cell r="F184">
            <v>22.806932982754901</v>
          </cell>
          <cell r="G184">
            <v>-2788425</v>
          </cell>
          <cell r="H184">
            <v>30.679326815452701</v>
          </cell>
          <cell r="I184">
            <v>-1021820</v>
          </cell>
          <cell r="J184">
            <v>70.729333565404801</v>
          </cell>
          <cell r="K184">
            <v>-52250</v>
          </cell>
          <cell r="L184">
            <v>53.995404341499203</v>
          </cell>
          <cell r="M184">
            <v>-1691595</v>
          </cell>
          <cell r="N184">
            <v>11.472731458058</v>
          </cell>
          <cell r="O184">
            <v>-738333</v>
          </cell>
          <cell r="P184">
            <v>5.2331277726050702</v>
          </cell>
          <cell r="Q184">
            <v>-577510</v>
          </cell>
          <cell r="R184">
            <v>26.6803665855461</v>
          </cell>
          <cell r="S184">
            <v>3101958</v>
          </cell>
          <cell r="T184">
            <v>10.004978105967099</v>
          </cell>
          <cell r="U184">
            <v>268171</v>
          </cell>
          <cell r="V184">
            <v>44.326780528275798</v>
          </cell>
          <cell r="W184">
            <v>41745</v>
          </cell>
          <cell r="X184">
            <v>9.0132437590770191</v>
          </cell>
          <cell r="Y184">
            <v>-879338</v>
          </cell>
          <cell r="Z184">
            <v>33.109950980392099</v>
          </cell>
          <cell r="AA184">
            <v>-323875</v>
          </cell>
          <cell r="AB184">
            <v>8.5240836073313293</v>
          </cell>
          <cell r="AC184">
            <v>-324081</v>
          </cell>
          <cell r="AD184">
            <v>17.9781160109832</v>
          </cell>
          <cell r="AE184">
            <v>250043</v>
          </cell>
          <cell r="AF184">
            <v>34.504977195127701</v>
          </cell>
          <cell r="AG184">
            <v>-61525</v>
          </cell>
          <cell r="AH184">
            <v>46.106676907525497</v>
          </cell>
          <cell r="AI184">
            <v>2445675</v>
          </cell>
          <cell r="AJ184">
            <v>43.207398522386598</v>
          </cell>
          <cell r="AK184">
            <v>1530797</v>
          </cell>
          <cell r="AL184">
            <v>25.707415206282601</v>
          </cell>
          <cell r="AM184">
            <v>-433443</v>
          </cell>
          <cell r="AN184">
            <v>38.371513096486296</v>
          </cell>
          <cell r="AO184">
            <v>-550921</v>
          </cell>
          <cell r="AP184">
            <v>45.099130247187297</v>
          </cell>
          <cell r="AQ184">
            <v>751389</v>
          </cell>
          <cell r="AR184">
            <v>39.242146284562899</v>
          </cell>
          <cell r="AS184">
            <v>503592</v>
          </cell>
          <cell r="AT184">
            <v>21.064009298644098</v>
          </cell>
          <cell r="AU184">
            <v>-185244</v>
          </cell>
          <cell r="AV184">
            <v>48.888829186615602</v>
          </cell>
          <cell r="AW184">
            <v>-146012</v>
          </cell>
          <cell r="AX184">
            <v>34.386995955240003</v>
          </cell>
          <cell r="AY184">
            <v>8730</v>
          </cell>
          <cell r="AZ184">
            <v>7.0531836540632797</v>
          </cell>
          <cell r="BA184">
            <v>-504173</v>
          </cell>
          <cell r="BB184">
            <v>10.3745766594883</v>
          </cell>
          <cell r="BC184">
            <v>-358502</v>
          </cell>
          <cell r="BD184">
            <v>9.2306645962732894</v>
          </cell>
          <cell r="BE184">
            <v>-192481</v>
          </cell>
          <cell r="BF184">
            <v>24.940302162458501</v>
          </cell>
          <cell r="BG184">
            <v>46999</v>
          </cell>
          <cell r="BH184">
            <v>22.461239017361699</v>
          </cell>
          <cell r="BI184">
            <v>-184598</v>
          </cell>
        </row>
        <row r="185">
          <cell r="B185">
            <v>43.385739747083797</v>
          </cell>
          <cell r="C185">
            <v>3369973</v>
          </cell>
          <cell r="D185">
            <v>22.413854363242599</v>
          </cell>
          <cell r="E185">
            <v>-1660885</v>
          </cell>
          <cell r="F185">
            <v>22.576184248453199</v>
          </cell>
          <cell r="G185">
            <v>-3270325</v>
          </cell>
          <cell r="H185">
            <v>30.6921043431017</v>
          </cell>
          <cell r="I185">
            <v>123911</v>
          </cell>
          <cell r="J185">
            <v>70.741305176626895</v>
          </cell>
          <cell r="K185">
            <v>233870</v>
          </cell>
          <cell r="L185">
            <v>53.994036848907598</v>
          </cell>
          <cell r="M185">
            <v>-22448</v>
          </cell>
          <cell r="N185">
            <v>11.127549397087501</v>
          </cell>
          <cell r="O185">
            <v>-1636067</v>
          </cell>
          <cell r="P185">
            <v>4.8716112110802303</v>
          </cell>
          <cell r="Q185">
            <v>-1828878</v>
          </cell>
          <cell r="R185">
            <v>26.737262857611402</v>
          </cell>
          <cell r="S185">
            <v>896363</v>
          </cell>
          <cell r="T185">
            <v>10.0522599608954</v>
          </cell>
          <cell r="U185">
            <v>259754</v>
          </cell>
          <cell r="V185">
            <v>44.347991299374399</v>
          </cell>
          <cell r="W185">
            <v>998088</v>
          </cell>
          <cell r="X185">
            <v>8.8864645652554195</v>
          </cell>
          <cell r="Y185">
            <v>-894954</v>
          </cell>
          <cell r="Z185">
            <v>32.957411764705803</v>
          </cell>
          <cell r="AA185">
            <v>-604934</v>
          </cell>
          <cell r="AB185">
            <v>8.5196790941141707</v>
          </cell>
          <cell r="AC185">
            <v>-11857</v>
          </cell>
          <cell r="AD185">
            <v>17.603684372611799</v>
          </cell>
          <cell r="AE185">
            <v>-662230</v>
          </cell>
          <cell r="AF185">
            <v>34.153377681740601</v>
          </cell>
          <cell r="AG185">
            <v>-566799</v>
          </cell>
          <cell r="AH185">
            <v>46.240900357417999</v>
          </cell>
          <cell r="AI185">
            <v>2204032</v>
          </cell>
          <cell r="AJ185">
            <v>43.190588285185399</v>
          </cell>
          <cell r="AK185">
            <v>-69917</v>
          </cell>
          <cell r="AL185">
            <v>25.569390621351101</v>
          </cell>
          <cell r="AM185">
            <v>-872793</v>
          </cell>
          <cell r="AN185">
            <v>38.260781062234102</v>
          </cell>
          <cell r="AO185">
            <v>-830880</v>
          </cell>
          <cell r="AP185">
            <v>45.130963708912098</v>
          </cell>
          <cell r="AQ185">
            <v>303357</v>
          </cell>
          <cell r="AR185">
            <v>39.323528008271197</v>
          </cell>
          <cell r="AS185">
            <v>827188</v>
          </cell>
          <cell r="AT185">
            <v>21.091526762696301</v>
          </cell>
          <cell r="AU185">
            <v>237286</v>
          </cell>
          <cell r="AV185">
            <v>48.851389212333899</v>
          </cell>
          <cell r="AW185">
            <v>-269265</v>
          </cell>
          <cell r="AX185">
            <v>34.436195743190602</v>
          </cell>
          <cell r="AY185">
            <v>35885</v>
          </cell>
          <cell r="AZ185">
            <v>6.9183932282262601</v>
          </cell>
          <cell r="BA185">
            <v>-1134930</v>
          </cell>
          <cell r="BB185">
            <v>10.5113138196121</v>
          </cell>
          <cell r="BC185">
            <v>494231</v>
          </cell>
          <cell r="BD185">
            <v>9.2260093167701793</v>
          </cell>
          <cell r="BE185">
            <v>-10452</v>
          </cell>
          <cell r="BF185">
            <v>24.985347155715601</v>
          </cell>
          <cell r="BG185">
            <v>46420</v>
          </cell>
          <cell r="BH185">
            <v>22.303854718599599</v>
          </cell>
          <cell r="BI185">
            <v>-322244</v>
          </cell>
        </row>
        <row r="186">
          <cell r="B186">
            <v>43.255461496069003</v>
          </cell>
          <cell r="C186">
            <v>-10054036</v>
          </cell>
          <cell r="D186">
            <v>22.189171218912701</v>
          </cell>
          <cell r="E186">
            <v>-1877123</v>
          </cell>
          <cell r="F186">
            <v>22.291835671986</v>
          </cell>
          <cell r="G186">
            <v>-5003812</v>
          </cell>
          <cell r="H186">
            <v>30.3858190124133</v>
          </cell>
          <cell r="I186">
            <v>-3086136</v>
          </cell>
          <cell r="J186">
            <v>70.741403577503903</v>
          </cell>
          <cell r="K186">
            <v>-17367</v>
          </cell>
          <cell r="L186">
            <v>53.900542304199803</v>
          </cell>
          <cell r="M186">
            <v>-1793520</v>
          </cell>
          <cell r="N186">
            <v>10.6527364748781</v>
          </cell>
          <cell r="O186">
            <v>-1669391</v>
          </cell>
          <cell r="P186">
            <v>4.8017264566921902</v>
          </cell>
          <cell r="Q186">
            <v>-386297</v>
          </cell>
          <cell r="R186">
            <v>27.014198526092699</v>
          </cell>
          <cell r="S186">
            <v>4258498</v>
          </cell>
          <cell r="T186">
            <v>10.8371021199738</v>
          </cell>
          <cell r="U186">
            <v>3797873</v>
          </cell>
          <cell r="V186">
            <v>44.211095631582403</v>
          </cell>
          <cell r="W186">
            <v>-4814650</v>
          </cell>
          <cell r="X186">
            <v>8.7822623770608192</v>
          </cell>
          <cell r="Y186">
            <v>-950817</v>
          </cell>
          <cell r="Z186">
            <v>32.554621568627397</v>
          </cell>
          <cell r="AA186">
            <v>-1917025</v>
          </cell>
          <cell r="AB186">
            <v>8.3524507038057791</v>
          </cell>
          <cell r="AC186">
            <v>-485746</v>
          </cell>
          <cell r="AD186">
            <v>17.402194160723401</v>
          </cell>
          <cell r="AE186">
            <v>-341461</v>
          </cell>
          <cell r="AF186">
            <v>34.043883704945401</v>
          </cell>
          <cell r="AG186">
            <v>-221170</v>
          </cell>
          <cell r="AH186">
            <v>46.190773322332802</v>
          </cell>
          <cell r="AI186">
            <v>-210301</v>
          </cell>
          <cell r="AJ186">
            <v>43.1680076860168</v>
          </cell>
          <cell r="AK186">
            <v>-247498</v>
          </cell>
          <cell r="AL186">
            <v>25.373488960545199</v>
          </cell>
          <cell r="AM186">
            <v>-1298187</v>
          </cell>
          <cell r="AN186">
            <v>38.237787637352199</v>
          </cell>
          <cell r="AO186">
            <v>-173239</v>
          </cell>
          <cell r="AP186">
            <v>44.994423304051601</v>
          </cell>
          <cell r="AQ186">
            <v>-1053235</v>
          </cell>
          <cell r="AR186">
            <v>39.464149943002496</v>
          </cell>
          <cell r="AS186">
            <v>1491773</v>
          </cell>
          <cell r="AT186">
            <v>21.108952424053701</v>
          </cell>
          <cell r="AU186">
            <v>168844</v>
          </cell>
          <cell r="AV186">
            <v>48.437991141235401</v>
          </cell>
          <cell r="AW186">
            <v>-2924037</v>
          </cell>
          <cell r="AX186">
            <v>34.779070356972497</v>
          </cell>
          <cell r="AY186">
            <v>219199</v>
          </cell>
          <cell r="AZ186">
            <v>6.9390729019478101</v>
          </cell>
          <cell r="BA186">
            <v>-223120</v>
          </cell>
          <cell r="BB186">
            <v>10.400703931047399</v>
          </cell>
          <cell r="BC186">
            <v>-232823</v>
          </cell>
          <cell r="BD186">
            <v>9.2210869565217308</v>
          </cell>
          <cell r="BE186">
            <v>-9100</v>
          </cell>
          <cell r="BF186">
            <v>25.017239654769998</v>
          </cell>
          <cell r="BG186">
            <v>33321</v>
          </cell>
          <cell r="BH186">
            <v>22.307379276453101</v>
          </cell>
          <cell r="BI186">
            <v>-288353</v>
          </cell>
        </row>
        <row r="187">
          <cell r="B187">
            <v>43.294118832320301</v>
          </cell>
          <cell r="C187">
            <v>3142624</v>
          </cell>
          <cell r="D187">
            <v>22.338889631196501</v>
          </cell>
          <cell r="E187">
            <v>1497091</v>
          </cell>
          <cell r="F187">
            <v>22.233521621004201</v>
          </cell>
          <cell r="G187">
            <v>-576447</v>
          </cell>
          <cell r="H187">
            <v>30.3487412654056</v>
          </cell>
          <cell r="I187">
            <v>-299814</v>
          </cell>
          <cell r="J187">
            <v>70.827025123640496</v>
          </cell>
          <cell r="K187">
            <v>1591006</v>
          </cell>
          <cell r="L187">
            <v>53.970716531816997</v>
          </cell>
          <cell r="M187">
            <v>1302701</v>
          </cell>
          <cell r="N187">
            <v>10.773735652481699</v>
          </cell>
          <cell r="O187">
            <v>10175</v>
          </cell>
          <cell r="P187">
            <v>4.8881464543247199</v>
          </cell>
          <cell r="Q187">
            <v>318935</v>
          </cell>
          <cell r="R187">
            <v>27.238870579800899</v>
          </cell>
          <cell r="S187">
            <v>3376094</v>
          </cell>
          <cell r="T187">
            <v>11.2045007688049</v>
          </cell>
          <cell r="U187">
            <v>1910908</v>
          </cell>
          <cell r="V187">
            <v>44.1889409106317</v>
          </cell>
          <cell r="W187">
            <v>-529689</v>
          </cell>
          <cell r="X187">
            <v>9.0709233323162906</v>
          </cell>
          <cell r="Y187">
            <v>2060608</v>
          </cell>
          <cell r="Z187">
            <v>32.632292156862697</v>
          </cell>
          <cell r="AA187">
            <v>385359</v>
          </cell>
          <cell r="AB187">
            <v>8.4155853019365292</v>
          </cell>
          <cell r="AC187">
            <v>185701</v>
          </cell>
          <cell r="AD187">
            <v>17.0538903013354</v>
          </cell>
          <cell r="AE187">
            <v>-593427</v>
          </cell>
          <cell r="AF187">
            <v>33.962902902133003</v>
          </cell>
          <cell r="AG187">
            <v>91653</v>
          </cell>
          <cell r="AH187">
            <v>46.1679415047305</v>
          </cell>
          <cell r="AI187">
            <v>220715</v>
          </cell>
          <cell r="AJ187">
            <v>43.210783820905199</v>
          </cell>
          <cell r="AK187">
            <v>721099</v>
          </cell>
          <cell r="AL187">
            <v>25.3538195799851</v>
          </cell>
          <cell r="AM187">
            <v>-112222</v>
          </cell>
          <cell r="AN187">
            <v>38.151564186641401</v>
          </cell>
          <cell r="AO187">
            <v>-665784</v>
          </cell>
          <cell r="AP187">
            <v>44.958559030939597</v>
          </cell>
          <cell r="AQ187">
            <v>124250</v>
          </cell>
          <cell r="AR187">
            <v>39.6977545664218</v>
          </cell>
          <cell r="AS187">
            <v>2525219</v>
          </cell>
          <cell r="AT187">
            <v>20.978017223480901</v>
          </cell>
          <cell r="AU187">
            <v>-61863</v>
          </cell>
          <cell r="AV187">
            <v>48.296621422039898</v>
          </cell>
          <cell r="AW187">
            <v>-978371</v>
          </cell>
          <cell r="AX187">
            <v>34.4037618666664</v>
          </cell>
          <cell r="AY187">
            <v>-246289</v>
          </cell>
          <cell r="AZ187">
            <v>6.9091348247267996</v>
          </cell>
          <cell r="BA187">
            <v>-116410</v>
          </cell>
          <cell r="BB187">
            <v>10.3174025939313</v>
          </cell>
          <cell r="BC187">
            <v>-244436</v>
          </cell>
          <cell r="BD187">
            <v>9.3260900621118008</v>
          </cell>
          <cell r="BE187">
            <v>247098</v>
          </cell>
          <cell r="BF187">
            <v>25.171827449393302</v>
          </cell>
          <cell r="BG187">
            <v>162904</v>
          </cell>
          <cell r="BH187">
            <v>22.306931860286699</v>
          </cell>
          <cell r="BI187">
            <v>120735</v>
          </cell>
        </row>
        <row r="188">
          <cell r="B188">
            <v>43.179814176624497</v>
          </cell>
          <cell r="C188">
            <v>-9415105</v>
          </cell>
          <cell r="D188">
            <v>22.406008457868499</v>
          </cell>
          <cell r="E188">
            <v>694876</v>
          </cell>
          <cell r="F188">
            <v>22.024198029014102</v>
          </cell>
          <cell r="G188">
            <v>-2717453</v>
          </cell>
          <cell r="H188">
            <v>30.310016860635201</v>
          </cell>
          <cell r="I188">
            <v>-395705</v>
          </cell>
          <cell r="J188">
            <v>70.812397877875298</v>
          </cell>
          <cell r="K188">
            <v>-338354</v>
          </cell>
          <cell r="L188">
            <v>53.9044032370483</v>
          </cell>
          <cell r="M188">
            <v>-1250520</v>
          </cell>
          <cell r="N188">
            <v>10.765472038559301</v>
          </cell>
          <cell r="O188">
            <v>-668359</v>
          </cell>
          <cell r="P188">
            <v>4.9214047559346197</v>
          </cell>
          <cell r="Q188">
            <v>149619</v>
          </cell>
          <cell r="R188">
            <v>27.2882179763767</v>
          </cell>
          <cell r="S188">
            <v>765322</v>
          </cell>
          <cell r="T188">
            <v>11.302635593989001</v>
          </cell>
          <cell r="U188">
            <v>343812</v>
          </cell>
          <cell r="V188">
            <v>44.168567421904903</v>
          </cell>
          <cell r="W188">
            <v>-730141</v>
          </cell>
          <cell r="X188">
            <v>9.1445107837322102</v>
          </cell>
          <cell r="Y188">
            <v>498405</v>
          </cell>
          <cell r="Z188">
            <v>32.624419607843102</v>
          </cell>
          <cell r="AA188">
            <v>25135</v>
          </cell>
          <cell r="AB188">
            <v>8.3853233783183203</v>
          </cell>
          <cell r="AC188">
            <v>-96995</v>
          </cell>
          <cell r="AD188">
            <v>16.739176821371199</v>
          </cell>
          <cell r="AE188">
            <v>-543324</v>
          </cell>
          <cell r="AF188">
            <v>33.304086703952898</v>
          </cell>
          <cell r="AG188">
            <v>208196</v>
          </cell>
          <cell r="AH188">
            <v>46.197685187711102</v>
          </cell>
          <cell r="AI188">
            <v>502864</v>
          </cell>
          <cell r="AJ188">
            <v>43.148419018066001</v>
          </cell>
          <cell r="AK188">
            <v>-739273</v>
          </cell>
          <cell r="AL188">
            <v>25.1413413589828</v>
          </cell>
          <cell r="AM188">
            <v>-1422711</v>
          </cell>
          <cell r="AN188">
            <v>37.719984058065101</v>
          </cell>
          <cell r="AO188">
            <v>-3519056</v>
          </cell>
          <cell r="AP188">
            <v>45.007166814622899</v>
          </cell>
          <cell r="AQ188">
            <v>353664</v>
          </cell>
          <cell r="AR188">
            <v>39.752700087484399</v>
          </cell>
          <cell r="AS188">
            <v>583362</v>
          </cell>
          <cell r="AT188">
            <v>20.9556816642584</v>
          </cell>
          <cell r="AU188">
            <v>-195478</v>
          </cell>
          <cell r="AV188">
            <v>48.348084504509004</v>
          </cell>
          <cell r="AW188">
            <v>0</v>
          </cell>
          <cell r="AX188">
            <v>34.041363648885898</v>
          </cell>
          <cell r="AY188">
            <v>-235672</v>
          </cell>
          <cell r="AZ188">
            <v>6.9562557823336597</v>
          </cell>
          <cell r="BA188">
            <v>639372</v>
          </cell>
          <cell r="BB188">
            <v>10.1952872651535</v>
          </cell>
          <cell r="BC188">
            <v>-250099</v>
          </cell>
          <cell r="BD188">
            <v>9.3575372670807404</v>
          </cell>
          <cell r="BE188">
            <v>75109</v>
          </cell>
          <cell r="BF188">
            <v>25.205651433610299</v>
          </cell>
          <cell r="BG188">
            <v>35669</v>
          </cell>
          <cell r="BH188">
            <v>22.3457113963868</v>
          </cell>
          <cell r="BI188">
            <v>-492774</v>
          </cell>
        </row>
        <row r="189">
          <cell r="B189">
            <v>43.078966472197997</v>
          </cell>
          <cell r="C189">
            <v>-7640849</v>
          </cell>
          <cell r="D189">
            <v>22.136434376301299</v>
          </cell>
          <cell r="E189">
            <v>-1831417</v>
          </cell>
          <cell r="F189">
            <v>21.8164810980136</v>
          </cell>
          <cell r="G189">
            <v>-2149834</v>
          </cell>
          <cell r="H189">
            <v>29.7264614157511</v>
          </cell>
          <cell r="I189">
            <v>-5268948</v>
          </cell>
          <cell r="J189">
            <v>70.554448451550101</v>
          </cell>
          <cell r="K189">
            <v>-4762813</v>
          </cell>
          <cell r="L189">
            <v>53.835380449298597</v>
          </cell>
          <cell r="M189">
            <v>-1178911</v>
          </cell>
          <cell r="N189">
            <v>11.1029246355567</v>
          </cell>
          <cell r="O189">
            <v>802974</v>
          </cell>
          <cell r="P189">
            <v>4.7182989799860904</v>
          </cell>
          <cell r="Q189">
            <v>-726234</v>
          </cell>
          <cell r="R189">
            <v>26.8768602033762</v>
          </cell>
          <cell r="S189">
            <v>-5818143</v>
          </cell>
          <cell r="T189">
            <v>10.844862959961199</v>
          </cell>
          <cell r="U189">
            <v>-1884999</v>
          </cell>
          <cell r="V189">
            <v>44.014504024604101</v>
          </cell>
          <cell r="W189">
            <v>-5522324</v>
          </cell>
          <cell r="X189">
            <v>8.9683213022346209</v>
          </cell>
          <cell r="Y189">
            <v>-557424</v>
          </cell>
          <cell r="Z189">
            <v>32.313023529411701</v>
          </cell>
          <cell r="AA189">
            <v>-972671</v>
          </cell>
          <cell r="AB189">
            <v>8.3182691802552</v>
          </cell>
          <cell r="AC189">
            <v>-209489</v>
          </cell>
          <cell r="AD189">
            <v>16.733137321480001</v>
          </cell>
          <cell r="AE189">
            <v>-6237</v>
          </cell>
          <cell r="AF189">
            <v>32.1555562274444</v>
          </cell>
          <cell r="AG189">
            <v>-1966136</v>
          </cell>
          <cell r="AH189">
            <v>46.039756699875397</v>
          </cell>
          <cell r="AI189">
            <v>-586178</v>
          </cell>
          <cell r="AJ189">
            <v>43.221111906051</v>
          </cell>
          <cell r="AK189">
            <v>838052</v>
          </cell>
          <cell r="AL189">
            <v>24.8826024136226</v>
          </cell>
          <cell r="AM189">
            <v>-1640294</v>
          </cell>
          <cell r="AN189">
            <v>37.750636550489197</v>
          </cell>
          <cell r="AO189">
            <v>281610</v>
          </cell>
          <cell r="AP189">
            <v>44.7640035432768</v>
          </cell>
          <cell r="AQ189">
            <v>-2030642</v>
          </cell>
          <cell r="AR189">
            <v>39.7779327165239</v>
          </cell>
          <cell r="AS189">
            <v>275178</v>
          </cell>
          <cell r="AT189">
            <v>20.818070242114398</v>
          </cell>
          <cell r="AU189">
            <v>-1128172</v>
          </cell>
          <cell r="AV189">
            <v>48.515856896061301</v>
          </cell>
          <cell r="AW189">
            <v>1125239</v>
          </cell>
          <cell r="AX189">
            <v>34.115267821018399</v>
          </cell>
          <cell r="AY189">
            <v>42825</v>
          </cell>
          <cell r="AZ189">
            <v>6.80870349002842</v>
          </cell>
          <cell r="BA189">
            <v>-1244849</v>
          </cell>
          <cell r="BB189">
            <v>9.7997315028691006</v>
          </cell>
          <cell r="BC189">
            <v>-1155983</v>
          </cell>
          <cell r="BD189">
            <v>9.3280031055900601</v>
          </cell>
          <cell r="BE189">
            <v>-66099</v>
          </cell>
          <cell r="BF189">
            <v>25.030633584617998</v>
          </cell>
          <cell r="BG189">
            <v>-177198</v>
          </cell>
          <cell r="BH189">
            <v>22.3302703361312</v>
          </cell>
          <cell r="BI189">
            <v>-210658</v>
          </cell>
        </row>
        <row r="190">
          <cell r="B190">
            <v>43.0071385861023</v>
          </cell>
          <cell r="C190">
            <v>-5440956</v>
          </cell>
          <cell r="D190">
            <v>22.207208533264101</v>
          </cell>
          <cell r="E190">
            <v>641693</v>
          </cell>
          <cell r="F190">
            <v>22.044505283709199</v>
          </cell>
          <cell r="G190">
            <v>3123138</v>
          </cell>
          <cell r="H190">
            <v>29.780775410357901</v>
          </cell>
          <cell r="I190">
            <v>544490</v>
          </cell>
          <cell r="J190">
            <v>70.591966833041994</v>
          </cell>
          <cell r="K190">
            <v>1193231</v>
          </cell>
          <cell r="L190">
            <v>53.848500351919803</v>
          </cell>
          <cell r="M190">
            <v>290920</v>
          </cell>
          <cell r="N190">
            <v>11.2673904523165</v>
          </cell>
          <cell r="O190">
            <v>219122</v>
          </cell>
          <cell r="P190">
            <v>4.9417939654600902</v>
          </cell>
          <cell r="Q190">
            <v>1035740</v>
          </cell>
          <cell r="R190">
            <v>27.110903541544101</v>
          </cell>
          <cell r="S190">
            <v>3556855</v>
          </cell>
          <cell r="T190">
            <v>11.303922347479499</v>
          </cell>
          <cell r="U190">
            <v>2117347</v>
          </cell>
          <cell r="V190">
            <v>43.911897937343397</v>
          </cell>
          <cell r="W190">
            <v>-3750343</v>
          </cell>
          <cell r="X190">
            <v>9.10223002936001</v>
          </cell>
          <cell r="Y190">
            <v>447044</v>
          </cell>
          <cell r="Z190">
            <v>32.424115686274497</v>
          </cell>
          <cell r="AA190">
            <v>768017</v>
          </cell>
          <cell r="AB190">
            <v>8.3277173474087292</v>
          </cell>
          <cell r="AC190">
            <v>48816</v>
          </cell>
          <cell r="AD190">
            <v>16.913246315362699</v>
          </cell>
          <cell r="AE190">
            <v>328185</v>
          </cell>
          <cell r="AF190">
            <v>32.187405440493499</v>
          </cell>
          <cell r="AG190">
            <v>84118</v>
          </cell>
          <cell r="AH190">
            <v>45.908778575227302</v>
          </cell>
          <cell r="AI190">
            <v>-1292053</v>
          </cell>
          <cell r="AJ190">
            <v>43.110796141052099</v>
          </cell>
          <cell r="AK190">
            <v>-1243315</v>
          </cell>
          <cell r="AL190">
            <v>25.2512341708935</v>
          </cell>
          <cell r="AM190">
            <v>2482537</v>
          </cell>
          <cell r="AN190">
            <v>37.416972874355601</v>
          </cell>
          <cell r="AO190">
            <v>-2691397</v>
          </cell>
          <cell r="AP190">
            <v>44.811711544691399</v>
          </cell>
          <cell r="AQ190">
            <v>356528</v>
          </cell>
          <cell r="AR190">
            <v>39.878497388722401</v>
          </cell>
          <cell r="AS190">
            <v>1013855</v>
          </cell>
          <cell r="AT190">
            <v>20.819450935693599</v>
          </cell>
          <cell r="AU190">
            <v>17941</v>
          </cell>
          <cell r="AV190">
            <v>48.594007310217798</v>
          </cell>
          <cell r="AW190">
            <v>548452</v>
          </cell>
          <cell r="AX190">
            <v>34.178924030261399</v>
          </cell>
          <cell r="AY190">
            <v>38472</v>
          </cell>
          <cell r="AZ190">
            <v>6.9680495992026898</v>
          </cell>
          <cell r="BA190">
            <v>1485828</v>
          </cell>
          <cell r="BB190">
            <v>9.7669701586941002</v>
          </cell>
          <cell r="BC190">
            <v>-4377</v>
          </cell>
          <cell r="BD190">
            <v>9.3649906832298093</v>
          </cell>
          <cell r="BE190">
            <v>90614</v>
          </cell>
          <cell r="BF190">
            <v>24.8711480954751</v>
          </cell>
          <cell r="BG190">
            <v>-215353</v>
          </cell>
          <cell r="BH190">
            <v>22.259391291345999</v>
          </cell>
          <cell r="BI190">
            <v>134824</v>
          </cell>
        </row>
        <row r="191">
          <cell r="B191">
            <v>42.829446679722601</v>
          </cell>
          <cell r="C191">
            <v>-13318969</v>
          </cell>
          <cell r="D191">
            <v>21.687085493976198</v>
          </cell>
          <cell r="E191">
            <v>-4695747</v>
          </cell>
          <cell r="F191">
            <v>22.346739370703499</v>
          </cell>
          <cell r="G191">
            <v>-368936</v>
          </cell>
          <cell r="H191">
            <v>29.904589988644901</v>
          </cell>
          <cell r="I191">
            <v>1250398</v>
          </cell>
          <cell r="J191">
            <v>70.414068452454103</v>
          </cell>
          <cell r="K191">
            <v>-3073574</v>
          </cell>
          <cell r="L191">
            <v>53.666991328792001</v>
          </cell>
          <cell r="M191">
            <v>-2879250</v>
          </cell>
          <cell r="N191">
            <v>11.1995189957262</v>
          </cell>
          <cell r="O191">
            <v>-82677</v>
          </cell>
          <cell r="P191">
            <v>5.0240444674085198</v>
          </cell>
          <cell r="Q191">
            <v>-69193</v>
          </cell>
          <cell r="R191">
            <v>27.055559068681699</v>
          </cell>
          <cell r="S191">
            <v>-776059</v>
          </cell>
          <cell r="T191">
            <v>11.154377573245901</v>
          </cell>
          <cell r="U191">
            <v>-548367</v>
          </cell>
          <cell r="V191">
            <v>43.8603695156499</v>
          </cell>
          <cell r="W191">
            <v>-1750514</v>
          </cell>
          <cell r="X191">
            <v>8.9745561525394599</v>
          </cell>
          <cell r="Y191">
            <v>-908243</v>
          </cell>
          <cell r="Z191">
            <v>32.504019607843098</v>
          </cell>
          <cell r="AA191">
            <v>393918</v>
          </cell>
          <cell r="AB191">
            <v>8.4007433428874201</v>
          </cell>
          <cell r="AC191">
            <v>215282</v>
          </cell>
          <cell r="AD191">
            <v>16.938037768220799</v>
          </cell>
          <cell r="AE191">
            <v>36694</v>
          </cell>
          <cell r="AF191">
            <v>32.119298268189297</v>
          </cell>
          <cell r="AG191">
            <v>-147350</v>
          </cell>
          <cell r="AH191">
            <v>45.898909584265702</v>
          </cell>
          <cell r="AI191">
            <v>-128071</v>
          </cell>
          <cell r="AJ191">
            <v>43.004657892918502</v>
          </cell>
          <cell r="AK191">
            <v>-1172011</v>
          </cell>
          <cell r="AL191">
            <v>25.281976300250498</v>
          </cell>
          <cell r="AM191">
            <v>203858</v>
          </cell>
          <cell r="AN191">
            <v>37.535238524041198</v>
          </cell>
          <cell r="AO191">
            <v>969117</v>
          </cell>
          <cell r="AP191">
            <v>44.780328418218602</v>
          </cell>
          <cell r="AQ191">
            <v>-165351</v>
          </cell>
          <cell r="AR191">
            <v>39.6806553378754</v>
          </cell>
          <cell r="AS191">
            <v>-1992734</v>
          </cell>
          <cell r="AT191">
            <v>20.8374171678538</v>
          </cell>
          <cell r="AU191">
            <v>156653</v>
          </cell>
          <cell r="AV191">
            <v>48.500690994941202</v>
          </cell>
          <cell r="AW191">
            <v>-627656</v>
          </cell>
          <cell r="AX191">
            <v>33.843372697188897</v>
          </cell>
          <cell r="AY191">
            <v>-184648</v>
          </cell>
          <cell r="AZ191">
            <v>6.9893695576985104</v>
          </cell>
          <cell r="BA191">
            <v>143947</v>
          </cell>
          <cell r="BB191">
            <v>9.5133784376552608</v>
          </cell>
          <cell r="BC191">
            <v>-419129</v>
          </cell>
          <cell r="BD191">
            <v>9.3326521739130399</v>
          </cell>
          <cell r="BE191">
            <v>-69633</v>
          </cell>
          <cell r="BF191">
            <v>24.8025458813953</v>
          </cell>
          <cell r="BG191">
            <v>-64357</v>
          </cell>
          <cell r="BH191">
            <v>22.709991396083002</v>
          </cell>
          <cell r="BI191">
            <v>852698</v>
          </cell>
        </row>
        <row r="192">
          <cell r="B192">
            <v>42.940098908931198</v>
          </cell>
          <cell r="C192">
            <v>8839322</v>
          </cell>
          <cell r="D192">
            <v>21.956877154727401</v>
          </cell>
          <cell r="E192">
            <v>2326821</v>
          </cell>
          <cell r="F192">
            <v>23.117855068310899</v>
          </cell>
          <cell r="G192">
            <v>11609830</v>
          </cell>
          <cell r="H192">
            <v>29.884021019759601</v>
          </cell>
          <cell r="I192">
            <v>-201954</v>
          </cell>
          <cell r="J192">
            <v>70.353113717083403</v>
          </cell>
          <cell r="K192">
            <v>-1168733</v>
          </cell>
          <cell r="L192">
            <v>54.149486278994999</v>
          </cell>
          <cell r="M192">
            <v>8500214</v>
          </cell>
          <cell r="N192">
            <v>11.2784160853047</v>
          </cell>
          <cell r="O192">
            <v>228199</v>
          </cell>
          <cell r="P192">
            <v>5.0672244158054403</v>
          </cell>
          <cell r="Q192">
            <v>-20010</v>
          </cell>
          <cell r="R192">
            <v>26.962062257092398</v>
          </cell>
          <cell r="S192">
            <v>-969135</v>
          </cell>
          <cell r="T192">
            <v>11.426006684811099</v>
          </cell>
          <cell r="U192">
            <v>1193979</v>
          </cell>
          <cell r="V192">
            <v>44.004797283901802</v>
          </cell>
          <cell r="W192">
            <v>5669579</v>
          </cell>
          <cell r="X192">
            <v>8.8070666297909508</v>
          </cell>
          <cell r="Y192">
            <v>-1240848</v>
          </cell>
          <cell r="Z192">
            <v>32.515192156862703</v>
          </cell>
          <cell r="AA192">
            <v>-7696</v>
          </cell>
          <cell r="AB192">
            <v>8.3366069611511193</v>
          </cell>
          <cell r="AC192">
            <v>-141995</v>
          </cell>
          <cell r="AD192">
            <v>17.174888557776899</v>
          </cell>
          <cell r="AE192">
            <v>453735</v>
          </cell>
          <cell r="AF192">
            <v>31.985075930435698</v>
          </cell>
          <cell r="AG192">
            <v>-336689</v>
          </cell>
          <cell r="AH192">
            <v>45.750820528452003</v>
          </cell>
          <cell r="AI192">
            <v>-2436309</v>
          </cell>
          <cell r="AJ192">
            <v>42.899641984574501</v>
          </cell>
          <cell r="AK192">
            <v>-786004</v>
          </cell>
          <cell r="AL192">
            <v>25.307891131128201</v>
          </cell>
          <cell r="AM192">
            <v>235723</v>
          </cell>
          <cell r="AN192">
            <v>37.4568774598076</v>
          </cell>
          <cell r="AO192">
            <v>-602030</v>
          </cell>
          <cell r="AP192">
            <v>44.744041345146201</v>
          </cell>
          <cell r="AQ192">
            <v>-264768</v>
          </cell>
          <cell r="AR192">
            <v>39.613854351687301</v>
          </cell>
          <cell r="AS192">
            <v>-694088</v>
          </cell>
          <cell r="AT192">
            <v>20.731788944356101</v>
          </cell>
          <cell r="AU192">
            <v>-875952</v>
          </cell>
          <cell r="AV192">
            <v>48.358768579527499</v>
          </cell>
          <cell r="AW192">
            <v>-1001202</v>
          </cell>
          <cell r="AX192">
            <v>33.579124961328901</v>
          </cell>
          <cell r="AY192">
            <v>-151770</v>
          </cell>
          <cell r="AZ192">
            <v>7.1141917405169703</v>
          </cell>
          <cell r="BA192">
            <v>994432</v>
          </cell>
          <cell r="BB192">
            <v>9.5695127153276403</v>
          </cell>
          <cell r="BC192">
            <v>391006</v>
          </cell>
          <cell r="BD192">
            <v>9.4907267080745292</v>
          </cell>
          <cell r="BE192">
            <v>369560</v>
          </cell>
          <cell r="BF192">
            <v>24.7454406028073</v>
          </cell>
          <cell r="BG192">
            <v>-58485</v>
          </cell>
          <cell r="BH192">
            <v>22.604786166807699</v>
          </cell>
          <cell r="BI192">
            <v>128474</v>
          </cell>
        </row>
        <row r="193">
          <cell r="B193">
            <v>42.962422838332202</v>
          </cell>
          <cell r="C193">
            <v>1816682</v>
          </cell>
          <cell r="D193">
            <v>22.110934095939601</v>
          </cell>
          <cell r="E193">
            <v>1383594</v>
          </cell>
          <cell r="F193">
            <v>22.630784451398601</v>
          </cell>
          <cell r="G193">
            <v>1435542</v>
          </cell>
          <cell r="H193">
            <v>30.073914308399502</v>
          </cell>
          <cell r="I193">
            <v>2007637</v>
          </cell>
          <cell r="J193">
            <v>70.476301507374103</v>
          </cell>
          <cell r="K193">
            <v>3067300</v>
          </cell>
          <cell r="L193">
            <v>54.153460538564303</v>
          </cell>
          <cell r="M193">
            <v>63133</v>
          </cell>
          <cell r="N193">
            <v>11.1349571741163</v>
          </cell>
          <cell r="O193">
            <v>259110</v>
          </cell>
          <cell r="P193">
            <v>5.1299421451797302</v>
          </cell>
          <cell r="Q193">
            <v>304876</v>
          </cell>
          <cell r="R193">
            <v>27.1381655426643</v>
          </cell>
          <cell r="S193">
            <v>2809475</v>
          </cell>
          <cell r="T193">
            <v>11.710839419313</v>
          </cell>
          <cell r="U193">
            <v>2070672</v>
          </cell>
          <cell r="V193">
            <v>44.108620298007096</v>
          </cell>
          <cell r="W193">
            <v>4236605</v>
          </cell>
          <cell r="X193">
            <v>9.6007738854772597</v>
          </cell>
          <cell r="Y193">
            <v>6403147</v>
          </cell>
          <cell r="Z193">
            <v>32.603139215686198</v>
          </cell>
          <cell r="AA193">
            <v>1180597</v>
          </cell>
          <cell r="AB193">
            <v>8.2315655733854296</v>
          </cell>
          <cell r="AC193">
            <v>-292845</v>
          </cell>
          <cell r="AD193">
            <v>17.048466899852599</v>
          </cell>
          <cell r="AE193">
            <v>-248514</v>
          </cell>
          <cell r="AF193">
            <v>32.226583864971097</v>
          </cell>
          <cell r="AG193">
            <v>572387</v>
          </cell>
          <cell r="AH193">
            <v>45.7235831972257</v>
          </cell>
          <cell r="AI193">
            <v>149892</v>
          </cell>
          <cell r="AJ193">
            <v>42.882900842559103</v>
          </cell>
          <cell r="AK193">
            <v>-190538</v>
          </cell>
          <cell r="AL193">
            <v>25.596110888043398</v>
          </cell>
          <cell r="AM193">
            <v>2062454</v>
          </cell>
          <cell r="AN193">
            <v>37.492663755341297</v>
          </cell>
          <cell r="AO193">
            <v>325324</v>
          </cell>
          <cell r="AP193">
            <v>44.831054642879998</v>
          </cell>
          <cell r="AQ193">
            <v>653219</v>
          </cell>
          <cell r="AR193">
            <v>39.460809628588798</v>
          </cell>
          <cell r="AS193">
            <v>-1404670</v>
          </cell>
          <cell r="AT193">
            <v>20.7284938726471</v>
          </cell>
          <cell r="AU193">
            <v>-26933</v>
          </cell>
          <cell r="AV193">
            <v>48.204898783453203</v>
          </cell>
          <cell r="AW193">
            <v>-1068771</v>
          </cell>
          <cell r="AX193">
            <v>33.588848179130601</v>
          </cell>
          <cell r="AY193">
            <v>5798</v>
          </cell>
          <cell r="AZ193">
            <v>7.0568624331011902</v>
          </cell>
          <cell r="BA193">
            <v>12653</v>
          </cell>
          <cell r="BB193">
            <v>9.1800208961099994</v>
          </cell>
          <cell r="BC193">
            <v>-306061</v>
          </cell>
          <cell r="BD193">
            <v>9.4451118012422306</v>
          </cell>
          <cell r="BE193">
            <v>-105304</v>
          </cell>
          <cell r="BF193">
            <v>24.630632204985702</v>
          </cell>
          <cell r="BG193">
            <v>-115457</v>
          </cell>
          <cell r="BH193">
            <v>22.272980256773099</v>
          </cell>
          <cell r="BI193">
            <v>-59985</v>
          </cell>
        </row>
        <row r="194">
          <cell r="B194">
            <v>42.965505676376502</v>
          </cell>
          <cell r="C194">
            <v>259161</v>
          </cell>
          <cell r="D194">
            <v>21.981015389397399</v>
          </cell>
          <cell r="E194">
            <v>-616701</v>
          </cell>
          <cell r="F194">
            <v>22.493175735099499</v>
          </cell>
          <cell r="G194">
            <v>-1579004</v>
          </cell>
          <cell r="H194">
            <v>30.124904245397801</v>
          </cell>
          <cell r="I194">
            <v>561836</v>
          </cell>
          <cell r="J194">
            <v>70.417695015287407</v>
          </cell>
          <cell r="K194">
            <v>-1159983</v>
          </cell>
          <cell r="L194">
            <v>54.113840355921397</v>
          </cell>
          <cell r="M194">
            <v>-686011</v>
          </cell>
          <cell r="N194">
            <v>11.560602865272999</v>
          </cell>
          <cell r="O194">
            <v>1331739</v>
          </cell>
          <cell r="P194">
            <v>5.1995063617614203</v>
          </cell>
          <cell r="Q194">
            <v>502922</v>
          </cell>
          <cell r="R194">
            <v>27.213119445313801</v>
          </cell>
          <cell r="S194">
            <v>491564</v>
          </cell>
          <cell r="T194">
            <v>11.719113175138901</v>
          </cell>
          <cell r="U194">
            <v>475226</v>
          </cell>
          <cell r="V194">
            <v>44.042768612944798</v>
          </cell>
          <cell r="W194">
            <v>-2678422</v>
          </cell>
          <cell r="X194">
            <v>9.5378280261062098</v>
          </cell>
          <cell r="Y194">
            <v>-114956</v>
          </cell>
          <cell r="Z194">
            <v>32.337033333333302</v>
          </cell>
          <cell r="AA194">
            <v>-1512098</v>
          </cell>
          <cell r="AB194">
            <v>8.2496282458848196</v>
          </cell>
          <cell r="AC194">
            <v>58290</v>
          </cell>
          <cell r="AD194">
            <v>16.965666744734701</v>
          </cell>
          <cell r="AE194">
            <v>-165022</v>
          </cell>
          <cell r="AF194">
            <v>32.038196113235102</v>
          </cell>
          <cell r="AG194">
            <v>-434490</v>
          </cell>
          <cell r="AH194">
            <v>45.617079874573001</v>
          </cell>
          <cell r="AI194">
            <v>-1043143</v>
          </cell>
          <cell r="AJ194">
            <v>42.686563764802898</v>
          </cell>
          <cell r="AK194">
            <v>-2112008</v>
          </cell>
          <cell r="AL194">
            <v>25.728153184854001</v>
          </cell>
          <cell r="AM194">
            <v>960091</v>
          </cell>
          <cell r="AN194">
            <v>37.241468618522603</v>
          </cell>
          <cell r="AO194">
            <v>-2269563</v>
          </cell>
          <cell r="AP194">
            <v>44.855914569963701</v>
          </cell>
          <cell r="AQ194">
            <v>291088</v>
          </cell>
          <cell r="AR194">
            <v>39.359794279048799</v>
          </cell>
          <cell r="AS194">
            <v>-993524</v>
          </cell>
          <cell r="AT194">
            <v>20.705142591215399</v>
          </cell>
          <cell r="AU194">
            <v>-189112</v>
          </cell>
          <cell r="AV194">
            <v>48.002491454817701</v>
          </cell>
          <cell r="AW194">
            <v>-1385565</v>
          </cell>
          <cell r="AX194">
            <v>33.619275677378297</v>
          </cell>
          <cell r="AY194">
            <v>17166</v>
          </cell>
          <cell r="AZ194">
            <v>6.88157113687706</v>
          </cell>
          <cell r="BA194">
            <v>-1251076</v>
          </cell>
          <cell r="BB194">
            <v>9.1364907024533402</v>
          </cell>
          <cell r="BC194">
            <v>-120211</v>
          </cell>
          <cell r="BD194">
            <v>9.4684223602484394</v>
          </cell>
          <cell r="BE194">
            <v>73024</v>
          </cell>
          <cell r="BF194">
            <v>24.613421292554399</v>
          </cell>
          <cell r="BG194">
            <v>-17745</v>
          </cell>
          <cell r="BH194">
            <v>22.3199901693303</v>
          </cell>
          <cell r="BI194">
            <v>95648</v>
          </cell>
        </row>
        <row r="195">
          <cell r="B195">
            <v>42.988107271657299</v>
          </cell>
          <cell r="C195">
            <v>1935610</v>
          </cell>
          <cell r="D195">
            <v>22.142713711550702</v>
          </cell>
          <cell r="E195">
            <v>1703760</v>
          </cell>
          <cell r="F195">
            <v>22.554042192438502</v>
          </cell>
          <cell r="G195">
            <v>310309</v>
          </cell>
          <cell r="H195">
            <v>30.1763561520637</v>
          </cell>
          <cell r="I195">
            <v>562932</v>
          </cell>
          <cell r="J195">
            <v>70.018322718940695</v>
          </cell>
          <cell r="K195">
            <v>-7412785</v>
          </cell>
          <cell r="L195">
            <v>54.006977801316999</v>
          </cell>
          <cell r="M195">
            <v>-1669246</v>
          </cell>
          <cell r="N195">
            <v>11.743958438645199</v>
          </cell>
          <cell r="O195">
            <v>-3181</v>
          </cell>
          <cell r="P195">
            <v>5.3960436168814896</v>
          </cell>
          <cell r="Q195">
            <v>370980</v>
          </cell>
          <cell r="R195">
            <v>27.405186887926099</v>
          </cell>
          <cell r="S195">
            <v>3247442</v>
          </cell>
          <cell r="T195">
            <v>12.1802075224075</v>
          </cell>
          <cell r="U195">
            <v>3180248</v>
          </cell>
          <cell r="V195">
            <v>44.019754817341401</v>
          </cell>
          <cell r="W195">
            <v>-1840007</v>
          </cell>
          <cell r="X195">
            <v>9.6096648540911591</v>
          </cell>
          <cell r="Y195">
            <v>699480</v>
          </cell>
          <cell r="Z195">
            <v>32.271513725490102</v>
          </cell>
          <cell r="AA195">
            <v>-185456</v>
          </cell>
          <cell r="AB195">
            <v>8.3428872134355192</v>
          </cell>
          <cell r="AC195">
            <v>270435</v>
          </cell>
          <cell r="AD195">
            <v>16.814592473030199</v>
          </cell>
          <cell r="AE195">
            <v>-307712</v>
          </cell>
          <cell r="AF195">
            <v>32.320065083214303</v>
          </cell>
          <cell r="AG195">
            <v>766395</v>
          </cell>
          <cell r="AH195">
            <v>45.562818282810099</v>
          </cell>
          <cell r="AI195">
            <v>-895469</v>
          </cell>
          <cell r="AJ195">
            <v>42.565476096904298</v>
          </cell>
          <cell r="AK195">
            <v>-1245493</v>
          </cell>
          <cell r="AL195">
            <v>25.809417139594299</v>
          </cell>
          <cell r="AM195">
            <v>591537</v>
          </cell>
          <cell r="AN195">
            <v>37.234762338117498</v>
          </cell>
          <cell r="AO195">
            <v>-53629</v>
          </cell>
          <cell r="AP195">
            <v>44.870937292086303</v>
          </cell>
          <cell r="AQ195">
            <v>99180</v>
          </cell>
          <cell r="AR195">
            <v>39.458169189575997</v>
          </cell>
          <cell r="AS195">
            <v>905203</v>
          </cell>
          <cell r="AT195">
            <v>20.576283595700598</v>
          </cell>
          <cell r="AU195">
            <v>-1045240</v>
          </cell>
          <cell r="AV195">
            <v>47.720957143519598</v>
          </cell>
          <cell r="AW195">
            <v>-1973487</v>
          </cell>
          <cell r="AX195">
            <v>33.315340235840502</v>
          </cell>
          <cell r="AY195">
            <v>-169948</v>
          </cell>
          <cell r="AZ195">
            <v>6.9617525127842503</v>
          </cell>
          <cell r="BA195">
            <v>1394763</v>
          </cell>
          <cell r="BB195">
            <v>8.9463801422653297</v>
          </cell>
          <cell r="BC195">
            <v>-456675</v>
          </cell>
          <cell r="BD195">
            <v>9.5337018633540307</v>
          </cell>
          <cell r="BE195">
            <v>163383</v>
          </cell>
          <cell r="BF195">
            <v>24.634771101762801</v>
          </cell>
          <cell r="BG195">
            <v>33736</v>
          </cell>
          <cell r="BH195">
            <v>22.429648750215701</v>
          </cell>
          <cell r="BI195">
            <v>120281</v>
          </cell>
        </row>
        <row r="196">
          <cell r="B196">
            <v>42.984166317055397</v>
          </cell>
          <cell r="C196">
            <v>-232662</v>
          </cell>
          <cell r="D196">
            <v>21.932181917346401</v>
          </cell>
          <cell r="E196">
            <v>-1414000</v>
          </cell>
          <cell r="F196">
            <v>21.9979791744381</v>
          </cell>
          <cell r="G196">
            <v>653462</v>
          </cell>
          <cell r="H196">
            <v>30.187744417028</v>
          </cell>
          <cell r="I196">
            <v>156702</v>
          </cell>
          <cell r="J196">
            <v>70.046369644422199</v>
          </cell>
          <cell r="K196">
            <v>0</v>
          </cell>
          <cell r="L196">
            <v>53.894413574943897</v>
          </cell>
          <cell r="M196">
            <v>-1890296</v>
          </cell>
          <cell r="N196">
            <v>11.286012385845</v>
          </cell>
          <cell r="O196">
            <v>119611</v>
          </cell>
          <cell r="P196">
            <v>5.2000222272935002</v>
          </cell>
          <cell r="Q196">
            <v>41391</v>
          </cell>
          <cell r="R196">
            <v>27.487528209817501</v>
          </cell>
          <cell r="S196">
            <v>2365633</v>
          </cell>
          <cell r="T196">
            <v>11.8706056471918</v>
          </cell>
          <cell r="U196">
            <v>-5006</v>
          </cell>
          <cell r="V196">
            <v>43.930354852312199</v>
          </cell>
          <cell r="W196">
            <v>-3532848</v>
          </cell>
          <cell r="X196">
            <v>9.6003017667547503</v>
          </cell>
          <cell r="Y196">
            <v>447336</v>
          </cell>
          <cell r="Z196">
            <v>32.119174509803898</v>
          </cell>
          <cell r="AA196">
            <v>-706851</v>
          </cell>
          <cell r="AB196">
            <v>8.3538081831159197</v>
          </cell>
          <cell r="AC196">
            <v>41334</v>
          </cell>
          <cell r="AD196">
            <v>16.563875130562899</v>
          </cell>
          <cell r="AE196">
            <v>-466329</v>
          </cell>
          <cell r="AF196">
            <v>32.204127994591602</v>
          </cell>
          <cell r="AG196">
            <v>-355670</v>
          </cell>
          <cell r="AH196">
            <v>45.390841908925601</v>
          </cell>
          <cell r="AI196">
            <v>-2759594</v>
          </cell>
          <cell r="AJ196">
            <v>42.578906153748797</v>
          </cell>
          <cell r="AK196">
            <v>163252</v>
          </cell>
          <cell r="AL196">
            <v>25.813048246269801</v>
          </cell>
          <cell r="AM196">
            <v>36602</v>
          </cell>
          <cell r="AN196">
            <v>37.401700161586596</v>
          </cell>
          <cell r="AO196">
            <v>1515649</v>
          </cell>
          <cell r="AP196">
            <v>44.932559498080302</v>
          </cell>
          <cell r="AQ196">
            <v>629483</v>
          </cell>
          <cell r="AR196">
            <v>39.477495294398302</v>
          </cell>
          <cell r="AS196">
            <v>211373</v>
          </cell>
          <cell r="AT196">
            <v>20.4895374759144</v>
          </cell>
          <cell r="AU196">
            <v>-701668</v>
          </cell>
          <cell r="AV196">
            <v>47.394238877466499</v>
          </cell>
          <cell r="AW196">
            <v>-2318899</v>
          </cell>
          <cell r="AX196">
            <v>33.301257003707001</v>
          </cell>
          <cell r="AY196">
            <v>-8389</v>
          </cell>
          <cell r="AZ196">
            <v>7.0452220177926703</v>
          </cell>
          <cell r="BA196">
            <v>125946</v>
          </cell>
          <cell r="BB196">
            <v>8.7518125839231793</v>
          </cell>
          <cell r="BC196">
            <v>-635678</v>
          </cell>
          <cell r="BD196">
            <v>9.4996304347826008</v>
          </cell>
          <cell r="BE196">
            <v>-91992</v>
          </cell>
          <cell r="BF196">
            <v>24.6847597772813</v>
          </cell>
          <cell r="BG196">
            <v>52736</v>
          </cell>
          <cell r="BH196">
            <v>22.375407343805701</v>
          </cell>
          <cell r="BI196">
            <v>20560</v>
          </cell>
        </row>
        <row r="197">
          <cell r="B197">
            <v>42.935318846682897</v>
          </cell>
          <cell r="C197">
            <v>-3682104</v>
          </cell>
          <cell r="D197">
            <v>21.994886062375699</v>
          </cell>
          <cell r="E197">
            <v>363366</v>
          </cell>
          <cell r="F197">
            <v>22.003011397047398</v>
          </cell>
          <cell r="G197">
            <v>271507</v>
          </cell>
          <cell r="H197">
            <v>30.2420321411274</v>
          </cell>
          <cell r="I197">
            <v>620730</v>
          </cell>
          <cell r="J197">
            <v>68.624918141469806</v>
          </cell>
          <cell r="K197">
            <v>0</v>
          </cell>
          <cell r="L197">
            <v>53.9112863840516</v>
          </cell>
          <cell r="M197">
            <v>357877</v>
          </cell>
          <cell r="N197">
            <v>11.3510664632906</v>
          </cell>
          <cell r="O197">
            <v>131047</v>
          </cell>
          <cell r="P197">
            <v>5.1225322126096202</v>
          </cell>
          <cell r="Q197">
            <v>-154239</v>
          </cell>
          <cell r="R197">
            <v>27.547834619755999</v>
          </cell>
          <cell r="S197">
            <v>1027266</v>
          </cell>
          <cell r="T197">
            <v>11.796408238442099</v>
          </cell>
          <cell r="U197">
            <v>-37823</v>
          </cell>
          <cell r="V197">
            <v>43.842818700781997</v>
          </cell>
          <cell r="W197">
            <v>-3382218</v>
          </cell>
          <cell r="X197">
            <v>9.5802277111489698</v>
          </cell>
          <cell r="Y197">
            <v>159753</v>
          </cell>
          <cell r="Z197">
            <v>31.9177509803921</v>
          </cell>
          <cell r="AA197">
            <v>-983296</v>
          </cell>
          <cell r="AB197">
            <v>8.3718013837980099</v>
          </cell>
          <cell r="AC197">
            <v>60101</v>
          </cell>
          <cell r="AD197">
            <v>16.1044045569415</v>
          </cell>
          <cell r="AE197">
            <v>-849142</v>
          </cell>
          <cell r="AF197">
            <v>32.200441637078399</v>
          </cell>
          <cell r="AG197">
            <v>-5042</v>
          </cell>
          <cell r="AH197">
            <v>45.317443367011499</v>
          </cell>
          <cell r="AI197">
            <v>-1039667</v>
          </cell>
          <cell r="AJ197">
            <v>42.578851316299797</v>
          </cell>
          <cell r="AK197">
            <v>33777</v>
          </cell>
          <cell r="AL197">
            <v>25.754284659358401</v>
          </cell>
          <cell r="AM197">
            <v>-390156</v>
          </cell>
          <cell r="AN197">
            <v>37.545115714645902</v>
          </cell>
          <cell r="AO197">
            <v>1294700</v>
          </cell>
          <cell r="AP197">
            <v>44.961111818935798</v>
          </cell>
          <cell r="AQ197">
            <v>247220</v>
          </cell>
          <cell r="AR197">
            <v>39.5711142334508</v>
          </cell>
          <cell r="AS197">
            <v>996448</v>
          </cell>
          <cell r="AT197">
            <v>20.450612934984701</v>
          </cell>
          <cell r="AU197">
            <v>-305905</v>
          </cell>
          <cell r="AV197">
            <v>47.131213656067999</v>
          </cell>
          <cell r="AW197">
            <v>-1912457</v>
          </cell>
          <cell r="AX197">
            <v>33.037626615009103</v>
          </cell>
          <cell r="AY197">
            <v>-152272</v>
          </cell>
          <cell r="AZ197">
            <v>7.1165423097701499</v>
          </cell>
          <cell r="BA197">
            <v>468526</v>
          </cell>
          <cell r="BB197">
            <v>8.8116078185961193</v>
          </cell>
          <cell r="BC197">
            <v>205214</v>
          </cell>
          <cell r="BD197">
            <v>9.4577204968943995</v>
          </cell>
          <cell r="BE197">
            <v>-102132</v>
          </cell>
          <cell r="BF197">
            <v>24.688151373251401</v>
          </cell>
          <cell r="BG197">
            <v>6653</v>
          </cell>
          <cell r="BH197">
            <v>22.327617054213999</v>
          </cell>
          <cell r="BI197">
            <v>-89211</v>
          </cell>
        </row>
        <row r="198">
          <cell r="B198">
            <v>43.004504494137599</v>
          </cell>
          <cell r="C198">
            <v>5569011</v>
          </cell>
          <cell r="D198">
            <v>22.177243528047299</v>
          </cell>
          <cell r="E198">
            <v>1490488</v>
          </cell>
          <cell r="F198">
            <v>22.218395225799899</v>
          </cell>
          <cell r="G198">
            <v>3100584</v>
          </cell>
          <cell r="H198">
            <v>30.340015544315101</v>
          </cell>
          <cell r="I198">
            <v>944283</v>
          </cell>
          <cell r="J198">
            <v>61.7484879768814</v>
          </cell>
          <cell r="K198">
            <v>0</v>
          </cell>
          <cell r="L198">
            <v>54.069040713058499</v>
          </cell>
          <cell r="M198">
            <v>2653433</v>
          </cell>
          <cell r="N198">
            <v>11.4581463216257</v>
          </cell>
          <cell r="O198">
            <v>672859</v>
          </cell>
          <cell r="P198">
            <v>5.1281892040512798</v>
          </cell>
          <cell r="Q198">
            <v>44907</v>
          </cell>
          <cell r="R198">
            <v>27.632932068016</v>
          </cell>
          <cell r="S198">
            <v>1315648</v>
          </cell>
          <cell r="T198">
            <v>12.5839684770738</v>
          </cell>
          <cell r="U198">
            <v>4310726</v>
          </cell>
          <cell r="V198">
            <v>43.929986677461102</v>
          </cell>
          <cell r="W198">
            <v>3502824</v>
          </cell>
          <cell r="X198">
            <v>9.8537889761936093</v>
          </cell>
          <cell r="Y198">
            <v>2066636</v>
          </cell>
          <cell r="Z198">
            <v>31.593207843137201</v>
          </cell>
          <cell r="AA198">
            <v>-1303787</v>
          </cell>
          <cell r="AB198">
            <v>8.1945509891251405</v>
          </cell>
          <cell r="AC198">
            <v>-481176</v>
          </cell>
          <cell r="AD198">
            <v>15.961226757796</v>
          </cell>
          <cell r="AE198">
            <v>-248398</v>
          </cell>
          <cell r="AF198">
            <v>32.588363220285999</v>
          </cell>
          <cell r="AG198">
            <v>822374</v>
          </cell>
          <cell r="AH198">
            <v>45.456398710486297</v>
          </cell>
          <cell r="AI198">
            <v>2232033</v>
          </cell>
          <cell r="AJ198">
            <v>43.006992871497197</v>
          </cell>
          <cell r="AK198">
            <v>4964555</v>
          </cell>
          <cell r="AL198">
            <v>25.778983361902299</v>
          </cell>
          <cell r="AM198">
            <v>127254</v>
          </cell>
          <cell r="AN198">
            <v>37.771009540373299</v>
          </cell>
          <cell r="AO198">
            <v>1911033</v>
          </cell>
          <cell r="AP198">
            <v>45.243158474875898</v>
          </cell>
          <cell r="AQ198">
            <v>2125663</v>
          </cell>
          <cell r="AR198">
            <v>39.752122160069902</v>
          </cell>
          <cell r="AS198">
            <v>1894590</v>
          </cell>
          <cell r="AT198">
            <v>20.411213242648699</v>
          </cell>
          <cell r="AU198">
            <v>-315821</v>
          </cell>
          <cell r="AV198">
            <v>47.081691243779197</v>
          </cell>
          <cell r="AW198">
            <v>-360703</v>
          </cell>
          <cell r="AX198">
            <v>32.953428178950098</v>
          </cell>
          <cell r="AY198">
            <v>-48150</v>
          </cell>
          <cell r="AZ198">
            <v>7.1960919761455804</v>
          </cell>
          <cell r="BA198">
            <v>635593</v>
          </cell>
          <cell r="BB198">
            <v>8.8559542665499098</v>
          </cell>
          <cell r="BC198">
            <v>353774</v>
          </cell>
          <cell r="BD198">
            <v>9.4257639751552702</v>
          </cell>
          <cell r="BE198">
            <v>-126771</v>
          </cell>
          <cell r="BF198">
            <v>24.616824385459999</v>
          </cell>
          <cell r="BG198">
            <v>-73305</v>
          </cell>
          <cell r="BH198">
            <v>22.388507272957799</v>
          </cell>
          <cell r="BI198">
            <v>123776</v>
          </cell>
        </row>
        <row r="199">
          <cell r="B199">
            <v>42.9506216989965</v>
          </cell>
          <cell r="C199">
            <v>-4055129</v>
          </cell>
          <cell r="D199">
            <v>22.110072482371098</v>
          </cell>
          <cell r="E199">
            <v>335752</v>
          </cell>
          <cell r="F199">
            <v>22.3673217764632</v>
          </cell>
          <cell r="G199">
            <v>987294</v>
          </cell>
          <cell r="H199">
            <v>30.310114676354299</v>
          </cell>
          <cell r="I199">
            <v>-314941</v>
          </cell>
          <cell r="J199">
            <v>61.7484879768814</v>
          </cell>
          <cell r="K199">
            <v>0</v>
          </cell>
          <cell r="L199">
            <v>54.078032645702798</v>
          </cell>
          <cell r="M199">
            <v>171901</v>
          </cell>
          <cell r="N199">
            <v>10.724079158029999</v>
          </cell>
          <cell r="O199">
            <v>263915</v>
          </cell>
          <cell r="P199">
            <v>5.2825281578063699</v>
          </cell>
          <cell r="Q199">
            <v>694612</v>
          </cell>
          <cell r="R199">
            <v>27.743391336543301</v>
          </cell>
          <cell r="S199">
            <v>-145679</v>
          </cell>
          <cell r="T199">
            <v>13.069122637874599</v>
          </cell>
          <cell r="U199">
            <v>2361981</v>
          </cell>
          <cell r="V199">
            <v>43.8447547728966</v>
          </cell>
          <cell r="W199">
            <v>-3128995</v>
          </cell>
          <cell r="X199">
            <v>9.9919251480632703</v>
          </cell>
          <cell r="Y199">
            <v>1112576</v>
          </cell>
          <cell r="Z199">
            <v>31.688729411764701</v>
          </cell>
          <cell r="AA199">
            <v>453104</v>
          </cell>
          <cell r="AB199">
            <v>8.0556351432413607</v>
          </cell>
          <cell r="AC199">
            <v>-381054</v>
          </cell>
          <cell r="AD199">
            <v>16.188410876549199</v>
          </cell>
          <cell r="AE199">
            <v>376019</v>
          </cell>
          <cell r="AF199">
            <v>32.626486110096799</v>
          </cell>
          <cell r="AG199">
            <v>74978</v>
          </cell>
          <cell r="AH199">
            <v>45.274656801928899</v>
          </cell>
          <cell r="AI199">
            <v>-2765667</v>
          </cell>
          <cell r="AJ199">
            <v>43.0822956564718</v>
          </cell>
          <cell r="AK199">
            <v>1065132</v>
          </cell>
          <cell r="AL199">
            <v>25.452259519925601</v>
          </cell>
          <cell r="AM199">
            <v>-2386428</v>
          </cell>
          <cell r="AN199">
            <v>37.684543837314301</v>
          </cell>
          <cell r="AO199">
            <v>-692594</v>
          </cell>
          <cell r="AP199">
            <v>45.328333125723098</v>
          </cell>
          <cell r="AQ199">
            <v>559979</v>
          </cell>
          <cell r="AR199">
            <v>39.884366798335101</v>
          </cell>
          <cell r="AS199">
            <v>1399431</v>
          </cell>
          <cell r="AT199">
            <v>20.393036979794399</v>
          </cell>
          <cell r="AU199">
            <v>-136503</v>
          </cell>
          <cell r="AV199">
            <v>46.669577256376002</v>
          </cell>
          <cell r="AW199">
            <v>-3343855</v>
          </cell>
          <cell r="AX199">
            <v>32.351128854011499</v>
          </cell>
          <cell r="AY199">
            <v>-311418</v>
          </cell>
          <cell r="AZ199">
            <v>7.2708356954950402</v>
          </cell>
          <cell r="BA199">
            <v>717679</v>
          </cell>
          <cell r="BB199">
            <v>9.2127239788712192</v>
          </cell>
          <cell r="BC199">
            <v>1047270</v>
          </cell>
          <cell r="BD199">
            <v>9.29598447204968</v>
          </cell>
          <cell r="BE199">
            <v>-570061</v>
          </cell>
          <cell r="BF199">
            <v>24.6354494209568</v>
          </cell>
          <cell r="BG199">
            <v>18559</v>
          </cell>
          <cell r="BH199">
            <v>22.5089038418377</v>
          </cell>
          <cell r="BI199">
            <v>265912</v>
          </cell>
        </row>
        <row r="200">
          <cell r="B200">
            <v>42.959068444415301</v>
          </cell>
          <cell r="C200">
            <v>711498</v>
          </cell>
          <cell r="D200">
            <v>22.062083217554001</v>
          </cell>
          <cell r="E200">
            <v>357466</v>
          </cell>
          <cell r="F200">
            <v>22.279929512104399</v>
          </cell>
          <cell r="G200">
            <v>-2023410</v>
          </cell>
          <cell r="H200">
            <v>30.346084311001398</v>
          </cell>
          <cell r="I200">
            <v>387628</v>
          </cell>
          <cell r="J200">
            <v>61.7484879768814</v>
          </cell>
          <cell r="K200">
            <v>0</v>
          </cell>
          <cell r="L200">
            <v>54.069536675211097</v>
          </cell>
          <cell r="M200">
            <v>-136704</v>
          </cell>
          <cell r="N200">
            <v>10.752558178018999</v>
          </cell>
          <cell r="O200">
            <v>166802</v>
          </cell>
          <cell r="P200">
            <v>5.2374299909745998</v>
          </cell>
          <cell r="Q200">
            <v>-61316</v>
          </cell>
          <cell r="R200">
            <v>27.835204000287199</v>
          </cell>
          <cell r="S200">
            <v>1538375</v>
          </cell>
          <cell r="T200">
            <v>13.3636100554601</v>
          </cell>
          <cell r="U200">
            <v>1507401</v>
          </cell>
          <cell r="V200">
            <v>43.833630386972899</v>
          </cell>
          <cell r="W200">
            <v>-374640</v>
          </cell>
          <cell r="X200">
            <v>9.9625654902549208</v>
          </cell>
          <cell r="Y200">
            <v>-229255</v>
          </cell>
          <cell r="Z200">
            <v>31.691090196078399</v>
          </cell>
          <cell r="AA200">
            <v>80667</v>
          </cell>
          <cell r="AB200">
            <v>8.0792291618346095</v>
          </cell>
          <cell r="AC200">
            <v>63564</v>
          </cell>
          <cell r="AD200">
            <v>16.148347125115599</v>
          </cell>
          <cell r="AE200">
            <v>-67337</v>
          </cell>
          <cell r="AF200">
            <v>32.654037625597802</v>
          </cell>
          <cell r="AG200">
            <v>62996</v>
          </cell>
          <cell r="AH200">
            <v>45.2357609322722</v>
          </cell>
          <cell r="AI200">
            <v>-652207</v>
          </cell>
          <cell r="AJ200">
            <v>42.918415768033199</v>
          </cell>
          <cell r="AK200">
            <v>-1834600</v>
          </cell>
          <cell r="AL200">
            <v>25.496506654747201</v>
          </cell>
          <cell r="AM200">
            <v>270984</v>
          </cell>
          <cell r="AN200">
            <v>37.487612144992703</v>
          </cell>
          <cell r="AO200">
            <v>-1589519</v>
          </cell>
          <cell r="AP200">
            <v>45.453705749276402</v>
          </cell>
          <cell r="AQ200">
            <v>979008</v>
          </cell>
          <cell r="AR200">
            <v>39.985541210466302</v>
          </cell>
          <cell r="AS200">
            <v>1073391</v>
          </cell>
          <cell r="AT200">
            <v>20.397137743018401</v>
          </cell>
          <cell r="AU200">
            <v>31660</v>
          </cell>
          <cell r="AV200">
            <v>46.338279507370601</v>
          </cell>
          <cell r="AW200">
            <v>-2397750</v>
          </cell>
          <cell r="AX200">
            <v>31.8636869685653</v>
          </cell>
          <cell r="AY200">
            <v>-248581</v>
          </cell>
          <cell r="AZ200">
            <v>7.2698009495651803</v>
          </cell>
          <cell r="BA200">
            <v>566855</v>
          </cell>
          <cell r="BB200">
            <v>9.23382293371853</v>
          </cell>
          <cell r="BC200">
            <v>95932</v>
          </cell>
          <cell r="BD200">
            <v>9.0618633540372606</v>
          </cell>
          <cell r="BE200">
            <v>-622103</v>
          </cell>
          <cell r="BF200">
            <v>24.554568479771699</v>
          </cell>
          <cell r="BG200">
            <v>-77020</v>
          </cell>
          <cell r="BH200">
            <v>22.489748186898002</v>
          </cell>
          <cell r="BI200">
            <v>59870</v>
          </cell>
        </row>
        <row r="201">
          <cell r="B201">
            <v>42.903463985041498</v>
          </cell>
          <cell r="C201">
            <v>-3300608</v>
          </cell>
          <cell r="D201">
            <v>22.240280569227998</v>
          </cell>
          <cell r="E201">
            <v>1329106</v>
          </cell>
          <cell r="F201">
            <v>22.3430704593987</v>
          </cell>
          <cell r="G201">
            <v>985721</v>
          </cell>
          <cell r="H201">
            <v>30.337730289643499</v>
          </cell>
          <cell r="I201">
            <v>-85426</v>
          </cell>
          <cell r="J201">
            <v>61.7484879768814</v>
          </cell>
          <cell r="K201">
            <v>0</v>
          </cell>
          <cell r="L201">
            <v>53.976579738332703</v>
          </cell>
          <cell r="M201">
            <v>-1543251</v>
          </cell>
          <cell r="N201">
            <v>10.6144916377478</v>
          </cell>
          <cell r="O201">
            <v>1019370</v>
          </cell>
          <cell r="P201">
            <v>5.2049880590902404</v>
          </cell>
          <cell r="Q201">
            <v>-80358</v>
          </cell>
          <cell r="R201">
            <v>27.772960115376701</v>
          </cell>
          <cell r="S201">
            <v>741171</v>
          </cell>
          <cell r="T201">
            <v>13.418858665493399</v>
          </cell>
          <cell r="U201">
            <v>262521</v>
          </cell>
          <cell r="V201">
            <v>43.582606250129302</v>
          </cell>
          <cell r="W201">
            <v>-7537376</v>
          </cell>
          <cell r="X201">
            <v>9.9740432009533997</v>
          </cell>
          <cell r="Y201">
            <v>107682</v>
          </cell>
          <cell r="Z201">
            <v>31.8224156862745</v>
          </cell>
          <cell r="AA201">
            <v>601278</v>
          </cell>
          <cell r="AB201">
            <v>7.9789896660810697</v>
          </cell>
          <cell r="AC201">
            <v>-255709</v>
          </cell>
          <cell r="AD201">
            <v>16.039453900783599</v>
          </cell>
          <cell r="AE201">
            <v>-181568</v>
          </cell>
          <cell r="AF201">
            <v>32.5917358939612</v>
          </cell>
          <cell r="AG201">
            <v>-165847</v>
          </cell>
          <cell r="AH201">
            <v>44.986692380645003</v>
          </cell>
          <cell r="AI201">
            <v>-3111196</v>
          </cell>
          <cell r="AJ201">
            <v>42.806031168874803</v>
          </cell>
          <cell r="AK201">
            <v>-779607</v>
          </cell>
          <cell r="AL201">
            <v>25.352736361851701</v>
          </cell>
          <cell r="AM201">
            <v>-974663</v>
          </cell>
          <cell r="AN201">
            <v>37.472995892827697</v>
          </cell>
          <cell r="AO201">
            <v>-127346</v>
          </cell>
          <cell r="AP201">
            <v>45.493778480817902</v>
          </cell>
          <cell r="AQ201">
            <v>314849</v>
          </cell>
          <cell r="AR201">
            <v>39.952700087484402</v>
          </cell>
          <cell r="AS201">
            <v>-340537</v>
          </cell>
          <cell r="AT201">
            <v>20.360168897731999</v>
          </cell>
          <cell r="AU201">
            <v>-288691</v>
          </cell>
          <cell r="AV201">
            <v>46.171629130697703</v>
          </cell>
          <cell r="AW201">
            <v>-1447115</v>
          </cell>
          <cell r="AX201">
            <v>31.289013929126799</v>
          </cell>
          <cell r="AY201">
            <v>-278135</v>
          </cell>
          <cell r="AZ201">
            <v>7.3298467032480099</v>
          </cell>
          <cell r="BA201">
            <v>613082</v>
          </cell>
          <cell r="BB201">
            <v>9.3119699192277992</v>
          </cell>
          <cell r="BC201">
            <v>237105</v>
          </cell>
          <cell r="BD201">
            <v>8.4850341614906792</v>
          </cell>
          <cell r="BE201">
            <v>-1275884</v>
          </cell>
          <cell r="BF201">
            <v>24.5728371102682</v>
          </cell>
          <cell r="BG201">
            <v>17780</v>
          </cell>
          <cell r="BH201">
            <v>22.4478471426598</v>
          </cell>
          <cell r="BI201">
            <v>-86804</v>
          </cell>
        </row>
        <row r="202">
          <cell r="B202">
            <v>42.898485008116403</v>
          </cell>
          <cell r="C202">
            <v>-365725</v>
          </cell>
          <cell r="D202">
            <v>22.300284556584099</v>
          </cell>
          <cell r="E202">
            <v>820441</v>
          </cell>
          <cell r="F202">
            <v>22.476860936177001</v>
          </cell>
          <cell r="G202">
            <v>3009360</v>
          </cell>
          <cell r="H202">
            <v>30.370567026544599</v>
          </cell>
          <cell r="I202">
            <v>151142</v>
          </cell>
          <cell r="J202">
            <v>61.7484879768814</v>
          </cell>
          <cell r="K202">
            <v>0</v>
          </cell>
          <cell r="L202">
            <v>53.8314786279673</v>
          </cell>
          <cell r="M202">
            <v>-2578053</v>
          </cell>
          <cell r="N202">
            <v>10.880076378954101</v>
          </cell>
          <cell r="O202">
            <v>1192130</v>
          </cell>
          <cell r="P202">
            <v>4.6441918696961304</v>
          </cell>
          <cell r="Q202">
            <v>-2069420</v>
          </cell>
          <cell r="R202">
            <v>27.708733274861</v>
          </cell>
          <cell r="S202">
            <v>-1228293</v>
          </cell>
          <cell r="T202">
            <v>13.3112972478177</v>
          </cell>
          <cell r="U202">
            <v>-642157</v>
          </cell>
          <cell r="V202">
            <v>43.349277445384899</v>
          </cell>
          <cell r="W202">
            <v>-8713698</v>
          </cell>
          <cell r="X202">
            <v>9.9472081169245605</v>
          </cell>
          <cell r="Y202">
            <v>-121713</v>
          </cell>
          <cell r="Z202">
            <v>32.258354901960701</v>
          </cell>
          <cell r="AA202">
            <v>1464922</v>
          </cell>
          <cell r="AB202">
            <v>7.9858159668494899</v>
          </cell>
          <cell r="AC202">
            <v>19024</v>
          </cell>
          <cell r="AD202">
            <v>15.7627215860837</v>
          </cell>
          <cell r="AE202">
            <v>-325125</v>
          </cell>
          <cell r="AF202">
            <v>32.600357620182301</v>
          </cell>
          <cell r="AG202">
            <v>83185</v>
          </cell>
          <cell r="AH202">
            <v>44.9253760552957</v>
          </cell>
          <cell r="AI202">
            <v>-441126</v>
          </cell>
          <cell r="AJ202">
            <v>42.662494511685303</v>
          </cell>
          <cell r="AK202">
            <v>-1550163</v>
          </cell>
          <cell r="AL202">
            <v>25.340494003291099</v>
          </cell>
          <cell r="AM202">
            <v>-209128</v>
          </cell>
          <cell r="AN202">
            <v>37.364126173501703</v>
          </cell>
          <cell r="AO202">
            <v>-955797</v>
          </cell>
          <cell r="AP202">
            <v>45.484841946360604</v>
          </cell>
          <cell r="AQ202">
            <v>54133</v>
          </cell>
          <cell r="AR202">
            <v>39.852405821690802</v>
          </cell>
          <cell r="AS202">
            <v>-1170112</v>
          </cell>
          <cell r="AT202">
            <v>20.262129324230699</v>
          </cell>
          <cell r="AU202">
            <v>-776544</v>
          </cell>
          <cell r="AV202">
            <v>45.994001708454597</v>
          </cell>
          <cell r="AW202">
            <v>-1169323</v>
          </cell>
          <cell r="AX202">
            <v>31.817848941785901</v>
          </cell>
          <cell r="AY202">
            <v>243504</v>
          </cell>
          <cell r="AZ202">
            <v>7.2530077663113</v>
          </cell>
          <cell r="BA202">
            <v>-278101</v>
          </cell>
          <cell r="BB202">
            <v>9.1404203753623499</v>
          </cell>
          <cell r="BC202">
            <v>-440867</v>
          </cell>
          <cell r="BD202">
            <v>8.4529130434782598</v>
          </cell>
          <cell r="BE202">
            <v>-113622</v>
          </cell>
          <cell r="BF202">
            <v>24.3701346406115</v>
          </cell>
          <cell r="BG202">
            <v>-159356</v>
          </cell>
          <cell r="BH202">
            <v>22.903067079441001</v>
          </cell>
          <cell r="BI202">
            <v>900216</v>
          </cell>
        </row>
        <row r="203">
          <cell r="B203">
            <v>42.920360870327599</v>
          </cell>
          <cell r="C203">
            <v>1838006</v>
          </cell>
          <cell r="D203">
            <v>21.943924665905499</v>
          </cell>
          <cell r="E203">
            <v>-903375</v>
          </cell>
          <cell r="F203">
            <v>22.4832101506905</v>
          </cell>
          <cell r="G203">
            <v>117325</v>
          </cell>
          <cell r="H203">
            <v>30.3727874433681</v>
          </cell>
          <cell r="I203">
            <v>-101035</v>
          </cell>
          <cell r="J203">
            <v>61.7484879768814</v>
          </cell>
          <cell r="K203">
            <v>0</v>
          </cell>
          <cell r="L203">
            <v>53.753884655109403</v>
          </cell>
          <cell r="M203">
            <v>-1428973</v>
          </cell>
          <cell r="N203">
            <v>10.8662453365679</v>
          </cell>
          <cell r="O203">
            <v>949020</v>
          </cell>
          <cell r="P203">
            <v>4.5697546818236496</v>
          </cell>
          <cell r="Q203">
            <v>-252144</v>
          </cell>
          <cell r="R203">
            <v>27.664995914383699</v>
          </cell>
          <cell r="S203">
            <v>-914036</v>
          </cell>
          <cell r="T203">
            <v>13.536588546070901</v>
          </cell>
          <cell r="U203">
            <v>1289900</v>
          </cell>
          <cell r="V203">
            <v>43.310801452994497</v>
          </cell>
          <cell r="W203">
            <v>-364769</v>
          </cell>
          <cell r="X203">
            <v>10.022971459017599</v>
          </cell>
          <cell r="Y203">
            <v>719114</v>
          </cell>
          <cell r="Z203">
            <v>32.287298039215599</v>
          </cell>
          <cell r="AA203">
            <v>73464</v>
          </cell>
          <cell r="AB203">
            <v>8.0503274963992393</v>
          </cell>
          <cell r="AC203">
            <v>164276</v>
          </cell>
          <cell r="AD203">
            <v>15.4835769424042</v>
          </cell>
          <cell r="AE203">
            <v>-407049</v>
          </cell>
          <cell r="AF203">
            <v>33.106018256834403</v>
          </cell>
          <cell r="AG203">
            <v>1042899</v>
          </cell>
          <cell r="AH203">
            <v>44.972683906515798</v>
          </cell>
          <cell r="AI203">
            <v>1313920</v>
          </cell>
          <cell r="AJ203">
            <v>42.632070694976903</v>
          </cell>
          <cell r="AK203">
            <v>-198577</v>
          </cell>
          <cell r="AL203">
            <v>25.206115145157199</v>
          </cell>
          <cell r="AM203">
            <v>-950555</v>
          </cell>
          <cell r="AN203">
            <v>37.205939716108702</v>
          </cell>
          <cell r="AO203">
            <v>-1205189</v>
          </cell>
          <cell r="AP203">
            <v>45.489941304706598</v>
          </cell>
          <cell r="AQ203">
            <v>-55547</v>
          </cell>
          <cell r="AR203">
            <v>39.781607062379003</v>
          </cell>
          <cell r="AS203">
            <v>-841088</v>
          </cell>
          <cell r="AT203">
            <v>20.1881847474057</v>
          </cell>
          <cell r="AU203">
            <v>-553648</v>
          </cell>
          <cell r="AV203">
            <v>45.908998692312402</v>
          </cell>
          <cell r="AW203">
            <v>-530078</v>
          </cell>
          <cell r="AX203">
            <v>31.531901453181199</v>
          </cell>
          <cell r="AY203">
            <v>-128852</v>
          </cell>
          <cell r="AZ203">
            <v>7.0152791765480398</v>
          </cell>
          <cell r="BA203">
            <v>-1766813</v>
          </cell>
          <cell r="BB203">
            <v>9.1164939584340701</v>
          </cell>
          <cell r="BC203">
            <v>-27124</v>
          </cell>
          <cell r="BD203">
            <v>8.48577950310559</v>
          </cell>
          <cell r="BE203">
            <v>49458</v>
          </cell>
          <cell r="BF203">
            <v>24.424434666939501</v>
          </cell>
          <cell r="BG203">
            <v>36391</v>
          </cell>
          <cell r="BH203">
            <v>22.870072738423101</v>
          </cell>
          <cell r="BI203">
            <v>-101529</v>
          </cell>
        </row>
        <row r="204">
          <cell r="B204">
            <v>42.9711805152252</v>
          </cell>
          <cell r="C204">
            <v>3942997</v>
          </cell>
          <cell r="D204">
            <v>21.9429499111613</v>
          </cell>
          <cell r="E204">
            <v>9056</v>
          </cell>
          <cell r="F204">
            <v>22.527231555673499</v>
          </cell>
          <cell r="G204">
            <v>613536</v>
          </cell>
          <cell r="H204">
            <v>30.398722023656301</v>
          </cell>
          <cell r="I204">
            <v>207519</v>
          </cell>
          <cell r="J204">
            <v>61.7484879768814</v>
          </cell>
          <cell r="K204">
            <v>0</v>
          </cell>
          <cell r="L204">
            <v>53.677133186915697</v>
          </cell>
          <cell r="M204">
            <v>-1088948</v>
          </cell>
          <cell r="N204">
            <v>10.8923678126626</v>
          </cell>
          <cell r="O204">
            <v>1286783</v>
          </cell>
          <cell r="P204">
            <v>4.4851955389173499</v>
          </cell>
          <cell r="Q204">
            <v>-286207</v>
          </cell>
          <cell r="R204">
            <v>27.726387947035501</v>
          </cell>
          <cell r="S204">
            <v>896136</v>
          </cell>
          <cell r="T204">
            <v>13.7829566245852</v>
          </cell>
          <cell r="U204">
            <v>1290367</v>
          </cell>
          <cell r="V204">
            <v>43.309846033520998</v>
          </cell>
          <cell r="W204">
            <v>30266</v>
          </cell>
          <cell r="X204">
            <v>10.101911691598399</v>
          </cell>
          <cell r="Y204">
            <v>890648</v>
          </cell>
          <cell r="Z204">
            <v>32.289621568627403</v>
          </cell>
          <cell r="AA204">
            <v>28810</v>
          </cell>
          <cell r="AB204">
            <v>8.0448017080507697</v>
          </cell>
          <cell r="AC204">
            <v>-10494</v>
          </cell>
          <cell r="AD204">
            <v>15.3308713115338</v>
          </cell>
          <cell r="AE204">
            <v>-215136</v>
          </cell>
          <cell r="AF204">
            <v>33.249534336914699</v>
          </cell>
          <cell r="AG204">
            <v>308064</v>
          </cell>
          <cell r="AH204">
            <v>45.001090047479103</v>
          </cell>
          <cell r="AI204">
            <v>494188</v>
          </cell>
          <cell r="AJ204">
            <v>42.518531584725501</v>
          </cell>
          <cell r="AK204">
            <v>-1121317</v>
          </cell>
          <cell r="AL204">
            <v>25.240614645880001</v>
          </cell>
          <cell r="AM204">
            <v>208512</v>
          </cell>
          <cell r="AN204">
            <v>37.028793768023696</v>
          </cell>
          <cell r="AO204">
            <v>-1167585</v>
          </cell>
          <cell r="AP204">
            <v>45.495145474807501</v>
          </cell>
          <cell r="AQ204">
            <v>48731</v>
          </cell>
          <cell r="AR204">
            <v>39.641016940165898</v>
          </cell>
          <cell r="AS204">
            <v>-1325594</v>
          </cell>
          <cell r="AT204">
            <v>20.2293645359523</v>
          </cell>
          <cell r="AU204">
            <v>262422</v>
          </cell>
          <cell r="AV204">
            <v>46.0115279964321</v>
          </cell>
          <cell r="AW204">
            <v>577902</v>
          </cell>
          <cell r="AX204">
            <v>32.388594109906101</v>
          </cell>
          <cell r="AY204">
            <v>357189</v>
          </cell>
          <cell r="AZ204">
            <v>6.7961131284104397</v>
          </cell>
          <cell r="BA204">
            <v>-1263454</v>
          </cell>
          <cell r="BB204">
            <v>9.0306891640381206</v>
          </cell>
          <cell r="BC204">
            <v>-214072</v>
          </cell>
          <cell r="BD204">
            <v>8.4799285714285695</v>
          </cell>
          <cell r="BE204">
            <v>-11990</v>
          </cell>
          <cell r="BF204">
            <v>24.5198247407153</v>
          </cell>
          <cell r="BG204">
            <v>81743</v>
          </cell>
          <cell r="BH204">
            <v>22.953812396736598</v>
          </cell>
          <cell r="BI204">
            <v>171920</v>
          </cell>
        </row>
        <row r="205">
          <cell r="B205">
            <v>43.0488950537503</v>
          </cell>
          <cell r="C205">
            <v>6173215</v>
          </cell>
          <cell r="D205">
            <v>21.813860181310002</v>
          </cell>
          <cell r="E205">
            <v>-882864</v>
          </cell>
          <cell r="F205">
            <v>22.7851206932169</v>
          </cell>
          <cell r="G205">
            <v>4518016</v>
          </cell>
          <cell r="H205">
            <v>30.327739951041799</v>
          </cell>
          <cell r="I205">
            <v>-646937</v>
          </cell>
          <cell r="J205">
            <v>61.7484879768814</v>
          </cell>
          <cell r="K205">
            <v>0</v>
          </cell>
          <cell r="L205">
            <v>53.425837367165101</v>
          </cell>
          <cell r="M205">
            <v>-3685877</v>
          </cell>
          <cell r="N205">
            <v>10.739011417118499</v>
          </cell>
          <cell r="O205">
            <v>292405</v>
          </cell>
          <cell r="P205">
            <v>4.4715952574258298</v>
          </cell>
          <cell r="Q205">
            <v>-15185</v>
          </cell>
          <cell r="R205">
            <v>27.728111663031701</v>
          </cell>
          <cell r="S205">
            <v>52442</v>
          </cell>
          <cell r="T205">
            <v>13.9296018835674</v>
          </cell>
          <cell r="U205">
            <v>712322</v>
          </cell>
          <cell r="V205">
            <v>43.2429506128992</v>
          </cell>
          <cell r="W205">
            <v>-2141042</v>
          </cell>
          <cell r="X205">
            <v>10.007490650067099</v>
          </cell>
          <cell r="Y205">
            <v>499496</v>
          </cell>
          <cell r="Z205">
            <v>32.1159117647058</v>
          </cell>
          <cell r="AA205">
            <v>-733699</v>
          </cell>
          <cell r="AB205">
            <v>8.1370602814322694</v>
          </cell>
          <cell r="AC205">
            <v>237687</v>
          </cell>
          <cell r="AD205">
            <v>15.5603809848428</v>
          </cell>
          <cell r="AE205">
            <v>306528</v>
          </cell>
          <cell r="AF205">
            <v>33.297578336728499</v>
          </cell>
          <cell r="AG205">
            <v>182850</v>
          </cell>
          <cell r="AH205">
            <v>45.015131775415398</v>
          </cell>
          <cell r="AI205">
            <v>432963</v>
          </cell>
          <cell r="AJ205">
            <v>42.538028491345003</v>
          </cell>
          <cell r="AK205">
            <v>521972</v>
          </cell>
          <cell r="AL205">
            <v>25.3573337256842</v>
          </cell>
          <cell r="AM205">
            <v>761684</v>
          </cell>
          <cell r="AN205">
            <v>36.362771766578902</v>
          </cell>
          <cell r="AO205">
            <v>-4052644</v>
          </cell>
          <cell r="AP205">
            <v>45.465088483504601</v>
          </cell>
          <cell r="AQ205">
            <v>-220534</v>
          </cell>
          <cell r="AR205">
            <v>39.542684446329602</v>
          </cell>
          <cell r="AS205">
            <v>-906768</v>
          </cell>
          <cell r="AT205">
            <v>20.152303929977201</v>
          </cell>
          <cell r="AU205">
            <v>-491079</v>
          </cell>
          <cell r="AV205">
            <v>45.750804983341801</v>
          </cell>
          <cell r="AW205">
            <v>-1531355</v>
          </cell>
          <cell r="AX205">
            <v>32.808776022050999</v>
          </cell>
          <cell r="AY205">
            <v>169703</v>
          </cell>
          <cell r="AZ205">
            <v>7.1290230988449101</v>
          </cell>
          <cell r="BA205">
            <v>2392177</v>
          </cell>
          <cell r="BB205">
            <v>8.97639666044625</v>
          </cell>
          <cell r="BC205">
            <v>-116907</v>
          </cell>
          <cell r="BD205">
            <v>8.3523447204968893</v>
          </cell>
          <cell r="BE205">
            <v>-263364</v>
          </cell>
          <cell r="BF205">
            <v>24.416030407094901</v>
          </cell>
          <cell r="BG205">
            <v>-88240</v>
          </cell>
          <cell r="BH205">
            <v>23.031704429805</v>
          </cell>
          <cell r="BI205">
            <v>156831</v>
          </cell>
        </row>
        <row r="206">
          <cell r="B206">
            <v>42.990168380730701</v>
          </cell>
          <cell r="C206">
            <v>-4501052</v>
          </cell>
          <cell r="D206">
            <v>21.578278495654899</v>
          </cell>
          <cell r="E206">
            <v>-1544200</v>
          </cell>
          <cell r="F206">
            <v>22.786417636425501</v>
          </cell>
          <cell r="G206">
            <v>155046</v>
          </cell>
          <cell r="H206">
            <v>30.108596967656801</v>
          </cell>
          <cell r="I206">
            <v>-1874465</v>
          </cell>
          <cell r="J206">
            <v>0</v>
          </cell>
          <cell r="K206">
            <v>0</v>
          </cell>
          <cell r="L206">
            <v>53.254250868262503</v>
          </cell>
          <cell r="M206">
            <v>-2393365</v>
          </cell>
          <cell r="N206">
            <v>10.5744902402799</v>
          </cell>
          <cell r="O206">
            <v>-634474</v>
          </cell>
          <cell r="P206">
            <v>4.3751512064070699</v>
          </cell>
          <cell r="Q206">
            <v>-260188</v>
          </cell>
          <cell r="R206">
            <v>27.708448566097498</v>
          </cell>
          <cell r="S206">
            <v>-296658</v>
          </cell>
          <cell r="T206">
            <v>14.072572925666901</v>
          </cell>
          <cell r="U206">
            <v>612047</v>
          </cell>
          <cell r="V206">
            <v>43.179233424404003</v>
          </cell>
          <cell r="W206">
            <v>-1786700</v>
          </cell>
          <cell r="X206">
            <v>9.9037551746554495</v>
          </cell>
          <cell r="Y206">
            <v>168239</v>
          </cell>
          <cell r="Z206">
            <v>32.104909803921501</v>
          </cell>
          <cell r="AA206">
            <v>333823</v>
          </cell>
          <cell r="AB206">
            <v>8.1080085568715194</v>
          </cell>
          <cell r="AC206">
            <v>-71819</v>
          </cell>
          <cell r="AD206">
            <v>15.601807094728899</v>
          </cell>
          <cell r="AE206">
            <v>55467</v>
          </cell>
          <cell r="AF206">
            <v>33.751217828846002</v>
          </cell>
          <cell r="AG206">
            <v>788765</v>
          </cell>
          <cell r="AH206">
            <v>44.974924227813602</v>
          </cell>
          <cell r="AI206">
            <v>-648830</v>
          </cell>
          <cell r="AJ206">
            <v>42.492688888506997</v>
          </cell>
          <cell r="AK206">
            <v>-411302</v>
          </cell>
          <cell r="AL206">
            <v>24.844741613931198</v>
          </cell>
          <cell r="AM206">
            <v>-2925355</v>
          </cell>
          <cell r="AN206">
            <v>35.957025039072903</v>
          </cell>
          <cell r="AO206">
            <v>-2491484</v>
          </cell>
          <cell r="AP206">
            <v>45.457809395951003</v>
          </cell>
          <cell r="AQ206">
            <v>-32659</v>
          </cell>
          <cell r="AR206">
            <v>39.218939052517101</v>
          </cell>
          <cell r="AS206">
            <v>-2671239</v>
          </cell>
          <cell r="AT206">
            <v>20.063677863322599</v>
          </cell>
          <cell r="AU206">
            <v>-482930</v>
          </cell>
          <cell r="AV206">
            <v>45.804900645166803</v>
          </cell>
          <cell r="AW206">
            <v>291651</v>
          </cell>
          <cell r="AX206">
            <v>34.383381693480402</v>
          </cell>
          <cell r="AY206">
            <v>599502</v>
          </cell>
          <cell r="AZ206">
            <v>7.2252973465341199</v>
          </cell>
          <cell r="BA206">
            <v>427722</v>
          </cell>
          <cell r="BB206">
            <v>9.0022141953054806</v>
          </cell>
          <cell r="BC206">
            <v>251919</v>
          </cell>
          <cell r="BD206">
            <v>8.3056428571428498</v>
          </cell>
          <cell r="BE206">
            <v>-85983</v>
          </cell>
          <cell r="BF206">
            <v>24.354510305278101</v>
          </cell>
          <cell r="BG206">
            <v>-48829</v>
          </cell>
          <cell r="BH206">
            <v>23.065427568305299</v>
          </cell>
          <cell r="BI206">
            <v>68488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BES Table"/>
      <sheetName val="주간 업종 수익률"/>
      <sheetName val="업종별 이익추정치"/>
      <sheetName val="주간전략종목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Russell 3000</v>
          </cell>
          <cell r="C6">
            <v>14989426</v>
          </cell>
        </row>
        <row r="7">
          <cell r="B7" t="str">
            <v>Russell 1000</v>
          </cell>
          <cell r="C7">
            <v>13806997</v>
          </cell>
        </row>
        <row r="8">
          <cell r="B8" t="str">
            <v>Russell 200</v>
          </cell>
          <cell r="C8">
            <v>9888990</v>
          </cell>
        </row>
        <row r="9">
          <cell r="B9" t="str">
            <v>Russell 3000 Growth</v>
          </cell>
          <cell r="C9">
            <v>7723564</v>
          </cell>
        </row>
        <row r="10">
          <cell r="B10" t="str">
            <v>Russell 3000 Value</v>
          </cell>
          <cell r="C10">
            <v>7265862</v>
          </cell>
        </row>
        <row r="11">
          <cell r="B11" t="str">
            <v>Russell 1000 Growth</v>
          </cell>
          <cell r="C11">
            <v>7108056</v>
          </cell>
        </row>
        <row r="12">
          <cell r="B12" t="str">
            <v>Russell 1000 Value</v>
          </cell>
          <cell r="C12">
            <v>6698941</v>
          </cell>
        </row>
        <row r="13">
          <cell r="B13" t="str">
            <v>Russell 200 Value</v>
          </cell>
          <cell r="C13">
            <v>5010748</v>
          </cell>
        </row>
        <row r="14">
          <cell r="B14" t="str">
            <v>Russell 200 Growth</v>
          </cell>
          <cell r="C14">
            <v>4878242</v>
          </cell>
        </row>
        <row r="15">
          <cell r="B15" t="str">
            <v>Russell Mid Cap</v>
          </cell>
          <cell r="C15">
            <v>3918007</v>
          </cell>
        </row>
        <row r="16">
          <cell r="B16" t="str">
            <v>Russell 2500</v>
          </cell>
          <cell r="C16">
            <v>2630842</v>
          </cell>
        </row>
        <row r="17">
          <cell r="B17" t="str">
            <v>Russell Mid Cap Growth</v>
          </cell>
          <cell r="C17">
            <v>2229814</v>
          </cell>
        </row>
        <row r="18">
          <cell r="B18" t="str">
            <v>Russell Mid Cap Value</v>
          </cell>
          <cell r="C18">
            <v>1688193</v>
          </cell>
        </row>
        <row r="19">
          <cell r="B19" t="str">
            <v>Russell 2500 Growth</v>
          </cell>
          <cell r="C19">
            <v>1427085</v>
          </cell>
        </row>
        <row r="20">
          <cell r="B20" t="str">
            <v>Russell 2500 Value</v>
          </cell>
          <cell r="C20">
            <v>1203757</v>
          </cell>
        </row>
        <row r="21">
          <cell r="B21" t="str">
            <v>Russell 2000</v>
          </cell>
          <cell r="C21">
            <v>1182429</v>
          </cell>
        </row>
        <row r="22">
          <cell r="B22" t="str">
            <v>Russell 2000 Growth</v>
          </cell>
          <cell r="C22">
            <v>615508</v>
          </cell>
        </row>
        <row r="23">
          <cell r="B23" t="str">
            <v>Russell 2000 Value</v>
          </cell>
          <cell r="C23">
            <v>566921</v>
          </cell>
        </row>
        <row r="24">
          <cell r="B24" t="str">
            <v>Russell Mid Cap Value</v>
          </cell>
          <cell r="C24">
            <v>1688193</v>
          </cell>
        </row>
        <row r="25">
          <cell r="B25" t="str">
            <v>Russell 2500 Growth</v>
          </cell>
          <cell r="C25">
            <v>1427085</v>
          </cell>
        </row>
        <row r="26">
          <cell r="B26" t="str">
            <v>Russell 2500 Value</v>
          </cell>
          <cell r="C26">
            <v>1203757</v>
          </cell>
        </row>
        <row r="27">
          <cell r="B27" t="str">
            <v>Russell 2000</v>
          </cell>
          <cell r="C27">
            <v>1182429</v>
          </cell>
        </row>
        <row r="28">
          <cell r="B28" t="str">
            <v>Russell 2000 Growth</v>
          </cell>
          <cell r="C28">
            <v>615508</v>
          </cell>
        </row>
        <row r="29">
          <cell r="B29" t="str">
            <v>Russell 2000 Value</v>
          </cell>
          <cell r="C29">
            <v>566921</v>
          </cell>
        </row>
        <row r="30">
          <cell r="B30" t="str">
            <v>Russell Mid Cap Value</v>
          </cell>
          <cell r="C30">
            <v>1688193</v>
          </cell>
        </row>
        <row r="31">
          <cell r="B31" t="str">
            <v>Russell 2500 Growth</v>
          </cell>
          <cell r="C31">
            <v>1427085</v>
          </cell>
        </row>
        <row r="32">
          <cell r="B32" t="str">
            <v>Russell 2500 Value</v>
          </cell>
          <cell r="C32">
            <v>1203757</v>
          </cell>
        </row>
        <row r="33">
          <cell r="B33" t="str">
            <v>Russell 2000</v>
          </cell>
          <cell r="C33">
            <v>1182429</v>
          </cell>
        </row>
        <row r="34">
          <cell r="B34" t="str">
            <v>Russell 2000 Growth</v>
          </cell>
          <cell r="C34">
            <v>615508</v>
          </cell>
        </row>
        <row r="35">
          <cell r="B35" t="str">
            <v>Russell 2000 Value</v>
          </cell>
          <cell r="C35">
            <v>566921</v>
          </cell>
        </row>
        <row r="36">
          <cell r="B36" t="str">
            <v>Russell Mid Cap Value</v>
          </cell>
          <cell r="C36">
            <v>1688193</v>
          </cell>
        </row>
        <row r="37">
          <cell r="B37" t="str">
            <v>Russell 2500 Growth</v>
          </cell>
          <cell r="C37">
            <v>1427085</v>
          </cell>
        </row>
        <row r="38">
          <cell r="B38" t="str">
            <v>Russell 2500 Value</v>
          </cell>
          <cell r="C38">
            <v>1203757</v>
          </cell>
        </row>
        <row r="39">
          <cell r="B39" t="str">
            <v>Russell 2000</v>
          </cell>
          <cell r="C39">
            <v>1182429</v>
          </cell>
        </row>
        <row r="40">
          <cell r="B40" t="str">
            <v>Russell 2000 Growth</v>
          </cell>
          <cell r="C40">
            <v>615508</v>
          </cell>
        </row>
        <row r="41">
          <cell r="B41" t="str">
            <v>Russell 2000 Value</v>
          </cell>
          <cell r="C41">
            <v>566921</v>
          </cell>
        </row>
        <row r="42">
          <cell r="B42" t="str">
            <v>Russell Mid Cap Value</v>
          </cell>
          <cell r="C42">
            <v>1688193</v>
          </cell>
        </row>
        <row r="43">
          <cell r="B43" t="str">
            <v>Russell 2500 Growth</v>
          </cell>
          <cell r="C43">
            <v>1427085</v>
          </cell>
        </row>
        <row r="44">
          <cell r="B44" t="str">
            <v>Russell 2500 Value</v>
          </cell>
          <cell r="C44">
            <v>1203757</v>
          </cell>
        </row>
        <row r="45">
          <cell r="B45" t="str">
            <v>Russell 2000</v>
          </cell>
          <cell r="C45">
            <v>1182429</v>
          </cell>
        </row>
        <row r="46">
          <cell r="B46" t="str">
            <v>Russell 2000 Growth</v>
          </cell>
          <cell r="C46">
            <v>615508</v>
          </cell>
        </row>
        <row r="47">
          <cell r="B47" t="str">
            <v>Russell 2000 Value</v>
          </cell>
          <cell r="C47">
            <v>566921</v>
          </cell>
        </row>
        <row r="48">
          <cell r="B48" t="str">
            <v>Russell 2500 Growth</v>
          </cell>
          <cell r="C48">
            <v>1427085</v>
          </cell>
        </row>
        <row r="49">
          <cell r="B49" t="str">
            <v>Russell 2500 Value</v>
          </cell>
          <cell r="C49">
            <v>1203757</v>
          </cell>
        </row>
        <row r="50">
          <cell r="B50" t="str">
            <v>Russell 2000</v>
          </cell>
          <cell r="C50">
            <v>1182429</v>
          </cell>
        </row>
        <row r="51">
          <cell r="B51" t="str">
            <v>Russell 2000 Growth</v>
          </cell>
          <cell r="C51">
            <v>615508</v>
          </cell>
        </row>
        <row r="52">
          <cell r="B52" t="str">
            <v>Russell 2000 Value</v>
          </cell>
          <cell r="C52">
            <v>566921</v>
          </cell>
        </row>
        <row r="53">
          <cell r="B53">
            <v>1</v>
          </cell>
          <cell r="C53">
            <v>566921</v>
          </cell>
        </row>
        <row r="54">
          <cell r="B54">
            <v>2</v>
          </cell>
          <cell r="C54">
            <v>566921</v>
          </cell>
        </row>
        <row r="55">
          <cell r="B55">
            <v>3</v>
          </cell>
          <cell r="C55">
            <v>566921</v>
          </cell>
        </row>
        <row r="56">
          <cell r="B56">
            <v>4</v>
          </cell>
          <cell r="C56">
            <v>566921</v>
          </cell>
        </row>
        <row r="57">
          <cell r="B57">
            <v>5</v>
          </cell>
          <cell r="C57">
            <v>566921</v>
          </cell>
        </row>
        <row r="58">
          <cell r="B58">
            <v>5</v>
          </cell>
          <cell r="C58">
            <v>566921</v>
          </cell>
        </row>
        <row r="59">
          <cell r="B59" t="str">
            <v>Russell 2500 Growth</v>
          </cell>
          <cell r="C59">
            <v>1427085</v>
          </cell>
        </row>
        <row r="60">
          <cell r="B60" t="str">
            <v>Russell 2500 Value</v>
          </cell>
          <cell r="C60">
            <v>1203757</v>
          </cell>
        </row>
        <row r="61">
          <cell r="B61" t="str">
            <v>Russell 2000</v>
          </cell>
          <cell r="C61">
            <v>1182429</v>
          </cell>
        </row>
        <row r="62">
          <cell r="B62" t="str">
            <v>Russell 2000 Growth</v>
          </cell>
          <cell r="C62">
            <v>615508</v>
          </cell>
        </row>
        <row r="63">
          <cell r="B63" t="str">
            <v>Russell 2000 Value</v>
          </cell>
          <cell r="C63">
            <v>566921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FC6-ACED-42F8-90F2-4DFCBC6976C6}">
  <sheetPr>
    <tabColor rgb="FFFFFF00"/>
  </sheetPr>
  <dimension ref="A3:R309"/>
  <sheetViews>
    <sheetView tabSelected="1" zoomScale="115" zoomScaleNormal="115" workbookViewId="0">
      <selection activeCell="B3" sqref="B3:N20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9.5976562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customWidth="1"/>
    <col min="15" max="15" width="8.796875" style="62" customWidth="1"/>
    <col min="16" max="16" width="10.59765625" style="62" customWidth="1"/>
    <col min="17" max="18" width="8.796875" customWidth="1"/>
  </cols>
  <sheetData>
    <row r="3" spans="1:18" x14ac:dyDescent="0.4">
      <c r="B3" s="63" t="str">
        <f>'코엑트 코스닥액티브'!A9</f>
        <v>KoAct 코스닥액티브</v>
      </c>
      <c r="H3" s="63" t="str">
        <f>'타임 코스닥액티브'!A9</f>
        <v>TIME 코스닥액티브</v>
      </c>
      <c r="N3" s="62" t="str">
        <f>플러스코스닥액티브!A9</f>
        <v>PLUS 코스닥150액티브</v>
      </c>
    </row>
    <row r="4" spans="1:18" x14ac:dyDescent="0.4">
      <c r="B4" s="65" t="s">
        <v>75</v>
      </c>
      <c r="C4" s="66" t="str">
        <f>'코엑트 코스닥액티브'!B4</f>
        <v>CPD [20260522]</v>
      </c>
      <c r="D4" s="66" t="str">
        <f>'코엑트 코스닥액티브(과거)'!B4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[20260522]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64" t="str">
        <f>C4</f>
        <v>CPD [20260522]</v>
      </c>
      <c r="P4" s="64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'코엑트 코스닥액티브'!B11</f>
        <v>성호전자</v>
      </c>
      <c r="C5" s="65">
        <f>VLOOKUP(B5,'코엑트 코스닥액티브'!$B$11:$E$1000,4,0)</f>
        <v>5.86</v>
      </c>
      <c r="D5" s="65">
        <f>IFERROR(VLOOKUP(B5,'코엑트 코스닥액티브(과거)'!$B$11:$E$1000,4,0),0)</f>
        <v>6.15</v>
      </c>
      <c r="E5" s="20">
        <f>C5-D5</f>
        <v>-0.29000000000000004</v>
      </c>
      <c r="F5" s="32">
        <f>IFERROR(C5/D5-1,"신규편입")</f>
        <v>-4.7154471544715415E-2</v>
      </c>
      <c r="G5" s="63" t="str">
        <f>VLOOKUP(H5,유니버스!$C$14:$D$2561,2,0)</f>
        <v>KQ</v>
      </c>
      <c r="H5" s="65" t="str">
        <f>'타임 코스닥액티브'!B11</f>
        <v>파두</v>
      </c>
      <c r="I5" s="65">
        <f>VLOOKUP(H5,'타임 코스닥액티브'!$B$11:$E$1000,4,0)</f>
        <v>9.64</v>
      </c>
      <c r="J5" s="65">
        <f>IFERROR(VLOOKUP(H5,'타임코스닥액티브(과거)'!$B$11:$E$1000,4,0),0)</f>
        <v>9.0299999999999994</v>
      </c>
      <c r="K5" s="20">
        <f t="shared" ref="K5" si="0">I5-J5</f>
        <v>0.61000000000000121</v>
      </c>
      <c r="L5" s="32">
        <f>IFERROR(I5/J5-1,"신규편입")</f>
        <v>6.755260243632355E-2</v>
      </c>
      <c r="M5" s="62" t="str">
        <f>VLOOKUP(N5,유니버스!$C$14:$D$2561,2,0)</f>
        <v>KQ</v>
      </c>
      <c r="N5" s="73" t="str">
        <f>플러스코스닥액티브!B11</f>
        <v>더블유씨피</v>
      </c>
      <c r="O5" s="73">
        <f>VLOOKUP(N5,플러스코스닥액티브!$B$11:$E$1000,4,0)</f>
        <v>6.1</v>
      </c>
      <c r="P5" s="73">
        <f>IFERROR(VLOOKUP(N5,'플러스코스닥액티브(과거)'!$B$11:$E$1000,4,0),0)</f>
        <v>5.44</v>
      </c>
      <c r="Q5" s="20">
        <f t="shared" ref="Q5" si="1">O5-P5</f>
        <v>0.65999999999999925</v>
      </c>
      <c r="R5" s="32">
        <f t="shared" ref="R5" si="2">IFERROR(O5/P5-1,"신규편입")</f>
        <v>0.1213235294117645</v>
      </c>
    </row>
    <row r="6" spans="1:18" x14ac:dyDescent="0.4">
      <c r="A6" s="63" t="str">
        <f>VLOOKUP(B6,유니버스!$C$14:$D$2561,2,0)</f>
        <v>KQ</v>
      </c>
      <c r="B6" s="71" t="str">
        <f>'코엑트 코스닥액티브'!B12</f>
        <v>테스</v>
      </c>
      <c r="C6" s="65">
        <f>VLOOKUP(B6,'코엑트 코스닥액티브'!$B$11:$E$1000,4,0)</f>
        <v>5.56</v>
      </c>
      <c r="D6" s="65">
        <f>IFERROR(VLOOKUP(B6,'코엑트 코스닥액티브(과거)'!$B$11:$E$1000,4,0),0)</f>
        <v>4.6399999999999997</v>
      </c>
      <c r="E6" s="20">
        <f t="shared" ref="E6:E69" si="3">C6-D6</f>
        <v>0.91999999999999993</v>
      </c>
      <c r="F6" s="32">
        <f t="shared" ref="F6:F69" si="4">IFERROR(C6/D6-1,"신규편입")</f>
        <v>0.19827586206896552</v>
      </c>
      <c r="G6" s="63" t="str">
        <f>VLOOKUP(H6,유니버스!$C$14:$D$2561,2,0)</f>
        <v>KQ</v>
      </c>
      <c r="H6" s="71" t="str">
        <f>'타임 코스닥액티브'!B12</f>
        <v>제주반도체</v>
      </c>
      <c r="I6" s="65">
        <f>VLOOKUP(H6,'타임 코스닥액티브'!$B$11:$E$1000,4,0)</f>
        <v>7.26</v>
      </c>
      <c r="J6" s="65">
        <f>IFERROR(VLOOKUP(H6,'타임코스닥액티브(과거)'!$B$11:$E$1000,4,0),0)</f>
        <v>0</v>
      </c>
      <c r="K6" s="20">
        <f t="shared" ref="K6:K57" si="5">I6-J6</f>
        <v>7.26</v>
      </c>
      <c r="L6" s="32" t="str">
        <f t="shared" ref="L6:L57" si="6">IFERROR(I6/J6-1,"신규편입")</f>
        <v>신규편입</v>
      </c>
      <c r="M6" s="62" t="str">
        <f>VLOOKUP(N6,유니버스!$C$14:$D$2561,2,0)</f>
        <v>KQ</v>
      </c>
      <c r="N6" s="26" t="str">
        <f>플러스코스닥액티브!B12</f>
        <v>씨어스</v>
      </c>
      <c r="O6" s="26">
        <f>VLOOKUP(N6,플러스코스닥액티브!$B$11:$E$1000,4,0)</f>
        <v>5.46</v>
      </c>
      <c r="P6" s="26">
        <f>IFERROR(VLOOKUP(N6,'플러스코스닥액티브(과거)'!$B$11:$E$1000,4,0),0)</f>
        <v>4.8600000000000003</v>
      </c>
      <c r="Q6" s="20">
        <f t="shared" ref="Q6:Q56" si="7">O6-P6</f>
        <v>0.59999999999999964</v>
      </c>
      <c r="R6" s="32">
        <f t="shared" ref="R6:R56" si="8">IFERROR(O6/P6-1,"신규편입")</f>
        <v>0.12345679012345667</v>
      </c>
    </row>
    <row r="7" spans="1:18" x14ac:dyDescent="0.4">
      <c r="A7" s="63" t="str">
        <f>VLOOKUP(B7,유니버스!$C$14:$D$2561,2,0)</f>
        <v>KQ</v>
      </c>
      <c r="B7" s="65" t="str">
        <f>'코엑트 코스닥액티브'!B13</f>
        <v>리노공업</v>
      </c>
      <c r="C7" s="65">
        <f>VLOOKUP(B7,'코엑트 코스닥액티브'!$B$11:$E$1000,4,0)</f>
        <v>5</v>
      </c>
      <c r="D7" s="65">
        <f>IFERROR(VLOOKUP(B7,'코엑트 코스닥액티브(과거)'!$B$11:$E$1000,4,0),0)</f>
        <v>4.82</v>
      </c>
      <c r="E7" s="20">
        <f t="shared" si="3"/>
        <v>0.17999999999999972</v>
      </c>
      <c r="F7" s="32">
        <f t="shared" si="4"/>
        <v>3.734439834024883E-2</v>
      </c>
      <c r="G7" s="63" t="str">
        <f>VLOOKUP(H7,유니버스!$C$14:$D$2561,2,0)</f>
        <v>KQ</v>
      </c>
      <c r="H7" s="65" t="str">
        <f>'타임 코스닥액티브'!B13</f>
        <v>레인보우로보틱스</v>
      </c>
      <c r="I7" s="65">
        <f>VLOOKUP(H7,'타임 코스닥액티브'!$B$11:$E$1000,4,0)</f>
        <v>3.96</v>
      </c>
      <c r="J7" s="65">
        <f>IFERROR(VLOOKUP(H7,'타임코스닥액티브(과거)'!$B$11:$E$1000,4,0),0)</f>
        <v>5.95</v>
      </c>
      <c r="K7" s="20">
        <f t="shared" si="5"/>
        <v>-1.9900000000000002</v>
      </c>
      <c r="L7" s="32">
        <f t="shared" si="6"/>
        <v>-0.33445378151260508</v>
      </c>
      <c r="M7" s="62" t="str">
        <f>VLOOKUP(N7,유니버스!$C$14:$D$2561,2,0)</f>
        <v>KQ</v>
      </c>
      <c r="N7" s="26" t="str">
        <f>플러스코스닥액티브!B13</f>
        <v>비나텍</v>
      </c>
      <c r="O7" s="26">
        <f>VLOOKUP(N7,플러스코스닥액티브!$B$11:$E$1000,4,0)</f>
        <v>5.18</v>
      </c>
      <c r="P7" s="26">
        <f>IFERROR(VLOOKUP(N7,'플러스코스닥액티브(과거)'!$B$11:$E$1000,4,0),0)</f>
        <v>5.05</v>
      </c>
      <c r="Q7" s="20">
        <f t="shared" si="7"/>
        <v>0.12999999999999989</v>
      </c>
      <c r="R7" s="32">
        <f t="shared" si="8"/>
        <v>2.5742574257425765E-2</v>
      </c>
    </row>
    <row r="8" spans="1:18" x14ac:dyDescent="0.4">
      <c r="A8" s="63" t="str">
        <f>VLOOKUP(B8,유니버스!$C$14:$D$2561,2,0)</f>
        <v>KQ</v>
      </c>
      <c r="B8" s="71" t="str">
        <f>'코엑트 코스닥액티브'!B14</f>
        <v>파두</v>
      </c>
      <c r="C8" s="65">
        <f>VLOOKUP(B8,'코엑트 코스닥액티브'!$B$11:$E$1000,4,0)</f>
        <v>4.4400000000000004</v>
      </c>
      <c r="D8" s="65">
        <f>IFERROR(VLOOKUP(B8,'코엑트 코스닥액티브(과거)'!$B$11:$E$1000,4,0),0)</f>
        <v>3.78</v>
      </c>
      <c r="E8" s="20">
        <f t="shared" si="3"/>
        <v>0.66000000000000059</v>
      </c>
      <c r="F8" s="32">
        <f t="shared" si="4"/>
        <v>0.17460317460317487</v>
      </c>
      <c r="G8" s="63" t="str">
        <f>VLOOKUP(H8,유니버스!$C$14:$D$2561,2,0)</f>
        <v>KQ</v>
      </c>
      <c r="H8" s="65" t="str">
        <f>'타임 코스닥액티브'!B14</f>
        <v>두산테스나</v>
      </c>
      <c r="I8" s="65">
        <f>VLOOKUP(H8,'타임 코스닥액티브'!$B$11:$E$1000,4,0)</f>
        <v>3.76</v>
      </c>
      <c r="J8" s="65">
        <f>IFERROR(VLOOKUP(H8,'타임코스닥액티브(과거)'!$B$11:$E$1000,4,0),0)</f>
        <v>3.25</v>
      </c>
      <c r="K8" s="20">
        <f t="shared" si="5"/>
        <v>0.50999999999999979</v>
      </c>
      <c r="L8" s="32">
        <f t="shared" si="6"/>
        <v>0.15692307692307694</v>
      </c>
      <c r="M8" s="62" t="str">
        <f>VLOOKUP(N8,유니버스!$C$14:$D$2561,2,0)</f>
        <v>KQ</v>
      </c>
      <c r="N8" s="73" t="str">
        <f>플러스코스닥액티브!B14</f>
        <v>서진시스템</v>
      </c>
      <c r="O8" s="73">
        <f>VLOOKUP(N8,플러스코스닥액티브!$B$11:$E$1000,4,0)</f>
        <v>4.82</v>
      </c>
      <c r="P8" s="73">
        <f>IFERROR(VLOOKUP(N8,'플러스코스닥액티브(과거)'!$B$11:$E$1000,4,0),0)</f>
        <v>3.83</v>
      </c>
      <c r="Q8" s="20">
        <f t="shared" si="7"/>
        <v>0.99000000000000021</v>
      </c>
      <c r="R8" s="32">
        <f t="shared" si="8"/>
        <v>0.25848563968668414</v>
      </c>
    </row>
    <row r="9" spans="1:18" x14ac:dyDescent="0.4">
      <c r="A9" s="63" t="str">
        <f>VLOOKUP(B9,유니버스!$C$14:$D$2561,2,0)</f>
        <v>KQ</v>
      </c>
      <c r="B9" s="65" t="str">
        <f>'코엑트 코스닥액티브'!B15</f>
        <v>두산테스나</v>
      </c>
      <c r="C9" s="65">
        <f>VLOOKUP(B9,'코엑트 코스닥액티브'!$B$11:$E$1000,4,0)</f>
        <v>3.19</v>
      </c>
      <c r="D9" s="65">
        <f>IFERROR(VLOOKUP(B9,'코엑트 코스닥액티브(과거)'!$B$11:$E$1000,4,0),0)</f>
        <v>2.93</v>
      </c>
      <c r="E9" s="20">
        <f t="shared" si="3"/>
        <v>0.25999999999999979</v>
      </c>
      <c r="F9" s="32">
        <f t="shared" si="4"/>
        <v>8.8737201365187701E-2</v>
      </c>
      <c r="G9" s="63" t="str">
        <f>VLOOKUP(H9,유니버스!$C$14:$D$2561,2,0)</f>
        <v>KQ</v>
      </c>
      <c r="H9" s="72" t="str">
        <f>'타임 코스닥액티브'!B15</f>
        <v>한선엔지니어링</v>
      </c>
      <c r="I9" s="65">
        <f>VLOOKUP(H9,'타임 코스닥액티브'!$B$11:$E$1000,4,0)</f>
        <v>3.03</v>
      </c>
      <c r="J9" s="65">
        <f>IFERROR(VLOOKUP(H9,'타임코스닥액티브(과거)'!$B$11:$E$1000,4,0),0)</f>
        <v>1.08</v>
      </c>
      <c r="K9" s="20">
        <f t="shared" si="5"/>
        <v>1.9499999999999997</v>
      </c>
      <c r="L9" s="32">
        <f t="shared" si="6"/>
        <v>1.8055555555555554</v>
      </c>
      <c r="M9" s="62" t="str">
        <f>VLOOKUP(N9,유니버스!$C$14:$D$2561,2,0)</f>
        <v>KQ</v>
      </c>
      <c r="N9" s="26" t="str">
        <f>플러스코스닥액티브!B15</f>
        <v>두산테스나</v>
      </c>
      <c r="O9" s="26">
        <f>VLOOKUP(N9,플러스코스닥액티브!$B$11:$E$1000,4,0)</f>
        <v>3.6</v>
      </c>
      <c r="P9" s="26">
        <f>IFERROR(VLOOKUP(N9,'플러스코스닥액티브(과거)'!$B$11:$E$1000,4,0),0)</f>
        <v>3.69</v>
      </c>
      <c r="Q9" s="20">
        <f t="shared" si="7"/>
        <v>-8.9999999999999858E-2</v>
      </c>
      <c r="R9" s="32">
        <f t="shared" si="8"/>
        <v>-2.4390243902438935E-2</v>
      </c>
    </row>
    <row r="10" spans="1:18" x14ac:dyDescent="0.4">
      <c r="A10" s="63" t="str">
        <f>VLOOKUP(B10,유니버스!$C$14:$D$2561,2,0)</f>
        <v>KQ</v>
      </c>
      <c r="B10" s="71" t="str">
        <f>'코엑트 코스닥액티브'!B16</f>
        <v>심텍</v>
      </c>
      <c r="C10" s="65">
        <f>VLOOKUP(B10,'코엑트 코스닥액티브'!$B$11:$E$1000,4,0)</f>
        <v>2.95</v>
      </c>
      <c r="D10" s="65">
        <f>IFERROR(VLOOKUP(B10,'코엑트 코스닥액티브(과거)'!$B$11:$E$1000,4,0),0)</f>
        <v>2.17</v>
      </c>
      <c r="E10" s="20">
        <f t="shared" si="3"/>
        <v>0.78000000000000025</v>
      </c>
      <c r="F10" s="32">
        <f t="shared" si="4"/>
        <v>0.35944700460829515</v>
      </c>
      <c r="G10" s="63" t="str">
        <f>VLOOKUP(H10,유니버스!$C$14:$D$2561,2,0)</f>
        <v>KQ</v>
      </c>
      <c r="H10" s="65" t="str">
        <f>'타임 코스닥액티브'!B16</f>
        <v>미래에셋벤처투자</v>
      </c>
      <c r="I10" s="65">
        <f>VLOOKUP(H10,'타임 코스닥액티브'!$B$11:$E$1000,4,0)</f>
        <v>2.99</v>
      </c>
      <c r="J10" s="65">
        <f>IFERROR(VLOOKUP(H10,'타임코스닥액티브(과거)'!$B$11:$E$1000,4,0),0)</f>
        <v>2.99</v>
      </c>
      <c r="K10" s="20">
        <f t="shared" si="5"/>
        <v>0</v>
      </c>
      <c r="L10" s="32">
        <f t="shared" si="6"/>
        <v>0</v>
      </c>
      <c r="M10" s="62" t="str">
        <f>VLOOKUP(N10,유니버스!$C$14:$D$2561,2,0)</f>
        <v>KQ</v>
      </c>
      <c r="N10" s="26" t="str">
        <f>플러스코스닥액티브!B16</f>
        <v>스피어</v>
      </c>
      <c r="O10" s="26">
        <f>VLOOKUP(N10,플러스코스닥액티브!$B$11:$E$1000,4,0)</f>
        <v>3.42</v>
      </c>
      <c r="P10" s="26">
        <f>IFERROR(VLOOKUP(N10,'플러스코스닥액티브(과거)'!$B$11:$E$1000,4,0),0)</f>
        <v>3.3</v>
      </c>
      <c r="Q10" s="20">
        <f t="shared" si="7"/>
        <v>0.12000000000000011</v>
      </c>
      <c r="R10" s="32">
        <f t="shared" si="8"/>
        <v>3.6363636363636376E-2</v>
      </c>
    </row>
    <row r="11" spans="1:18" x14ac:dyDescent="0.4">
      <c r="A11" s="63" t="str">
        <f>VLOOKUP(B11,유니버스!$C$14:$D$2561,2,0)</f>
        <v>KQ</v>
      </c>
      <c r="B11" s="65" t="str">
        <f>'코엑트 코스닥액티브'!B17</f>
        <v>에이치브이엠</v>
      </c>
      <c r="C11" s="65">
        <f>VLOOKUP(B11,'코엑트 코스닥액티브'!$B$11:$E$1000,4,0)</f>
        <v>2.82</v>
      </c>
      <c r="D11" s="65">
        <f>IFERROR(VLOOKUP(B11,'코엑트 코스닥액티브(과거)'!$B$11:$E$1000,4,0),0)</f>
        <v>2.29</v>
      </c>
      <c r="E11" s="20">
        <f t="shared" si="3"/>
        <v>0.5299999999999998</v>
      </c>
      <c r="F11" s="32">
        <f t="shared" si="4"/>
        <v>0.23144104803493448</v>
      </c>
      <c r="G11" s="63" t="str">
        <f>VLOOKUP(H11,유니버스!$C$14:$D$2561,2,0)</f>
        <v>KQ</v>
      </c>
      <c r="H11" s="71" t="str">
        <f>'타임 코스닥액티브'!B17</f>
        <v>테스</v>
      </c>
      <c r="I11" s="65">
        <f>VLOOKUP(H11,'타임 코스닥액티브'!$B$11:$E$1000,4,0)</f>
        <v>2.76</v>
      </c>
      <c r="J11" s="65">
        <f>IFERROR(VLOOKUP(H11,'타임코스닥액티브(과거)'!$B$11:$E$1000,4,0),0)</f>
        <v>1.78</v>
      </c>
      <c r="K11" s="20">
        <f t="shared" si="5"/>
        <v>0.97999999999999976</v>
      </c>
      <c r="L11" s="32">
        <f t="shared" si="6"/>
        <v>0.55056179775280878</v>
      </c>
      <c r="M11" s="62" t="str">
        <f>VLOOKUP(N11,유니버스!$C$14:$D$2561,2,0)</f>
        <v>KQ</v>
      </c>
      <c r="N11" s="26" t="str">
        <f>플러스코스닥액티브!B17</f>
        <v>코미코</v>
      </c>
      <c r="O11" s="26">
        <f>VLOOKUP(N11,플러스코스닥액티브!$B$11:$E$1000,4,0)</f>
        <v>3.23</v>
      </c>
      <c r="P11" s="26">
        <f>IFERROR(VLOOKUP(N11,'플러스코스닥액티브(과거)'!$B$11:$E$1000,4,0),0)</f>
        <v>3.07</v>
      </c>
      <c r="Q11" s="20">
        <f t="shared" si="7"/>
        <v>0.16000000000000014</v>
      </c>
      <c r="R11" s="32">
        <f t="shared" si="8"/>
        <v>5.2117263843648232E-2</v>
      </c>
    </row>
    <row r="12" spans="1:18" x14ac:dyDescent="0.4">
      <c r="A12" s="63" t="str">
        <f>VLOOKUP(B12,유니버스!$C$14:$D$2561,2,0)</f>
        <v>KQ</v>
      </c>
      <c r="B12" s="71" t="str">
        <f>'코엑트 코스닥액티브'!B18</f>
        <v>티엘비</v>
      </c>
      <c r="C12" s="65">
        <f>VLOOKUP(B12,'코엑트 코스닥액티브'!$B$11:$E$1000,4,0)</f>
        <v>2.8</v>
      </c>
      <c r="D12" s="65">
        <f>IFERROR(VLOOKUP(B12,'코엑트 코스닥액티브(과거)'!$B$11:$E$1000,4,0),0)</f>
        <v>1.95</v>
      </c>
      <c r="E12" s="20">
        <f t="shared" si="3"/>
        <v>0.84999999999999987</v>
      </c>
      <c r="F12" s="32">
        <f t="shared" si="4"/>
        <v>0.4358974358974359</v>
      </c>
      <c r="G12" s="63" t="str">
        <f>VLOOKUP(H12,유니버스!$C$14:$D$2561,2,0)</f>
        <v>KQ</v>
      </c>
      <c r="H12" s="72" t="str">
        <f>'타임 코스닥액티브'!B18</f>
        <v>서진시스템</v>
      </c>
      <c r="I12" s="65">
        <f>VLOOKUP(H12,'타임 코스닥액티브'!$B$11:$E$1000,4,0)</f>
        <v>2.4</v>
      </c>
      <c r="J12" s="65">
        <f>IFERROR(VLOOKUP(H12,'타임코스닥액티브(과거)'!$B$11:$E$1000,4,0),0)</f>
        <v>1.26</v>
      </c>
      <c r="K12" s="20">
        <f t="shared" si="5"/>
        <v>1.1399999999999999</v>
      </c>
      <c r="L12" s="32">
        <f t="shared" si="6"/>
        <v>0.90476190476190466</v>
      </c>
      <c r="M12" s="62" t="str">
        <f>VLOOKUP(N12,유니버스!$C$14:$D$2561,2,0)</f>
        <v>KQ</v>
      </c>
      <c r="N12" s="26" t="str">
        <f>플러스코스닥액티브!B18</f>
        <v>에프앤가이드</v>
      </c>
      <c r="O12" s="26">
        <f>VLOOKUP(N12,플러스코스닥액티브!$B$11:$E$1000,4,0)</f>
        <v>3.2</v>
      </c>
      <c r="P12" s="26">
        <f>IFERROR(VLOOKUP(N12,'플러스코스닥액티브(과거)'!$B$11:$E$1000,4,0),0)</f>
        <v>3.22</v>
      </c>
      <c r="Q12" s="20">
        <f t="shared" si="7"/>
        <v>-2.0000000000000018E-2</v>
      </c>
      <c r="R12" s="32">
        <f t="shared" si="8"/>
        <v>-6.2111801242236142E-3</v>
      </c>
    </row>
    <row r="13" spans="1:18" x14ac:dyDescent="0.4">
      <c r="A13" s="63" t="str">
        <f>VLOOKUP(B13,유니버스!$C$14:$D$2561,2,0)</f>
        <v>KQ</v>
      </c>
      <c r="B13" s="72" t="str">
        <f>'코엑트 코스닥액티브'!B19</f>
        <v>서진시스템</v>
      </c>
      <c r="C13" s="65">
        <f>VLOOKUP(B13,'코엑트 코스닥액티브'!$B$11:$E$1000,4,0)</f>
        <v>2.5099999999999998</v>
      </c>
      <c r="D13" s="65">
        <f>IFERROR(VLOOKUP(B13,'코엑트 코스닥액티브(과거)'!$B$11:$E$1000,4,0),0)</f>
        <v>2.23</v>
      </c>
      <c r="E13" s="20">
        <f t="shared" si="3"/>
        <v>0.2799999999999998</v>
      </c>
      <c r="F13" s="32">
        <f t="shared" si="4"/>
        <v>0.12556053811659185</v>
      </c>
      <c r="G13" s="63" t="str">
        <f>VLOOKUP(H13,유니버스!$C$14:$D$2561,2,0)</f>
        <v>KQ</v>
      </c>
      <c r="H13" s="65" t="str">
        <f>'타임 코스닥액티브'!B19</f>
        <v>티엘비</v>
      </c>
      <c r="I13" s="65">
        <f>VLOOKUP(H13,'타임 코스닥액티브'!$B$11:$E$1000,4,0)</f>
        <v>2.34</v>
      </c>
      <c r="J13" s="65">
        <f>IFERROR(VLOOKUP(H13,'타임코스닥액티브(과거)'!$B$11:$E$1000,4,0),0)</f>
        <v>2.2799999999999998</v>
      </c>
      <c r="K13" s="20">
        <f t="shared" si="5"/>
        <v>6.0000000000000053E-2</v>
      </c>
      <c r="L13" s="32">
        <f t="shared" si="6"/>
        <v>2.6315789473684292E-2</v>
      </c>
      <c r="M13" s="62" t="str">
        <f>VLOOKUP(N13,유니버스!$C$14:$D$2561,2,0)</f>
        <v>KQ</v>
      </c>
      <c r="N13" s="26" t="str">
        <f>플러스코스닥액티브!B19</f>
        <v>새로닉스</v>
      </c>
      <c r="O13" s="26">
        <f>VLOOKUP(N13,플러스코스닥액티브!$B$11:$E$1000,4,0)</f>
        <v>3</v>
      </c>
      <c r="P13" s="26">
        <f>IFERROR(VLOOKUP(N13,'플러스코스닥액티브(과거)'!$B$11:$E$1000,4,0),0)</f>
        <v>2.91</v>
      </c>
      <c r="Q13" s="20">
        <f t="shared" si="7"/>
        <v>8.9999999999999858E-2</v>
      </c>
      <c r="R13" s="32">
        <f t="shared" si="8"/>
        <v>3.0927835051546282E-2</v>
      </c>
    </row>
    <row r="14" spans="1:18" x14ac:dyDescent="0.4">
      <c r="A14" s="63" t="str">
        <f>VLOOKUP(B14,유니버스!$C$14:$D$2561,2,0)</f>
        <v>KQ</v>
      </c>
      <c r="B14" s="72" t="str">
        <f>'코엑트 코스닥액티브'!B20</f>
        <v>주성엔지니어링</v>
      </c>
      <c r="C14" s="65">
        <f>VLOOKUP(B14,'코엑트 코스닥액티브'!$B$11:$E$1000,4,0)</f>
        <v>2.4500000000000002</v>
      </c>
      <c r="D14" s="65">
        <f>IFERROR(VLOOKUP(B14,'코엑트 코스닥액티브(과거)'!$B$11:$E$1000,4,0),0)</f>
        <v>2.13</v>
      </c>
      <c r="E14" s="20">
        <f t="shared" si="3"/>
        <v>0.32000000000000028</v>
      </c>
      <c r="F14" s="32">
        <f t="shared" si="4"/>
        <v>0.15023474178403773</v>
      </c>
      <c r="G14" s="63" t="str">
        <f>VLOOKUP(H14,유니버스!$C$14:$D$2561,2,0)</f>
        <v>KQ</v>
      </c>
      <c r="H14" s="65" t="str">
        <f>'타임 코스닥액티브'!B20</f>
        <v>기가비스</v>
      </c>
      <c r="I14" s="65">
        <f>VLOOKUP(H14,'타임 코스닥액티브'!$B$11:$E$1000,4,0)</f>
        <v>2.31</v>
      </c>
      <c r="J14" s="65">
        <f>IFERROR(VLOOKUP(H14,'타임코스닥액티브(과거)'!$B$11:$E$1000,4,0),0)</f>
        <v>2.2599999999999998</v>
      </c>
      <c r="K14" s="20">
        <f t="shared" si="5"/>
        <v>5.0000000000000266E-2</v>
      </c>
      <c r="L14" s="32">
        <f t="shared" si="6"/>
        <v>2.212389380530988E-2</v>
      </c>
      <c r="M14" s="62" t="str">
        <f>VLOOKUP(N14,유니버스!$C$14:$D$2561,2,0)</f>
        <v>KQ</v>
      </c>
      <c r="N14" s="26" t="str">
        <f>플러스코스닥액티브!B20</f>
        <v>씨에스베어링</v>
      </c>
      <c r="O14" s="26">
        <f>VLOOKUP(N14,플러스코스닥액티브!$B$11:$E$1000,4,0)</f>
        <v>2.93</v>
      </c>
      <c r="P14" s="26">
        <f>IFERROR(VLOOKUP(N14,'플러스코스닥액티브(과거)'!$B$11:$E$1000,4,0),0)</f>
        <v>2.82</v>
      </c>
      <c r="Q14" s="20">
        <f t="shared" si="7"/>
        <v>0.11000000000000032</v>
      </c>
      <c r="R14" s="32">
        <f t="shared" si="8"/>
        <v>3.9007092198581672E-2</v>
      </c>
    </row>
    <row r="15" spans="1:18" x14ac:dyDescent="0.4">
      <c r="A15" s="63" t="str">
        <f>VLOOKUP(B15,유니버스!$C$14:$D$2561,2,0)</f>
        <v>KQ</v>
      </c>
      <c r="B15" s="65" t="str">
        <f>'코엑트 코스닥액티브'!B21</f>
        <v>에이비엘바이오</v>
      </c>
      <c r="C15" s="65">
        <f>VLOOKUP(B15,'코엑트 코스닥액티브'!$B$11:$E$1000,4,0)</f>
        <v>2.34</v>
      </c>
      <c r="D15" s="65">
        <f>IFERROR(VLOOKUP(B15,'코엑트 코스닥액티브(과거)'!$B$11:$E$1000,4,0),0)</f>
        <v>2.52</v>
      </c>
      <c r="E15" s="20">
        <f t="shared" si="3"/>
        <v>-0.18000000000000016</v>
      </c>
      <c r="F15" s="32">
        <f t="shared" si="4"/>
        <v>-7.1428571428571508E-2</v>
      </c>
      <c r="G15" s="63" t="str">
        <f>VLOOKUP(H15,유니버스!$C$14:$D$2561,2,0)</f>
        <v>KQ</v>
      </c>
      <c r="H15" s="72" t="str">
        <f>'타임 코스닥액티브'!B21</f>
        <v>대주전자재료</v>
      </c>
      <c r="I15" s="65">
        <f>VLOOKUP(H15,'타임 코스닥액티브'!$B$11:$E$1000,4,0)</f>
        <v>2.27</v>
      </c>
      <c r="J15" s="65">
        <f>IFERROR(VLOOKUP(H15,'타임코스닥액티브(과거)'!$B$11:$E$1000,4,0),0)</f>
        <v>1.38</v>
      </c>
      <c r="K15" s="20">
        <f t="shared" si="5"/>
        <v>0.89000000000000012</v>
      </c>
      <c r="L15" s="32">
        <f t="shared" si="6"/>
        <v>0.64492753623188426</v>
      </c>
      <c r="M15" s="62" t="str">
        <f>VLOOKUP(N15,유니버스!$C$14:$D$2561,2,0)</f>
        <v>KQ</v>
      </c>
      <c r="N15" s="26" t="str">
        <f>플러스코스닥액티브!B21</f>
        <v>한중엔시에스</v>
      </c>
      <c r="O15" s="26">
        <f>VLOOKUP(N15,플러스코스닥액티브!$B$11:$E$1000,4,0)</f>
        <v>2.93</v>
      </c>
      <c r="P15" s="26">
        <f>IFERROR(VLOOKUP(N15,'플러스코스닥액티브(과거)'!$B$11:$E$1000,4,0),0)</f>
        <v>3.09</v>
      </c>
      <c r="Q15" s="20">
        <f t="shared" si="7"/>
        <v>-0.1599999999999997</v>
      </c>
      <c r="R15" s="32">
        <f t="shared" si="8"/>
        <v>-5.1779935275080846E-2</v>
      </c>
    </row>
    <row r="16" spans="1:18" x14ac:dyDescent="0.4">
      <c r="A16" s="63" t="str">
        <f>VLOOKUP(B16,유니버스!$C$14:$D$2561,2,0)</f>
        <v>KQ</v>
      </c>
      <c r="B16" s="65" t="str">
        <f>'코엑트 코스닥액티브'!B22</f>
        <v>알테오젠</v>
      </c>
      <c r="C16" s="65">
        <f>VLOOKUP(B16,'코엑트 코스닥액티브'!$B$11:$E$1000,4,0)</f>
        <v>2.27</v>
      </c>
      <c r="D16" s="65">
        <f>IFERROR(VLOOKUP(B16,'코엑트 코스닥액티브(과거)'!$B$11:$E$1000,4,0),0)</f>
        <v>2.19</v>
      </c>
      <c r="E16" s="20">
        <f t="shared" si="3"/>
        <v>8.0000000000000071E-2</v>
      </c>
      <c r="F16" s="32">
        <f t="shared" si="4"/>
        <v>3.6529680365296802E-2</v>
      </c>
      <c r="G16" s="63" t="str">
        <f>VLOOKUP(H16,유니버스!$C$14:$D$2561,2,0)</f>
        <v>KQ</v>
      </c>
      <c r="H16" s="65" t="str">
        <f>'타임 코스닥액티브'!B22</f>
        <v>주성엔지니어링</v>
      </c>
      <c r="I16" s="65">
        <f>VLOOKUP(H16,'타임 코스닥액티브'!$B$11:$E$1000,4,0)</f>
        <v>2.2200000000000002</v>
      </c>
      <c r="J16" s="65">
        <f>IFERROR(VLOOKUP(H16,'타임코스닥액티브(과거)'!$B$11:$E$1000,4,0),0)</f>
        <v>5.0999999999999996</v>
      </c>
      <c r="K16" s="20">
        <f t="shared" si="5"/>
        <v>-2.8799999999999994</v>
      </c>
      <c r="L16" s="32">
        <f t="shared" si="6"/>
        <v>-0.56470588235294117</v>
      </c>
      <c r="M16" s="62" t="str">
        <f>VLOOKUP(N16,유니버스!$C$14:$D$2561,2,0)</f>
        <v>KQ</v>
      </c>
      <c r="N16" s="26" t="str">
        <f>플러스코스닥액티브!B22</f>
        <v>피에스케이홀딩스</v>
      </c>
      <c r="O16" s="26">
        <f>VLOOKUP(N16,플러스코스닥액티브!$B$11:$E$1000,4,0)</f>
        <v>2.74</v>
      </c>
      <c r="P16" s="26">
        <f>IFERROR(VLOOKUP(N16,'플러스코스닥액티브(과거)'!$B$11:$E$1000,4,0),0)</f>
        <v>2.8</v>
      </c>
      <c r="Q16" s="20">
        <f t="shared" si="7"/>
        <v>-5.9999999999999609E-2</v>
      </c>
      <c r="R16" s="32">
        <f t="shared" si="8"/>
        <v>-2.1428571428571241E-2</v>
      </c>
    </row>
    <row r="17" spans="1:18" x14ac:dyDescent="0.4">
      <c r="A17" s="63" t="str">
        <f>VLOOKUP(B17,유니버스!$C$14:$D$2561,2,0)</f>
        <v>KQ</v>
      </c>
      <c r="B17" s="65" t="str">
        <f>'코엑트 코스닥액티브'!B23</f>
        <v>코미코</v>
      </c>
      <c r="C17" s="65">
        <f>VLOOKUP(B17,'코엑트 코스닥액티브'!$B$11:$E$1000,4,0)</f>
        <v>2.1800000000000002</v>
      </c>
      <c r="D17" s="65">
        <f>IFERROR(VLOOKUP(B17,'코엑트 코스닥액티브(과거)'!$B$11:$E$1000,4,0),0)</f>
        <v>2.1</v>
      </c>
      <c r="E17" s="20">
        <f t="shared" si="3"/>
        <v>8.0000000000000071E-2</v>
      </c>
      <c r="F17" s="32">
        <f t="shared" si="4"/>
        <v>3.8095238095238182E-2</v>
      </c>
      <c r="G17" s="63" t="str">
        <f>VLOOKUP(H17,유니버스!$C$14:$D$2561,2,0)</f>
        <v>KQ</v>
      </c>
      <c r="H17" s="65" t="str">
        <f>'타임 코스닥액티브'!B23</f>
        <v>로보티즈</v>
      </c>
      <c r="I17" s="65">
        <f>VLOOKUP(H17,'타임 코스닥액티브'!$B$11:$E$1000,4,0)</f>
        <v>2.1800000000000002</v>
      </c>
      <c r="J17" s="65">
        <f>IFERROR(VLOOKUP(H17,'타임코스닥액티브(과거)'!$B$11:$E$1000,4,0),0)</f>
        <v>3.34</v>
      </c>
      <c r="K17" s="20">
        <f t="shared" si="5"/>
        <v>-1.1599999999999997</v>
      </c>
      <c r="L17" s="32">
        <f t="shared" si="6"/>
        <v>-0.34730538922155685</v>
      </c>
      <c r="M17" s="62" t="str">
        <f>VLOOKUP(N17,유니버스!$C$14:$D$2561,2,0)</f>
        <v>KQ</v>
      </c>
      <c r="N17" s="26" t="str">
        <f>플러스코스닥액티브!B23</f>
        <v>브이엠</v>
      </c>
      <c r="O17" s="26">
        <f>VLOOKUP(N17,플러스코스닥액티브!$B$11:$E$1000,4,0)</f>
        <v>2.38</v>
      </c>
      <c r="P17" s="26">
        <f>IFERROR(VLOOKUP(N17,'플러스코스닥액티브(과거)'!$B$11:$E$1000,4,0),0)</f>
        <v>2.4500000000000002</v>
      </c>
      <c r="Q17" s="20">
        <f t="shared" si="7"/>
        <v>-7.0000000000000284E-2</v>
      </c>
      <c r="R17" s="32">
        <f t="shared" si="8"/>
        <v>-2.8571428571428692E-2</v>
      </c>
    </row>
    <row r="18" spans="1:18" x14ac:dyDescent="0.4">
      <c r="A18" s="63" t="str">
        <f>VLOOKUP(B18,유니버스!$C$14:$D$2561,2,0)</f>
        <v>KQ</v>
      </c>
      <c r="B18" s="65" t="str">
        <f>'코엑트 코스닥액티브'!B24</f>
        <v>리가켐바이오</v>
      </c>
      <c r="C18" s="65">
        <f>VLOOKUP(B18,'코엑트 코스닥액티브'!$B$11:$E$1000,4,0)</f>
        <v>2</v>
      </c>
      <c r="D18" s="65">
        <f>IFERROR(VLOOKUP(B18,'코엑트 코스닥액티브(과거)'!$B$11:$E$1000,4,0),0)</f>
        <v>2.73</v>
      </c>
      <c r="E18" s="20">
        <f t="shared" si="3"/>
        <v>-0.73</v>
      </c>
      <c r="F18" s="32">
        <f t="shared" si="4"/>
        <v>-0.26739926739926745</v>
      </c>
      <c r="G18" s="63" t="str">
        <f>VLOOKUP(H18,유니버스!$C$14:$D$2561,2,0)</f>
        <v>KQ</v>
      </c>
      <c r="H18" s="65" t="str">
        <f>'타임 코스닥액티브'!B24</f>
        <v>인텍플러스</v>
      </c>
      <c r="I18" s="65">
        <f>VLOOKUP(H18,'타임 코스닥액티브'!$B$11:$E$1000,4,0)</f>
        <v>2.06</v>
      </c>
      <c r="J18" s="65">
        <f>IFERROR(VLOOKUP(H18,'타임코스닥액티브(과거)'!$B$11:$E$1000,4,0),0)</f>
        <v>2.79</v>
      </c>
      <c r="K18" s="20">
        <f t="shared" si="5"/>
        <v>-0.73</v>
      </c>
      <c r="L18" s="32">
        <f t="shared" si="6"/>
        <v>-0.26164874551971329</v>
      </c>
      <c r="M18" s="62" t="str">
        <f>VLOOKUP(N18,유니버스!$C$14:$D$2561,2,0)</f>
        <v>KQ</v>
      </c>
      <c r="N18" s="26" t="str">
        <f>플러스코스닥액티브!B24</f>
        <v>리노공업</v>
      </c>
      <c r="O18" s="26">
        <f>VLOOKUP(N18,플러스코스닥액티브!$B$11:$E$1000,4,0)</f>
        <v>2.33</v>
      </c>
      <c r="P18" s="26">
        <f>IFERROR(VLOOKUP(N18,'플러스코스닥액티브(과거)'!$B$11:$E$1000,4,0),0)</f>
        <v>2.2200000000000002</v>
      </c>
      <c r="Q18" s="20">
        <f t="shared" si="7"/>
        <v>0.10999999999999988</v>
      </c>
      <c r="R18" s="32">
        <f t="shared" si="8"/>
        <v>4.9549549549549488E-2</v>
      </c>
    </row>
    <row r="19" spans="1:18" x14ac:dyDescent="0.4">
      <c r="A19" s="63" t="str">
        <f>VLOOKUP(B19,유니버스!$C$14:$D$2561,2,0)</f>
        <v>KQ</v>
      </c>
      <c r="B19" s="65" t="str">
        <f>'코엑트 코스닥액티브'!B25</f>
        <v>피에스케이홀딩스</v>
      </c>
      <c r="C19" s="65">
        <f>VLOOKUP(B19,'코엑트 코스닥액티브'!$B$11:$E$1000,4,0)</f>
        <v>1.92</v>
      </c>
      <c r="D19" s="65">
        <f>IFERROR(VLOOKUP(B19,'코엑트 코스닥액티브(과거)'!$B$11:$E$1000,4,0),0)</f>
        <v>1.78</v>
      </c>
      <c r="E19" s="20">
        <f t="shared" si="3"/>
        <v>0.1399999999999999</v>
      </c>
      <c r="F19" s="32">
        <f t="shared" si="4"/>
        <v>7.8651685393258397E-2</v>
      </c>
      <c r="G19" s="63" t="str">
        <f>VLOOKUP(H19,유니버스!$C$14:$D$2561,2,0)</f>
        <v>KQ</v>
      </c>
      <c r="H19" s="65" t="str">
        <f>'타임 코스닥액티브'!B25</f>
        <v>LS머트리얼즈</v>
      </c>
      <c r="I19" s="65">
        <f>VLOOKUP(H19,'타임 코스닥액티브'!$B$11:$E$1000,4,0)</f>
        <v>2.0299999999999998</v>
      </c>
      <c r="J19" s="65">
        <f>IFERROR(VLOOKUP(H19,'타임코스닥액티브(과거)'!$B$11:$E$1000,4,0),0)</f>
        <v>2.06</v>
      </c>
      <c r="K19" s="20">
        <f t="shared" si="5"/>
        <v>-3.0000000000000249E-2</v>
      </c>
      <c r="L19" s="32">
        <f t="shared" si="6"/>
        <v>-1.4563106796116609E-2</v>
      </c>
      <c r="M19" s="62" t="str">
        <f>VLOOKUP(N19,유니버스!$C$14:$D$2561,2,0)</f>
        <v>KQ</v>
      </c>
      <c r="N19" s="26" t="str">
        <f>플러스코스닥액티브!B25</f>
        <v>원익머트리얼즈</v>
      </c>
      <c r="O19" s="26">
        <f>VLOOKUP(N19,플러스코스닥액티브!$B$11:$E$1000,4,0)</f>
        <v>2.3199999999999998</v>
      </c>
      <c r="P19" s="26">
        <f>IFERROR(VLOOKUP(N19,'플러스코스닥액티브(과거)'!$B$11:$E$1000,4,0),0)</f>
        <v>2.27</v>
      </c>
      <c r="Q19" s="20">
        <f t="shared" si="7"/>
        <v>4.9999999999999822E-2</v>
      </c>
      <c r="R19" s="32">
        <f t="shared" si="8"/>
        <v>2.2026431718061623E-2</v>
      </c>
    </row>
    <row r="20" spans="1:18" x14ac:dyDescent="0.4">
      <c r="A20" s="63" t="str">
        <f>VLOOKUP(B20,유니버스!$C$14:$D$2561,2,0)</f>
        <v>KQ</v>
      </c>
      <c r="B20" s="65" t="str">
        <f>'코엑트 코스닥액티브'!B26</f>
        <v>한중엔시에스</v>
      </c>
      <c r="C20" s="65">
        <f>VLOOKUP(B20,'코엑트 코스닥액티브'!$B$11:$E$1000,4,0)</f>
        <v>1.91</v>
      </c>
      <c r="D20" s="65">
        <f>IFERROR(VLOOKUP(B20,'코엑트 코스닥액티브(과거)'!$B$11:$E$1000,4,0),0)</f>
        <v>2.04</v>
      </c>
      <c r="E20" s="20">
        <f t="shared" si="3"/>
        <v>-0.13000000000000012</v>
      </c>
      <c r="F20" s="32">
        <f t="shared" si="4"/>
        <v>-6.3725490196078538E-2</v>
      </c>
      <c r="G20" s="63" t="str">
        <f>VLOOKUP(H20,유니버스!$C$14:$D$2561,2,0)</f>
        <v>KQ</v>
      </c>
      <c r="H20" s="65" t="str">
        <f>'타임 코스닥액티브'!B26</f>
        <v>필옵틱스</v>
      </c>
      <c r="I20" s="65">
        <f>VLOOKUP(H20,'타임 코스닥액티브'!$B$11:$E$1000,4,0)</f>
        <v>1.99</v>
      </c>
      <c r="J20" s="65">
        <f>IFERROR(VLOOKUP(H20,'타임코스닥액티브(과거)'!$B$11:$E$1000,4,0),0)</f>
        <v>2.0299999999999998</v>
      </c>
      <c r="K20" s="20">
        <f t="shared" si="5"/>
        <v>-3.9999999999999813E-2</v>
      </c>
      <c r="L20" s="32">
        <f t="shared" si="6"/>
        <v>-1.9704433497536811E-2</v>
      </c>
      <c r="M20" s="62" t="str">
        <f>VLOOKUP(N20,유니버스!$C$14:$D$2561,2,0)</f>
        <v>KQ</v>
      </c>
      <c r="N20" s="26" t="str">
        <f>플러스코스닥액티브!B26</f>
        <v>테스</v>
      </c>
      <c r="O20" s="26">
        <f>VLOOKUP(N20,플러스코스닥액티브!$B$11:$E$1000,4,0)</f>
        <v>2.2000000000000002</v>
      </c>
      <c r="P20" s="26">
        <f>IFERROR(VLOOKUP(N20,'플러스코스닥액티브(과거)'!$B$11:$E$1000,4,0),0)</f>
        <v>2.54</v>
      </c>
      <c r="Q20" s="20">
        <f t="shared" si="7"/>
        <v>-0.33999999999999986</v>
      </c>
      <c r="R20" s="32">
        <f t="shared" si="8"/>
        <v>-0.13385826771653542</v>
      </c>
    </row>
    <row r="21" spans="1:18" x14ac:dyDescent="0.4">
      <c r="A21" s="63" t="str">
        <f>VLOOKUP(B21,유니버스!$C$14:$D$2561,2,0)</f>
        <v>KQ</v>
      </c>
      <c r="B21" s="65" t="str">
        <f>'코엑트 코스닥액티브'!B27</f>
        <v>에코프로</v>
      </c>
      <c r="C21" s="65">
        <f>VLOOKUP(B21,'코엑트 코스닥액티브'!$B$11:$E$1000,4,0)</f>
        <v>1.9</v>
      </c>
      <c r="D21" s="65">
        <f>IFERROR(VLOOKUP(B21,'코엑트 코스닥액티브(과거)'!$B$11:$E$1000,4,0),0)</f>
        <v>2.17</v>
      </c>
      <c r="E21" s="20">
        <f t="shared" si="3"/>
        <v>-0.27</v>
      </c>
      <c r="F21" s="32">
        <f t="shared" si="4"/>
        <v>-0.12442396313364057</v>
      </c>
      <c r="G21" s="63" t="str">
        <f>VLOOKUP(H21,유니버스!$C$14:$D$2561,2,0)</f>
        <v>KQ</v>
      </c>
      <c r="H21" s="65" t="str">
        <f>'타임 코스닥액티브'!B27</f>
        <v>알테오젠</v>
      </c>
      <c r="I21" s="65">
        <f>VLOOKUP(H21,'타임 코스닥액티브'!$B$11:$E$1000,4,0)</f>
        <v>1.88</v>
      </c>
      <c r="J21" s="65">
        <f>IFERROR(VLOOKUP(H21,'타임코스닥액티브(과거)'!$B$11:$E$1000,4,0),0)</f>
        <v>2.02</v>
      </c>
      <c r="K21" s="20">
        <f t="shared" si="5"/>
        <v>-0.14000000000000012</v>
      </c>
      <c r="L21" s="32">
        <f t="shared" si="6"/>
        <v>-6.9306930693069368E-2</v>
      </c>
      <c r="M21" s="62" t="str">
        <f>VLOOKUP(N21,유니버스!$C$14:$D$2561,2,0)</f>
        <v>KQ</v>
      </c>
      <c r="N21" s="26" t="str">
        <f>플러스코스닥액티브!B27</f>
        <v>파크시스템스</v>
      </c>
      <c r="O21" s="26">
        <f>VLOOKUP(N21,플러스코스닥액티브!$B$11:$E$1000,4,0)</f>
        <v>2.17</v>
      </c>
      <c r="P21" s="26">
        <f>IFERROR(VLOOKUP(N21,'플러스코스닥액티브(과거)'!$B$11:$E$1000,4,0),0)</f>
        <v>2.12</v>
      </c>
      <c r="Q21" s="20">
        <f t="shared" si="7"/>
        <v>4.9999999999999822E-2</v>
      </c>
      <c r="R21" s="32">
        <f t="shared" si="8"/>
        <v>2.3584905660377187E-2</v>
      </c>
    </row>
    <row r="22" spans="1:18" x14ac:dyDescent="0.4">
      <c r="A22" s="63" t="str">
        <f>VLOOKUP(B22,유니버스!$C$14:$D$2561,2,0)</f>
        <v>KQ</v>
      </c>
      <c r="B22" s="65" t="str">
        <f>'코엑트 코스닥액티브'!B28</f>
        <v>알멕</v>
      </c>
      <c r="C22" s="65">
        <f>VLOOKUP(B22,'코엑트 코스닥액티브'!$B$11:$E$1000,4,0)</f>
        <v>1.88</v>
      </c>
      <c r="D22" s="65">
        <f>IFERROR(VLOOKUP(B22,'코엑트 코스닥액티브(과거)'!$B$11:$E$1000,4,0),0)</f>
        <v>1.91</v>
      </c>
      <c r="E22" s="20">
        <f t="shared" si="3"/>
        <v>-3.0000000000000027E-2</v>
      </c>
      <c r="F22" s="32">
        <f t="shared" si="4"/>
        <v>-1.5706806282722474E-2</v>
      </c>
      <c r="G22" s="63" t="str">
        <f>VLOOKUP(H22,유니버스!$C$14:$D$2561,2,0)</f>
        <v>KQ</v>
      </c>
      <c r="H22" s="65" t="str">
        <f>'타임 코스닥액티브'!B28</f>
        <v>에스피지</v>
      </c>
      <c r="I22" s="65">
        <f>VLOOKUP(H22,'타임 코스닥액티브'!$B$11:$E$1000,4,0)</f>
        <v>1.85</v>
      </c>
      <c r="J22" s="65">
        <f>IFERROR(VLOOKUP(H22,'타임코스닥액티브(과거)'!$B$11:$E$1000,4,0),0)</f>
        <v>1.91</v>
      </c>
      <c r="K22" s="20">
        <f t="shared" si="5"/>
        <v>-5.9999999999999831E-2</v>
      </c>
      <c r="L22" s="32">
        <f t="shared" si="6"/>
        <v>-3.1413612565444948E-2</v>
      </c>
      <c r="M22" s="62" t="str">
        <f>VLOOKUP(N22,유니버스!$C$14:$D$2561,2,0)</f>
        <v>KQ</v>
      </c>
      <c r="N22" s="26" t="str">
        <f>플러스코스닥액티브!B28</f>
        <v>알지노믹스</v>
      </c>
      <c r="O22" s="26">
        <f>VLOOKUP(N22,플러스코스닥액티브!$B$11:$E$1000,4,0)</f>
        <v>2.1</v>
      </c>
      <c r="P22" s="26">
        <f>IFERROR(VLOOKUP(N22,'플러스코스닥액티브(과거)'!$B$11:$E$1000,4,0),0)</f>
        <v>2.5499999999999998</v>
      </c>
      <c r="Q22" s="20">
        <f t="shared" si="7"/>
        <v>-0.44999999999999973</v>
      </c>
      <c r="R22" s="32">
        <f t="shared" si="8"/>
        <v>-0.17647058823529405</v>
      </c>
    </row>
    <row r="23" spans="1:18" x14ac:dyDescent="0.4">
      <c r="A23" s="63" t="str">
        <f>VLOOKUP(B23,유니버스!$C$14:$D$2561,2,0)</f>
        <v>KQ</v>
      </c>
      <c r="B23" s="65" t="str">
        <f>'코엑트 코스닥액티브'!B29</f>
        <v>로보티즈</v>
      </c>
      <c r="C23" s="65">
        <f>VLOOKUP(B23,'코엑트 코스닥액티브'!$B$11:$E$1000,4,0)</f>
        <v>1.81</v>
      </c>
      <c r="D23" s="65">
        <f>IFERROR(VLOOKUP(B23,'코엑트 코스닥액티브(과거)'!$B$11:$E$1000,4,0),0)</f>
        <v>1.95</v>
      </c>
      <c r="E23" s="20">
        <f t="shared" si="3"/>
        <v>-0.1399999999999999</v>
      </c>
      <c r="F23" s="32">
        <f t="shared" si="4"/>
        <v>-7.1794871794871762E-2</v>
      </c>
      <c r="G23" s="63" t="str">
        <f>VLOOKUP(H23,유니버스!$C$14:$D$2561,2,0)</f>
        <v>KQ</v>
      </c>
      <c r="H23" s="65" t="str">
        <f>'타임 코스닥액티브'!B29</f>
        <v>에코프로</v>
      </c>
      <c r="I23" s="65">
        <f>VLOOKUP(H23,'타임 코스닥액티브'!$B$11:$E$1000,4,0)</f>
        <v>1.82</v>
      </c>
      <c r="J23" s="65">
        <f>IFERROR(VLOOKUP(H23,'타임코스닥액티브(과거)'!$B$11:$E$1000,4,0),0)</f>
        <v>1.83</v>
      </c>
      <c r="K23" s="20">
        <f t="shared" si="5"/>
        <v>-1.0000000000000009E-2</v>
      </c>
      <c r="L23" s="32">
        <f t="shared" si="6"/>
        <v>-5.464480874316946E-3</v>
      </c>
      <c r="M23" s="62" t="str">
        <f>VLOOKUP(N23,유니버스!$C$14:$D$2561,2,0)</f>
        <v>KQ</v>
      </c>
      <c r="N23" s="26" t="str">
        <f>플러스코스닥액티브!B29</f>
        <v>심텍</v>
      </c>
      <c r="O23" s="26">
        <f>VLOOKUP(N23,플러스코스닥액티브!$B$11:$E$1000,4,0)</f>
        <v>2.09</v>
      </c>
      <c r="P23" s="26">
        <f>IFERROR(VLOOKUP(N23,'플러스코스닥액티브(과거)'!$B$11:$E$1000,4,0),0)</f>
        <v>1.99</v>
      </c>
      <c r="Q23" s="20">
        <f t="shared" si="7"/>
        <v>9.9999999999999867E-2</v>
      </c>
      <c r="R23" s="32">
        <f t="shared" si="8"/>
        <v>5.0251256281407031E-2</v>
      </c>
    </row>
    <row r="24" spans="1:18" x14ac:dyDescent="0.4">
      <c r="A24" s="63" t="str">
        <f>VLOOKUP(B24,유니버스!$C$14:$D$2561,2,0)</f>
        <v>KQ</v>
      </c>
      <c r="B24" s="65" t="str">
        <f>'코엑트 코스닥액티브'!B30</f>
        <v>에코프로비엠</v>
      </c>
      <c r="C24" s="65">
        <f>VLOOKUP(B24,'코엑트 코스닥액티브'!$B$11:$E$1000,4,0)</f>
        <v>1.79</v>
      </c>
      <c r="D24" s="65">
        <f>IFERROR(VLOOKUP(B24,'코엑트 코스닥액티브(과거)'!$B$11:$E$1000,4,0),0)</f>
        <v>2.0099999999999998</v>
      </c>
      <c r="E24" s="20">
        <f t="shared" si="3"/>
        <v>-0.21999999999999975</v>
      </c>
      <c r="F24" s="32">
        <f t="shared" si="4"/>
        <v>-0.1094527363184078</v>
      </c>
      <c r="G24" s="63" t="str">
        <f>VLOOKUP(H24,유니버스!$C$14:$D$2561,2,0)</f>
        <v>KQ</v>
      </c>
      <c r="H24" s="65" t="str">
        <f>'타임 코스닥액티브'!B30</f>
        <v>네패스</v>
      </c>
      <c r="I24" s="65">
        <f>VLOOKUP(H24,'타임 코스닥액티브'!$B$11:$E$1000,4,0)</f>
        <v>1.81</v>
      </c>
      <c r="J24" s="65">
        <f>IFERROR(VLOOKUP(H24,'타임코스닥액티브(과거)'!$B$11:$E$1000,4,0),0)</f>
        <v>1.64</v>
      </c>
      <c r="K24" s="20">
        <f t="shared" si="5"/>
        <v>0.17000000000000015</v>
      </c>
      <c r="L24" s="32">
        <f t="shared" si="6"/>
        <v>0.10365853658536595</v>
      </c>
      <c r="M24" s="62" t="str">
        <f>VLOOKUP(N24,유니버스!$C$14:$D$2561,2,0)</f>
        <v>KQ</v>
      </c>
      <c r="N24" s="26" t="str">
        <f>플러스코스닥액티브!B30</f>
        <v>솔브레인</v>
      </c>
      <c r="O24" s="26">
        <f>VLOOKUP(N24,플러스코스닥액티브!$B$11:$E$1000,4,0)</f>
        <v>1.99</v>
      </c>
      <c r="P24" s="26">
        <f>IFERROR(VLOOKUP(N24,'플러스코스닥액티브(과거)'!$B$11:$E$1000,4,0),0)</f>
        <v>1.94</v>
      </c>
      <c r="Q24" s="20">
        <f t="shared" si="7"/>
        <v>5.0000000000000044E-2</v>
      </c>
      <c r="R24" s="32">
        <f t="shared" si="8"/>
        <v>2.577319587628879E-2</v>
      </c>
    </row>
    <row r="25" spans="1:18" x14ac:dyDescent="0.4">
      <c r="A25" s="63" t="str">
        <f>VLOOKUP(B25,유니버스!$C$14:$D$2561,2,0)</f>
        <v>KQ</v>
      </c>
      <c r="B25" s="65" t="str">
        <f>'코엑트 코스닥액티브'!B31</f>
        <v>올릭스</v>
      </c>
      <c r="C25" s="65">
        <f>VLOOKUP(B25,'코엑트 코스닥액티브'!$B$11:$E$1000,4,0)</f>
        <v>1.74</v>
      </c>
      <c r="D25" s="65">
        <f>IFERROR(VLOOKUP(B25,'코엑트 코스닥액티브(과거)'!$B$11:$E$1000,4,0),0)</f>
        <v>1.98</v>
      </c>
      <c r="E25" s="20">
        <f t="shared" si="3"/>
        <v>-0.24</v>
      </c>
      <c r="F25" s="32">
        <f t="shared" si="4"/>
        <v>-0.12121212121212122</v>
      </c>
      <c r="G25" s="63" t="str">
        <f>VLOOKUP(H25,유니버스!$C$14:$D$2561,2,0)</f>
        <v>KQ</v>
      </c>
      <c r="H25" s="65" t="str">
        <f>'타임 코스닥액티브'!B31</f>
        <v>리브스메드</v>
      </c>
      <c r="I25" s="65">
        <f>VLOOKUP(H25,'타임 코스닥액티브'!$B$11:$E$1000,4,0)</f>
        <v>1.71</v>
      </c>
      <c r="J25" s="65">
        <f>IFERROR(VLOOKUP(H25,'타임코스닥액티브(과거)'!$B$11:$E$1000,4,0),0)</f>
        <v>1.63</v>
      </c>
      <c r="K25" s="20">
        <f t="shared" si="5"/>
        <v>8.0000000000000071E-2</v>
      </c>
      <c r="L25" s="32">
        <f t="shared" si="6"/>
        <v>4.9079754601226933E-2</v>
      </c>
      <c r="M25" s="62" t="str">
        <f>VLOOKUP(N25,유니버스!$C$14:$D$2561,2,0)</f>
        <v>KQ</v>
      </c>
      <c r="N25" s="26" t="str">
        <f>플러스코스닥액티브!B31</f>
        <v>티씨케이</v>
      </c>
      <c r="O25" s="26">
        <f>VLOOKUP(N25,플러스코스닥액티브!$B$11:$E$1000,4,0)</f>
        <v>1.96</v>
      </c>
      <c r="P25" s="26">
        <f>IFERROR(VLOOKUP(N25,'플러스코스닥액티브(과거)'!$B$11:$E$1000,4,0),0)</f>
        <v>1.61</v>
      </c>
      <c r="Q25" s="20">
        <f t="shared" si="7"/>
        <v>0.34999999999999987</v>
      </c>
      <c r="R25" s="32">
        <f t="shared" si="8"/>
        <v>0.21739130434782594</v>
      </c>
    </row>
    <row r="26" spans="1:18" x14ac:dyDescent="0.4">
      <c r="A26" s="63" t="str">
        <f>VLOOKUP(B26,유니버스!$C$14:$D$2561,2,0)</f>
        <v>KQ</v>
      </c>
      <c r="B26" s="65" t="str">
        <f>'코엑트 코스닥액티브'!B32</f>
        <v>비나텍</v>
      </c>
      <c r="C26" s="65">
        <f>VLOOKUP(B26,'코엑트 코스닥액티브'!$B$11:$E$1000,4,0)</f>
        <v>1.74</v>
      </c>
      <c r="D26" s="65">
        <f>IFERROR(VLOOKUP(B26,'코엑트 코스닥액티브(과거)'!$B$11:$E$1000,4,0),0)</f>
        <v>1.89</v>
      </c>
      <c r="E26" s="20">
        <f t="shared" si="3"/>
        <v>-0.14999999999999991</v>
      </c>
      <c r="F26" s="32">
        <f t="shared" si="4"/>
        <v>-7.9365079365079305E-2</v>
      </c>
      <c r="G26" s="63" t="str">
        <f>VLOOKUP(H26,유니버스!$C$14:$D$2561,2,0)</f>
        <v>KQ</v>
      </c>
      <c r="H26" s="65" t="str">
        <f>'타임 코스닥액티브'!B32</f>
        <v>원익IPS</v>
      </c>
      <c r="I26" s="65">
        <f>VLOOKUP(H26,'타임 코스닥액티브'!$B$11:$E$1000,4,0)</f>
        <v>1.61</v>
      </c>
      <c r="J26" s="65">
        <f>IFERROR(VLOOKUP(H26,'타임코스닥액티브(과거)'!$B$11:$E$1000,4,0),0)</f>
        <v>1.51</v>
      </c>
      <c r="K26" s="20">
        <f t="shared" si="5"/>
        <v>0.10000000000000009</v>
      </c>
      <c r="L26" s="32">
        <f t="shared" si="6"/>
        <v>6.6225165562914023E-2</v>
      </c>
      <c r="M26" s="62" t="str">
        <f>VLOOKUP(N26,유니버스!$C$14:$D$2561,2,0)</f>
        <v>KQ</v>
      </c>
      <c r="N26" s="26" t="str">
        <f>플러스코스닥액티브!B32</f>
        <v>올릭스</v>
      </c>
      <c r="O26" s="26">
        <f>VLOOKUP(N26,플러스코스닥액티브!$B$11:$E$1000,4,0)</f>
        <v>1.87</v>
      </c>
      <c r="P26" s="26">
        <f>IFERROR(VLOOKUP(N26,'플러스코스닥액티브(과거)'!$B$11:$E$1000,4,0),0)</f>
        <v>2.76</v>
      </c>
      <c r="Q26" s="20">
        <f t="shared" si="7"/>
        <v>-0.88999999999999968</v>
      </c>
      <c r="R26" s="32">
        <f t="shared" si="8"/>
        <v>-0.32246376811594191</v>
      </c>
    </row>
    <row r="27" spans="1:18" x14ac:dyDescent="0.4">
      <c r="A27" s="63" t="str">
        <f>VLOOKUP(B27,유니버스!$C$14:$D$2561,2,0)</f>
        <v>KQ</v>
      </c>
      <c r="B27" s="65" t="str">
        <f>'코엑트 코스닥액티브'!B33</f>
        <v>대주전자재료</v>
      </c>
      <c r="C27" s="65">
        <f>VLOOKUP(B27,'코엑트 코스닥액티브'!$B$11:$E$1000,4,0)</f>
        <v>1.56</v>
      </c>
      <c r="D27" s="65">
        <f>IFERROR(VLOOKUP(B27,'코엑트 코스닥액티브(과거)'!$B$11:$E$1000,4,0),0)</f>
        <v>1.75</v>
      </c>
      <c r="E27" s="20">
        <f t="shared" si="3"/>
        <v>-0.18999999999999995</v>
      </c>
      <c r="F27" s="32">
        <f t="shared" si="4"/>
        <v>-0.10857142857142854</v>
      </c>
      <c r="G27" s="63" t="str">
        <f>VLOOKUP(H27,유니버스!$C$14:$D$2561,2,0)</f>
        <v>KQ</v>
      </c>
      <c r="H27" s="65" t="str">
        <f>'타임 코스닥액티브'!B33</f>
        <v>에코프로비엠</v>
      </c>
      <c r="I27" s="65">
        <f>VLOOKUP(H27,'타임 코스닥액티브'!$B$11:$E$1000,4,0)</f>
        <v>1.54</v>
      </c>
      <c r="J27" s="65">
        <f>IFERROR(VLOOKUP(H27,'타임코스닥액티브(과거)'!$B$11:$E$1000,4,0),0)</f>
        <v>1.54</v>
      </c>
      <c r="K27" s="20">
        <f t="shared" si="5"/>
        <v>0</v>
      </c>
      <c r="L27" s="32">
        <f t="shared" si="6"/>
        <v>0</v>
      </c>
      <c r="M27" s="62" t="str">
        <f>VLOOKUP(N27,유니버스!$C$14:$D$2561,2,0)</f>
        <v>KQ</v>
      </c>
      <c r="N27" s="26" t="str">
        <f>플러스코스닥액티브!B33</f>
        <v>에이비엘바이오</v>
      </c>
      <c r="O27" s="26">
        <f>VLOOKUP(N27,플러스코스닥액티브!$B$11:$E$1000,4,0)</f>
        <v>1.75</v>
      </c>
      <c r="P27" s="26">
        <f>IFERROR(VLOOKUP(N27,'플러스코스닥액티브(과거)'!$B$11:$E$1000,4,0),0)</f>
        <v>2.08</v>
      </c>
      <c r="Q27" s="20">
        <f t="shared" si="7"/>
        <v>-0.33000000000000007</v>
      </c>
      <c r="R27" s="32">
        <f t="shared" si="8"/>
        <v>-0.15865384615384615</v>
      </c>
    </row>
    <row r="28" spans="1:18" x14ac:dyDescent="0.4">
      <c r="A28" s="63" t="str">
        <f>VLOOKUP(B28,유니버스!$C$14:$D$2561,2,0)</f>
        <v>KQ</v>
      </c>
      <c r="B28" s="65" t="str">
        <f>'코엑트 코스닥액티브'!B34</f>
        <v>인텔리안테크</v>
      </c>
      <c r="C28" s="65">
        <f>VLOOKUP(B28,'코엑트 코스닥액티브'!$B$11:$E$1000,4,0)</f>
        <v>1.45</v>
      </c>
      <c r="D28" s="65">
        <f>IFERROR(VLOOKUP(B28,'코엑트 코스닥액티브(과거)'!$B$11:$E$1000,4,0),0)</f>
        <v>1.66</v>
      </c>
      <c r="E28" s="20">
        <f t="shared" si="3"/>
        <v>-0.20999999999999996</v>
      </c>
      <c r="F28" s="32">
        <f t="shared" si="4"/>
        <v>-0.12650602409638556</v>
      </c>
      <c r="G28" s="63" t="str">
        <f>VLOOKUP(H28,유니버스!$C$14:$D$2561,2,0)</f>
        <v>KQ</v>
      </c>
      <c r="H28" s="65" t="str">
        <f>'타임 코스닥액티브'!B34</f>
        <v>켐트로닉스</v>
      </c>
      <c r="I28" s="65">
        <f>VLOOKUP(H28,'타임 코스닥액티브'!$B$11:$E$1000,4,0)</f>
        <v>1.5</v>
      </c>
      <c r="J28" s="65">
        <f>IFERROR(VLOOKUP(H28,'타임코스닥액티브(과거)'!$B$11:$E$1000,4,0),0)</f>
        <v>1.47</v>
      </c>
      <c r="K28" s="20">
        <f t="shared" si="5"/>
        <v>3.0000000000000027E-2</v>
      </c>
      <c r="L28" s="32">
        <f t="shared" si="6"/>
        <v>2.0408163265306145E-2</v>
      </c>
      <c r="M28" s="62" t="str">
        <f>VLOOKUP(N28,유니버스!$C$14:$D$2561,2,0)</f>
        <v>KQ</v>
      </c>
      <c r="N28" s="26" t="str">
        <f>플러스코스닥액티브!B34</f>
        <v>대주전자재료</v>
      </c>
      <c r="O28" s="26">
        <f>VLOOKUP(N28,플러스코스닥액티브!$B$11:$E$1000,4,0)</f>
        <v>1.65</v>
      </c>
      <c r="P28" s="26">
        <f>IFERROR(VLOOKUP(N28,'플러스코스닥액티브(과거)'!$B$11:$E$1000,4,0),0)</f>
        <v>1.82</v>
      </c>
      <c r="Q28" s="20">
        <f t="shared" si="7"/>
        <v>-0.17000000000000015</v>
      </c>
      <c r="R28" s="32">
        <f t="shared" si="8"/>
        <v>-9.3406593406593519E-2</v>
      </c>
    </row>
    <row r="29" spans="1:18" x14ac:dyDescent="0.4">
      <c r="A29" s="63" t="str">
        <f>VLOOKUP(B29,유니버스!$C$14:$D$2561,2,0)</f>
        <v>KQ</v>
      </c>
      <c r="B29" s="65" t="str">
        <f>'코엑트 코스닥액티브'!B35</f>
        <v>티에스이</v>
      </c>
      <c r="C29" s="65">
        <f>VLOOKUP(B29,'코엑트 코스닥액티브'!$B$11:$E$1000,4,0)</f>
        <v>1.39</v>
      </c>
      <c r="D29" s="65">
        <f>IFERROR(VLOOKUP(B29,'코엑트 코스닥액티브(과거)'!$B$11:$E$1000,4,0),0)</f>
        <v>1.22</v>
      </c>
      <c r="E29" s="20">
        <f t="shared" si="3"/>
        <v>0.16999999999999993</v>
      </c>
      <c r="F29" s="32">
        <f t="shared" si="4"/>
        <v>0.13934426229508201</v>
      </c>
      <c r="G29" s="63" t="str">
        <f>VLOOKUP(H29,유니버스!$C$14:$D$2561,2,0)</f>
        <v>KQ</v>
      </c>
      <c r="H29" s="65" t="str">
        <f>'타임 코스닥액티브'!B35</f>
        <v>선익시스템</v>
      </c>
      <c r="I29" s="65">
        <f>VLOOKUP(H29,'타임 코스닥액티브'!$B$11:$E$1000,4,0)</f>
        <v>1.49</v>
      </c>
      <c r="J29" s="65">
        <f>IFERROR(VLOOKUP(H29,'타임코스닥액티브(과거)'!$B$11:$E$1000,4,0),0)</f>
        <v>1.62</v>
      </c>
      <c r="K29" s="20">
        <f t="shared" si="5"/>
        <v>-0.13000000000000012</v>
      </c>
      <c r="L29" s="32">
        <f t="shared" si="6"/>
        <v>-8.0246913580246937E-2</v>
      </c>
      <c r="M29" s="62" t="str">
        <f>VLOOKUP(N29,유니버스!$C$14:$D$2561,2,0)</f>
        <v>KQ</v>
      </c>
      <c r="N29" s="26" t="str">
        <f>플러스코스닥액티브!B35</f>
        <v>ISC</v>
      </c>
      <c r="O29" s="26">
        <f>VLOOKUP(N29,플러스코스닥액티브!$B$11:$E$1000,4,0)</f>
        <v>1.59</v>
      </c>
      <c r="P29" s="26">
        <f>IFERROR(VLOOKUP(N29,'플러스코스닥액티브(과거)'!$B$11:$E$1000,4,0),0)</f>
        <v>1.39</v>
      </c>
      <c r="Q29" s="20">
        <f t="shared" si="7"/>
        <v>0.20000000000000018</v>
      </c>
      <c r="R29" s="32">
        <f t="shared" si="8"/>
        <v>0.14388489208633115</v>
      </c>
    </row>
    <row r="30" spans="1:18" x14ac:dyDescent="0.4">
      <c r="A30" s="63" t="str">
        <f>VLOOKUP(B30,유니버스!$C$14:$D$2561,2,0)</f>
        <v>KQ</v>
      </c>
      <c r="B30" s="65" t="str">
        <f>'코엑트 코스닥액티브'!B36</f>
        <v>피에스케이</v>
      </c>
      <c r="C30" s="65">
        <f>VLOOKUP(B30,'코엑트 코스닥액티브'!$B$11:$E$1000,4,0)</f>
        <v>1.36</v>
      </c>
      <c r="D30" s="65">
        <f>IFERROR(VLOOKUP(B30,'코엑트 코스닥액티브(과거)'!$B$11:$E$1000,4,0),0)</f>
        <v>1.07</v>
      </c>
      <c r="E30" s="20">
        <f t="shared" si="3"/>
        <v>0.29000000000000004</v>
      </c>
      <c r="F30" s="32">
        <f t="shared" si="4"/>
        <v>0.27102803738317749</v>
      </c>
      <c r="G30" s="63" t="str">
        <f>VLOOKUP(H30,유니버스!$C$14:$D$2561,2,0)</f>
        <v>KQ</v>
      </c>
      <c r="H30" s="65" t="str">
        <f>'타임 코스닥액티브'!B36</f>
        <v>세미파이브</v>
      </c>
      <c r="I30" s="65">
        <f>VLOOKUP(H30,'타임 코스닥액티브'!$B$11:$E$1000,4,0)</f>
        <v>1.47</v>
      </c>
      <c r="J30" s="65">
        <f>IFERROR(VLOOKUP(H30,'타임코스닥액티브(과거)'!$B$11:$E$1000,4,0),0)</f>
        <v>1.53</v>
      </c>
      <c r="K30" s="20">
        <f t="shared" si="5"/>
        <v>-6.0000000000000053E-2</v>
      </c>
      <c r="L30" s="32">
        <f t="shared" si="6"/>
        <v>-3.9215686274509887E-2</v>
      </c>
      <c r="M30" s="62" t="str">
        <f>VLOOKUP(N30,유니버스!$C$14:$D$2561,2,0)</f>
        <v>KQ</v>
      </c>
      <c r="N30" s="26" t="str">
        <f>플러스코스닥액티브!B36</f>
        <v>동진쎄미켐</v>
      </c>
      <c r="O30" s="26">
        <f>VLOOKUP(N30,플러스코스닥액티브!$B$11:$E$1000,4,0)</f>
        <v>1.54</v>
      </c>
      <c r="P30" s="26">
        <f>IFERROR(VLOOKUP(N30,'플러스코스닥액티브(과거)'!$B$11:$E$1000,4,0),0)</f>
        <v>1.1399999999999999</v>
      </c>
      <c r="Q30" s="20">
        <f t="shared" si="7"/>
        <v>0.40000000000000013</v>
      </c>
      <c r="R30" s="32">
        <f t="shared" si="8"/>
        <v>0.35087719298245634</v>
      </c>
    </row>
    <row r="31" spans="1:18" x14ac:dyDescent="0.4">
      <c r="A31" s="63" t="str">
        <f>VLOOKUP(B31,유니버스!$C$14:$D$2561,2,0)</f>
        <v>KQ</v>
      </c>
      <c r="B31" s="65" t="str">
        <f>'코엑트 코스닥액티브'!B37</f>
        <v>레인보우로보틱스</v>
      </c>
      <c r="C31" s="65">
        <f>VLOOKUP(B31,'코엑트 코스닥액티브'!$B$11:$E$1000,4,0)</f>
        <v>1.32</v>
      </c>
      <c r="D31" s="65">
        <f>IFERROR(VLOOKUP(B31,'코엑트 코스닥액티브(과거)'!$B$11:$E$1000,4,0),0)</f>
        <v>1.43</v>
      </c>
      <c r="E31" s="20">
        <f t="shared" si="3"/>
        <v>-0.10999999999999988</v>
      </c>
      <c r="F31" s="32">
        <f t="shared" si="4"/>
        <v>-7.6923076923076872E-2</v>
      </c>
      <c r="G31" s="63" t="str">
        <f>VLOOKUP(H31,유니버스!$C$14:$D$2561,2,0)</f>
        <v>KQ</v>
      </c>
      <c r="H31" s="65" t="str">
        <f>'타임 코스닥액티브'!B37</f>
        <v>비츠로셀</v>
      </c>
      <c r="I31" s="65">
        <f>VLOOKUP(H31,'타임 코스닥액티브'!$B$11:$E$1000,4,0)</f>
        <v>1.4</v>
      </c>
      <c r="J31" s="65">
        <f>IFERROR(VLOOKUP(H31,'타임코스닥액티브(과거)'!$B$11:$E$1000,4,0),0)</f>
        <v>2.4900000000000002</v>
      </c>
      <c r="K31" s="20">
        <f t="shared" si="5"/>
        <v>-1.0900000000000003</v>
      </c>
      <c r="L31" s="32">
        <f t="shared" si="6"/>
        <v>-0.43775100401606437</v>
      </c>
      <c r="M31" s="62" t="str">
        <f>VLOOKUP(N31,유니버스!$C$14:$D$2561,2,0)</f>
        <v>KQ</v>
      </c>
      <c r="N31" s="26" t="str">
        <f>플러스코스닥액티브!B37</f>
        <v>코오롱티슈진</v>
      </c>
      <c r="O31" s="26">
        <f>VLOOKUP(N31,플러스코스닥액티브!$B$11:$E$1000,4,0)</f>
        <v>1.53</v>
      </c>
      <c r="P31" s="26">
        <f>IFERROR(VLOOKUP(N31,'플러스코스닥액티브(과거)'!$B$11:$E$1000,4,0),0)</f>
        <v>2.0699999999999998</v>
      </c>
      <c r="Q31" s="20">
        <f t="shared" si="7"/>
        <v>-0.53999999999999981</v>
      </c>
      <c r="R31" s="32">
        <f t="shared" si="8"/>
        <v>-0.26086956521739124</v>
      </c>
    </row>
    <row r="32" spans="1:18" x14ac:dyDescent="0.4">
      <c r="A32" s="63" t="str">
        <f>VLOOKUP(B32,유니버스!$C$14:$D$2561,2,0)</f>
        <v>KQ</v>
      </c>
      <c r="B32" s="65" t="str">
        <f>'코엑트 코스닥액티브'!B38</f>
        <v>코나아이</v>
      </c>
      <c r="C32" s="65">
        <f>VLOOKUP(B32,'코엑트 코스닥액티브'!$B$11:$E$1000,4,0)</f>
        <v>1.28</v>
      </c>
      <c r="D32" s="65">
        <f>IFERROR(VLOOKUP(B32,'코엑트 코스닥액티브(과거)'!$B$11:$E$1000,4,0),0)</f>
        <v>1.47</v>
      </c>
      <c r="E32" s="20">
        <f t="shared" si="3"/>
        <v>-0.18999999999999995</v>
      </c>
      <c r="F32" s="32">
        <f t="shared" si="4"/>
        <v>-0.12925170068027203</v>
      </c>
      <c r="G32" s="63" t="str">
        <f>VLOOKUP(H32,유니버스!$C$14:$D$2561,2,0)</f>
        <v>KQ</v>
      </c>
      <c r="H32" s="65" t="str">
        <f>'타임 코스닥액티브'!B38</f>
        <v>오이솔루션</v>
      </c>
      <c r="I32" s="65">
        <f>VLOOKUP(H32,'타임 코스닥액티브'!$B$11:$E$1000,4,0)</f>
        <v>1.35</v>
      </c>
      <c r="J32" s="65">
        <f>IFERROR(VLOOKUP(H32,'타임코스닥액티브(과거)'!$B$11:$E$1000,4,0),0)</f>
        <v>4.26</v>
      </c>
      <c r="K32" s="20">
        <f t="shared" si="5"/>
        <v>-2.9099999999999997</v>
      </c>
      <c r="L32" s="32">
        <f t="shared" si="6"/>
        <v>-0.68309859154929575</v>
      </c>
      <c r="M32" s="62" t="str">
        <f>VLOOKUP(N32,유니버스!$C$14:$D$2561,2,0)</f>
        <v>KQ</v>
      </c>
      <c r="N32" s="26" t="str">
        <f>플러스코스닥액티브!B38</f>
        <v>에이프릴바이오</v>
      </c>
      <c r="O32" s="26">
        <f>VLOOKUP(N32,플러스코스닥액티브!$B$11:$E$1000,4,0)</f>
        <v>1.5</v>
      </c>
      <c r="P32" s="26">
        <f>IFERROR(VLOOKUP(N32,'플러스코스닥액티브(과거)'!$B$11:$E$1000,4,0),0)</f>
        <v>1.73</v>
      </c>
      <c r="Q32" s="20">
        <f t="shared" si="7"/>
        <v>-0.22999999999999998</v>
      </c>
      <c r="R32" s="32">
        <f t="shared" si="8"/>
        <v>-0.13294797687861271</v>
      </c>
    </row>
    <row r="33" spans="1:18" x14ac:dyDescent="0.4">
      <c r="A33" s="63" t="str">
        <f>VLOOKUP(B33,유니버스!$C$14:$D$2561,2,0)</f>
        <v>KQ</v>
      </c>
      <c r="B33" s="65" t="str">
        <f>'코엑트 코스닥액티브'!B39</f>
        <v>오스코텍</v>
      </c>
      <c r="C33" s="65">
        <f>VLOOKUP(B33,'코엑트 코스닥액티브'!$B$11:$E$1000,4,0)</f>
        <v>1.24</v>
      </c>
      <c r="D33" s="65">
        <f>IFERROR(VLOOKUP(B33,'코엑트 코스닥액티브(과거)'!$B$11:$E$1000,4,0),0)</f>
        <v>1.49</v>
      </c>
      <c r="E33" s="20">
        <f t="shared" si="3"/>
        <v>-0.25</v>
      </c>
      <c r="F33" s="32">
        <f t="shared" si="4"/>
        <v>-0.16778523489932884</v>
      </c>
      <c r="G33" s="63" t="str">
        <f>VLOOKUP(H33,유니버스!$C$14:$D$2561,2,0)</f>
        <v>KQ</v>
      </c>
      <c r="H33" s="65" t="str">
        <f>'타임 코스닥액티브'!B39</f>
        <v>대한광통신</v>
      </c>
      <c r="I33" s="65">
        <f>VLOOKUP(H33,'타임 코스닥액티브'!$B$11:$E$1000,4,0)</f>
        <v>1.31</v>
      </c>
      <c r="J33" s="65">
        <f>IFERROR(VLOOKUP(H33,'타임코스닥액티브(과거)'!$B$11:$E$1000,4,0),0)</f>
        <v>1.33</v>
      </c>
      <c r="K33" s="20">
        <f t="shared" si="5"/>
        <v>-2.0000000000000018E-2</v>
      </c>
      <c r="L33" s="32">
        <f t="shared" si="6"/>
        <v>-1.5037593984962405E-2</v>
      </c>
      <c r="M33" s="62" t="str">
        <f>VLOOKUP(N33,유니버스!$C$14:$D$2561,2,0)</f>
        <v>KQ</v>
      </c>
      <c r="N33" s="26" t="str">
        <f>플러스코스닥액티브!B39</f>
        <v>실리콘투</v>
      </c>
      <c r="O33" s="26">
        <f>VLOOKUP(N33,플러스코스닥액티브!$B$11:$E$1000,4,0)</f>
        <v>1.34</v>
      </c>
      <c r="P33" s="26">
        <f>IFERROR(VLOOKUP(N33,'플러스코스닥액티브(과거)'!$B$11:$E$1000,4,0),0)</f>
        <v>1.36</v>
      </c>
      <c r="Q33" s="20">
        <f t="shared" si="7"/>
        <v>-2.0000000000000018E-2</v>
      </c>
      <c r="R33" s="32">
        <f t="shared" si="8"/>
        <v>-1.4705882352941235E-2</v>
      </c>
    </row>
    <row r="34" spans="1:18" x14ac:dyDescent="0.4">
      <c r="A34" s="63" t="str">
        <f>VLOOKUP(B34,유니버스!$C$14:$D$2561,2,0)</f>
        <v>KQ</v>
      </c>
      <c r="B34" s="65" t="str">
        <f>'코엑트 코스닥액티브'!B40</f>
        <v>RFHIC</v>
      </c>
      <c r="C34" s="65">
        <f>VLOOKUP(B34,'코엑트 코스닥액티브'!$B$11:$E$1000,4,0)</f>
        <v>1.21</v>
      </c>
      <c r="D34" s="65">
        <f>IFERROR(VLOOKUP(B34,'코엑트 코스닥액티브(과거)'!$B$11:$E$1000,4,0),0)</f>
        <v>1.18</v>
      </c>
      <c r="E34" s="20">
        <f t="shared" si="3"/>
        <v>3.0000000000000027E-2</v>
      </c>
      <c r="F34" s="32">
        <f t="shared" si="4"/>
        <v>2.5423728813559254E-2</v>
      </c>
      <c r="G34" s="63" t="str">
        <f>VLOOKUP(H34,유니버스!$C$14:$D$2561,2,0)</f>
        <v>KQ</v>
      </c>
      <c r="H34" s="65" t="str">
        <f>'타임 코스닥액티브'!B40</f>
        <v>미코</v>
      </c>
      <c r="I34" s="65">
        <f>VLOOKUP(H34,'타임 코스닥액티브'!$B$11:$E$1000,4,0)</f>
        <v>1.29</v>
      </c>
      <c r="J34" s="65">
        <f>IFERROR(VLOOKUP(H34,'타임코스닥액티브(과거)'!$B$11:$E$1000,4,0),0)</f>
        <v>1.47</v>
      </c>
      <c r="K34" s="20">
        <f t="shared" si="5"/>
        <v>-0.17999999999999994</v>
      </c>
      <c r="L34" s="32">
        <f t="shared" si="6"/>
        <v>-0.12244897959183665</v>
      </c>
      <c r="M34" s="62" t="str">
        <f>VLOOKUP(N34,유니버스!$C$14:$D$2561,2,0)</f>
        <v>KQ</v>
      </c>
      <c r="N34" s="26" t="str">
        <f>플러스코스닥액티브!B40</f>
        <v>피에스케이</v>
      </c>
      <c r="O34" s="26">
        <f>VLOOKUP(N34,플러스코스닥액티브!$B$11:$E$1000,4,0)</f>
        <v>1.32</v>
      </c>
      <c r="P34" s="26">
        <f>IFERROR(VLOOKUP(N34,'플러스코스닥액티브(과거)'!$B$11:$E$1000,4,0),0)</f>
        <v>1.1100000000000001</v>
      </c>
      <c r="Q34" s="20">
        <f t="shared" si="7"/>
        <v>0.20999999999999996</v>
      </c>
      <c r="R34" s="32">
        <f t="shared" si="8"/>
        <v>0.18918918918918903</v>
      </c>
    </row>
    <row r="35" spans="1:18" x14ac:dyDescent="0.4">
      <c r="A35" s="63" t="str">
        <f>VLOOKUP(B35,유니버스!$C$14:$D$2561,2,0)</f>
        <v>KQ</v>
      </c>
      <c r="B35" s="65" t="str">
        <f>'코엑트 코스닥액티브'!B41</f>
        <v>큐리언트</v>
      </c>
      <c r="C35" s="65">
        <f>VLOOKUP(B35,'코엑트 코스닥액티브'!$B$11:$E$1000,4,0)</f>
        <v>1.1599999999999999</v>
      </c>
      <c r="D35" s="65">
        <f>IFERROR(VLOOKUP(B35,'코엑트 코스닥액티브(과거)'!$B$11:$E$1000,4,0),0)</f>
        <v>1.57</v>
      </c>
      <c r="E35" s="20">
        <f t="shared" si="3"/>
        <v>-0.41000000000000014</v>
      </c>
      <c r="F35" s="32">
        <f t="shared" si="4"/>
        <v>-0.26114649681528668</v>
      </c>
      <c r="G35" s="63" t="str">
        <f>VLOOKUP(H35,유니버스!$C$14:$D$2561,2,0)</f>
        <v>KQ</v>
      </c>
      <c r="H35" s="65" t="str">
        <f>'타임 코스닥액티브'!B41</f>
        <v>코미코</v>
      </c>
      <c r="I35" s="65">
        <f>VLOOKUP(H35,'타임 코스닥액티브'!$B$11:$E$1000,4,0)</f>
        <v>1.28</v>
      </c>
      <c r="J35" s="65">
        <f>IFERROR(VLOOKUP(H35,'타임코스닥액티브(과거)'!$B$11:$E$1000,4,0),0)</f>
        <v>1.26</v>
      </c>
      <c r="K35" s="20">
        <f t="shared" si="5"/>
        <v>2.0000000000000018E-2</v>
      </c>
      <c r="L35" s="32">
        <f t="shared" si="6"/>
        <v>1.5873015873015817E-2</v>
      </c>
      <c r="M35" s="62" t="str">
        <f>VLOOKUP(N35,유니버스!$C$14:$D$2561,2,0)</f>
        <v>KQ</v>
      </c>
      <c r="N35" s="26" t="str">
        <f>플러스코스닥액티브!B41</f>
        <v>클래시스</v>
      </c>
      <c r="O35" s="26">
        <f>VLOOKUP(N35,플러스코스닥액티브!$B$11:$E$1000,4,0)</f>
        <v>1.24</v>
      </c>
      <c r="P35" s="26">
        <f>IFERROR(VLOOKUP(N35,'플러스코스닥액티브(과거)'!$B$11:$E$1000,4,0),0)</f>
        <v>1.29</v>
      </c>
      <c r="Q35" s="20">
        <f t="shared" si="7"/>
        <v>-5.0000000000000044E-2</v>
      </c>
      <c r="R35" s="32">
        <f t="shared" si="8"/>
        <v>-3.8759689922480689E-2</v>
      </c>
    </row>
    <row r="36" spans="1:18" x14ac:dyDescent="0.4">
      <c r="A36" s="63" t="str">
        <f>VLOOKUP(B36,유니버스!$C$14:$D$2561,2,0)</f>
        <v>KQ</v>
      </c>
      <c r="B36" s="65" t="str">
        <f>'코엑트 코스닥액티브'!B42</f>
        <v>덕산하이메탈</v>
      </c>
      <c r="C36" s="65">
        <f>VLOOKUP(B36,'코엑트 코스닥액티브'!$B$11:$E$1000,4,0)</f>
        <v>1.1000000000000001</v>
      </c>
      <c r="D36" s="65">
        <f>IFERROR(VLOOKUP(B36,'코엑트 코스닥액티브(과거)'!$B$11:$E$1000,4,0),0)</f>
        <v>1.1399999999999999</v>
      </c>
      <c r="E36" s="20">
        <f t="shared" si="3"/>
        <v>-3.9999999999999813E-2</v>
      </c>
      <c r="F36" s="32">
        <f t="shared" si="4"/>
        <v>-3.5087719298245501E-2</v>
      </c>
      <c r="G36" s="63" t="str">
        <f>VLOOKUP(H36,유니버스!$C$14:$D$2561,2,0)</f>
        <v>KQ</v>
      </c>
      <c r="H36" s="65" t="str">
        <f>'타임 코스닥액티브'!B42</f>
        <v>ISC</v>
      </c>
      <c r="I36" s="65">
        <f>VLOOKUP(H36,'타임 코스닥액티브'!$B$11:$E$1000,4,0)</f>
        <v>1.21</v>
      </c>
      <c r="J36" s="65">
        <f>IFERROR(VLOOKUP(H36,'타임코스닥액티브(과거)'!$B$11:$E$1000,4,0),0)</f>
        <v>1.27</v>
      </c>
      <c r="K36" s="20">
        <f t="shared" si="5"/>
        <v>-6.0000000000000053E-2</v>
      </c>
      <c r="L36" s="32">
        <f t="shared" si="6"/>
        <v>-4.7244094488189003E-2</v>
      </c>
      <c r="M36" s="62" t="str">
        <f>VLOOKUP(N36,유니버스!$C$14:$D$2561,2,0)</f>
        <v>KQ</v>
      </c>
      <c r="N36" s="26" t="str">
        <f>플러스코스닥액티브!B42</f>
        <v>지투지바이오</v>
      </c>
      <c r="O36" s="26">
        <f>VLOOKUP(N36,플러스코스닥액티브!$B$11:$E$1000,4,0)</f>
        <v>1.2</v>
      </c>
      <c r="P36" s="26">
        <f>IFERROR(VLOOKUP(N36,'플러스코스닥액티브(과거)'!$B$11:$E$1000,4,0),0)</f>
        <v>1.69</v>
      </c>
      <c r="Q36" s="20">
        <f t="shared" si="7"/>
        <v>-0.49</v>
      </c>
      <c r="R36" s="32">
        <f t="shared" si="8"/>
        <v>-0.2899408284023669</v>
      </c>
    </row>
    <row r="37" spans="1:18" x14ac:dyDescent="0.4">
      <c r="A37" s="63" t="str">
        <f>VLOOKUP(B37,유니버스!$C$14:$D$2561,2,0)</f>
        <v>KQ</v>
      </c>
      <c r="B37" s="65" t="str">
        <f>'코엑트 코스닥액티브'!B43</f>
        <v>가온칩스</v>
      </c>
      <c r="C37" s="65">
        <f>VLOOKUP(B37,'코엑트 코스닥액티브'!$B$11:$E$1000,4,0)</f>
        <v>1.0900000000000001</v>
      </c>
      <c r="D37" s="65">
        <f>IFERROR(VLOOKUP(B37,'코엑트 코스닥액티브(과거)'!$B$11:$E$1000,4,0),0)</f>
        <v>0.86</v>
      </c>
      <c r="E37" s="20">
        <f t="shared" si="3"/>
        <v>0.23000000000000009</v>
      </c>
      <c r="F37" s="32">
        <f t="shared" si="4"/>
        <v>0.26744186046511631</v>
      </c>
      <c r="G37" s="63" t="str">
        <f>VLOOKUP(H37,유니버스!$C$14:$D$2561,2,0)</f>
        <v>KQ</v>
      </c>
      <c r="H37" s="65" t="str">
        <f>'타임 코스닥액티브'!B43</f>
        <v>심텍</v>
      </c>
      <c r="I37" s="65">
        <f>VLOOKUP(H37,'타임 코스닥액티브'!$B$11:$E$1000,4,0)</f>
        <v>1.1499999999999999</v>
      </c>
      <c r="J37" s="65">
        <f>IFERROR(VLOOKUP(H37,'타임코스닥액티브(과거)'!$B$11:$E$1000,4,0),0)</f>
        <v>0.94</v>
      </c>
      <c r="K37" s="20">
        <f t="shared" si="5"/>
        <v>0.20999999999999996</v>
      </c>
      <c r="L37" s="32">
        <f t="shared" si="6"/>
        <v>0.22340425531914887</v>
      </c>
      <c r="M37" s="62" t="str">
        <f>VLOOKUP(N37,유니버스!$C$14:$D$2561,2,0)</f>
        <v>KQ</v>
      </c>
      <c r="N37" s="26" t="str">
        <f>플러스코스닥액티브!B43</f>
        <v>기가비스</v>
      </c>
      <c r="O37" s="26">
        <f>VLOOKUP(N37,플러스코스닥액티브!$B$11:$E$1000,4,0)</f>
        <v>1.05</v>
      </c>
      <c r="P37" s="26">
        <f>IFERROR(VLOOKUP(N37,'플러스코스닥액티브(과거)'!$B$11:$E$1000,4,0),0)</f>
        <v>0.98</v>
      </c>
      <c r="Q37" s="20">
        <f t="shared" si="7"/>
        <v>7.0000000000000062E-2</v>
      </c>
      <c r="R37" s="32">
        <f t="shared" si="8"/>
        <v>7.1428571428571397E-2</v>
      </c>
    </row>
    <row r="38" spans="1:18" x14ac:dyDescent="0.4">
      <c r="A38" s="63" t="str">
        <f>VLOOKUP(B38,유니버스!$C$14:$D$2561,2,0)</f>
        <v>KQ</v>
      </c>
      <c r="B38" s="65" t="str">
        <f>'코엑트 코스닥액티브'!B44</f>
        <v>알지노믹스</v>
      </c>
      <c r="C38" s="65">
        <f>VLOOKUP(B38,'코엑트 코스닥액티브'!$B$11:$E$1000,4,0)</f>
        <v>1.07</v>
      </c>
      <c r="D38" s="65">
        <f>IFERROR(VLOOKUP(B38,'코엑트 코스닥액티브(과거)'!$B$11:$E$1000,4,0),0)</f>
        <v>1.73</v>
      </c>
      <c r="E38" s="20">
        <f t="shared" si="3"/>
        <v>-0.65999999999999992</v>
      </c>
      <c r="F38" s="32">
        <f t="shared" si="4"/>
        <v>-0.38150289017341033</v>
      </c>
      <c r="G38" s="63" t="str">
        <f>VLOOKUP(H38,유니버스!$C$14:$D$2561,2,0)</f>
        <v>KQ</v>
      </c>
      <c r="H38" s="65" t="str">
        <f>'타임 코스닥액티브'!B44</f>
        <v>리가켐바이오</v>
      </c>
      <c r="I38" s="65">
        <f>VLOOKUP(H38,'타임 코스닥액티브'!$B$11:$E$1000,4,0)</f>
        <v>1.08</v>
      </c>
      <c r="J38" s="65">
        <f>IFERROR(VLOOKUP(H38,'타임코스닥액티브(과거)'!$B$11:$E$1000,4,0),0)</f>
        <v>1.48</v>
      </c>
      <c r="K38" s="20">
        <f t="shared" si="5"/>
        <v>-0.39999999999999991</v>
      </c>
      <c r="L38" s="32">
        <f t="shared" si="6"/>
        <v>-0.27027027027027017</v>
      </c>
      <c r="M38" s="62" t="str">
        <f>VLOOKUP(N38,유니버스!$C$14:$D$2561,2,0)</f>
        <v>KQ</v>
      </c>
      <c r="N38" s="26" t="str">
        <f>플러스코스닥액티브!B44</f>
        <v>상신이디피</v>
      </c>
      <c r="O38" s="26">
        <f>VLOOKUP(N38,플러스코스닥액티브!$B$11:$E$1000,4,0)</f>
        <v>1.01</v>
      </c>
      <c r="P38" s="26">
        <f>IFERROR(VLOOKUP(N38,'플러스코스닥액티브(과거)'!$B$11:$E$1000,4,0),0)</f>
        <v>0.83</v>
      </c>
      <c r="Q38" s="20">
        <f t="shared" si="7"/>
        <v>0.18000000000000005</v>
      </c>
      <c r="R38" s="32">
        <f t="shared" si="8"/>
        <v>0.2168674698795181</v>
      </c>
    </row>
    <row r="39" spans="1:18" x14ac:dyDescent="0.4">
      <c r="A39" s="63" t="str">
        <f>VLOOKUP(B39,유니버스!$C$14:$D$2561,2,0)</f>
        <v>KQ</v>
      </c>
      <c r="B39" s="65" t="str">
        <f>'코엑트 코스닥액티브'!B45</f>
        <v>성우하이텍</v>
      </c>
      <c r="C39" s="65">
        <f>VLOOKUP(B39,'코엑트 코스닥액티브'!$B$11:$E$1000,4,0)</f>
        <v>1.05</v>
      </c>
      <c r="D39" s="65">
        <f>IFERROR(VLOOKUP(B39,'코엑트 코스닥액티브(과거)'!$B$11:$E$1000,4,0),0)</f>
        <v>1.32</v>
      </c>
      <c r="E39" s="20">
        <f t="shared" si="3"/>
        <v>-0.27</v>
      </c>
      <c r="F39" s="32">
        <f t="shared" si="4"/>
        <v>-0.20454545454545459</v>
      </c>
      <c r="G39" s="63" t="str">
        <f>VLOOKUP(H39,유니버스!$C$14:$D$2561,2,0)</f>
        <v>KQ</v>
      </c>
      <c r="H39" s="65" t="str">
        <f>'타임 코스닥액티브'!B45</f>
        <v>덕산하이메탈</v>
      </c>
      <c r="I39" s="65">
        <f>VLOOKUP(H39,'타임 코스닥액티브'!$B$11:$E$1000,4,0)</f>
        <v>1.08</v>
      </c>
      <c r="J39" s="65">
        <f>IFERROR(VLOOKUP(H39,'타임코스닥액티브(과거)'!$B$11:$E$1000,4,0),0)</f>
        <v>1.1499999999999999</v>
      </c>
      <c r="K39" s="20">
        <f t="shared" si="5"/>
        <v>-6.999999999999984E-2</v>
      </c>
      <c r="L39" s="32">
        <f t="shared" si="6"/>
        <v>-6.0869565217391175E-2</v>
      </c>
      <c r="M39" s="62" t="str">
        <f>VLOOKUP(N39,유니버스!$C$14:$D$2561,2,0)</f>
        <v>KQ</v>
      </c>
      <c r="N39" s="26" t="str">
        <f>플러스코스닥액티브!B45</f>
        <v>금양그린파워</v>
      </c>
      <c r="O39" s="26">
        <f>VLOOKUP(N39,플러스코스닥액티브!$B$11:$E$1000,4,0)</f>
        <v>0.9</v>
      </c>
      <c r="P39" s="26">
        <f>IFERROR(VLOOKUP(N39,'플러스코스닥액티브(과거)'!$B$11:$E$1000,4,0),0)</f>
        <v>0.99</v>
      </c>
      <c r="Q39" s="20">
        <f t="shared" si="7"/>
        <v>-8.9999999999999969E-2</v>
      </c>
      <c r="R39" s="32">
        <f t="shared" si="8"/>
        <v>-9.0909090909090828E-2</v>
      </c>
    </row>
    <row r="40" spans="1:18" x14ac:dyDescent="0.4">
      <c r="A40" s="63" t="str">
        <f>VLOOKUP(B40,유니버스!$C$14:$D$2561,2,0)</f>
        <v>KQ</v>
      </c>
      <c r="B40" s="65" t="str">
        <f>'코엑트 코스닥액티브'!B46</f>
        <v>제주반도체</v>
      </c>
      <c r="C40" s="65">
        <f>VLOOKUP(B40,'코엑트 코스닥액티브'!$B$11:$E$1000,4,0)</f>
        <v>1.04</v>
      </c>
      <c r="D40" s="65">
        <f>IFERROR(VLOOKUP(B40,'코엑트 코스닥액티브(과거)'!$B$11:$E$1000,4,0),0)</f>
        <v>0.73</v>
      </c>
      <c r="E40" s="20">
        <f t="shared" si="3"/>
        <v>0.31000000000000005</v>
      </c>
      <c r="F40" s="32">
        <f t="shared" si="4"/>
        <v>0.42465753424657549</v>
      </c>
      <c r="G40" s="63" t="str">
        <f>VLOOKUP(H40,유니버스!$C$14:$D$2561,2,0)</f>
        <v>KQ</v>
      </c>
      <c r="H40" s="65" t="str">
        <f>'타임 코스닥액티브'!B46</f>
        <v>비나텍</v>
      </c>
      <c r="I40" s="65">
        <f>VLOOKUP(H40,'타임 코스닥액티브'!$B$11:$E$1000,4,0)</f>
        <v>0.99</v>
      </c>
      <c r="J40" s="65">
        <f>IFERROR(VLOOKUP(H40,'타임코스닥액티브(과거)'!$B$11:$E$1000,4,0),0)</f>
        <v>1.99</v>
      </c>
      <c r="K40" s="20">
        <f t="shared" si="5"/>
        <v>-1</v>
      </c>
      <c r="L40" s="32">
        <f t="shared" si="6"/>
        <v>-0.50251256281407031</v>
      </c>
      <c r="M40" s="62" t="str">
        <f>VLOOKUP(N40,유니버스!$C$14:$D$2561,2,0)</f>
        <v>KQ</v>
      </c>
      <c r="N40" s="26" t="str">
        <f>플러스코스닥액티브!B46</f>
        <v>앱클론</v>
      </c>
      <c r="O40" s="26">
        <f>VLOOKUP(N40,플러스코스닥액티브!$B$11:$E$1000,4,0)</f>
        <v>0.89</v>
      </c>
      <c r="P40" s="26">
        <f>IFERROR(VLOOKUP(N40,'플러스코스닥액티브(과거)'!$B$11:$E$1000,4,0),0)</f>
        <v>0.86</v>
      </c>
      <c r="Q40" s="20">
        <f t="shared" si="7"/>
        <v>3.0000000000000027E-2</v>
      </c>
      <c r="R40" s="32">
        <f t="shared" si="8"/>
        <v>3.488372093023262E-2</v>
      </c>
    </row>
    <row r="41" spans="1:18" x14ac:dyDescent="0.4">
      <c r="A41" s="63" t="str">
        <f>VLOOKUP(B41,유니버스!$C$14:$D$2561,2,0)</f>
        <v>KQ</v>
      </c>
      <c r="B41" s="65" t="str">
        <f>'코엑트 코스닥액티브'!B47</f>
        <v>한양디지텍</v>
      </c>
      <c r="C41" s="65">
        <f>VLOOKUP(B41,'코엑트 코스닥액티브'!$B$11:$E$1000,4,0)</f>
        <v>1.02</v>
      </c>
      <c r="D41" s="65">
        <f>IFERROR(VLOOKUP(B41,'코엑트 코스닥액티브(과거)'!$B$11:$E$1000,4,0),0)</f>
        <v>0.71</v>
      </c>
      <c r="E41" s="20">
        <f t="shared" si="3"/>
        <v>0.31000000000000005</v>
      </c>
      <c r="F41" s="32">
        <f t="shared" si="4"/>
        <v>0.43661971830985924</v>
      </c>
      <c r="G41" s="63" t="str">
        <f>VLOOKUP(H41,유니버스!$C$14:$D$2561,2,0)</f>
        <v>KQ</v>
      </c>
      <c r="H41" s="65" t="str">
        <f>'타임 코스닥액티브'!B47</f>
        <v>알지노믹스</v>
      </c>
      <c r="I41" s="65">
        <f>VLOOKUP(H41,'타임 코스닥액티브'!$B$11:$E$1000,4,0)</f>
        <v>0.96</v>
      </c>
      <c r="J41" s="65">
        <f>IFERROR(VLOOKUP(H41,'타임코스닥액티브(과거)'!$B$11:$E$1000,4,0),0)</f>
        <v>1.1100000000000001</v>
      </c>
      <c r="K41" s="20">
        <f t="shared" si="5"/>
        <v>-0.15000000000000013</v>
      </c>
      <c r="L41" s="32">
        <f t="shared" si="6"/>
        <v>-0.1351351351351352</v>
      </c>
      <c r="M41" s="62" t="str">
        <f>VLOOKUP(N41,유니버스!$C$14:$D$2561,2,0)</f>
        <v>KQ</v>
      </c>
      <c r="N41" s="26" t="str">
        <f>플러스코스닥액티브!B47</f>
        <v>덕산네오룩스</v>
      </c>
      <c r="O41" s="26">
        <f>VLOOKUP(N41,플러스코스닥액티브!$B$11:$E$1000,4,0)</f>
        <v>0.84</v>
      </c>
      <c r="P41" s="26">
        <f>IFERROR(VLOOKUP(N41,'플러스코스닥액티브(과거)'!$B$11:$E$1000,4,0),0)</f>
        <v>0.98</v>
      </c>
      <c r="Q41" s="20">
        <f t="shared" si="7"/>
        <v>-0.14000000000000001</v>
      </c>
      <c r="R41" s="32">
        <f t="shared" si="8"/>
        <v>-0.1428571428571429</v>
      </c>
    </row>
    <row r="42" spans="1:18" x14ac:dyDescent="0.4">
      <c r="A42" s="63" t="str">
        <f>VLOOKUP(B42,유니버스!$C$14:$D$2561,2,0)</f>
        <v>KQ</v>
      </c>
      <c r="B42" s="65" t="str">
        <f>'코엑트 코스닥액티브'!B48</f>
        <v>코세스</v>
      </c>
      <c r="C42" s="65">
        <f>VLOOKUP(B42,'코엑트 코스닥액티브'!$B$11:$E$1000,4,0)</f>
        <v>0.95</v>
      </c>
      <c r="D42" s="65">
        <f>IFERROR(VLOOKUP(B42,'코엑트 코스닥액티브(과거)'!$B$11:$E$1000,4,0),0)</f>
        <v>0.99</v>
      </c>
      <c r="E42" s="20">
        <f t="shared" si="3"/>
        <v>-4.0000000000000036E-2</v>
      </c>
      <c r="F42" s="32">
        <f t="shared" si="4"/>
        <v>-4.0404040404040442E-2</v>
      </c>
      <c r="G42" s="63" t="str">
        <f>VLOOKUP(H42,유니버스!$C$14:$D$2561,2,0)</f>
        <v>KQ</v>
      </c>
      <c r="H42" s="65" t="str">
        <f>'타임 코스닥액티브'!B48</f>
        <v>파크시스템스</v>
      </c>
      <c r="I42" s="65">
        <f>VLOOKUP(H42,'타임 코스닥액티브'!$B$11:$E$1000,4,0)</f>
        <v>0.93</v>
      </c>
      <c r="J42" s="65">
        <f>IFERROR(VLOOKUP(H42,'타임코스닥액티브(과거)'!$B$11:$E$1000,4,0),0)</f>
        <v>0.95</v>
      </c>
      <c r="K42" s="20">
        <f t="shared" si="5"/>
        <v>-1.9999999999999907E-2</v>
      </c>
      <c r="L42" s="32">
        <f t="shared" si="6"/>
        <v>-2.1052631578947323E-2</v>
      </c>
      <c r="M42" s="62" t="str">
        <f>VLOOKUP(N42,유니버스!$C$14:$D$2561,2,0)</f>
        <v>KQ</v>
      </c>
      <c r="N42" s="26" t="str">
        <f>플러스코스닥액티브!B48</f>
        <v>한선엔지니어링</v>
      </c>
      <c r="O42" s="26">
        <f>VLOOKUP(N42,플러스코스닥액티브!$B$11:$E$1000,4,0)</f>
        <v>0.7</v>
      </c>
      <c r="P42" s="26">
        <f>IFERROR(VLOOKUP(N42,'플러스코스닥액티브(과거)'!$B$11:$E$1000,4,0),0)</f>
        <v>0.8</v>
      </c>
      <c r="Q42" s="20">
        <f t="shared" si="7"/>
        <v>-0.10000000000000009</v>
      </c>
      <c r="R42" s="32">
        <f t="shared" si="8"/>
        <v>-0.12500000000000011</v>
      </c>
    </row>
    <row r="43" spans="1:18" x14ac:dyDescent="0.4">
      <c r="A43" s="63" t="str">
        <f>VLOOKUP(B43,유니버스!$C$14:$D$2561,2,0)</f>
        <v>KQ</v>
      </c>
      <c r="B43" s="65" t="str">
        <f>'코엑트 코스닥액티브'!B49</f>
        <v>비츠로셀</v>
      </c>
      <c r="C43" s="65">
        <f>VLOOKUP(B43,'코엑트 코스닥액티브'!$B$11:$E$1000,4,0)</f>
        <v>0.86</v>
      </c>
      <c r="D43" s="65">
        <f>IFERROR(VLOOKUP(B43,'코엑트 코스닥액티브(과거)'!$B$11:$E$1000,4,0),0)</f>
        <v>0.96</v>
      </c>
      <c r="E43" s="20">
        <f t="shared" si="3"/>
        <v>-9.9999999999999978E-2</v>
      </c>
      <c r="F43" s="32">
        <f t="shared" si="4"/>
        <v>-0.10416666666666663</v>
      </c>
      <c r="G43" s="63" t="str">
        <f>VLOOKUP(H43,유니버스!$C$14:$D$2561,2,0)</f>
        <v>KQ</v>
      </c>
      <c r="H43" s="65" t="str">
        <f>'타임 코스닥액티브'!B49</f>
        <v>RFHIC</v>
      </c>
      <c r="I43" s="65">
        <f>VLOOKUP(H43,'타임 코스닥액티브'!$B$11:$E$1000,4,0)</f>
        <v>0.91</v>
      </c>
      <c r="J43" s="65">
        <f>IFERROR(VLOOKUP(H43,'타임코스닥액티브(과거)'!$B$11:$E$1000,4,0),0)</f>
        <v>0.91</v>
      </c>
      <c r="K43" s="20">
        <f t="shared" si="5"/>
        <v>0</v>
      </c>
      <c r="L43" s="32">
        <f t="shared" si="6"/>
        <v>0</v>
      </c>
      <c r="M43" s="62" t="str">
        <f>VLOOKUP(N43,유니버스!$C$14:$D$2561,2,0)</f>
        <v>KQ</v>
      </c>
      <c r="N43" s="26" t="str">
        <f>플러스코스닥액티브!B49</f>
        <v>LS증권</v>
      </c>
      <c r="O43" s="26">
        <f>VLOOKUP(N43,플러스코스닥액티브!$B$11:$E$1000,4,0)</f>
        <v>0.69</v>
      </c>
      <c r="P43" s="26">
        <f>IFERROR(VLOOKUP(N43,'플러스코스닥액티브(과거)'!$B$11:$E$1000,4,0),0)</f>
        <v>0.57999999999999996</v>
      </c>
      <c r="Q43" s="20">
        <f t="shared" si="7"/>
        <v>0.10999999999999999</v>
      </c>
      <c r="R43" s="32">
        <f t="shared" si="8"/>
        <v>0.18965517241379315</v>
      </c>
    </row>
    <row r="44" spans="1:18" x14ac:dyDescent="0.4">
      <c r="A44" s="63" t="str">
        <f>VLOOKUP(B44,유니버스!$C$14:$D$2561,2,0)</f>
        <v>KQ</v>
      </c>
      <c r="B44" s="65" t="str">
        <f>'코엑트 코스닥액티브'!B50</f>
        <v>파마리서치</v>
      </c>
      <c r="C44" s="65">
        <f>VLOOKUP(B44,'코엑트 코스닥액티브'!$B$11:$E$1000,4,0)</f>
        <v>0.85</v>
      </c>
      <c r="D44" s="65">
        <f>IFERROR(VLOOKUP(B44,'코엑트 코스닥액티브(과거)'!$B$11:$E$1000,4,0),0)</f>
        <v>0.47</v>
      </c>
      <c r="E44" s="20">
        <f t="shared" si="3"/>
        <v>0.38</v>
      </c>
      <c r="F44" s="32">
        <f t="shared" si="4"/>
        <v>0.8085106382978724</v>
      </c>
      <c r="G44" s="63" t="str">
        <f>VLOOKUP(H44,유니버스!$C$14:$D$2561,2,0)</f>
        <v>KQ</v>
      </c>
      <c r="H44" s="65" t="str">
        <f>'타임 코스닥액티브'!B50</f>
        <v>쎄트렉아이</v>
      </c>
      <c r="I44" s="65">
        <f>VLOOKUP(H44,'타임 코스닥액티브'!$B$11:$E$1000,4,0)</f>
        <v>0.82</v>
      </c>
      <c r="J44" s="65">
        <f>IFERROR(VLOOKUP(H44,'타임코스닥액티브(과거)'!$B$11:$E$1000,4,0),0)</f>
        <v>0.89</v>
      </c>
      <c r="K44" s="20">
        <f t="shared" si="5"/>
        <v>-7.0000000000000062E-2</v>
      </c>
      <c r="L44" s="32">
        <f t="shared" si="6"/>
        <v>-7.8651685393258508E-2</v>
      </c>
      <c r="M44" s="62" t="str">
        <f>VLOOKUP(N44,유니버스!$C$14:$D$2561,2,0)</f>
        <v>KQ</v>
      </c>
      <c r="N44" s="26" t="str">
        <f>플러스코스닥액티브!B50</f>
        <v>코세스</v>
      </c>
      <c r="O44" s="26">
        <f>VLOOKUP(N44,플러스코스닥액티브!$B$11:$E$1000,4,0)</f>
        <v>0.68</v>
      </c>
      <c r="P44" s="26">
        <f>IFERROR(VLOOKUP(N44,'플러스코스닥액티브(과거)'!$B$11:$E$1000,4,0),0)</f>
        <v>0.7</v>
      </c>
      <c r="Q44" s="20">
        <f t="shared" si="7"/>
        <v>-1.9999999999999907E-2</v>
      </c>
      <c r="R44" s="32">
        <f t="shared" si="8"/>
        <v>-2.857142857142847E-2</v>
      </c>
    </row>
    <row r="45" spans="1:18" x14ac:dyDescent="0.4">
      <c r="A45" s="63" t="str">
        <f>VLOOKUP(B45,유니버스!$C$14:$D$2561,2,0)</f>
        <v>KQ</v>
      </c>
      <c r="B45" s="65" t="str">
        <f>'코엑트 코스닥액티브'!B51</f>
        <v>지투지바이오</v>
      </c>
      <c r="C45" s="65">
        <f>VLOOKUP(B45,'코엑트 코스닥액티브'!$B$11:$E$1000,4,0)</f>
        <v>0.77</v>
      </c>
      <c r="D45" s="65">
        <f>IFERROR(VLOOKUP(B45,'코엑트 코스닥액티브(과거)'!$B$11:$E$1000,4,0),0)</f>
        <v>0.89</v>
      </c>
      <c r="E45" s="20">
        <f t="shared" si="3"/>
        <v>-0.12</v>
      </c>
      <c r="F45" s="32">
        <f t="shared" si="4"/>
        <v>-0.1348314606741573</v>
      </c>
      <c r="G45" s="63" t="str">
        <f>VLOOKUP(H45,유니버스!$C$14:$D$2561,2,0)</f>
        <v>KQ</v>
      </c>
      <c r="H45" s="65" t="str">
        <f>'타임 코스닥액티브'!B51</f>
        <v>태성</v>
      </c>
      <c r="I45" s="65">
        <f>VLOOKUP(H45,'타임 코스닥액티브'!$B$11:$E$1000,4,0)</f>
        <v>0.79</v>
      </c>
      <c r="J45" s="65">
        <f>IFERROR(VLOOKUP(H45,'타임코스닥액티브(과거)'!$B$11:$E$1000,4,0),0)</f>
        <v>0.79</v>
      </c>
      <c r="K45" s="20">
        <f t="shared" si="5"/>
        <v>0</v>
      </c>
      <c r="L45" s="32">
        <f t="shared" si="6"/>
        <v>0</v>
      </c>
      <c r="M45" s="62" t="str">
        <f>VLOOKUP(N45,유니버스!$C$14:$D$2561,2,0)</f>
        <v>KQ</v>
      </c>
      <c r="N45" s="26" t="str">
        <f>플러스코스닥액티브!B51</f>
        <v>솔브레인홀딩스</v>
      </c>
      <c r="O45" s="26">
        <f>VLOOKUP(N45,플러스코스닥액티브!$B$11:$E$1000,4,0)</f>
        <v>0.65</v>
      </c>
      <c r="P45" s="26">
        <f>IFERROR(VLOOKUP(N45,'플러스코스닥액티브(과거)'!$B$11:$E$1000,4,0),0)</f>
        <v>0.66</v>
      </c>
      <c r="Q45" s="20">
        <f t="shared" si="7"/>
        <v>-1.0000000000000009E-2</v>
      </c>
      <c r="R45" s="32">
        <f t="shared" si="8"/>
        <v>-1.5151515151515138E-2</v>
      </c>
    </row>
    <row r="46" spans="1:18" x14ac:dyDescent="0.4">
      <c r="A46" s="63" t="str">
        <f>VLOOKUP(B46,유니버스!$C$14:$D$2561,2,0)</f>
        <v>KQ</v>
      </c>
      <c r="B46" s="65" t="str">
        <f>'코엑트 코스닥액티브'!B52</f>
        <v>ISC</v>
      </c>
      <c r="C46" s="65">
        <f>VLOOKUP(B46,'코엑트 코스닥액티브'!$B$11:$E$1000,4,0)</f>
        <v>0.74</v>
      </c>
      <c r="D46" s="65">
        <f>IFERROR(VLOOKUP(B46,'코엑트 코스닥액티브(과거)'!$B$11:$E$1000,4,0),0)</f>
        <v>0.76</v>
      </c>
      <c r="E46" s="20">
        <f t="shared" si="3"/>
        <v>-2.0000000000000018E-2</v>
      </c>
      <c r="F46" s="32">
        <f t="shared" si="4"/>
        <v>-2.6315789473684181E-2</v>
      </c>
      <c r="G46" s="63" t="str">
        <f>VLOOKUP(H46,유니버스!$C$14:$D$2561,2,0)</f>
        <v>KQ</v>
      </c>
      <c r="H46" s="65" t="str">
        <f>'타임 코스닥액티브'!B52</f>
        <v>스피어</v>
      </c>
      <c r="I46" s="65">
        <f>VLOOKUP(H46,'타임 코스닥액티브'!$B$11:$E$1000,4,0)</f>
        <v>0.78</v>
      </c>
      <c r="J46" s="65">
        <f>IFERROR(VLOOKUP(H46,'타임코스닥액티브(과거)'!$B$11:$E$1000,4,0),0)</f>
        <v>0.79</v>
      </c>
      <c r="K46" s="20">
        <f t="shared" si="5"/>
        <v>-1.0000000000000009E-2</v>
      </c>
      <c r="L46" s="32">
        <f t="shared" si="6"/>
        <v>-1.2658227848101222E-2</v>
      </c>
      <c r="M46" s="62" t="str">
        <f>VLOOKUP(N46,유니버스!$C$14:$D$2561,2,0)</f>
        <v>KQ</v>
      </c>
      <c r="N46" s="26" t="str">
        <f>플러스코스닥액티브!B52</f>
        <v>리가켐바이오</v>
      </c>
      <c r="O46" s="26">
        <f>VLOOKUP(N46,플러스코스닥액티브!$B$11:$E$1000,4,0)</f>
        <v>0.65</v>
      </c>
      <c r="P46" s="26">
        <f>IFERROR(VLOOKUP(N46,'플러스코스닥액티브(과거)'!$B$11:$E$1000,4,0),0)</f>
        <v>1.08</v>
      </c>
      <c r="Q46" s="20">
        <f t="shared" si="7"/>
        <v>-0.43000000000000005</v>
      </c>
      <c r="R46" s="32">
        <f t="shared" si="8"/>
        <v>-0.39814814814814814</v>
      </c>
    </row>
    <row r="47" spans="1:18" x14ac:dyDescent="0.4">
      <c r="A47" s="63" t="str">
        <f>VLOOKUP(B47,유니버스!$C$14:$D$2561,2,0)</f>
        <v>KQ</v>
      </c>
      <c r="B47" s="65" t="str">
        <f>'코엑트 코스닥액티브'!B53</f>
        <v>HPSP</v>
      </c>
      <c r="C47" s="65">
        <f>VLOOKUP(B47,'코엑트 코스닥액티브'!$B$11:$E$1000,4,0)</f>
        <v>0.73</v>
      </c>
      <c r="D47" s="65">
        <f>IFERROR(VLOOKUP(B47,'코엑트 코스닥액티브(과거)'!$B$11:$E$1000,4,0),0)</f>
        <v>0.67</v>
      </c>
      <c r="E47" s="20">
        <f t="shared" si="3"/>
        <v>5.9999999999999942E-2</v>
      </c>
      <c r="F47" s="32">
        <f t="shared" si="4"/>
        <v>8.9552238805969964E-2</v>
      </c>
      <c r="G47" s="63" t="str">
        <f>VLOOKUP(H47,유니버스!$C$14:$D$2561,2,0)</f>
        <v>KQ</v>
      </c>
      <c r="H47" s="65" t="str">
        <f>'타임 코스닥액티브'!B53</f>
        <v>인텔리안테크</v>
      </c>
      <c r="I47" s="65">
        <f>VLOOKUP(H47,'타임 코스닥액티브'!$B$11:$E$1000,4,0)</f>
        <v>0.78</v>
      </c>
      <c r="J47" s="65">
        <f>IFERROR(VLOOKUP(H47,'타임코스닥액티브(과거)'!$B$11:$E$1000,4,0),0)</f>
        <v>0.92</v>
      </c>
      <c r="K47" s="20">
        <f t="shared" si="5"/>
        <v>-0.14000000000000001</v>
      </c>
      <c r="L47" s="32">
        <f t="shared" si="6"/>
        <v>-0.15217391304347827</v>
      </c>
      <c r="M47" s="62" t="str">
        <f>VLOOKUP(N47,유니버스!$C$14:$D$2561,2,0)</f>
        <v>KQ</v>
      </c>
      <c r="N47" s="26" t="str">
        <f>플러스코스닥액티브!B53</f>
        <v>덕산하이메탈</v>
      </c>
      <c r="O47" s="26">
        <f>VLOOKUP(N47,플러스코스닥액티브!$B$11:$E$1000,4,0)</f>
        <v>0.57999999999999996</v>
      </c>
      <c r="P47" s="26">
        <f>IFERROR(VLOOKUP(N47,'플러스코스닥액티브(과거)'!$B$11:$E$1000,4,0),0)</f>
        <v>0.5</v>
      </c>
      <c r="Q47" s="20">
        <f t="shared" si="7"/>
        <v>7.999999999999996E-2</v>
      </c>
      <c r="R47" s="32">
        <f t="shared" si="8"/>
        <v>0.15999999999999992</v>
      </c>
    </row>
    <row r="48" spans="1:18" x14ac:dyDescent="0.4">
      <c r="A48" s="63" t="str">
        <f>VLOOKUP(B48,유니버스!$C$14:$D$2561,2,0)</f>
        <v>KQ</v>
      </c>
      <c r="B48" s="65" t="str">
        <f>'코엑트 코스닥액티브'!B54</f>
        <v>솔브레인홀딩스</v>
      </c>
      <c r="C48" s="65">
        <f>VLOOKUP(B48,'코엑트 코스닥액티브'!$B$11:$E$1000,4,0)</f>
        <v>0.72</v>
      </c>
      <c r="D48" s="65">
        <f>IFERROR(VLOOKUP(B48,'코엑트 코스닥액티브(과거)'!$B$11:$E$1000,4,0),0)</f>
        <v>0.75</v>
      </c>
      <c r="E48" s="20">
        <f t="shared" si="3"/>
        <v>-3.0000000000000027E-2</v>
      </c>
      <c r="F48" s="32">
        <f t="shared" si="4"/>
        <v>-4.0000000000000036E-2</v>
      </c>
      <c r="G48" s="63" t="str">
        <f>VLOOKUP(H48,유니버스!$C$14:$D$2561,2,0)</f>
        <v>KQ</v>
      </c>
      <c r="H48" s="65" t="str">
        <f>'타임 코스닥액티브'!B54</f>
        <v>에스티아이</v>
      </c>
      <c r="I48" s="65">
        <f>VLOOKUP(H48,'타임 코스닥액티브'!$B$11:$E$1000,4,0)</f>
        <v>0.77</v>
      </c>
      <c r="J48" s="65">
        <f>IFERROR(VLOOKUP(H48,'타임코스닥액티브(과거)'!$B$11:$E$1000,4,0),0)</f>
        <v>0.81</v>
      </c>
      <c r="K48" s="20">
        <f t="shared" si="5"/>
        <v>-4.0000000000000036E-2</v>
      </c>
      <c r="L48" s="32">
        <f t="shared" si="6"/>
        <v>-4.9382716049382713E-2</v>
      </c>
      <c r="M48" s="62" t="str">
        <f>VLOOKUP(N48,유니버스!$C$14:$D$2561,2,0)</f>
        <v>KQ</v>
      </c>
      <c r="N48" s="26" t="str">
        <f>플러스코스닥액티브!B54</f>
        <v>RF머트리얼즈</v>
      </c>
      <c r="O48" s="26">
        <f>VLOOKUP(N48,플러스코스닥액티브!$B$11:$E$1000,4,0)</f>
        <v>0.54</v>
      </c>
      <c r="P48" s="26">
        <f>IFERROR(VLOOKUP(N48,'플러스코스닥액티브(과거)'!$B$11:$E$1000,4,0),0)</f>
        <v>0.61</v>
      </c>
      <c r="Q48" s="20">
        <f t="shared" si="7"/>
        <v>-6.9999999999999951E-2</v>
      </c>
      <c r="R48" s="32">
        <f t="shared" si="8"/>
        <v>-0.11475409836065564</v>
      </c>
    </row>
    <row r="49" spans="1:18" x14ac:dyDescent="0.4">
      <c r="A49" s="63" t="str">
        <f>VLOOKUP(B49,유니버스!$C$14:$D$2561,2,0)</f>
        <v>KQ</v>
      </c>
      <c r="B49" s="65" t="str">
        <f>'코엑트 코스닥액티브'!B55</f>
        <v>에스앤에스텍</v>
      </c>
      <c r="C49" s="65">
        <f>VLOOKUP(B49,'코엑트 코스닥액티브'!$B$11:$E$1000,4,0)</f>
        <v>0.72</v>
      </c>
      <c r="D49" s="65">
        <f>IFERROR(VLOOKUP(B49,'코엑트 코스닥액티브(과거)'!$B$11:$E$1000,4,0),0)</f>
        <v>0.71</v>
      </c>
      <c r="E49" s="20">
        <f t="shared" si="3"/>
        <v>1.0000000000000009E-2</v>
      </c>
      <c r="F49" s="32">
        <f t="shared" si="4"/>
        <v>1.4084507042253502E-2</v>
      </c>
      <c r="G49" s="63" t="str">
        <f>VLOOKUP(H49,유니버스!$C$14:$D$2561,2,0)</f>
        <v>KQ</v>
      </c>
      <c r="H49" s="65" t="str">
        <f>'타임 코스닥액티브'!B55</f>
        <v>HPSP</v>
      </c>
      <c r="I49" s="65">
        <f>VLOOKUP(H49,'타임 코스닥액티브'!$B$11:$E$1000,4,0)</f>
        <v>0.77</v>
      </c>
      <c r="J49" s="65">
        <f>IFERROR(VLOOKUP(H49,'타임코스닥액티브(과거)'!$B$11:$E$1000,4,0),0)</f>
        <v>0.73</v>
      </c>
      <c r="K49" s="20">
        <f t="shared" si="5"/>
        <v>4.0000000000000036E-2</v>
      </c>
      <c r="L49" s="32">
        <f t="shared" si="6"/>
        <v>5.4794520547945202E-2</v>
      </c>
      <c r="M49" s="62" t="str">
        <f>VLOOKUP(N49,유니버스!$C$14:$D$2561,2,0)</f>
        <v>KQ</v>
      </c>
      <c r="N49" s="26" t="str">
        <f>플러스코스닥액티브!B55</f>
        <v>씨엠티엑스</v>
      </c>
      <c r="O49" s="26">
        <f>VLOOKUP(N49,플러스코스닥액티브!$B$11:$E$1000,4,0)</f>
        <v>0.53</v>
      </c>
      <c r="P49" s="26">
        <f>IFERROR(VLOOKUP(N49,'플러스코스닥액티브(과거)'!$B$11:$E$1000,4,0),0)</f>
        <v>0.56999999999999995</v>
      </c>
      <c r="Q49" s="20">
        <f t="shared" si="7"/>
        <v>-3.9999999999999925E-2</v>
      </c>
      <c r="R49" s="32">
        <f t="shared" si="8"/>
        <v>-7.0175438596491113E-2</v>
      </c>
    </row>
    <row r="50" spans="1:18" x14ac:dyDescent="0.4">
      <c r="A50" s="63" t="str">
        <f>VLOOKUP(B50,유니버스!$C$14:$D$2561,2,0)</f>
        <v>KQ</v>
      </c>
      <c r="B50" s="65" t="str">
        <f>'코엑트 코스닥액티브'!B56</f>
        <v>고영</v>
      </c>
      <c r="C50" s="65">
        <f>VLOOKUP(B50,'코엑트 코스닥액티브'!$B$11:$E$1000,4,0)</f>
        <v>0.66</v>
      </c>
      <c r="D50" s="65">
        <f>IFERROR(VLOOKUP(B50,'코엑트 코스닥액티브(과거)'!$B$11:$E$1000,4,0),0)</f>
        <v>0.64</v>
      </c>
      <c r="E50" s="20">
        <f t="shared" si="3"/>
        <v>2.0000000000000018E-2</v>
      </c>
      <c r="F50" s="32">
        <f t="shared" si="4"/>
        <v>3.125E-2</v>
      </c>
      <c r="G50" s="63" t="str">
        <f>VLOOKUP(H50,유니버스!$C$14:$D$2561,2,0)</f>
        <v>KQ</v>
      </c>
      <c r="H50" s="65" t="str">
        <f>'타임 코스닥액티브'!B56</f>
        <v>HLB</v>
      </c>
      <c r="I50" s="65">
        <f>VLOOKUP(H50,'타임 코스닥액티브'!$B$11:$E$1000,4,0)</f>
        <v>0.76</v>
      </c>
      <c r="J50" s="65">
        <f>IFERROR(VLOOKUP(H50,'타임코스닥액티브(과거)'!$B$11:$E$1000,4,0),0)</f>
        <v>0.86</v>
      </c>
      <c r="K50" s="20">
        <f t="shared" si="5"/>
        <v>-9.9999999999999978E-2</v>
      </c>
      <c r="L50" s="32">
        <f t="shared" si="6"/>
        <v>-0.11627906976744184</v>
      </c>
      <c r="M50" s="62" t="str">
        <f>VLOOKUP(N50,유니버스!$C$14:$D$2561,2,0)</f>
        <v>KQ</v>
      </c>
      <c r="N50" s="26" t="str">
        <f>플러스코스닥액티브!B56</f>
        <v>큐렉소</v>
      </c>
      <c r="O50" s="26">
        <f>VLOOKUP(N50,플러스코스닥액티브!$B$11:$E$1000,4,0)</f>
        <v>0.49</v>
      </c>
      <c r="P50" s="26">
        <f>IFERROR(VLOOKUP(N50,'플러스코스닥액티브(과거)'!$B$11:$E$1000,4,0),0)</f>
        <v>0.4</v>
      </c>
      <c r="Q50" s="20">
        <f t="shared" si="7"/>
        <v>8.9999999999999969E-2</v>
      </c>
      <c r="R50" s="32">
        <f t="shared" si="8"/>
        <v>0.22499999999999987</v>
      </c>
    </row>
    <row r="51" spans="1:18" x14ac:dyDescent="0.4">
      <c r="A51" s="63" t="str">
        <f>VLOOKUP(B51,유니버스!$C$14:$D$2561,2,0)</f>
        <v>KQ</v>
      </c>
      <c r="B51" s="65" t="str">
        <f>'코엑트 코스닥액티브'!B57</f>
        <v>티에프이</v>
      </c>
      <c r="C51" s="65">
        <f>VLOOKUP(B51,'코엑트 코스닥액티브'!$B$11:$E$1000,4,0)</f>
        <v>0.64</v>
      </c>
      <c r="D51" s="65">
        <f>IFERROR(VLOOKUP(B51,'코엑트 코스닥액티브(과거)'!$B$11:$E$1000,4,0),0)</f>
        <v>0.63</v>
      </c>
      <c r="E51" s="20">
        <f t="shared" si="3"/>
        <v>1.0000000000000009E-2</v>
      </c>
      <c r="F51" s="32">
        <f t="shared" si="4"/>
        <v>1.5873015873015817E-2</v>
      </c>
      <c r="G51" s="63" t="str">
        <f>VLOOKUP(H51,유니버스!$C$14:$D$2561,2,0)</f>
        <v>KQ</v>
      </c>
      <c r="H51" s="65" t="str">
        <f>'타임 코스닥액티브'!B57</f>
        <v>예스티</v>
      </c>
      <c r="I51" s="65">
        <f>VLOOKUP(H51,'타임 코스닥액티브'!$B$11:$E$1000,4,0)</f>
        <v>0.71</v>
      </c>
      <c r="J51" s="65">
        <f>IFERROR(VLOOKUP(H51,'타임코스닥액티브(과거)'!$B$11:$E$1000,4,0),0)</f>
        <v>0.73</v>
      </c>
      <c r="K51" s="20">
        <f t="shared" si="5"/>
        <v>-2.0000000000000018E-2</v>
      </c>
      <c r="L51" s="32">
        <f t="shared" si="6"/>
        <v>-2.7397260273972601E-2</v>
      </c>
      <c r="M51" s="62" t="str">
        <f>VLOOKUP(N51,유니버스!$C$14:$D$2561,2,0)</f>
        <v>KQ</v>
      </c>
      <c r="N51" s="26" t="str">
        <f>플러스코스닥액티브!B57</f>
        <v>더핑크퐁컴퍼니</v>
      </c>
      <c r="O51" s="26">
        <f>VLOOKUP(N51,플러스코스닥액티브!$B$11:$E$1000,4,0)</f>
        <v>0.45</v>
      </c>
      <c r="P51" s="26">
        <f>IFERROR(VLOOKUP(N51,'플러스코스닥액티브(과거)'!$B$11:$E$1000,4,0),0)</f>
        <v>0.5</v>
      </c>
      <c r="Q51" s="20">
        <f t="shared" si="7"/>
        <v>-4.9999999999999989E-2</v>
      </c>
      <c r="R51" s="32">
        <f t="shared" si="8"/>
        <v>-9.9999999999999978E-2</v>
      </c>
    </row>
    <row r="52" spans="1:18" x14ac:dyDescent="0.4">
      <c r="A52" s="63" t="str">
        <f>VLOOKUP(B52,유니버스!$C$14:$D$2561,2,0)</f>
        <v>KQ</v>
      </c>
      <c r="B52" s="65" t="str">
        <f>'코엑트 코스닥액티브'!B58</f>
        <v>비에이치아이</v>
      </c>
      <c r="C52" s="65">
        <f>VLOOKUP(B52,'코엑트 코스닥액티브'!$B$11:$E$1000,4,0)</f>
        <v>0.63</v>
      </c>
      <c r="D52" s="65">
        <f>IFERROR(VLOOKUP(B52,'코엑트 코스닥액티브(과거)'!$B$11:$E$1000,4,0),0)</f>
        <v>0.78</v>
      </c>
      <c r="E52" s="20">
        <f t="shared" si="3"/>
        <v>-0.15000000000000002</v>
      </c>
      <c r="F52" s="32">
        <f t="shared" si="4"/>
        <v>-0.19230769230769229</v>
      </c>
      <c r="G52" s="63" t="str">
        <f>VLOOKUP(H52,유니버스!$C$14:$D$2561,2,0)</f>
        <v>KQ</v>
      </c>
      <c r="H52" s="65" t="str">
        <f>'타임 코스닥액티브'!B58</f>
        <v>피에스케이홀딩스</v>
      </c>
      <c r="I52" s="65">
        <f>VLOOKUP(H52,'타임 코스닥액티브'!$B$11:$E$1000,4,0)</f>
        <v>0.69</v>
      </c>
      <c r="J52" s="65">
        <f>IFERROR(VLOOKUP(H52,'타임코스닥액티브(과거)'!$B$11:$E$1000,4,0),0)</f>
        <v>0.66</v>
      </c>
      <c r="K52" s="20">
        <f t="shared" si="5"/>
        <v>2.9999999999999916E-2</v>
      </c>
      <c r="L52" s="32">
        <f t="shared" si="6"/>
        <v>4.5454545454545414E-2</v>
      </c>
      <c r="M52" s="62" t="str">
        <f>VLOOKUP(N52,유니버스!$C$14:$D$2561,2,0)</f>
        <v>KQ</v>
      </c>
      <c r="N52" s="26" t="str">
        <f>플러스코스닥액티브!B58</f>
        <v>선익시스템</v>
      </c>
      <c r="O52" s="26">
        <f>VLOOKUP(N52,플러스코스닥액티브!$B$11:$E$1000,4,0)</f>
        <v>0.44</v>
      </c>
      <c r="P52" s="26">
        <f>IFERROR(VLOOKUP(N52,'플러스코스닥액티브(과거)'!$B$11:$E$1000,4,0),0)</f>
        <v>0.45</v>
      </c>
      <c r="Q52" s="20">
        <f t="shared" si="7"/>
        <v>-1.0000000000000009E-2</v>
      </c>
      <c r="R52" s="32">
        <f t="shared" si="8"/>
        <v>-2.2222222222222254E-2</v>
      </c>
    </row>
    <row r="53" spans="1:18" x14ac:dyDescent="0.4">
      <c r="A53" s="63" t="str">
        <f>VLOOKUP(B53,유니버스!$C$14:$D$2561,2,0)</f>
        <v>KQ</v>
      </c>
      <c r="B53" s="65" t="str">
        <f>'코엑트 코스닥액티브'!B59</f>
        <v>진성티이씨</v>
      </c>
      <c r="C53" s="65">
        <f>VLOOKUP(B53,'코엑트 코스닥액티브'!$B$11:$E$1000,4,0)</f>
        <v>0.62</v>
      </c>
      <c r="D53" s="65">
        <f>IFERROR(VLOOKUP(B53,'코엑트 코스닥액티브(과거)'!$B$11:$E$1000,4,0),0)</f>
        <v>0.94</v>
      </c>
      <c r="E53" s="20">
        <f t="shared" si="3"/>
        <v>-0.31999999999999995</v>
      </c>
      <c r="F53" s="32">
        <f t="shared" si="4"/>
        <v>-0.34042553191489355</v>
      </c>
      <c r="G53" s="63" t="str">
        <f>VLOOKUP(H53,유니버스!$C$14:$D$2561,2,0)</f>
        <v>KQ</v>
      </c>
      <c r="H53" s="65" t="str">
        <f>'타임 코스닥액티브'!B59</f>
        <v>에이치브이엠</v>
      </c>
      <c r="I53" s="65">
        <f>VLOOKUP(H53,'타임 코스닥액티브'!$B$11:$E$1000,4,0)</f>
        <v>0.65</v>
      </c>
      <c r="J53" s="65">
        <f>IFERROR(VLOOKUP(H53,'타임코스닥액티브(과거)'!$B$11:$E$1000,4,0),0)</f>
        <v>0.59</v>
      </c>
      <c r="K53" s="20">
        <f t="shared" si="5"/>
        <v>6.0000000000000053E-2</v>
      </c>
      <c r="L53" s="32">
        <f t="shared" si="6"/>
        <v>0.10169491525423746</v>
      </c>
      <c r="M53" s="62" t="str">
        <f>VLOOKUP(N53,유니버스!$C$14:$D$2561,2,0)</f>
        <v>KQ</v>
      </c>
      <c r="N53" s="26" t="str">
        <f>플러스코스닥액티브!B59</f>
        <v>상아프론테크</v>
      </c>
      <c r="O53" s="26">
        <f>VLOOKUP(N53,플러스코스닥액티브!$B$11:$E$1000,4,0)</f>
        <v>0.43</v>
      </c>
      <c r="P53" s="26">
        <f>IFERROR(VLOOKUP(N53,'플러스코스닥액티브(과거)'!$B$11:$E$1000,4,0),0)</f>
        <v>0.44</v>
      </c>
      <c r="Q53" s="20">
        <f t="shared" si="7"/>
        <v>-1.0000000000000009E-2</v>
      </c>
      <c r="R53" s="32">
        <f t="shared" si="8"/>
        <v>-2.2727272727272707E-2</v>
      </c>
    </row>
    <row r="54" spans="1:18" x14ac:dyDescent="0.4">
      <c r="A54" s="63" t="str">
        <f>VLOOKUP(B54,유니버스!$C$14:$D$2561,2,0)</f>
        <v>KQ</v>
      </c>
      <c r="B54" s="65" t="str">
        <f>'코엑트 코스닥액티브'!B60</f>
        <v>씨메스로보틱스</v>
      </c>
      <c r="C54" s="65">
        <f>VLOOKUP(B54,'코엑트 코스닥액티브'!$B$11:$E$1000,4,0)</f>
        <v>0.6</v>
      </c>
      <c r="D54" s="65">
        <f>IFERROR(VLOOKUP(B54,'코엑트 코스닥액티브(과거)'!$B$11:$E$1000,4,0),0)</f>
        <v>0.62</v>
      </c>
      <c r="E54" s="20">
        <f t="shared" si="3"/>
        <v>-2.0000000000000018E-2</v>
      </c>
      <c r="F54" s="32">
        <f t="shared" si="4"/>
        <v>-3.2258064516129115E-2</v>
      </c>
      <c r="G54" s="63" t="str">
        <f>VLOOKUP(H54,유니버스!$C$14:$D$2561,2,0)</f>
        <v>KQ</v>
      </c>
      <c r="H54" s="65" t="str">
        <f>'타임 코스닥액티브'!B60</f>
        <v>피에스케이</v>
      </c>
      <c r="I54" s="65">
        <f>VLOOKUP(H54,'타임 코스닥액티브'!$B$11:$E$1000,4,0)</f>
        <v>0.61</v>
      </c>
      <c r="J54" s="65">
        <f>IFERROR(VLOOKUP(H54,'타임코스닥액티브(과거)'!$B$11:$E$1000,4,0),0)</f>
        <v>0.56999999999999995</v>
      </c>
      <c r="K54" s="20">
        <f t="shared" si="5"/>
        <v>4.0000000000000036E-2</v>
      </c>
      <c r="L54" s="32">
        <f t="shared" si="6"/>
        <v>7.0175438596491224E-2</v>
      </c>
      <c r="M54" s="62" t="str">
        <f>VLOOKUP(N54,유니버스!$C$14:$D$2561,2,0)</f>
        <v>KQ</v>
      </c>
      <c r="N54" s="26" t="str">
        <f>플러스코스닥액티브!B60</f>
        <v>다우데이타</v>
      </c>
      <c r="O54" s="26">
        <f>VLOOKUP(N54,플러스코스닥액티브!$B$11:$E$1000,4,0)</f>
        <v>0.42</v>
      </c>
      <c r="P54" s="26">
        <f>IFERROR(VLOOKUP(N54,'플러스코스닥액티브(과거)'!$B$11:$E$1000,4,0),0)</f>
        <v>0.43</v>
      </c>
      <c r="Q54" s="20">
        <f t="shared" si="7"/>
        <v>-1.0000000000000009E-2</v>
      </c>
      <c r="R54" s="32">
        <f t="shared" si="8"/>
        <v>-2.3255813953488413E-2</v>
      </c>
    </row>
    <row r="55" spans="1:18" x14ac:dyDescent="0.4">
      <c r="A55" s="63" t="str">
        <f>VLOOKUP(B55,유니버스!$C$14:$D$2561,2,0)</f>
        <v>KQ</v>
      </c>
      <c r="B55" s="65" t="str">
        <f>'코엑트 코스닥액티브'!B61</f>
        <v>서부T&amp;D</v>
      </c>
      <c r="C55" s="65">
        <f>VLOOKUP(B55,'코엑트 코스닥액티브'!$B$11:$E$1000,4,0)</f>
        <v>0.59</v>
      </c>
      <c r="D55" s="65">
        <f>IFERROR(VLOOKUP(B55,'코엑트 코스닥액티브(과거)'!$B$11:$E$1000,4,0),0)</f>
        <v>0.46</v>
      </c>
      <c r="E55" s="20">
        <f t="shared" si="3"/>
        <v>0.12999999999999995</v>
      </c>
      <c r="F55" s="32">
        <f t="shared" si="4"/>
        <v>0.28260869565217384</v>
      </c>
      <c r="G55" s="63" t="str">
        <f>VLOOKUP(H55,유니버스!$C$14:$D$2561,2,0)</f>
        <v>KQ</v>
      </c>
      <c r="H55" s="65" t="str">
        <f>'타임 코스닥액티브'!B61</f>
        <v>리노공업</v>
      </c>
      <c r="I55" s="65">
        <f>VLOOKUP(H55,'타임 코스닥액티브'!$B$11:$E$1000,4,0)</f>
        <v>0.55000000000000004</v>
      </c>
      <c r="J55" s="65">
        <f>IFERROR(VLOOKUP(H55,'타임코스닥액티브(과거)'!$B$11:$E$1000,4,0),0)</f>
        <v>0.55000000000000004</v>
      </c>
      <c r="K55" s="20">
        <f t="shared" si="5"/>
        <v>0</v>
      </c>
      <c r="L55" s="32">
        <f t="shared" si="6"/>
        <v>0</v>
      </c>
      <c r="M55" s="62" t="str">
        <f>VLOOKUP(N55,유니버스!$C$14:$D$2561,2,0)</f>
        <v>KQ</v>
      </c>
      <c r="N55" s="26" t="str">
        <f>플러스코스닥액티브!B61</f>
        <v>에코프로</v>
      </c>
      <c r="O55" s="26">
        <f>VLOOKUP(N55,플러스코스닥액티브!$B$11:$E$1000,4,0)</f>
        <v>0.41</v>
      </c>
      <c r="P55" s="26">
        <f>IFERROR(VLOOKUP(N55,'플러스코스닥액티브(과거)'!$B$11:$E$1000,4,0),0)</f>
        <v>0.52</v>
      </c>
      <c r="Q55" s="20">
        <f t="shared" si="7"/>
        <v>-0.11000000000000004</v>
      </c>
      <c r="R55" s="32">
        <f t="shared" si="8"/>
        <v>-0.21153846153846156</v>
      </c>
    </row>
    <row r="56" spans="1:18" x14ac:dyDescent="0.4">
      <c r="A56" s="63" t="str">
        <f>VLOOKUP(B56,유니버스!$C$14:$D$2561,2,0)</f>
        <v>KQ</v>
      </c>
      <c r="B56" s="65" t="str">
        <f>'코엑트 코스닥액티브'!B62</f>
        <v>에스티팜</v>
      </c>
      <c r="C56" s="65">
        <f>VLOOKUP(B56,'코엑트 코스닥액티브'!$B$11:$E$1000,4,0)</f>
        <v>0.59</v>
      </c>
      <c r="D56" s="65">
        <f>IFERROR(VLOOKUP(B56,'코엑트 코스닥액티브(과거)'!$B$11:$E$1000,4,0),0)</f>
        <v>0.91</v>
      </c>
      <c r="E56" s="20">
        <f t="shared" si="3"/>
        <v>-0.32000000000000006</v>
      </c>
      <c r="F56" s="32">
        <f t="shared" si="4"/>
        <v>-0.35164835164835173</v>
      </c>
      <c r="G56" s="63" t="str">
        <f>VLOOKUP(H56,유니버스!$C$14:$D$2561,2,0)</f>
        <v>KQ</v>
      </c>
      <c r="H56" s="65" t="str">
        <f>'타임 코스닥액티브'!B62</f>
        <v>올릭스</v>
      </c>
      <c r="I56" s="65">
        <f>VLOOKUP(H56,'타임 코스닥액티브'!$B$11:$E$1000,4,0)</f>
        <v>0.51</v>
      </c>
      <c r="J56" s="65">
        <f>IFERROR(VLOOKUP(H56,'타임코스닥액티브(과거)'!$B$11:$E$1000,4,0),0)</f>
        <v>0.6</v>
      </c>
      <c r="K56" s="20">
        <f t="shared" si="5"/>
        <v>-8.9999999999999969E-2</v>
      </c>
      <c r="L56" s="32">
        <f t="shared" si="6"/>
        <v>-0.14999999999999991</v>
      </c>
      <c r="M56" s="62" t="str">
        <f>VLOOKUP(N56,유니버스!$C$14:$D$2561,2,0)</f>
        <v>KQ</v>
      </c>
      <c r="N56" s="26" t="str">
        <f>플러스코스닥액티브!B62</f>
        <v>알멕</v>
      </c>
      <c r="O56" s="26">
        <f>VLOOKUP(N56,플러스코스닥액티브!$B$11:$E$1000,4,0)</f>
        <v>0.4</v>
      </c>
      <c r="P56" s="26">
        <f>IFERROR(VLOOKUP(N56,'플러스코스닥액티브(과거)'!$B$11:$E$1000,4,0),0)</f>
        <v>0.3</v>
      </c>
      <c r="Q56" s="20">
        <f t="shared" si="7"/>
        <v>0.10000000000000003</v>
      </c>
      <c r="R56" s="32">
        <f t="shared" si="8"/>
        <v>0.33333333333333348</v>
      </c>
    </row>
    <row r="57" spans="1:18" x14ac:dyDescent="0.4">
      <c r="A57" s="63" t="str">
        <f>VLOOKUP(B57,유니버스!$C$14:$D$2561,2,0)</f>
        <v>KQ</v>
      </c>
      <c r="B57" s="65" t="str">
        <f>'코엑트 코스닥액티브'!B63</f>
        <v>성일하이텍</v>
      </c>
      <c r="C57" s="65">
        <f>VLOOKUP(B57,'코엑트 코스닥액티브'!$B$11:$E$1000,4,0)</f>
        <v>0.56999999999999995</v>
      </c>
      <c r="D57" s="65">
        <f>IFERROR(VLOOKUP(B57,'코엑트 코스닥액티브(과거)'!$B$11:$E$1000,4,0),0)</f>
        <v>0.4</v>
      </c>
      <c r="E57" s="20">
        <f t="shared" si="3"/>
        <v>0.16999999999999993</v>
      </c>
      <c r="F57" s="32">
        <f t="shared" si="4"/>
        <v>0.42499999999999982</v>
      </c>
      <c r="G57" s="63" t="str">
        <f>VLOOKUP(H57,유니버스!$C$14:$D$2561,2,0)</f>
        <v>KQ</v>
      </c>
      <c r="H57" s="65" t="str">
        <f>'타임 코스닥액티브'!B63</f>
        <v>에이비엘바이오</v>
      </c>
      <c r="I57" s="65">
        <f>VLOOKUP(H57,'타임 코스닥액티브'!$B$11:$E$1000,4,0)</f>
        <v>0.51</v>
      </c>
      <c r="J57" s="65">
        <f>IFERROR(VLOOKUP(H57,'타임코스닥액티브(과거)'!$B$11:$E$1000,4,0),0)</f>
        <v>0.56000000000000005</v>
      </c>
      <c r="K57" s="20">
        <f t="shared" si="5"/>
        <v>-5.0000000000000044E-2</v>
      </c>
      <c r="L57" s="32">
        <f t="shared" si="6"/>
        <v>-8.9285714285714302E-2</v>
      </c>
      <c r="M57" s="62" t="str">
        <f>VLOOKUP(N57,유니버스!$C$14:$D$2561,2,0)</f>
        <v>KQ</v>
      </c>
      <c r="N57" s="26" t="str">
        <f>플러스코스닥액티브!B63</f>
        <v>액트로</v>
      </c>
      <c r="O57" s="26">
        <f>VLOOKUP(N57,플러스코스닥액티브!$B$11:$E$1000,4,0)</f>
        <v>0.4</v>
      </c>
      <c r="P57" s="26">
        <f>IFERROR(VLOOKUP(N57,'플러스코스닥액티브(과거)'!$B$11:$E$1000,4,0),0)</f>
        <v>0.42</v>
      </c>
      <c r="Q57" s="20">
        <f t="shared" ref="Q57:Q63" si="9">O57-P57</f>
        <v>-1.9999999999999962E-2</v>
      </c>
      <c r="R57" s="32">
        <f t="shared" ref="R57:R63" si="10">IFERROR(O57/P57-1,"신규편입")</f>
        <v>-4.7619047619047561E-2</v>
      </c>
    </row>
    <row r="58" spans="1:18" x14ac:dyDescent="0.4">
      <c r="A58" s="63" t="str">
        <f>VLOOKUP(B58,유니버스!$C$14:$D$2561,2,0)</f>
        <v>KQ</v>
      </c>
      <c r="B58" s="65" t="str">
        <f>'코엑트 코스닥액티브'!B64</f>
        <v>선익시스템</v>
      </c>
      <c r="C58" s="65">
        <f>VLOOKUP(B58,'코엑트 코스닥액티브'!$B$11:$E$1000,4,0)</f>
        <v>0.55000000000000004</v>
      </c>
      <c r="D58" s="65">
        <f>IFERROR(VLOOKUP(B58,'코엑트 코스닥액티브(과거)'!$B$11:$E$1000,4,0),0)</f>
        <v>0.57999999999999996</v>
      </c>
      <c r="E58" s="20">
        <f t="shared" si="3"/>
        <v>-2.9999999999999916E-2</v>
      </c>
      <c r="F58" s="32">
        <f t="shared" si="4"/>
        <v>-5.1724137931034364E-2</v>
      </c>
      <c r="G58" s="63" t="e">
        <f>VLOOKUP(H58,유니버스!$C$14:$D$2561,2,0)</f>
        <v>#N/A</v>
      </c>
      <c r="H58" s="65" t="str">
        <f>'타임 코스닥액티브'!B64</f>
        <v>메쥬</v>
      </c>
      <c r="I58" s="65">
        <f>VLOOKUP(H58,'타임 코스닥액티브'!$B$11:$E$1000,4,0)</f>
        <v>0.47</v>
      </c>
      <c r="J58" s="65">
        <f>IFERROR(VLOOKUP(H58,'타임코스닥액티브(과거)'!$B$11:$E$1000,4,0),0)</f>
        <v>0.52</v>
      </c>
      <c r="K58" s="20">
        <f t="shared" ref="K58:K63" si="11">I58-J58</f>
        <v>-5.0000000000000044E-2</v>
      </c>
      <c r="L58" s="32">
        <f t="shared" ref="L58:L63" si="12">IFERROR(I58/J58-1,"신규편입")</f>
        <v>-9.6153846153846256E-2</v>
      </c>
      <c r="M58" s="62" t="str">
        <f>VLOOKUP(N58,유니버스!$C$14:$D$2561,2,0)</f>
        <v>KQ</v>
      </c>
      <c r="N58" s="26" t="str">
        <f>플러스코스닥액티브!B64</f>
        <v>하이록코리아</v>
      </c>
      <c r="O58" s="26">
        <f>VLOOKUP(N58,플러스코스닥액티브!$B$11:$E$1000,4,0)</f>
        <v>0.38</v>
      </c>
      <c r="P58" s="26">
        <f>IFERROR(VLOOKUP(N58,'플러스코스닥액티브(과거)'!$B$11:$E$1000,4,0),0)</f>
        <v>0.36</v>
      </c>
      <c r="Q58" s="20">
        <f t="shared" si="9"/>
        <v>2.0000000000000018E-2</v>
      </c>
      <c r="R58" s="32">
        <f t="shared" si="10"/>
        <v>5.555555555555558E-2</v>
      </c>
    </row>
    <row r="59" spans="1:18" x14ac:dyDescent="0.4">
      <c r="A59" s="63" t="str">
        <f>VLOOKUP(B59,유니버스!$C$14:$D$2561,2,0)</f>
        <v>KQ</v>
      </c>
      <c r="B59" s="65" t="str">
        <f>'코엑트 코스닥액티브'!B65</f>
        <v>태웅</v>
      </c>
      <c r="C59" s="65">
        <f>VLOOKUP(B59,'코엑트 코스닥액티브'!$B$11:$E$1000,4,0)</f>
        <v>0.54</v>
      </c>
      <c r="D59" s="65">
        <f>IFERROR(VLOOKUP(B59,'코엑트 코스닥액티브(과거)'!$B$11:$E$1000,4,0),0)</f>
        <v>0.78</v>
      </c>
      <c r="E59" s="20">
        <f t="shared" si="3"/>
        <v>-0.24</v>
      </c>
      <c r="F59" s="32">
        <f t="shared" si="4"/>
        <v>-0.30769230769230771</v>
      </c>
      <c r="G59" s="63" t="str">
        <f>VLOOKUP(H59,유니버스!$C$14:$D$2561,2,0)</f>
        <v>KQ</v>
      </c>
      <c r="H59" s="65" t="str">
        <f>'타임 코스닥액티브'!B65</f>
        <v>한중엔시에스</v>
      </c>
      <c r="I59" s="65">
        <f>VLOOKUP(H59,'타임 코스닥액티브'!$B$11:$E$1000,4,0)</f>
        <v>0.46</v>
      </c>
      <c r="J59" s="65">
        <f>IFERROR(VLOOKUP(H59,'타임코스닥액티브(과거)'!$B$11:$E$1000,4,0),0)</f>
        <v>0.51</v>
      </c>
      <c r="K59" s="20">
        <f t="shared" si="11"/>
        <v>-4.9999999999999989E-2</v>
      </c>
      <c r="L59" s="32">
        <f t="shared" si="12"/>
        <v>-9.8039215686274495E-2</v>
      </c>
      <c r="M59" s="62" t="str">
        <f>VLOOKUP(N59,유니버스!$C$14:$D$2561,2,0)</f>
        <v>KQ</v>
      </c>
      <c r="N59" s="26" t="str">
        <f>플러스코스닥액티브!B65</f>
        <v>씨젠</v>
      </c>
      <c r="O59" s="26">
        <f>VLOOKUP(N59,플러스코스닥액티브!$B$11:$E$1000,4,0)</f>
        <v>0.35</v>
      </c>
      <c r="P59" s="26">
        <f>IFERROR(VLOOKUP(N59,'플러스코스닥액티브(과거)'!$B$11:$E$1000,4,0),0)</f>
        <v>0.34</v>
      </c>
      <c r="Q59" s="20">
        <f t="shared" si="9"/>
        <v>9.9999999999999534E-3</v>
      </c>
      <c r="R59" s="32">
        <f t="shared" si="10"/>
        <v>2.9411764705882248E-2</v>
      </c>
    </row>
    <row r="60" spans="1:18" x14ac:dyDescent="0.4">
      <c r="A60" s="63" t="str">
        <f>VLOOKUP(B60,유니버스!$C$14:$D$2561,2,0)</f>
        <v>KQ</v>
      </c>
      <c r="B60" s="65" t="str">
        <f>'코엑트 코스닥액티브'!B66</f>
        <v>엘티씨</v>
      </c>
      <c r="C60" s="65">
        <f>VLOOKUP(B60,'코엑트 코스닥액티브'!$B$11:$E$1000,4,0)</f>
        <v>0.51</v>
      </c>
      <c r="D60" s="65">
        <f>IFERROR(VLOOKUP(B60,'코엑트 코스닥액티브(과거)'!$B$11:$E$1000,4,0),0)</f>
        <v>0.44</v>
      </c>
      <c r="E60" s="20">
        <f t="shared" si="3"/>
        <v>7.0000000000000007E-2</v>
      </c>
      <c r="F60" s="32">
        <f t="shared" si="4"/>
        <v>0.15909090909090917</v>
      </c>
      <c r="G60" s="63" t="str">
        <f>VLOOKUP(H60,유니버스!$C$14:$D$2561,2,0)</f>
        <v>KQ</v>
      </c>
      <c r="H60" s="65" t="str">
        <f>'타임 코스닥액티브'!B66</f>
        <v>씨어스</v>
      </c>
      <c r="I60" s="65">
        <f>VLOOKUP(H60,'타임 코스닥액티브'!$B$11:$E$1000,4,0)</f>
        <v>0.44</v>
      </c>
      <c r="J60" s="65">
        <f>IFERROR(VLOOKUP(H60,'타임코스닥액티브(과거)'!$B$11:$E$1000,4,0),0)</f>
        <v>0.49</v>
      </c>
      <c r="K60" s="20">
        <f t="shared" si="11"/>
        <v>-4.9999999999999989E-2</v>
      </c>
      <c r="L60" s="32">
        <f t="shared" si="12"/>
        <v>-0.10204081632653061</v>
      </c>
      <c r="M60" s="62" t="str">
        <f>VLOOKUP(N60,유니버스!$C$14:$D$2561,2,0)</f>
        <v>KQ</v>
      </c>
      <c r="N60" s="26" t="str">
        <f>플러스코스닥액티브!B66</f>
        <v>오로스테크놀로지</v>
      </c>
      <c r="O60" s="26">
        <f>VLOOKUP(N60,플러스코스닥액티브!$B$11:$E$1000,4,0)</f>
        <v>0.31</v>
      </c>
      <c r="P60" s="26">
        <f>IFERROR(VLOOKUP(N60,'플러스코스닥액티브(과거)'!$B$11:$E$1000,4,0),0)</f>
        <v>0.28999999999999998</v>
      </c>
      <c r="Q60" s="20">
        <f t="shared" si="9"/>
        <v>2.0000000000000018E-2</v>
      </c>
      <c r="R60" s="32">
        <f t="shared" si="10"/>
        <v>6.8965517241379448E-2</v>
      </c>
    </row>
    <row r="61" spans="1:18" x14ac:dyDescent="0.4">
      <c r="A61" s="63" t="str">
        <f>VLOOKUP(B61,유니버스!$C$14:$D$2561,2,0)</f>
        <v>KQ</v>
      </c>
      <c r="B61" s="65" t="str">
        <f>'코엑트 코스닥액티브'!B67</f>
        <v>보로노이</v>
      </c>
      <c r="C61" s="65">
        <f>VLOOKUP(B61,'코엑트 코스닥액티브'!$B$11:$E$1000,4,0)</f>
        <v>0.49</v>
      </c>
      <c r="D61" s="65">
        <f>IFERROR(VLOOKUP(B61,'코엑트 코스닥액티브(과거)'!$B$11:$E$1000,4,0),0)</f>
        <v>0.6</v>
      </c>
      <c r="E61" s="20">
        <f t="shared" si="3"/>
        <v>-0.10999999999999999</v>
      </c>
      <c r="F61" s="32">
        <f t="shared" si="4"/>
        <v>-0.18333333333333335</v>
      </c>
      <c r="G61" s="63" t="str">
        <f>VLOOKUP(H61,유니버스!$C$14:$D$2561,2,0)</f>
        <v>KQ</v>
      </c>
      <c r="H61" s="65" t="str">
        <f>'타임 코스닥액티브'!B67</f>
        <v>RF머트리얼즈</v>
      </c>
      <c r="I61" s="65">
        <f>VLOOKUP(H61,'타임 코스닥액티브'!$B$11:$E$1000,4,0)</f>
        <v>0.41</v>
      </c>
      <c r="J61" s="65">
        <f>IFERROR(VLOOKUP(H61,'타임코스닥액티브(과거)'!$B$11:$E$1000,4,0),0)</f>
        <v>0.47</v>
      </c>
      <c r="K61" s="20">
        <f t="shared" si="11"/>
        <v>-0.06</v>
      </c>
      <c r="L61" s="32">
        <f t="shared" si="12"/>
        <v>-0.12765957446808507</v>
      </c>
      <c r="M61" s="62" t="str">
        <f>VLOOKUP(N61,유니버스!$C$14:$D$2561,2,0)</f>
        <v>KQ</v>
      </c>
      <c r="N61" s="26" t="str">
        <f>플러스코스닥액티브!B67</f>
        <v>엘티씨</v>
      </c>
      <c r="O61" s="26">
        <f>VLOOKUP(N61,플러스코스닥액티브!$B$11:$E$1000,4,0)</f>
        <v>0.31</v>
      </c>
      <c r="P61" s="26">
        <f>IFERROR(VLOOKUP(N61,'플러스코스닥액티브(과거)'!$B$11:$E$1000,4,0),0)</f>
        <v>0</v>
      </c>
      <c r="Q61" s="20">
        <f t="shared" si="9"/>
        <v>0.31</v>
      </c>
      <c r="R61" s="32" t="str">
        <f t="shared" si="10"/>
        <v>신규편입</v>
      </c>
    </row>
    <row r="62" spans="1:18" x14ac:dyDescent="0.4">
      <c r="A62" s="63" t="str">
        <f>VLOOKUP(B62,유니버스!$C$14:$D$2561,2,0)</f>
        <v>KQ</v>
      </c>
      <c r="B62" s="65" t="str">
        <f>'코엑트 코스닥액티브'!B68</f>
        <v>이랜텍</v>
      </c>
      <c r="C62" s="65">
        <f>VLOOKUP(B62,'코엑트 코스닥액티브'!$B$11:$E$1000,4,0)</f>
        <v>0.44</v>
      </c>
      <c r="D62" s="65">
        <f>IFERROR(VLOOKUP(B62,'코엑트 코스닥액티브(과거)'!$B$11:$E$1000,4,0),0)</f>
        <v>0</v>
      </c>
      <c r="E62" s="20">
        <f t="shared" si="3"/>
        <v>0.44</v>
      </c>
      <c r="F62" s="32" t="str">
        <f t="shared" si="4"/>
        <v>신규편입</v>
      </c>
      <c r="G62" s="63" t="str">
        <f>VLOOKUP(H62,유니버스!$C$14:$D$2561,2,0)</f>
        <v>KQ</v>
      </c>
      <c r="H62" s="65" t="str">
        <f>'타임 코스닥액티브'!B68</f>
        <v>더블유씨피</v>
      </c>
      <c r="I62" s="65">
        <f>VLOOKUP(H62,'타임 코스닥액티브'!$B$11:$E$1000,4,0)</f>
        <v>0.4</v>
      </c>
      <c r="J62" s="65">
        <f>IFERROR(VLOOKUP(H62,'타임코스닥액티브(과거)'!$B$11:$E$1000,4,0),0)</f>
        <v>0.4</v>
      </c>
      <c r="K62" s="20">
        <f t="shared" si="11"/>
        <v>0</v>
      </c>
      <c r="L62" s="32">
        <f t="shared" si="12"/>
        <v>0</v>
      </c>
      <c r="M62" s="62" t="str">
        <f>VLOOKUP(N62,유니버스!$C$14:$D$2561,2,0)</f>
        <v>KQ</v>
      </c>
      <c r="N62" s="26" t="str">
        <f>플러스코스닥액티브!B68</f>
        <v>서부T&amp;D</v>
      </c>
      <c r="O62" s="26">
        <f>VLOOKUP(N62,플러스코스닥액티브!$B$11:$E$1000,4,0)</f>
        <v>0.28000000000000003</v>
      </c>
      <c r="P62" s="26">
        <f>IFERROR(VLOOKUP(N62,'플러스코스닥액티브(과거)'!$B$11:$E$1000,4,0),0)</f>
        <v>0.31</v>
      </c>
      <c r="Q62" s="20">
        <f t="shared" si="9"/>
        <v>-2.9999999999999971E-2</v>
      </c>
      <c r="R62" s="32">
        <f t="shared" si="10"/>
        <v>-9.6774193548387011E-2</v>
      </c>
    </row>
    <row r="63" spans="1:18" x14ac:dyDescent="0.4">
      <c r="A63" s="63" t="str">
        <f>VLOOKUP(B63,유니버스!$C$14:$D$2561,2,0)</f>
        <v>KQ</v>
      </c>
      <c r="B63" s="65" t="str">
        <f>'코엑트 코스닥액티브'!B69</f>
        <v>미래에셋벤처투자</v>
      </c>
      <c r="C63" s="65">
        <f>VLOOKUP(B63,'코엑트 코스닥액티브'!$B$11:$E$1000,4,0)</f>
        <v>0.42</v>
      </c>
      <c r="D63" s="65">
        <f>IFERROR(VLOOKUP(B63,'코엑트 코스닥액티브(과거)'!$B$11:$E$1000,4,0),0)</f>
        <v>0.11</v>
      </c>
      <c r="E63" s="20">
        <f t="shared" si="3"/>
        <v>0.31</v>
      </c>
      <c r="F63" s="32">
        <f t="shared" si="4"/>
        <v>2.8181818181818179</v>
      </c>
      <c r="G63" s="63" t="str">
        <f>VLOOKUP(H63,유니버스!$C$14:$D$2561,2,0)</f>
        <v>KQ</v>
      </c>
      <c r="H63" s="65" t="str">
        <f>'타임 코스닥액티브'!B69</f>
        <v>오킨스전자</v>
      </c>
      <c r="I63" s="65">
        <f>VLOOKUP(H63,'타임 코스닥액티브'!$B$11:$E$1000,4,0)</f>
        <v>0.38</v>
      </c>
      <c r="J63" s="65">
        <f>IFERROR(VLOOKUP(H63,'타임코스닥액티브(과거)'!$B$11:$E$1000,4,0),0)</f>
        <v>0.37</v>
      </c>
      <c r="K63" s="20">
        <f t="shared" si="11"/>
        <v>1.0000000000000009E-2</v>
      </c>
      <c r="L63" s="32">
        <f t="shared" si="12"/>
        <v>2.7027027027026973E-2</v>
      </c>
      <c r="M63" s="62" t="str">
        <f>VLOOKUP(N63,유니버스!$C$14:$D$2561,2,0)</f>
        <v>KQ</v>
      </c>
      <c r="N63" s="26" t="str">
        <f>플러스코스닥액티브!B69</f>
        <v>코스메카코리아</v>
      </c>
      <c r="O63" s="26">
        <f>VLOOKUP(N63,플러스코스닥액티브!$B$11:$E$1000,4,0)</f>
        <v>0.26</v>
      </c>
      <c r="P63" s="26">
        <f>IFERROR(VLOOKUP(N63,'플러스코스닥액티브(과거)'!$B$11:$E$1000,4,0),0)</f>
        <v>0.28999999999999998</v>
      </c>
      <c r="Q63" s="20">
        <f t="shared" si="9"/>
        <v>-2.9999999999999971E-2</v>
      </c>
      <c r="R63" s="32">
        <f t="shared" si="10"/>
        <v>-0.10344827586206884</v>
      </c>
    </row>
    <row r="64" spans="1:18" x14ac:dyDescent="0.4">
      <c r="A64" s="63" t="str">
        <f>VLOOKUP(B64,유니버스!$C$14:$D$2561,2,0)</f>
        <v>KQ</v>
      </c>
      <c r="B64" s="65" t="str">
        <f>'코엑트 코스닥액티브'!B70</f>
        <v>덕산네오룩스</v>
      </c>
      <c r="C64" s="65">
        <f>VLOOKUP(B64,'코엑트 코스닥액티브'!$B$11:$E$1000,4,0)</f>
        <v>0.41</v>
      </c>
      <c r="D64" s="65">
        <f>IFERROR(VLOOKUP(B64,'코엑트 코스닥액티브(과거)'!$B$11:$E$1000,4,0),0)</f>
        <v>0.43</v>
      </c>
      <c r="E64" s="20">
        <f t="shared" si="3"/>
        <v>-2.0000000000000018E-2</v>
      </c>
      <c r="F64" s="32">
        <f t="shared" si="4"/>
        <v>-4.6511627906976827E-2</v>
      </c>
      <c r="G64" s="63" t="str">
        <f>VLOOKUP(H64,유니버스!$C$14:$D$2561,2,0)</f>
        <v>KQ</v>
      </c>
      <c r="H64" s="65" t="str">
        <f>'타임 코스닥액티브'!B70</f>
        <v>실리콘투</v>
      </c>
      <c r="I64" s="65">
        <f>VLOOKUP(H64,'타임 코스닥액티브'!$B$11:$E$1000,4,0)</f>
        <v>0.37</v>
      </c>
      <c r="J64" s="65">
        <f>IFERROR(VLOOKUP(H64,'타임코스닥액티브(과거)'!$B$11:$E$1000,4,0),0)</f>
        <v>0.4</v>
      </c>
      <c r="K64" s="20">
        <f t="shared" ref="K64:K65" si="13">I64-J64</f>
        <v>-3.0000000000000027E-2</v>
      </c>
      <c r="L64" s="32">
        <f t="shared" ref="L64:L65" si="14">IFERROR(I64/J64-1,"신규편입")</f>
        <v>-7.5000000000000067E-2</v>
      </c>
      <c r="M64" s="62" t="str">
        <f>VLOOKUP(N64,유니버스!$C$14:$D$2561,2,0)</f>
        <v>KQ</v>
      </c>
      <c r="N64" s="26" t="str">
        <f>플러스코스닥액티브!B70</f>
        <v>레이크머티리얼즈</v>
      </c>
      <c r="O64" s="26">
        <f>VLOOKUP(N64,플러스코스닥액티브!$B$11:$E$1000,4,0)</f>
        <v>0.25</v>
      </c>
      <c r="P64" s="26">
        <f>IFERROR(VLOOKUP(N64,'플러스코스닥액티브(과거)'!$B$11:$E$1000,4,0),0)</f>
        <v>0.26</v>
      </c>
      <c r="Q64" s="20">
        <f t="shared" ref="Q64:Q68" si="15">O64-P64</f>
        <v>-1.0000000000000009E-2</v>
      </c>
      <c r="R64" s="32">
        <f t="shared" ref="R64:R68" si="16">IFERROR(O64/P64-1,"신규편입")</f>
        <v>-3.8461538461538547E-2</v>
      </c>
    </row>
    <row r="65" spans="1:18" x14ac:dyDescent="0.4">
      <c r="A65" s="63" t="str">
        <f>VLOOKUP(B65,유니버스!$C$14:$D$2561,2,0)</f>
        <v>KQ</v>
      </c>
      <c r="B65" s="65" t="str">
        <f>'코엑트 코스닥액티브'!B71</f>
        <v>자람테크놀로지</v>
      </c>
      <c r="C65" s="65">
        <f>VLOOKUP(B65,'코엑트 코스닥액티브'!$B$11:$E$1000,4,0)</f>
        <v>0.41</v>
      </c>
      <c r="D65" s="65">
        <f>IFERROR(VLOOKUP(B65,'코엑트 코스닥액티브(과거)'!$B$11:$E$1000,4,0),0)</f>
        <v>0.44</v>
      </c>
      <c r="E65" s="20">
        <f t="shared" si="3"/>
        <v>-3.0000000000000027E-2</v>
      </c>
      <c r="F65" s="32">
        <f t="shared" si="4"/>
        <v>-6.8181818181818232E-2</v>
      </c>
      <c r="G65" s="63" t="str">
        <f>VLOOKUP(H65,유니버스!$C$14:$D$2561,2,0)</f>
        <v>KQ</v>
      </c>
      <c r="H65" s="65" t="str">
        <f>'타임 코스닥액티브'!B71</f>
        <v>케어젠</v>
      </c>
      <c r="I65" s="65">
        <f>VLOOKUP(H65,'타임 코스닥액티브'!$B$11:$E$1000,4,0)</f>
        <v>0.36</v>
      </c>
      <c r="J65" s="65">
        <f>IFERROR(VLOOKUP(H65,'타임코스닥액티브(과거)'!$B$11:$E$1000,4,0),0)</f>
        <v>0.42</v>
      </c>
      <c r="K65" s="20">
        <f t="shared" si="13"/>
        <v>-0.06</v>
      </c>
      <c r="L65" s="32">
        <f t="shared" si="14"/>
        <v>-0.1428571428571429</v>
      </c>
      <c r="M65" s="62" t="str">
        <f>VLOOKUP(N65,유니버스!$C$14:$D$2561,2,0)</f>
        <v>KQ</v>
      </c>
      <c r="N65" s="26" t="str">
        <f>플러스코스닥액티브!B71</f>
        <v>디아이티</v>
      </c>
      <c r="O65" s="26">
        <f>VLOOKUP(N65,플러스코스닥액티브!$B$11:$E$1000,4,0)</f>
        <v>0.23</v>
      </c>
      <c r="P65" s="26">
        <f>IFERROR(VLOOKUP(N65,'플러스코스닥액티브(과거)'!$B$11:$E$1000,4,0),0)</f>
        <v>0.22</v>
      </c>
      <c r="Q65" s="20">
        <f t="shared" si="15"/>
        <v>1.0000000000000009E-2</v>
      </c>
      <c r="R65" s="32">
        <f t="shared" si="16"/>
        <v>4.5454545454545414E-2</v>
      </c>
    </row>
    <row r="66" spans="1:18" x14ac:dyDescent="0.4">
      <c r="A66" s="63" t="str">
        <f>VLOOKUP(B66,유니버스!$C$14:$D$2561,2,0)</f>
        <v>KQ</v>
      </c>
      <c r="B66" s="65" t="str">
        <f>'코엑트 코스닥액티브'!B72</f>
        <v>저스템</v>
      </c>
      <c r="C66" s="65">
        <f>VLOOKUP(B66,'코엑트 코스닥액티브'!$B$11:$E$1000,4,0)</f>
        <v>0.39</v>
      </c>
      <c r="D66" s="65">
        <f>IFERROR(VLOOKUP(B66,'코엑트 코스닥액티브(과거)'!$B$11:$E$1000,4,0),0)</f>
        <v>0</v>
      </c>
      <c r="E66" s="20">
        <f t="shared" si="3"/>
        <v>0.39</v>
      </c>
      <c r="F66" s="32" t="str">
        <f t="shared" si="4"/>
        <v>신규편입</v>
      </c>
      <c r="G66" s="63" t="str">
        <f>VLOOKUP(H66,유니버스!$C$14:$D$2561,2,0)</f>
        <v>KQ</v>
      </c>
      <c r="H66" s="65" t="str">
        <f>'타임 코스닥액티브'!B72</f>
        <v>DSC인베스트먼트</v>
      </c>
      <c r="I66" s="65">
        <f>VLOOKUP(H66,'타임 코스닥액티브'!$B$11:$E$1000,4,0)</f>
        <v>0.35</v>
      </c>
      <c r="J66" s="65">
        <f>IFERROR(VLOOKUP(H66,'타임코스닥액티브(과거)'!$B$11:$E$1000,4,0),0)</f>
        <v>0.38</v>
      </c>
      <c r="K66" s="20">
        <f t="shared" ref="K66:K68" si="17">I66-J66</f>
        <v>-3.0000000000000027E-2</v>
      </c>
      <c r="L66" s="32">
        <f t="shared" ref="L66:L68" si="18">IFERROR(I66/J66-1,"신규편입")</f>
        <v>-7.8947368421052655E-2</v>
      </c>
      <c r="M66" s="62" t="str">
        <f>VLOOKUP(N66,유니버스!$C$14:$D$2561,2,0)</f>
        <v>KQ</v>
      </c>
      <c r="N66" s="26" t="str">
        <f>플러스코스닥액티브!B72</f>
        <v>오이솔루션</v>
      </c>
      <c r="O66" s="26">
        <f>VLOOKUP(N66,플러스코스닥액티브!$B$11:$E$1000,4,0)</f>
        <v>0.22</v>
      </c>
      <c r="P66" s="26">
        <f>IFERROR(VLOOKUP(N66,'플러스코스닥액티브(과거)'!$B$11:$E$1000,4,0),0)</f>
        <v>0.23</v>
      </c>
      <c r="Q66" s="20">
        <f t="shared" si="15"/>
        <v>-1.0000000000000009E-2</v>
      </c>
      <c r="R66" s="32">
        <f t="shared" si="16"/>
        <v>-4.3478260869565299E-2</v>
      </c>
    </row>
    <row r="67" spans="1:18" x14ac:dyDescent="0.4">
      <c r="A67" s="63" t="str">
        <f>VLOOKUP(B67,유니버스!$C$14:$D$2561,2,0)</f>
        <v>KQ</v>
      </c>
      <c r="B67" s="65" t="str">
        <f>'코엑트 코스닥액티브'!B73</f>
        <v>노바렉스</v>
      </c>
      <c r="C67" s="65">
        <f>VLOOKUP(B67,'코엑트 코스닥액티브'!$B$11:$E$1000,4,0)</f>
        <v>0.37</v>
      </c>
      <c r="D67" s="65">
        <f>IFERROR(VLOOKUP(B67,'코엑트 코스닥액티브(과거)'!$B$11:$E$1000,4,0),0)</f>
        <v>0</v>
      </c>
      <c r="E67" s="20">
        <f t="shared" si="3"/>
        <v>0.37</v>
      </c>
      <c r="F67" s="32" t="str">
        <f t="shared" si="4"/>
        <v>신규편입</v>
      </c>
      <c r="G67" s="63" t="str">
        <f>VLOOKUP(H67,유니버스!$C$14:$D$2561,2,0)</f>
        <v>KQ</v>
      </c>
      <c r="H67" s="65" t="str">
        <f>'타임 코스닥액티브'!B73</f>
        <v>파이버프로</v>
      </c>
      <c r="I67" s="65">
        <f>VLOOKUP(H67,'타임 코스닥액티브'!$B$11:$E$1000,4,0)</f>
        <v>0.34</v>
      </c>
      <c r="J67" s="65">
        <f>IFERROR(VLOOKUP(H67,'타임코스닥액티브(과거)'!$B$11:$E$1000,4,0),0)</f>
        <v>0.35</v>
      </c>
      <c r="K67" s="20">
        <f t="shared" si="17"/>
        <v>-9.9999999999999534E-3</v>
      </c>
      <c r="L67" s="32">
        <f t="shared" si="18"/>
        <v>-2.857142857142847E-2</v>
      </c>
      <c r="M67" s="62" t="str">
        <f>VLOOKUP(N67,유니버스!$C$14:$D$2561,2,0)</f>
        <v>KQ</v>
      </c>
      <c r="N67" s="26" t="str">
        <f>플러스코스닥액티브!B73</f>
        <v>나노신소재</v>
      </c>
      <c r="O67" s="26">
        <f>VLOOKUP(N67,플러스코스닥액티브!$B$11:$E$1000,4,0)</f>
        <v>0.19</v>
      </c>
      <c r="P67" s="26">
        <f>IFERROR(VLOOKUP(N67,'플러스코스닥액티브(과거)'!$B$11:$E$1000,4,0),0)</f>
        <v>0.19</v>
      </c>
      <c r="Q67" s="20">
        <f t="shared" si="15"/>
        <v>0</v>
      </c>
      <c r="R67" s="32">
        <f t="shared" si="16"/>
        <v>0</v>
      </c>
    </row>
    <row r="68" spans="1:18" x14ac:dyDescent="0.4">
      <c r="A68" s="63" t="str">
        <f>VLOOKUP(B68,유니버스!$C$14:$D$2561,2,0)</f>
        <v>KQ</v>
      </c>
      <c r="B68" s="65" t="str">
        <f>'코엑트 코스닥액티브'!B74</f>
        <v>이오테크닉스</v>
      </c>
      <c r="C68" s="65">
        <f>VLOOKUP(B68,'코엑트 코스닥액티브'!$B$11:$E$1000,4,0)</f>
        <v>0.35</v>
      </c>
      <c r="D68" s="65">
        <f>IFERROR(VLOOKUP(B68,'코엑트 코스닥액티브(과거)'!$B$11:$E$1000,4,0),0)</f>
        <v>0.14000000000000001</v>
      </c>
      <c r="E68" s="20">
        <f t="shared" si="3"/>
        <v>0.20999999999999996</v>
      </c>
      <c r="F68" s="32">
        <f t="shared" si="4"/>
        <v>1.4999999999999996</v>
      </c>
      <c r="G68" s="63" t="str">
        <f>VLOOKUP(H68,유니버스!$C$14:$D$2561,2,0)</f>
        <v>KQ</v>
      </c>
      <c r="H68" s="65" t="str">
        <f>'타임 코스닥액티브'!B74</f>
        <v>보로노이</v>
      </c>
      <c r="I68" s="65">
        <f>VLOOKUP(H68,'타임 코스닥액티브'!$B$11:$E$1000,4,0)</f>
        <v>0.33</v>
      </c>
      <c r="J68" s="65">
        <f>IFERROR(VLOOKUP(H68,'타임코스닥액티브(과거)'!$B$11:$E$1000,4,0),0)</f>
        <v>0.35</v>
      </c>
      <c r="K68" s="20">
        <f t="shared" si="17"/>
        <v>-1.9999999999999962E-2</v>
      </c>
      <c r="L68" s="32">
        <f t="shared" si="18"/>
        <v>-5.7142857142857051E-2</v>
      </c>
      <c r="M68" s="62" t="str">
        <f>VLOOKUP(N68,유니버스!$C$14:$D$2561,2,0)</f>
        <v>KQ</v>
      </c>
      <c r="N68" s="26" t="str">
        <f>플러스코스닥액티브!B74</f>
        <v>원익IPS</v>
      </c>
      <c r="O68" s="26">
        <f>VLOOKUP(N68,플러스코스닥액티브!$B$11:$E$1000,4,0)</f>
        <v>0.12</v>
      </c>
      <c r="P68" s="26">
        <f>IFERROR(VLOOKUP(N68,'플러스코스닥액티브(과거)'!$B$11:$E$1000,4,0),0)</f>
        <v>0</v>
      </c>
      <c r="Q68" s="20">
        <f t="shared" si="15"/>
        <v>0.12</v>
      </c>
      <c r="R68" s="32" t="str">
        <f t="shared" si="16"/>
        <v>신규편입</v>
      </c>
    </row>
    <row r="69" spans="1:18" x14ac:dyDescent="0.4">
      <c r="A69" s="63" t="str">
        <f>VLOOKUP(B69,유니버스!$C$14:$D$2561,2,0)</f>
        <v>KQ</v>
      </c>
      <c r="B69" s="65" t="str">
        <f>'코엑트 코스닥액티브'!B75</f>
        <v>동진쎄미켐</v>
      </c>
      <c r="C69" s="65">
        <f>VLOOKUP(B69,'코엑트 코스닥액티브'!$B$11:$E$1000,4,0)</f>
        <v>0.35</v>
      </c>
      <c r="D69" s="65">
        <f>IFERROR(VLOOKUP(B69,'코엑트 코스닥액티브(과거)'!$B$11:$E$1000,4,0),0)</f>
        <v>0.49</v>
      </c>
      <c r="E69" s="20">
        <f t="shared" si="3"/>
        <v>-0.14000000000000001</v>
      </c>
      <c r="F69" s="32">
        <f t="shared" si="4"/>
        <v>-0.2857142857142857</v>
      </c>
      <c r="G69" s="63" t="str">
        <f>VLOOKUP(H69,유니버스!$C$14:$D$2561,2,0)</f>
        <v>KQ</v>
      </c>
      <c r="H69" s="65" t="str">
        <f>'타임 코스닥액티브'!B75</f>
        <v>이랜텍</v>
      </c>
      <c r="I69" s="65">
        <f>VLOOKUP(H69,'타임 코스닥액티브'!$B$11:$E$1000,4,0)</f>
        <v>0.25</v>
      </c>
      <c r="J69" s="65">
        <f>IFERROR(VLOOKUP(H69,'타임코스닥액티브(과거)'!$B$11:$E$1000,4,0),0)</f>
        <v>0.21</v>
      </c>
      <c r="K69" s="20">
        <f t="shared" ref="K69:K70" si="19">I69-J69</f>
        <v>4.0000000000000008E-2</v>
      </c>
      <c r="L69" s="32">
        <f t="shared" ref="L69:L70" si="20">IFERROR(I69/J69-1,"신규편입")</f>
        <v>0.19047619047619047</v>
      </c>
      <c r="M69" s="62" t="str">
        <f>VLOOKUP(N69,유니버스!$C$14:$D$2561,2,0)</f>
        <v>KQ</v>
      </c>
      <c r="N69" s="26" t="str">
        <f>플러스코스닥액티브!B75</f>
        <v>이오테크닉스</v>
      </c>
      <c r="O69" s="26">
        <f>VLOOKUP(N69,플러스코스닥액티브!$B$11:$E$1000,4,0)</f>
        <v>0.1</v>
      </c>
      <c r="P69" s="26">
        <f>IFERROR(VLOOKUP(N69,'플러스코스닥액티브(과거)'!$B$11:$E$1000,4,0),0)</f>
        <v>0</v>
      </c>
      <c r="Q69" s="20">
        <f t="shared" ref="Q69:Q74" si="21">O69-P69</f>
        <v>0.1</v>
      </c>
      <c r="R69" s="32" t="str">
        <f t="shared" ref="R69:R74" si="22">IFERROR(O69/P69-1,"신규편입")</f>
        <v>신규편입</v>
      </c>
    </row>
    <row r="70" spans="1:18" x14ac:dyDescent="0.4">
      <c r="A70" s="63" t="str">
        <f>VLOOKUP(B70,유니버스!$C$14:$D$2561,2,0)</f>
        <v>KQ</v>
      </c>
      <c r="B70" s="65" t="str">
        <f>'코엑트 코스닥액티브'!B76</f>
        <v>오이솔루션</v>
      </c>
      <c r="C70" s="65">
        <f>VLOOKUP(B70,'코엑트 코스닥액티브'!$B$11:$E$1000,4,0)</f>
        <v>0.34</v>
      </c>
      <c r="D70" s="65">
        <f>IFERROR(VLOOKUP(B70,'코엑트 코스닥액티브(과거)'!$B$11:$E$1000,4,0),0)</f>
        <v>0.36</v>
      </c>
      <c r="E70" s="20">
        <f t="shared" ref="E70:E84" si="23">C70-D70</f>
        <v>-1.9999999999999962E-2</v>
      </c>
      <c r="F70" s="32">
        <f t="shared" ref="F70:F84" si="24">IFERROR(C70/D70-1,"신규편입")</f>
        <v>-5.5555555555555469E-2</v>
      </c>
      <c r="G70" s="63" t="e">
        <f>VLOOKUP(H70,유니버스!$C$14:$D$2561,2,0)</f>
        <v>#N/A</v>
      </c>
      <c r="H70" s="65" t="str">
        <f>'타임 코스닥액티브'!B76</f>
        <v>원화현금</v>
      </c>
      <c r="I70" s="65">
        <f>VLOOKUP(H70,'타임 코스닥액티브'!$B$11:$E$1000,4,0)</f>
        <v>0.91</v>
      </c>
      <c r="J70" s="65">
        <f>IFERROR(VLOOKUP(H70,'타임코스닥액티브(과거)'!$B$11:$E$1000,4,0),0)</f>
        <v>1.19</v>
      </c>
      <c r="K70" s="20">
        <f t="shared" si="19"/>
        <v>-0.27999999999999992</v>
      </c>
      <c r="L70" s="32">
        <f t="shared" si="20"/>
        <v>-0.23529411764705876</v>
      </c>
      <c r="M70" s="62" t="str">
        <f>VLOOKUP(N70,유니버스!$C$14:$D$2561,2,0)</f>
        <v>KQ</v>
      </c>
      <c r="N70" s="26" t="str">
        <f>플러스코스닥액티브!B76</f>
        <v>HPSP</v>
      </c>
      <c r="O70" s="26">
        <f>VLOOKUP(N70,플러스코스닥액티브!$B$11:$E$1000,4,0)</f>
        <v>0.1</v>
      </c>
      <c r="P70" s="26">
        <f>IFERROR(VLOOKUP(N70,'플러스코스닥액티브(과거)'!$B$11:$E$1000,4,0),0)</f>
        <v>0</v>
      </c>
      <c r="Q70" s="20">
        <f t="shared" si="21"/>
        <v>0.1</v>
      </c>
      <c r="R70" s="32" t="str">
        <f t="shared" si="22"/>
        <v>신규편입</v>
      </c>
    </row>
    <row r="71" spans="1:18" x14ac:dyDescent="0.4">
      <c r="A71" s="63" t="str">
        <f>VLOOKUP(B71,유니버스!$C$14:$D$2561,2,0)</f>
        <v>KQ</v>
      </c>
      <c r="B71" s="65" t="str">
        <f>'코엑트 코스닥액티브'!B77</f>
        <v>LS머트리얼즈</v>
      </c>
      <c r="C71" s="65">
        <f>VLOOKUP(B71,'코엑트 코스닥액티브'!$B$11:$E$1000,4,0)</f>
        <v>0.33</v>
      </c>
      <c r="D71" s="65">
        <f>IFERROR(VLOOKUP(B71,'코엑트 코스닥액티브(과거)'!$B$11:$E$1000,4,0),0)</f>
        <v>0.33</v>
      </c>
      <c r="E71" s="20">
        <f t="shared" si="23"/>
        <v>0</v>
      </c>
      <c r="F71" s="32">
        <f t="shared" si="24"/>
        <v>0</v>
      </c>
      <c r="H71" s="65"/>
      <c r="I71" s="65"/>
      <c r="J71" s="65"/>
      <c r="K71" s="20"/>
      <c r="L71" s="32"/>
      <c r="M71" s="62" t="str">
        <f>VLOOKUP(N71,유니버스!$C$14:$D$2561,2,0)</f>
        <v>KQ</v>
      </c>
      <c r="N71" s="26" t="str">
        <f>플러스코스닥액티브!B77</f>
        <v>에스티팜</v>
      </c>
      <c r="O71" s="26">
        <f>VLOOKUP(N71,플러스코스닥액티브!$B$11:$E$1000,4,0)</f>
        <v>0.09</v>
      </c>
      <c r="P71" s="26">
        <f>IFERROR(VLOOKUP(N71,'플러스코스닥액티브(과거)'!$B$11:$E$1000,4,0),0)</f>
        <v>0.1</v>
      </c>
      <c r="Q71" s="20">
        <f t="shared" si="21"/>
        <v>-1.0000000000000009E-2</v>
      </c>
      <c r="R71" s="32">
        <f t="shared" si="22"/>
        <v>-0.10000000000000009</v>
      </c>
    </row>
    <row r="72" spans="1:18" x14ac:dyDescent="0.4">
      <c r="A72" s="63" t="str">
        <f>VLOOKUP(B72,유니버스!$C$14:$D$2561,2,0)</f>
        <v>KQ</v>
      </c>
      <c r="B72" s="65" t="str">
        <f>'코엑트 코스닥액티브'!B78</f>
        <v>씨어스</v>
      </c>
      <c r="C72" s="65">
        <f>VLOOKUP(B72,'코엑트 코스닥액티브'!$B$11:$E$1000,4,0)</f>
        <v>0.32</v>
      </c>
      <c r="D72" s="65">
        <f>IFERROR(VLOOKUP(B72,'코엑트 코스닥액티브(과거)'!$B$11:$E$1000,4,0),0)</f>
        <v>0.34</v>
      </c>
      <c r="E72" s="20">
        <f t="shared" si="23"/>
        <v>-2.0000000000000018E-2</v>
      </c>
      <c r="F72" s="32">
        <f t="shared" si="24"/>
        <v>-5.8823529411764719E-2</v>
      </c>
      <c r="H72" s="65"/>
      <c r="I72" s="65"/>
      <c r="J72" s="65"/>
      <c r="K72" s="20"/>
      <c r="L72" s="32"/>
      <c r="M72" s="62" t="e">
        <f>VLOOKUP(N72,유니버스!$C$14:$D$2561,2,0)</f>
        <v>#N/A</v>
      </c>
      <c r="N72" s="26" t="str">
        <f>플러스코스닥액티브!B78</f>
        <v>채비</v>
      </c>
      <c r="O72" s="26">
        <f>VLOOKUP(N72,플러스코스닥액티브!$B$11:$E$1000,4,0)</f>
        <v>0.09</v>
      </c>
      <c r="P72" s="26">
        <f>IFERROR(VLOOKUP(N72,'플러스코스닥액티브(과거)'!$B$11:$E$1000,4,0),0)</f>
        <v>0.1</v>
      </c>
      <c r="Q72" s="20">
        <f t="shared" si="21"/>
        <v>-1.0000000000000009E-2</v>
      </c>
      <c r="R72" s="32">
        <f t="shared" si="22"/>
        <v>-0.10000000000000009</v>
      </c>
    </row>
    <row r="73" spans="1:18" x14ac:dyDescent="0.4">
      <c r="A73" s="63" t="str">
        <f>VLOOKUP(B73,유니버스!$C$14:$D$2561,2,0)</f>
        <v>KQ</v>
      </c>
      <c r="B73" s="65" t="str">
        <f>'코엑트 코스닥액티브'!B79</f>
        <v>레이크머티리얼즈</v>
      </c>
      <c r="C73" s="65">
        <f>VLOOKUP(B73,'코엑트 코스닥액티브'!$B$11:$E$1000,4,0)</f>
        <v>0.31</v>
      </c>
      <c r="D73" s="65">
        <f>IFERROR(VLOOKUP(B73,'코엑트 코스닥액티브(과거)'!$B$11:$E$1000,4,0),0)</f>
        <v>0.32</v>
      </c>
      <c r="E73" s="20">
        <f t="shared" si="23"/>
        <v>-1.0000000000000009E-2</v>
      </c>
      <c r="F73" s="32">
        <f t="shared" si="24"/>
        <v>-3.125E-2</v>
      </c>
      <c r="H73" s="65"/>
      <c r="I73" s="65"/>
      <c r="J73" s="65"/>
      <c r="K73" s="20"/>
      <c r="L73" s="32"/>
      <c r="M73" s="62" t="str">
        <f>VLOOKUP(N73,유니버스!$C$14:$D$2561,2,0)</f>
        <v>KQ</v>
      </c>
      <c r="N73" s="26" t="str">
        <f>플러스코스닥액티브!B79</f>
        <v>큐리언트</v>
      </c>
      <c r="O73" s="26">
        <f>VLOOKUP(N73,플러스코스닥액티브!$B$11:$E$1000,4,0)</f>
        <v>0.08</v>
      </c>
      <c r="P73" s="26">
        <f>IFERROR(VLOOKUP(N73,'플러스코스닥액티브(과거)'!$B$11:$E$1000,4,0),0)</f>
        <v>0.08</v>
      </c>
      <c r="Q73" s="20">
        <f t="shared" si="21"/>
        <v>0</v>
      </c>
      <c r="R73" s="32">
        <f t="shared" si="22"/>
        <v>0</v>
      </c>
    </row>
    <row r="74" spans="1:18" x14ac:dyDescent="0.4">
      <c r="A74" s="63" t="str">
        <f>VLOOKUP(B74,유니버스!$C$14:$D$2561,2,0)</f>
        <v>KQ</v>
      </c>
      <c r="B74" s="65" t="str">
        <f>'코엑트 코스닥액티브'!B80</f>
        <v>삼현</v>
      </c>
      <c r="C74" s="65">
        <f>VLOOKUP(B74,'코엑트 코스닥액티브'!$B$11:$E$1000,4,0)</f>
        <v>0.3</v>
      </c>
      <c r="D74" s="65">
        <f>IFERROR(VLOOKUP(B74,'코엑트 코스닥액티브(과거)'!$B$11:$E$1000,4,0),0)</f>
        <v>0.28999999999999998</v>
      </c>
      <c r="E74" s="20">
        <f t="shared" si="23"/>
        <v>1.0000000000000009E-2</v>
      </c>
      <c r="F74" s="32">
        <f t="shared" si="24"/>
        <v>3.4482758620689724E-2</v>
      </c>
      <c r="H74" s="65"/>
      <c r="I74" s="65"/>
      <c r="J74" s="65"/>
      <c r="K74" s="20"/>
      <c r="L74" s="32"/>
      <c r="M74" s="62" t="e">
        <f>VLOOKUP(N74,유니버스!$C$14:$D$2561,2,0)</f>
        <v>#N/A</v>
      </c>
      <c r="N74" s="26" t="str">
        <f>플러스코스닥액티브!B80</f>
        <v>원화현금</v>
      </c>
      <c r="O74" s="26">
        <f>VLOOKUP(N74,플러스코스닥액티브!$B$11:$E$1000,4,0)</f>
        <v>0.79</v>
      </c>
      <c r="P74" s="26">
        <f>IFERROR(VLOOKUP(N74,'플러스코스닥액티브(과거)'!$B$11:$E$1000,4,0),0)</f>
        <v>1.41</v>
      </c>
      <c r="Q74" s="20">
        <f t="shared" si="21"/>
        <v>-0.61999999999999988</v>
      </c>
      <c r="R74" s="32">
        <f t="shared" si="22"/>
        <v>-0.43971631205673756</v>
      </c>
    </row>
    <row r="75" spans="1:18" x14ac:dyDescent="0.4">
      <c r="A75" s="63" t="str">
        <f>VLOOKUP(B75,유니버스!$C$14:$D$2561,2,0)</f>
        <v>KQ</v>
      </c>
      <c r="B75" s="65" t="str">
        <f>'코엑트 코스닥액티브'!B81</f>
        <v>에치에프알</v>
      </c>
      <c r="C75" s="65">
        <f>VLOOKUP(B75,'코엑트 코스닥액티브'!$B$11:$E$1000,4,0)</f>
        <v>0.26</v>
      </c>
      <c r="D75" s="65">
        <f>IFERROR(VLOOKUP(B75,'코엑트 코스닥액티브(과거)'!$B$11:$E$1000,4,0),0)</f>
        <v>0.37</v>
      </c>
      <c r="E75" s="20">
        <f t="shared" si="23"/>
        <v>-0.10999999999999999</v>
      </c>
      <c r="F75" s="32">
        <f t="shared" si="24"/>
        <v>-0.29729729729729726</v>
      </c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1:18" x14ac:dyDescent="0.4">
      <c r="A76" s="63" t="str">
        <f>VLOOKUP(B76,유니버스!$C$14:$D$2561,2,0)</f>
        <v>KQ</v>
      </c>
      <c r="B76" s="65" t="str">
        <f>'코엑트 코스닥액티브'!B82</f>
        <v>에스엔시스</v>
      </c>
      <c r="C76" s="65">
        <f>VLOOKUP(B76,'코엑트 코스닥액티브'!$B$11:$E$1000,4,0)</f>
        <v>0.25</v>
      </c>
      <c r="D76" s="65">
        <f>IFERROR(VLOOKUP(B76,'코엑트 코스닥액티브(과거)'!$B$11:$E$1000,4,0),0)</f>
        <v>0.28999999999999998</v>
      </c>
      <c r="E76" s="20">
        <f t="shared" si="23"/>
        <v>-3.999999999999998E-2</v>
      </c>
      <c r="F76" s="32">
        <f t="shared" si="24"/>
        <v>-0.13793103448275856</v>
      </c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1:18" x14ac:dyDescent="0.4">
      <c r="A77" s="63" t="str">
        <f>VLOOKUP(B77,유니버스!$C$14:$D$2561,2,0)</f>
        <v>KQ</v>
      </c>
      <c r="B77" s="65" t="str">
        <f>'코엑트 코스닥액티브'!B83</f>
        <v>아모그린텍</v>
      </c>
      <c r="C77" s="65">
        <f>VLOOKUP(B77,'코엑트 코스닥액티브'!$B$11:$E$1000,4,0)</f>
        <v>0.25</v>
      </c>
      <c r="D77" s="65">
        <f>IFERROR(VLOOKUP(B77,'코엑트 코스닥액티브(과거)'!$B$11:$E$1000,4,0),0)</f>
        <v>0.28000000000000003</v>
      </c>
      <c r="E77" s="20">
        <f t="shared" si="23"/>
        <v>-3.0000000000000027E-2</v>
      </c>
      <c r="F77" s="32">
        <f t="shared" si="24"/>
        <v>-0.10714285714285721</v>
      </c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1:18" x14ac:dyDescent="0.4">
      <c r="A78" s="63" t="str">
        <f>VLOOKUP(B78,유니버스!$C$14:$D$2561,2,0)</f>
        <v>KQ</v>
      </c>
      <c r="B78" s="65" t="str">
        <f>'코엑트 코스닥액티브'!B84</f>
        <v>쎄트렉아이</v>
      </c>
      <c r="C78" s="65">
        <f>VLOOKUP(B78,'코엑트 코스닥액티브'!$B$11:$E$1000,4,0)</f>
        <v>0.21</v>
      </c>
      <c r="D78" s="65">
        <f>IFERROR(VLOOKUP(B78,'코엑트 코스닥액티브(과거)'!$B$11:$E$1000,4,0),0)</f>
        <v>0.23</v>
      </c>
      <c r="E78" s="20">
        <f t="shared" si="23"/>
        <v>-2.0000000000000018E-2</v>
      </c>
      <c r="F78" s="32">
        <f t="shared" si="24"/>
        <v>-8.6956521739130488E-2</v>
      </c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1:18" x14ac:dyDescent="0.4">
      <c r="A79" s="63" t="str">
        <f>VLOOKUP(B79,유니버스!$C$14:$D$2561,2,0)</f>
        <v>KQ</v>
      </c>
      <c r="B79" s="65" t="str">
        <f>'코엑트 코스닥액티브'!B85</f>
        <v>브이엠</v>
      </c>
      <c r="C79" s="65">
        <f>VLOOKUP(B79,'코엑트 코스닥액티브'!$B$11:$E$1000,4,0)</f>
        <v>0.21</v>
      </c>
      <c r="D79" s="65">
        <f>IFERROR(VLOOKUP(B79,'코엑트 코스닥액티브(과거)'!$B$11:$E$1000,4,0),0)</f>
        <v>0.39</v>
      </c>
      <c r="E79" s="20">
        <f t="shared" si="23"/>
        <v>-0.18000000000000002</v>
      </c>
      <c r="F79" s="32">
        <f t="shared" si="24"/>
        <v>-0.46153846153846156</v>
      </c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1:18" x14ac:dyDescent="0.4">
      <c r="A80" s="63" t="str">
        <f>VLOOKUP(B80,유니버스!$C$14:$D$2561,2,0)</f>
        <v>KQ</v>
      </c>
      <c r="B80" s="65" t="str">
        <f>'코엑트 코스닥액티브'!B86</f>
        <v>이지홀딩스</v>
      </c>
      <c r="C80" s="65">
        <f>VLOOKUP(B80,'코엑트 코스닥액티브'!$B$11:$E$1000,4,0)</f>
        <v>0.2</v>
      </c>
      <c r="D80" s="65">
        <f>IFERROR(VLOOKUP(B80,'코엑트 코스닥액티브(과거)'!$B$11:$E$1000,4,0),0)</f>
        <v>0.24</v>
      </c>
      <c r="E80" s="20">
        <f t="shared" si="23"/>
        <v>-3.999999999999998E-2</v>
      </c>
      <c r="F80" s="32">
        <f t="shared" si="24"/>
        <v>-0.16666666666666663</v>
      </c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1:18" x14ac:dyDescent="0.4">
      <c r="A81" s="63" t="str">
        <f>VLOOKUP(B81,유니버스!$C$14:$D$2561,2,0)</f>
        <v>KQ</v>
      </c>
      <c r="B81" s="65" t="str">
        <f>'코엑트 코스닥액티브'!B87</f>
        <v>한라캐스트</v>
      </c>
      <c r="C81" s="65">
        <f>VLOOKUP(B81,'코엑트 코스닥액티브'!$B$11:$E$1000,4,0)</f>
        <v>0.19</v>
      </c>
      <c r="D81" s="65">
        <f>IFERROR(VLOOKUP(B81,'코엑트 코스닥액티브(과거)'!$B$11:$E$1000,4,0),0)</f>
        <v>0.2</v>
      </c>
      <c r="E81" s="20">
        <f t="shared" si="23"/>
        <v>-1.0000000000000009E-2</v>
      </c>
      <c r="F81" s="32">
        <f t="shared" si="24"/>
        <v>-5.0000000000000044E-2</v>
      </c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1:18" x14ac:dyDescent="0.4">
      <c r="A82" s="63" t="str">
        <f>VLOOKUP(B82,유니버스!$C$14:$D$2561,2,0)</f>
        <v>KQ</v>
      </c>
      <c r="B82" s="65" t="str">
        <f>'코엑트 코스닥액티브'!B88</f>
        <v>제이브이엠</v>
      </c>
      <c r="C82" s="65">
        <f>VLOOKUP(B82,'코엑트 코스닥액티브'!$B$11:$E$1000,4,0)</f>
        <v>0.19</v>
      </c>
      <c r="D82" s="65">
        <f>IFERROR(VLOOKUP(B82,'코엑트 코스닥액티브(과거)'!$B$11:$E$1000,4,0),0)</f>
        <v>0.24</v>
      </c>
      <c r="E82" s="20">
        <f t="shared" si="23"/>
        <v>-4.9999999999999989E-2</v>
      </c>
      <c r="F82" s="32">
        <f t="shared" si="24"/>
        <v>-0.20833333333333326</v>
      </c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1:18" x14ac:dyDescent="0.4">
      <c r="A83" s="63" t="str">
        <f>VLOOKUP(B83,유니버스!$C$14:$D$2561,2,0)</f>
        <v>KQ</v>
      </c>
      <c r="B83" s="65" t="str">
        <f>'코엑트 코스닥액티브'!B89</f>
        <v>코오롱생명과학</v>
      </c>
      <c r="C83" s="65">
        <f>VLOOKUP(B83,'코엑트 코스닥액티브'!$B$11:$E$1000,4,0)</f>
        <v>0.19</v>
      </c>
      <c r="D83" s="65">
        <f>IFERROR(VLOOKUP(B83,'코엑트 코스닥액티브(과거)'!$B$11:$E$1000,4,0),0)</f>
        <v>0.19</v>
      </c>
      <c r="E83" s="20">
        <f t="shared" si="23"/>
        <v>0</v>
      </c>
      <c r="F83" s="32">
        <f t="shared" si="24"/>
        <v>0</v>
      </c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1:18" x14ac:dyDescent="0.4">
      <c r="A84" s="63" t="str">
        <f>VLOOKUP(B84,유니버스!$C$14:$D$2561,2,0)</f>
        <v>KQ</v>
      </c>
      <c r="B84" s="65" t="str">
        <f>'코엑트 코스닥액티브'!B90</f>
        <v>바디텍메드</v>
      </c>
      <c r="C84" s="65">
        <f>VLOOKUP(B84,'코엑트 코스닥액티브'!$B$11:$E$1000,4,0)</f>
        <v>0.18</v>
      </c>
      <c r="D84" s="65">
        <f>IFERROR(VLOOKUP(B84,'코엑트 코스닥액티브(과거)'!$B$11:$E$1000,4,0),0)</f>
        <v>0.23</v>
      </c>
      <c r="E84" s="20">
        <f t="shared" si="23"/>
        <v>-5.0000000000000017E-2</v>
      </c>
      <c r="F84" s="32">
        <f t="shared" si="24"/>
        <v>-0.21739130434782616</v>
      </c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1:18" x14ac:dyDescent="0.4">
      <c r="A85" s="63" t="str">
        <f>VLOOKUP(B85,유니버스!$C$14:$D$2561,2,0)</f>
        <v>KQ</v>
      </c>
      <c r="B85" s="65" t="str">
        <f>'코엑트 코스닥액티브'!B91</f>
        <v>아이티센글로벌</v>
      </c>
      <c r="C85" s="65">
        <f>VLOOKUP(B85,'코엑트 코스닥액티브'!$B$11:$E$1000,4,0)</f>
        <v>0.12</v>
      </c>
      <c r="D85" s="65">
        <f>IFERROR(VLOOKUP(B85,'코엑트 코스닥액티브(과거)'!$B$11:$E$1000,4,0),0)</f>
        <v>0.92</v>
      </c>
      <c r="E85" s="20">
        <f t="shared" ref="E85:E87" si="25">C85-D85</f>
        <v>-0.8</v>
      </c>
      <c r="F85" s="32">
        <f t="shared" ref="F85:F87" si="26">IFERROR(C85/D85-1,"신규편입")</f>
        <v>-0.86956521739130432</v>
      </c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1:18" x14ac:dyDescent="0.4">
      <c r="A86" s="63" t="str">
        <f>VLOOKUP(B86,유니버스!$C$14:$D$2561,2,0)</f>
        <v>KQ</v>
      </c>
      <c r="B86" s="65" t="str">
        <f>'코엑트 코스닥액티브'!B92</f>
        <v>와이지엔터테인먼트</v>
      </c>
      <c r="C86" s="65">
        <f>VLOOKUP(B86,'코엑트 코스닥액티브'!$B$11:$E$1000,4,0)</f>
        <v>0.09</v>
      </c>
      <c r="D86" s="65">
        <f>IFERROR(VLOOKUP(B86,'코엑트 코스닥액티브(과거)'!$B$11:$E$1000,4,0),0)</f>
        <v>0.1</v>
      </c>
      <c r="E86" s="20">
        <f t="shared" si="25"/>
        <v>-1.0000000000000009E-2</v>
      </c>
      <c r="F86" s="32">
        <f t="shared" si="26"/>
        <v>-0.10000000000000009</v>
      </c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1:18" x14ac:dyDescent="0.4">
      <c r="A87" s="63" t="e">
        <f>VLOOKUP(B87,유니버스!$C$14:$D$2561,2,0)</f>
        <v>#N/A</v>
      </c>
      <c r="B87" s="65" t="str">
        <f>'코엑트 코스닥액티브'!B93</f>
        <v>원화현금</v>
      </c>
      <c r="C87" s="65">
        <f>VLOOKUP(B87,'코엑트 코스닥액티브'!$B$11:$E$1000,4,0)</f>
        <v>0.17</v>
      </c>
      <c r="D87" s="65">
        <f>IFERROR(VLOOKUP(B87,'코엑트 코스닥액티브(과거)'!$B$11:$E$1000,4,0),0)</f>
        <v>0</v>
      </c>
      <c r="E87" s="20">
        <f t="shared" si="25"/>
        <v>0.17</v>
      </c>
      <c r="F87" s="32" t="str">
        <f t="shared" si="26"/>
        <v>신규편입</v>
      </c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1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1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1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1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1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1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1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1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1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R309"/>
  <sheetViews>
    <sheetView topLeftCell="C1" zoomScaleNormal="100" workbookViewId="0">
      <selection activeCell="N14" sqref="N14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10.1992187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'UNICORN SK하이닉스밸류체인액티브'!A9</f>
        <v>UNICORN SK하이닉스밸류체인액티브</v>
      </c>
      <c r="H3" s="63" t="str">
        <f>'WON 반도체밸류체인액티브'!A9</f>
        <v>WON 반도체밸류체인액티브</v>
      </c>
      <c r="N3" s="62" t="str">
        <f>'RISE 비메모리반도체액티브'!A9</f>
        <v>RISE 비메모리반도체액티브</v>
      </c>
    </row>
    <row r="4" spans="1:18" x14ac:dyDescent="0.4">
      <c r="B4" s="65" t="s">
        <v>75</v>
      </c>
      <c r="C4" s="66" t="str">
        <f>'UNICORN SK하이닉스밸류체인액티브'!B4</f>
        <v>CPD [20260522]</v>
      </c>
      <c r="D4" s="66" t="str">
        <f>'UNICORN SK하이닉스밸류체인액티브(과거)'!B4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[20260522]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64" t="str">
        <f>C4</f>
        <v>CPD [20260522]</v>
      </c>
      <c r="P4" s="64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'UNICORN SK하이닉스밸류체인액티브'!B11</f>
        <v>SK스퀘어</v>
      </c>
      <c r="C5" s="65">
        <f>VLOOKUP(B5,'UNICORN SK하이닉스밸류체인액티브'!$B$11:$E$1000,4,0)</f>
        <v>24.4</v>
      </c>
      <c r="D5" s="65">
        <f>IFERROR(VLOOKUP(B5,'UNICORN SK하이닉스밸류체인액티브(과거)'!$B$11:$E$1000,4,0),0)</f>
        <v>24.31</v>
      </c>
      <c r="E5" s="20">
        <f t="shared" ref="E5" si="0">C5-D5</f>
        <v>8.9999999999999858E-2</v>
      </c>
      <c r="F5" s="32">
        <f t="shared" ref="F5" si="1">IFERROR(C5/D5-1,"신규편입")</f>
        <v>3.7021801727683545E-3</v>
      </c>
      <c r="G5" s="63" t="str">
        <f>VLOOKUP(H5,유니버스!$C$14:$D$2561,2,0)</f>
        <v>KS</v>
      </c>
      <c r="H5" s="65" t="str">
        <f>'WON 반도체밸류체인액티브'!B11</f>
        <v>SK하이닉스</v>
      </c>
      <c r="I5" s="65">
        <f>VLOOKUP(H5,'WON 반도체밸류체인액티브'!$B$11:$E$1000,4,0)</f>
        <v>28.88</v>
      </c>
      <c r="J5" s="65">
        <f>IFERROR(VLOOKUP(H5,'WON 반도체밸류체인액티브(과거)'!$B$11:$E$1000,4,0),0)</f>
        <v>29.34</v>
      </c>
      <c r="K5" s="20">
        <f t="shared" ref="K5" si="2">I5-J5</f>
        <v>-0.46000000000000085</v>
      </c>
      <c r="L5" s="32">
        <f t="shared" ref="L5" si="3">IFERROR(I5/J5-1,"신규편입")</f>
        <v>-1.5678254942058656E-2</v>
      </c>
      <c r="M5" s="62" t="str">
        <f>VLOOKUP(N5,유니버스!$C$14:$D$2561,2,0)</f>
        <v>KS</v>
      </c>
      <c r="N5" s="26" t="str">
        <f>'RISE 비메모리반도체액티브'!B11</f>
        <v>삼성전자</v>
      </c>
      <c r="O5" s="26">
        <f>VLOOKUP(N5,'RISE 비메모리반도체액티브'!$B$11:$E$1000,4,0)</f>
        <v>23.97</v>
      </c>
      <c r="P5" s="26">
        <f>IFERROR(VLOOKUP(N5,'RISE 비메모리반도체액티브(과거)'!$B$11:$E$1000,4,0),0)</f>
        <v>23.23</v>
      </c>
      <c r="Q5" s="20">
        <f t="shared" ref="Q5" si="4">O5-P5</f>
        <v>0.73999999999999844</v>
      </c>
      <c r="R5" s="32">
        <f t="shared" ref="R5" si="5">IFERROR(O5/P5-1,"신규편입")</f>
        <v>3.1855359448988319E-2</v>
      </c>
    </row>
    <row r="6" spans="1:18" x14ac:dyDescent="0.4">
      <c r="A6" s="63" t="str">
        <f>VLOOKUP(B6,유니버스!$C$14:$D$2561,2,0)</f>
        <v>KS</v>
      </c>
      <c r="B6" s="65" t="str">
        <f>'UNICORN SK하이닉스밸류체인액티브'!B12</f>
        <v>SK하이닉스</v>
      </c>
      <c r="C6" s="65">
        <f>VLOOKUP(B6,'UNICORN SK하이닉스밸류체인액티브'!$B$11:$E$1000,4,0)</f>
        <v>24.16</v>
      </c>
      <c r="D6" s="65">
        <f>IFERROR(VLOOKUP(B6,'UNICORN SK하이닉스밸류체인액티브(과거)'!$B$11:$E$1000,4,0),0)</f>
        <v>24.24</v>
      </c>
      <c r="E6" s="20">
        <f t="shared" ref="E6:E15" si="6">C6-D6</f>
        <v>-7.9999999999998295E-2</v>
      </c>
      <c r="F6" s="32">
        <f t="shared" ref="F6:F15" si="7">IFERROR(C6/D6-1,"신규편입")</f>
        <v>-3.3003300330032292E-3</v>
      </c>
      <c r="G6" s="63" t="str">
        <f>VLOOKUP(H6,유니버스!$C$14:$D$2561,2,0)</f>
        <v>KS</v>
      </c>
      <c r="H6" s="65" t="str">
        <f>'WON 반도체밸류체인액티브'!B12</f>
        <v>삼성전자</v>
      </c>
      <c r="I6" s="65">
        <f>VLOOKUP(H6,'WON 반도체밸류체인액티브'!$B$11:$E$1000,4,0)</f>
        <v>24.34</v>
      </c>
      <c r="J6" s="65">
        <f>IFERROR(VLOOKUP(H6,'WON 반도체밸류체인액티브(과거)'!$B$11:$E$1000,4,0),0)</f>
        <v>23.83</v>
      </c>
      <c r="K6" s="20">
        <f t="shared" ref="K6:K21" si="8">I6-J6</f>
        <v>0.51000000000000156</v>
      </c>
      <c r="L6" s="32">
        <f t="shared" ref="L6:L21" si="9">IFERROR(I6/J6-1,"신규편입")</f>
        <v>2.1401594628619458E-2</v>
      </c>
      <c r="M6" s="62" t="str">
        <f>VLOOKUP(N6,유니버스!$C$14:$D$2561,2,0)</f>
        <v>KS</v>
      </c>
      <c r="N6" s="26" t="str">
        <f>'RISE 비메모리반도체액티브'!B12</f>
        <v>SK하이닉스</v>
      </c>
      <c r="O6" s="26">
        <f>VLOOKUP(N6,'RISE 비메모리반도체액티브'!$B$11:$E$1000,4,0)</f>
        <v>19.100000000000001</v>
      </c>
      <c r="P6" s="26">
        <f>IFERROR(VLOOKUP(N6,'RISE 비메모리반도체액티브(과거)'!$B$11:$E$1000,4,0),0)</f>
        <v>19.21</v>
      </c>
      <c r="Q6" s="20">
        <f t="shared" ref="Q6:Q19" si="10">O6-P6</f>
        <v>-0.10999999999999943</v>
      </c>
      <c r="R6" s="32">
        <f t="shared" ref="R6:R19" si="11">IFERROR(O6/P6-1,"신규편입")</f>
        <v>-5.7261842790212736E-3</v>
      </c>
    </row>
    <row r="7" spans="1:18" x14ac:dyDescent="0.4">
      <c r="A7" s="63" t="str">
        <f>VLOOKUP(B7,유니버스!$C$14:$D$2561,2,0)</f>
        <v>KQ</v>
      </c>
      <c r="B7" s="65" t="str">
        <f>'UNICORN SK하이닉스밸류체인액티브'!B13</f>
        <v>티씨케이</v>
      </c>
      <c r="C7" s="65">
        <f>VLOOKUP(B7,'UNICORN SK하이닉스밸류체인액티브'!$B$11:$E$1000,4,0)</f>
        <v>4.3499999999999996</v>
      </c>
      <c r="D7" s="65">
        <f>IFERROR(VLOOKUP(B7,'UNICORN SK하이닉스밸류체인액티브(과거)'!$B$11:$E$1000,4,0),0)</f>
        <v>4.7</v>
      </c>
      <c r="E7" s="20">
        <f t="shared" si="6"/>
        <v>-0.35000000000000053</v>
      </c>
      <c r="F7" s="32">
        <f t="shared" si="7"/>
        <v>-7.4468085106383142E-2</v>
      </c>
      <c r="G7" s="63" t="str">
        <f>VLOOKUP(H7,유니버스!$C$14:$D$2561,2,0)</f>
        <v>KS</v>
      </c>
      <c r="H7" s="71" t="str">
        <f>'WON 반도체밸류체인액티브'!B13</f>
        <v>삼성전기</v>
      </c>
      <c r="I7" s="71">
        <f>VLOOKUP(H7,'WON 반도체밸류체인액티브'!$B$11:$E$1000,4,0)</f>
        <v>5.51</v>
      </c>
      <c r="J7" s="71">
        <f>IFERROR(VLOOKUP(H7,'WON 반도체밸류체인액티브(과거)'!$B$11:$E$1000,4,0),0)</f>
        <v>5.01</v>
      </c>
      <c r="K7" s="20">
        <f t="shared" si="8"/>
        <v>0.5</v>
      </c>
      <c r="L7" s="32">
        <f t="shared" si="9"/>
        <v>9.9800399201596779E-2</v>
      </c>
      <c r="M7" s="62" t="str">
        <f>VLOOKUP(N7,유니버스!$C$14:$D$2561,2,0)</f>
        <v>KS</v>
      </c>
      <c r="N7" s="26" t="str">
        <f>'RISE 비메모리반도체액티브'!B13</f>
        <v>SK스퀘어</v>
      </c>
      <c r="O7" s="26">
        <f>VLOOKUP(N7,'RISE 비메모리반도체액티브'!$B$11:$E$1000,4,0)</f>
        <v>7.06</v>
      </c>
      <c r="P7" s="26">
        <f>IFERROR(VLOOKUP(N7,'RISE 비메모리반도체액티브(과거)'!$B$11:$E$1000,4,0),0)</f>
        <v>7.06</v>
      </c>
      <c r="Q7" s="20">
        <f t="shared" si="10"/>
        <v>0</v>
      </c>
      <c r="R7" s="32">
        <f t="shared" si="11"/>
        <v>0</v>
      </c>
    </row>
    <row r="8" spans="1:18" x14ac:dyDescent="0.4">
      <c r="A8" s="63" t="str">
        <f>VLOOKUP(B8,유니버스!$C$14:$D$2561,2,0)</f>
        <v>KQ</v>
      </c>
      <c r="B8" s="65" t="str">
        <f>'UNICORN SK하이닉스밸류체인액티브'!B14</f>
        <v>피에스케이홀딩스</v>
      </c>
      <c r="C8" s="65">
        <f>VLOOKUP(B8,'UNICORN SK하이닉스밸류체인액티브'!$B$11:$E$1000,4,0)</f>
        <v>4.33</v>
      </c>
      <c r="D8" s="65">
        <f>IFERROR(VLOOKUP(B8,'UNICORN SK하이닉스밸류체인액티브(과거)'!$B$11:$E$1000,4,0),0)</f>
        <v>4.32</v>
      </c>
      <c r="E8" s="20">
        <f t="shared" si="6"/>
        <v>9.9999999999997868E-3</v>
      </c>
      <c r="F8" s="32">
        <f t="shared" si="7"/>
        <v>2.3148148148146586E-3</v>
      </c>
      <c r="G8" s="63" t="str">
        <f>VLOOKUP(H8,유니버스!$C$14:$D$2561,2,0)</f>
        <v>KS</v>
      </c>
      <c r="H8" s="65" t="str">
        <f>'WON 반도체밸류체인액티브'!B14</f>
        <v>SK스퀘어</v>
      </c>
      <c r="I8" s="65">
        <f>VLOOKUP(H8,'WON 반도체밸류체인액티브'!$B$11:$E$1000,4,0)</f>
        <v>5.4</v>
      </c>
      <c r="J8" s="65">
        <f>IFERROR(VLOOKUP(H8,'WON 반도체밸류체인액티브(과거)'!$B$11:$E$1000,4,0),0)</f>
        <v>5.45</v>
      </c>
      <c r="K8" s="20">
        <f t="shared" si="8"/>
        <v>-4.9999999999999822E-2</v>
      </c>
      <c r="L8" s="32">
        <f t="shared" si="9"/>
        <v>-9.1743119266054496E-3</v>
      </c>
      <c r="M8" s="62" t="str">
        <f>VLOOKUP(N8,유니버스!$C$14:$D$2561,2,0)</f>
        <v>KS</v>
      </c>
      <c r="N8" s="26" t="str">
        <f>'RISE 비메모리반도체액티브'!B14</f>
        <v>DB하이텍</v>
      </c>
      <c r="O8" s="26">
        <f>VLOOKUP(N8,'RISE 비메모리반도체액티브'!$B$11:$E$1000,4,0)</f>
        <v>6.56</v>
      </c>
      <c r="P8" s="26">
        <f>IFERROR(VLOOKUP(N8,'RISE 비메모리반도체액티브(과거)'!$B$11:$E$1000,4,0),0)</f>
        <v>6.36</v>
      </c>
      <c r="Q8" s="20">
        <f t="shared" si="10"/>
        <v>0.19999999999999929</v>
      </c>
      <c r="R8" s="32">
        <f t="shared" si="11"/>
        <v>3.1446540880503138E-2</v>
      </c>
    </row>
    <row r="9" spans="1:18" x14ac:dyDescent="0.4">
      <c r="A9" s="63" t="str">
        <f>VLOOKUP(B9,유니버스!$C$14:$D$2561,2,0)</f>
        <v>KQ</v>
      </c>
      <c r="B9" s="65" t="str">
        <f>'UNICORN SK하이닉스밸류체인액티브'!B15</f>
        <v>피에스케이</v>
      </c>
      <c r="C9" s="65">
        <f>VLOOKUP(B9,'UNICORN SK하이닉스밸류체인액티브'!$B$11:$E$1000,4,0)</f>
        <v>4</v>
      </c>
      <c r="D9" s="65">
        <f>IFERROR(VLOOKUP(B9,'UNICORN SK하이닉스밸류체인액티브(과거)'!$B$11:$E$1000,4,0),0)</f>
        <v>3.95</v>
      </c>
      <c r="E9" s="20">
        <f t="shared" si="6"/>
        <v>4.9999999999999822E-2</v>
      </c>
      <c r="F9" s="32">
        <f t="shared" si="7"/>
        <v>1.2658227848101111E-2</v>
      </c>
      <c r="G9" s="63" t="str">
        <f>VLOOKUP(H9,유니버스!$C$14:$D$2561,2,0)</f>
        <v>KQ</v>
      </c>
      <c r="H9" s="65" t="str">
        <f>'WON 반도체밸류체인액티브'!B15</f>
        <v>기가비스</v>
      </c>
      <c r="I9" s="65">
        <f>VLOOKUP(H9,'WON 반도체밸류체인액티브'!$B$11:$E$1000,4,0)</f>
        <v>4.4800000000000004</v>
      </c>
      <c r="J9" s="65">
        <f>IFERROR(VLOOKUP(H9,'WON 반도체밸류체인액티브(과거)'!$B$11:$E$1000,4,0),0)</f>
        <v>4.63</v>
      </c>
      <c r="K9" s="20">
        <f t="shared" si="8"/>
        <v>-0.14999999999999947</v>
      </c>
      <c r="L9" s="32">
        <f t="shared" si="9"/>
        <v>-3.239740820734327E-2</v>
      </c>
      <c r="M9" s="62" t="str">
        <f>VLOOKUP(N9,유니버스!$C$14:$D$2561,2,0)</f>
        <v>KQ</v>
      </c>
      <c r="N9" s="74" t="str">
        <f>'RISE 비메모리반도체액티브'!B15</f>
        <v>심텍</v>
      </c>
      <c r="O9" s="74">
        <f>VLOOKUP(N9,'RISE 비메모리반도체액티브'!$B$11:$E$1000,4,0)</f>
        <v>5.69</v>
      </c>
      <c r="P9" s="74">
        <f>IFERROR(VLOOKUP(N9,'RISE 비메모리반도체액티브(과거)'!$B$11:$E$1000,4,0),0)</f>
        <v>4.88</v>
      </c>
      <c r="Q9" s="20">
        <f t="shared" si="10"/>
        <v>0.8100000000000005</v>
      </c>
      <c r="R9" s="32">
        <f t="shared" si="11"/>
        <v>0.16598360655737721</v>
      </c>
    </row>
    <row r="10" spans="1:18" x14ac:dyDescent="0.4">
      <c r="A10" s="63" t="str">
        <f>VLOOKUP(B10,유니버스!$C$14:$D$2561,2,0)</f>
        <v>KQ</v>
      </c>
      <c r="B10" s="65" t="str">
        <f>'UNICORN SK하이닉스밸류체인액티브'!B16</f>
        <v>브이엠</v>
      </c>
      <c r="C10" s="65">
        <f>VLOOKUP(B10,'UNICORN SK하이닉스밸류체인액티브'!$B$11:$E$1000,4,0)</f>
        <v>3.87</v>
      </c>
      <c r="D10" s="65">
        <f>IFERROR(VLOOKUP(B10,'UNICORN SK하이닉스밸류체인액티브(과거)'!$B$11:$E$1000,4,0),0)</f>
        <v>3.74</v>
      </c>
      <c r="E10" s="20">
        <f t="shared" si="6"/>
        <v>0.12999999999999989</v>
      </c>
      <c r="F10" s="32">
        <f t="shared" si="7"/>
        <v>3.475935828876997E-2</v>
      </c>
      <c r="G10" s="63" t="str">
        <f>VLOOKUP(H10,유니버스!$C$14:$D$2561,2,0)</f>
        <v>KQ</v>
      </c>
      <c r="H10" s="71" t="str">
        <f>'WON 반도체밸류체인액티브'!B16</f>
        <v>이오테크닉스</v>
      </c>
      <c r="I10" s="71">
        <f>VLOOKUP(H10,'WON 반도체밸류체인액티브'!$B$11:$E$1000,4,0)</f>
        <v>3.92</v>
      </c>
      <c r="J10" s="71">
        <f>IFERROR(VLOOKUP(H10,'WON 반도체밸류체인액티브(과거)'!$B$11:$E$1000,4,0),0)</f>
        <v>3.42</v>
      </c>
      <c r="K10" s="20">
        <f t="shared" si="8"/>
        <v>0.5</v>
      </c>
      <c r="L10" s="32">
        <f t="shared" si="9"/>
        <v>0.14619883040935666</v>
      </c>
      <c r="M10" s="62" t="str">
        <f>VLOOKUP(N10,유니버스!$C$14:$D$2561,2,0)</f>
        <v>KS</v>
      </c>
      <c r="N10" s="26" t="str">
        <f>'RISE 비메모리반도체액티브'!B16</f>
        <v>대덕전자</v>
      </c>
      <c r="O10" s="26">
        <f>VLOOKUP(N10,'RISE 비메모리반도체액티브'!$B$11:$E$1000,4,0)</f>
        <v>5.64</v>
      </c>
      <c r="P10" s="26">
        <f>IFERROR(VLOOKUP(N10,'RISE 비메모리반도체액티브(과거)'!$B$11:$E$1000,4,0),0)</f>
        <v>5.61</v>
      </c>
      <c r="Q10" s="20">
        <f t="shared" si="10"/>
        <v>2.9999999999999361E-2</v>
      </c>
      <c r="R10" s="32">
        <f t="shared" si="11"/>
        <v>5.3475935828874999E-3</v>
      </c>
    </row>
    <row r="11" spans="1:18" x14ac:dyDescent="0.4">
      <c r="A11" s="63" t="str">
        <f>VLOOKUP(B11,유니버스!$C$14:$D$2561,2,0)</f>
        <v>KQ</v>
      </c>
      <c r="B11" s="65" t="str">
        <f>'UNICORN SK하이닉스밸류체인액티브'!B17</f>
        <v>덕산하이메탈</v>
      </c>
      <c r="C11" s="65">
        <f>VLOOKUP(B11,'UNICORN SK하이닉스밸류체인액티브'!$B$11:$E$1000,4,0)</f>
        <v>3.82</v>
      </c>
      <c r="D11" s="65">
        <f>IFERROR(VLOOKUP(B11,'UNICORN SK하이닉스밸류체인액티브(과거)'!$B$11:$E$1000,4,0),0)</f>
        <v>4.26</v>
      </c>
      <c r="E11" s="20">
        <f t="shared" si="6"/>
        <v>-0.43999999999999995</v>
      </c>
      <c r="F11" s="32">
        <f t="shared" si="7"/>
        <v>-0.10328638497652587</v>
      </c>
      <c r="G11" s="63" t="str">
        <f>VLOOKUP(H11,유니버스!$C$14:$D$2561,2,0)</f>
        <v>KQ</v>
      </c>
      <c r="H11" s="65" t="str">
        <f>'WON 반도체밸류체인액티브'!B17</f>
        <v>피에스케이홀딩스</v>
      </c>
      <c r="I11" s="65">
        <f>VLOOKUP(H11,'WON 반도체밸류체인액티브'!$B$11:$E$1000,4,0)</f>
        <v>3.78</v>
      </c>
      <c r="J11" s="65">
        <f>IFERROR(VLOOKUP(H11,'WON 반도체밸류체인액티브(과거)'!$B$11:$E$1000,4,0),0)</f>
        <v>3.83</v>
      </c>
      <c r="K11" s="20">
        <f t="shared" si="8"/>
        <v>-5.0000000000000266E-2</v>
      </c>
      <c r="L11" s="32">
        <f t="shared" si="9"/>
        <v>-1.3054830287206332E-2</v>
      </c>
      <c r="M11" s="62" t="str">
        <f>VLOOKUP(N11,유니버스!$C$14:$D$2561,2,0)</f>
        <v>KS</v>
      </c>
      <c r="N11" s="74" t="str">
        <f>'RISE 비메모리반도체액티브'!B17</f>
        <v>삼성전기</v>
      </c>
      <c r="O11" s="74">
        <f>VLOOKUP(N11,'RISE 비메모리반도체액티브'!$B$11:$E$1000,4,0)</f>
        <v>5.32</v>
      </c>
      <c r="P11" s="74">
        <f>IFERROR(VLOOKUP(N11,'RISE 비메모리반도체액티브(과거)'!$B$11:$E$1000,4,0),0)</f>
        <v>4.79</v>
      </c>
      <c r="Q11" s="20">
        <f t="shared" si="10"/>
        <v>0.53000000000000025</v>
      </c>
      <c r="R11" s="32">
        <f t="shared" si="11"/>
        <v>0.11064718162839249</v>
      </c>
    </row>
    <row r="12" spans="1:18" x14ac:dyDescent="0.4">
      <c r="A12" s="63" t="str">
        <f>VLOOKUP(B12,유니버스!$C$14:$D$2561,2,0)</f>
        <v>KS</v>
      </c>
      <c r="B12" s="65" t="str">
        <f>'UNICORN SK하이닉스밸류체인액티브'!B18</f>
        <v>두산</v>
      </c>
      <c r="C12" s="65">
        <f>VLOOKUP(B12,'UNICORN SK하이닉스밸류체인액티브'!$B$11:$E$1000,4,0)</f>
        <v>3.77</v>
      </c>
      <c r="D12" s="65">
        <f>IFERROR(VLOOKUP(B12,'UNICORN SK하이닉스밸류체인액티브(과거)'!$B$11:$E$1000,4,0),0)</f>
        <v>4.07</v>
      </c>
      <c r="E12" s="20">
        <f t="shared" si="6"/>
        <v>-0.30000000000000027</v>
      </c>
      <c r="F12" s="32">
        <f t="shared" si="7"/>
        <v>-7.3710073710073765E-2</v>
      </c>
      <c r="G12" s="63" t="str">
        <f>VLOOKUP(H12,유니버스!$C$14:$D$2561,2,0)</f>
        <v>KQ</v>
      </c>
      <c r="H12" s="71" t="str">
        <f>'WON 반도체밸류체인액티브'!B18</f>
        <v>티에스이</v>
      </c>
      <c r="I12" s="71">
        <f>VLOOKUP(H12,'WON 반도체밸류체인액티브'!$B$11:$E$1000,4,0)</f>
        <v>2.97</v>
      </c>
      <c r="J12" s="71">
        <f>IFERROR(VLOOKUP(H12,'WON 반도체밸류체인액티브(과거)'!$B$11:$E$1000,4,0),0)</f>
        <v>2.58</v>
      </c>
      <c r="K12" s="20">
        <f t="shared" si="8"/>
        <v>0.39000000000000012</v>
      </c>
      <c r="L12" s="32">
        <f t="shared" si="9"/>
        <v>0.15116279069767447</v>
      </c>
      <c r="M12" s="62" t="str">
        <f>VLOOKUP(N12,유니버스!$C$14:$D$2561,2,0)</f>
        <v>KS</v>
      </c>
      <c r="N12" s="26" t="str">
        <f>'RISE 비메모리반도체액티브'!B18</f>
        <v>이수페타시스</v>
      </c>
      <c r="O12" s="26">
        <f>VLOOKUP(N12,'RISE 비메모리반도체액티브'!$B$11:$E$1000,4,0)</f>
        <v>4.76</v>
      </c>
      <c r="P12" s="26">
        <f>IFERROR(VLOOKUP(N12,'RISE 비메모리반도체액티브(과거)'!$B$11:$E$1000,4,0),0)</f>
        <v>5.1100000000000003</v>
      </c>
      <c r="Q12" s="20">
        <f t="shared" si="10"/>
        <v>-0.35000000000000053</v>
      </c>
      <c r="R12" s="32">
        <f t="shared" si="11"/>
        <v>-6.8493150684931559E-2</v>
      </c>
    </row>
    <row r="13" spans="1:18" x14ac:dyDescent="0.4">
      <c r="A13" s="63" t="str">
        <f>VLOOKUP(B13,유니버스!$C$14:$D$2561,2,0)</f>
        <v>KQ</v>
      </c>
      <c r="B13" s="71" t="str">
        <f>'UNICORN SK하이닉스밸류체인액티브'!B19</f>
        <v>이오테크닉스</v>
      </c>
      <c r="C13" s="71">
        <f>VLOOKUP(B13,'UNICORN SK하이닉스밸류체인액티브'!$B$11:$E$1000,4,0)</f>
        <v>3.54</v>
      </c>
      <c r="D13" s="71">
        <f>IFERROR(VLOOKUP(B13,'UNICORN SK하이닉스밸류체인액티브(과거)'!$B$11:$E$1000,4,0),0)</f>
        <v>3.05</v>
      </c>
      <c r="E13" s="20">
        <f t="shared" si="6"/>
        <v>0.49000000000000021</v>
      </c>
      <c r="F13" s="32">
        <f t="shared" si="7"/>
        <v>0.16065573770491803</v>
      </c>
      <c r="G13" s="63" t="str">
        <f>VLOOKUP(H13,유니버스!$C$14:$D$2561,2,0)</f>
        <v>KQ</v>
      </c>
      <c r="H13" s="65" t="str">
        <f>'WON 반도체밸류체인액티브'!B19</f>
        <v>피에스케이</v>
      </c>
      <c r="I13" s="65">
        <f>VLOOKUP(H13,'WON 반도체밸류체인액티브'!$B$11:$E$1000,4,0)</f>
        <v>2.88</v>
      </c>
      <c r="J13" s="65">
        <f>IFERROR(VLOOKUP(H13,'WON 반도체밸류체인액티브(과거)'!$B$11:$E$1000,4,0),0)</f>
        <v>2.89</v>
      </c>
      <c r="K13" s="20">
        <f t="shared" si="8"/>
        <v>-1.0000000000000231E-2</v>
      </c>
      <c r="L13" s="32">
        <f t="shared" si="9"/>
        <v>-3.4602076124568004E-3</v>
      </c>
      <c r="M13" s="62" t="str">
        <f>VLOOKUP(N13,유니버스!$C$14:$D$2561,2,0)</f>
        <v>KQ</v>
      </c>
      <c r="N13" s="26" t="str">
        <f>'RISE 비메모리반도체액티브'!B19</f>
        <v>두산테스나</v>
      </c>
      <c r="O13" s="26">
        <f>VLOOKUP(N13,'RISE 비메모리반도체액티브'!$B$11:$E$1000,4,0)</f>
        <v>4.04</v>
      </c>
      <c r="P13" s="26">
        <f>IFERROR(VLOOKUP(N13,'RISE 비메모리반도체액티브(과거)'!$B$11:$E$1000,4,0),0)</f>
        <v>4.5199999999999996</v>
      </c>
      <c r="Q13" s="20">
        <f t="shared" si="10"/>
        <v>-0.47999999999999954</v>
      </c>
      <c r="R13" s="32">
        <f t="shared" si="11"/>
        <v>-0.10619469026548667</v>
      </c>
    </row>
    <row r="14" spans="1:18" x14ac:dyDescent="0.4">
      <c r="A14" s="63" t="str">
        <f>VLOOKUP(B14,유니버스!$C$14:$D$2561,2,0)</f>
        <v>KQ</v>
      </c>
      <c r="B14" s="65" t="str">
        <f>'UNICORN SK하이닉스밸류체인액티브'!B20</f>
        <v>샘씨엔에스</v>
      </c>
      <c r="C14" s="65">
        <f>VLOOKUP(B14,'UNICORN SK하이닉스밸류체인액티브'!$B$11:$E$1000,4,0)</f>
        <v>3.51</v>
      </c>
      <c r="D14" s="65">
        <f>IFERROR(VLOOKUP(B14,'UNICORN SK하이닉스밸류체인액티브(과거)'!$B$11:$E$1000,4,0),0)</f>
        <v>3.37</v>
      </c>
      <c r="E14" s="20">
        <f t="shared" si="6"/>
        <v>0.13999999999999968</v>
      </c>
      <c r="F14" s="32">
        <f t="shared" si="7"/>
        <v>4.1543026706231334E-2</v>
      </c>
      <c r="G14" s="63" t="str">
        <f>VLOOKUP(H14,유니버스!$C$14:$D$2561,2,0)</f>
        <v>KQ</v>
      </c>
      <c r="H14" s="65" t="str">
        <f>'WON 반도체밸류체인액티브'!B20</f>
        <v>브이엠</v>
      </c>
      <c r="I14" s="65">
        <f>VLOOKUP(H14,'WON 반도체밸류체인액티브'!$B$11:$E$1000,4,0)</f>
        <v>2.85</v>
      </c>
      <c r="J14" s="65">
        <f>IFERROR(VLOOKUP(H14,'WON 반도체밸류체인액티브(과거)'!$B$11:$E$1000,4,0),0)</f>
        <v>2.79</v>
      </c>
      <c r="K14" s="20">
        <f t="shared" si="8"/>
        <v>6.0000000000000053E-2</v>
      </c>
      <c r="L14" s="32">
        <f t="shared" si="9"/>
        <v>2.1505376344086002E-2</v>
      </c>
      <c r="M14" s="62" t="str">
        <f>VLOOKUP(N14,유니버스!$C$14:$D$2561,2,0)</f>
        <v>KQ</v>
      </c>
      <c r="N14" s="26" t="str">
        <f>'RISE 비메모리반도체액티브'!B20</f>
        <v>리노공업</v>
      </c>
      <c r="O14" s="26">
        <f>VLOOKUP(N14,'RISE 비메모리반도체액티브'!$B$11:$E$1000,4,0)</f>
        <v>3.83</v>
      </c>
      <c r="P14" s="26">
        <f>IFERROR(VLOOKUP(N14,'RISE 비메모리반도체액티브(과거)'!$B$11:$E$1000,4,0),0)</f>
        <v>3.99</v>
      </c>
      <c r="Q14" s="20">
        <f t="shared" si="10"/>
        <v>-0.16000000000000014</v>
      </c>
      <c r="R14" s="32">
        <f t="shared" si="11"/>
        <v>-4.0100250626566414E-2</v>
      </c>
    </row>
    <row r="15" spans="1:18" x14ac:dyDescent="0.4">
      <c r="A15" s="63" t="str">
        <f>VLOOKUP(B15,유니버스!$C$14:$D$2561,2,0)</f>
        <v>KQ</v>
      </c>
      <c r="B15" s="65" t="str">
        <f>'UNICORN SK하이닉스밸류체인액티브'!B21</f>
        <v>오킨스전자</v>
      </c>
      <c r="C15" s="65">
        <f>VLOOKUP(B15,'UNICORN SK하이닉스밸류체인액티브'!$B$11:$E$1000,4,0)</f>
        <v>3.42</v>
      </c>
      <c r="D15" s="65">
        <f>IFERROR(VLOOKUP(B15,'UNICORN SK하이닉스밸류체인액티브(과거)'!$B$11:$E$1000,4,0),0)</f>
        <v>3.48</v>
      </c>
      <c r="E15" s="20">
        <f t="shared" si="6"/>
        <v>-6.0000000000000053E-2</v>
      </c>
      <c r="F15" s="32">
        <f t="shared" si="7"/>
        <v>-1.7241379310344862E-2</v>
      </c>
      <c r="G15" s="63" t="str">
        <f>VLOOKUP(H15,유니버스!$C$14:$D$2561,2,0)</f>
        <v>KS</v>
      </c>
      <c r="H15" s="65" t="str">
        <f>'WON 반도체밸류체인액티브'!B21</f>
        <v>대덕전자</v>
      </c>
      <c r="I15" s="65">
        <f>VLOOKUP(H15,'WON 반도체밸류체인액티브'!$B$11:$E$1000,4,0)</f>
        <v>2.0499999999999998</v>
      </c>
      <c r="J15" s="65">
        <f>IFERROR(VLOOKUP(H15,'WON 반도체밸류체인액티브(과거)'!$B$11:$E$1000,4,0),0)</f>
        <v>2.06</v>
      </c>
      <c r="K15" s="20">
        <f t="shared" si="8"/>
        <v>-1.0000000000000231E-2</v>
      </c>
      <c r="L15" s="32">
        <f t="shared" si="9"/>
        <v>-4.8543689320389438E-3</v>
      </c>
      <c r="M15" s="62" t="str">
        <f>VLOOKUP(N15,유니버스!$C$14:$D$2561,2,0)</f>
        <v>KQ</v>
      </c>
      <c r="N15" s="26" t="str">
        <f>'RISE 비메모리반도체액티브'!B21</f>
        <v>테스</v>
      </c>
      <c r="O15" s="26">
        <f>VLOOKUP(N15,'RISE 비메모리반도체액티브'!$B$11:$E$1000,4,0)</f>
        <v>3.8</v>
      </c>
      <c r="P15" s="26">
        <f>IFERROR(VLOOKUP(N15,'RISE 비메모리반도체액티브(과거)'!$B$11:$E$1000,4,0),0)</f>
        <v>4.01</v>
      </c>
      <c r="Q15" s="20">
        <f t="shared" si="10"/>
        <v>-0.20999999999999996</v>
      </c>
      <c r="R15" s="32">
        <f t="shared" si="11"/>
        <v>-5.2369077306733125E-2</v>
      </c>
    </row>
    <row r="16" spans="1:18" x14ac:dyDescent="0.4">
      <c r="A16" s="63" t="str">
        <f>VLOOKUP(B16,유니버스!$C$14:$D$2561,2,0)</f>
        <v>KQ</v>
      </c>
      <c r="B16" s="71" t="str">
        <f>'UNICORN SK하이닉스밸류체인액티브'!B22</f>
        <v>심텍</v>
      </c>
      <c r="C16" s="71">
        <f>VLOOKUP(B16,'UNICORN SK하이닉스밸류체인액티브'!$B$11:$E$1000,4,0)</f>
        <v>3.37</v>
      </c>
      <c r="D16" s="71">
        <f>IFERROR(VLOOKUP(B16,'UNICORN SK하이닉스밸류체인액티브(과거)'!$B$11:$E$1000,4,0),0)</f>
        <v>2.89</v>
      </c>
      <c r="E16" s="20">
        <f t="shared" ref="E16:E26" si="12">C16-D16</f>
        <v>0.48</v>
      </c>
      <c r="F16" s="32">
        <f t="shared" ref="F16:F26" si="13">IFERROR(C16/D16-1,"신규편입")</f>
        <v>0.16608996539792376</v>
      </c>
      <c r="G16" s="63" t="str">
        <f>VLOOKUP(H16,유니버스!$C$14:$D$2561,2,0)</f>
        <v>KQ</v>
      </c>
      <c r="H16" s="65" t="str">
        <f>'WON 반도체밸류체인액티브'!B22</f>
        <v>RFHIC</v>
      </c>
      <c r="I16" s="65">
        <f>VLOOKUP(H16,'WON 반도체밸류체인액티브'!$B$11:$E$1000,4,0)</f>
        <v>1.95</v>
      </c>
      <c r="J16" s="65">
        <f>IFERROR(VLOOKUP(H16,'WON 반도체밸류체인액티브(과거)'!$B$11:$E$1000,4,0),0)</f>
        <v>2.0699999999999998</v>
      </c>
      <c r="K16" s="20">
        <f t="shared" si="8"/>
        <v>-0.11999999999999988</v>
      </c>
      <c r="L16" s="32">
        <f t="shared" si="9"/>
        <v>-5.7971014492753548E-2</v>
      </c>
      <c r="M16" s="62" t="str">
        <f>VLOOKUP(N16,유니버스!$C$14:$D$2561,2,0)</f>
        <v>KS</v>
      </c>
      <c r="N16" s="26" t="str">
        <f>'RISE 비메모리반도체액티브'!B22</f>
        <v>한솔테크닉스</v>
      </c>
      <c r="O16" s="26">
        <f>VLOOKUP(N16,'RISE 비메모리반도체액티브'!$B$11:$E$1000,4,0)</f>
        <v>3.27</v>
      </c>
      <c r="P16" s="26">
        <f>IFERROR(VLOOKUP(N16,'RISE 비메모리반도체액티브(과거)'!$B$11:$E$1000,4,0),0)</f>
        <v>3.15</v>
      </c>
      <c r="Q16" s="20">
        <f t="shared" si="10"/>
        <v>0.12000000000000011</v>
      </c>
      <c r="R16" s="32">
        <f t="shared" si="11"/>
        <v>3.8095238095238182E-2</v>
      </c>
    </row>
    <row r="17" spans="1:18" x14ac:dyDescent="0.4">
      <c r="A17" s="63" t="str">
        <f>VLOOKUP(B17,유니버스!$C$14:$D$2561,2,0)</f>
        <v>KQ</v>
      </c>
      <c r="B17" s="65" t="str">
        <f>'UNICORN SK하이닉스밸류체인액티브'!B23</f>
        <v>유진테크</v>
      </c>
      <c r="C17" s="65">
        <f>VLOOKUP(B17,'UNICORN SK하이닉스밸류체인액티브'!$B$11:$E$1000,4,0)</f>
        <v>2.77</v>
      </c>
      <c r="D17" s="65">
        <f>IFERROR(VLOOKUP(B17,'UNICORN SK하이닉스밸류체인액티브(과거)'!$B$11:$E$1000,4,0),0)</f>
        <v>2.69</v>
      </c>
      <c r="E17" s="20">
        <f t="shared" si="12"/>
        <v>8.0000000000000071E-2</v>
      </c>
      <c r="F17" s="32">
        <f t="shared" si="13"/>
        <v>2.9739776951672958E-2</v>
      </c>
      <c r="G17" s="63" t="str">
        <f>VLOOKUP(H17,유니버스!$C$14:$D$2561,2,0)</f>
        <v>KQ</v>
      </c>
      <c r="H17" s="65" t="str">
        <f>'WON 반도체밸류체인액티브'!B23</f>
        <v>씨엠티엑스</v>
      </c>
      <c r="I17" s="65">
        <f>VLOOKUP(H17,'WON 반도체밸류체인액티브'!$B$11:$E$1000,4,0)</f>
        <v>1.71</v>
      </c>
      <c r="J17" s="65">
        <f>IFERROR(VLOOKUP(H17,'WON 반도체밸류체인액티브(과거)'!$B$11:$E$1000,4,0),0)</f>
        <v>2.0299999999999998</v>
      </c>
      <c r="K17" s="20">
        <f t="shared" si="8"/>
        <v>-0.31999999999999984</v>
      </c>
      <c r="L17" s="32">
        <f t="shared" si="9"/>
        <v>-0.15763546798029549</v>
      </c>
      <c r="M17" s="62" t="str">
        <f>VLOOKUP(N17,유니버스!$C$14:$D$2561,2,0)</f>
        <v>KQ</v>
      </c>
      <c r="N17" s="26" t="str">
        <f>'RISE 비메모리반도체액티브'!B23</f>
        <v>미래반도체</v>
      </c>
      <c r="O17" s="26">
        <f>VLOOKUP(N17,'RISE 비메모리반도체액티브'!$B$11:$E$1000,4,0)</f>
        <v>2.4500000000000002</v>
      </c>
      <c r="P17" s="26">
        <f>IFERROR(VLOOKUP(N17,'RISE 비메모리반도체액티브(과거)'!$B$11:$E$1000,4,0),0)</f>
        <v>3.14</v>
      </c>
      <c r="Q17" s="20">
        <f t="shared" si="10"/>
        <v>-0.69</v>
      </c>
      <c r="R17" s="32">
        <f t="shared" si="11"/>
        <v>-0.21974522292993626</v>
      </c>
    </row>
    <row r="18" spans="1:18" x14ac:dyDescent="0.4">
      <c r="A18" s="63" t="str">
        <f>VLOOKUP(B18,유니버스!$C$14:$D$2561,2,0)</f>
        <v>KS</v>
      </c>
      <c r="B18" s="65" t="str">
        <f>'UNICORN SK하이닉스밸류체인액티브'!B24</f>
        <v>디아이</v>
      </c>
      <c r="C18" s="65">
        <f>VLOOKUP(B18,'UNICORN SK하이닉스밸류체인액티브'!$B$11:$E$1000,4,0)</f>
        <v>2.16</v>
      </c>
      <c r="D18" s="65">
        <f>IFERROR(VLOOKUP(B18,'UNICORN SK하이닉스밸류체인액티브(과거)'!$B$11:$E$1000,4,0),0)</f>
        <v>2.09</v>
      </c>
      <c r="E18" s="20">
        <f t="shared" si="12"/>
        <v>7.0000000000000284E-2</v>
      </c>
      <c r="F18" s="32">
        <f t="shared" si="13"/>
        <v>3.3492822966507241E-2</v>
      </c>
      <c r="G18" s="63" t="str">
        <f>VLOOKUP(H18,유니버스!$C$14:$D$2561,2,0)</f>
        <v>KQ</v>
      </c>
      <c r="H18" s="65" t="str">
        <f>'WON 반도체밸류체인액티브'!B24</f>
        <v>파크시스템스</v>
      </c>
      <c r="I18" s="65">
        <f>VLOOKUP(H18,'WON 반도체밸류체인액티브'!$B$11:$E$1000,4,0)</f>
        <v>1.54</v>
      </c>
      <c r="J18" s="65">
        <f>IFERROR(VLOOKUP(H18,'WON 반도체밸류체인액티브(과거)'!$B$11:$E$1000,4,0),0)</f>
        <v>1.66</v>
      </c>
      <c r="K18" s="20">
        <f t="shared" si="8"/>
        <v>-0.11999999999999988</v>
      </c>
      <c r="L18" s="32">
        <f t="shared" si="9"/>
        <v>-7.2289156626505924E-2</v>
      </c>
      <c r="M18" s="62" t="str">
        <f>VLOOKUP(N18,유니버스!$C$14:$D$2561,2,0)</f>
        <v>KS</v>
      </c>
      <c r="N18" s="26" t="str">
        <f>'RISE 비메모리반도체액티브'!B24</f>
        <v>두산</v>
      </c>
      <c r="O18" s="26">
        <f>VLOOKUP(N18,'RISE 비메모리반도체액티브'!$B$11:$E$1000,4,0)</f>
        <v>1.83</v>
      </c>
      <c r="P18" s="26">
        <f>IFERROR(VLOOKUP(N18,'RISE 비메모리반도체액티브(과거)'!$B$11:$E$1000,4,0),0)</f>
        <v>1.98</v>
      </c>
      <c r="Q18" s="20">
        <f t="shared" si="10"/>
        <v>-0.14999999999999991</v>
      </c>
      <c r="R18" s="32">
        <f t="shared" si="11"/>
        <v>-7.575757575757569E-2</v>
      </c>
    </row>
    <row r="19" spans="1:18" x14ac:dyDescent="0.4">
      <c r="A19" s="63" t="str">
        <f>VLOOKUP(B19,유니버스!$C$14:$D$2561,2,0)</f>
        <v>KQ</v>
      </c>
      <c r="B19" s="65" t="str">
        <f>'UNICORN SK하이닉스밸류체인액티브'!B25</f>
        <v>엑시콘</v>
      </c>
      <c r="C19" s="65">
        <f>VLOOKUP(B19,'UNICORN SK하이닉스밸류체인액티브'!$B$11:$E$1000,4,0)</f>
        <v>2.04</v>
      </c>
      <c r="D19" s="65">
        <f>IFERROR(VLOOKUP(B19,'UNICORN SK하이닉스밸류체인액티브(과거)'!$B$11:$E$1000,4,0),0)</f>
        <v>2.0099999999999998</v>
      </c>
      <c r="E19" s="20">
        <f t="shared" si="12"/>
        <v>3.0000000000000249E-2</v>
      </c>
      <c r="F19" s="32">
        <f t="shared" si="13"/>
        <v>1.4925373134328401E-2</v>
      </c>
      <c r="G19" s="63" t="str">
        <f>VLOOKUP(H19,유니버스!$C$14:$D$2561,2,0)</f>
        <v>KQ</v>
      </c>
      <c r="H19" s="65" t="str">
        <f>'WON 반도체밸류체인액티브'!B25</f>
        <v>ISC</v>
      </c>
      <c r="I19" s="65">
        <f>VLOOKUP(H19,'WON 반도체밸류체인액티브'!$B$11:$E$1000,4,0)</f>
        <v>1.44</v>
      </c>
      <c r="J19" s="65">
        <f>IFERROR(VLOOKUP(H19,'WON 반도체밸류체인액티브(과거)'!$B$11:$E$1000,4,0),0)</f>
        <v>1.59</v>
      </c>
      <c r="K19" s="20">
        <f t="shared" si="8"/>
        <v>-0.15000000000000013</v>
      </c>
      <c r="L19" s="32">
        <f t="shared" si="9"/>
        <v>-9.4339622641509524E-2</v>
      </c>
      <c r="M19" s="62" t="str">
        <f>VLOOKUP(N19,유니버스!$C$14:$D$2561,2,0)</f>
        <v>KS</v>
      </c>
      <c r="N19" s="26" t="str">
        <f>'RISE 비메모리반도체액티브'!B25</f>
        <v>코리아써키트</v>
      </c>
      <c r="O19" s="26">
        <f>VLOOKUP(N19,'RISE 비메모리반도체액티브'!$B$11:$E$1000,4,0)</f>
        <v>1.07</v>
      </c>
      <c r="P19" s="26">
        <f>IFERROR(VLOOKUP(N19,'RISE 비메모리반도체액티브(과거)'!$B$11:$E$1000,4,0),0)</f>
        <v>1.0900000000000001</v>
      </c>
      <c r="Q19" s="20">
        <f t="shared" si="10"/>
        <v>-2.0000000000000018E-2</v>
      </c>
      <c r="R19" s="32">
        <f t="shared" si="11"/>
        <v>-1.834862385321101E-2</v>
      </c>
    </row>
    <row r="20" spans="1:18" x14ac:dyDescent="0.4">
      <c r="A20" s="63" t="str">
        <f>VLOOKUP(B20,유니버스!$C$14:$D$2561,2,0)</f>
        <v>KQ</v>
      </c>
      <c r="B20" s="65" t="str">
        <f>'UNICORN SK하이닉스밸류체인액티브'!B26</f>
        <v>테크윙</v>
      </c>
      <c r="C20" s="65">
        <f>VLOOKUP(B20,'UNICORN SK하이닉스밸류체인액티브'!$B$11:$E$1000,4,0)</f>
        <v>1.6</v>
      </c>
      <c r="D20" s="65">
        <f>IFERROR(VLOOKUP(B20,'UNICORN SK하이닉스밸류체인액티브(과거)'!$B$11:$E$1000,4,0),0)</f>
        <v>1.64</v>
      </c>
      <c r="E20" s="20">
        <f t="shared" si="12"/>
        <v>-3.9999999999999813E-2</v>
      </c>
      <c r="F20" s="32">
        <f t="shared" si="13"/>
        <v>-2.4390243902438935E-2</v>
      </c>
      <c r="G20" s="63" t="str">
        <f>VLOOKUP(H20,유니버스!$C$14:$D$2561,2,0)</f>
        <v>KQ</v>
      </c>
      <c r="H20" s="65" t="str">
        <f>'WON 반도체밸류체인액티브'!B26</f>
        <v>덕산하이메탈</v>
      </c>
      <c r="I20" s="65">
        <f>VLOOKUP(H20,'WON 반도체밸류체인액티브'!$B$11:$E$1000,4,0)</f>
        <v>1.38</v>
      </c>
      <c r="J20" s="65">
        <f>IFERROR(VLOOKUP(H20,'WON 반도체밸류체인액티브(과거)'!$B$11:$E$1000,4,0),0)</f>
        <v>1.56</v>
      </c>
      <c r="K20" s="20">
        <f t="shared" si="8"/>
        <v>-0.18000000000000016</v>
      </c>
      <c r="L20" s="32">
        <f t="shared" si="9"/>
        <v>-0.11538461538461553</v>
      </c>
      <c r="M20" s="62" t="str">
        <f>VLOOKUP(N20,유니버스!$C$14:$D$2561,2,0)</f>
        <v>KQ</v>
      </c>
      <c r="N20" s="26" t="str">
        <f>'RISE 비메모리반도체액티브'!B26</f>
        <v>아모센스</v>
      </c>
      <c r="O20" s="26">
        <f>VLOOKUP(N20,'RISE 비메모리반도체액티브'!$B$11:$E$1000,4,0)</f>
        <v>0.96</v>
      </c>
      <c r="P20" s="26">
        <f>IFERROR(VLOOKUP(N20,'RISE 비메모리반도체액티브(과거)'!$B$11:$E$1000,4,0),0)</f>
        <v>1.1599999999999999</v>
      </c>
      <c r="Q20" s="20">
        <f t="shared" ref="Q20:Q22" si="14">O20-P20</f>
        <v>-0.19999999999999996</v>
      </c>
      <c r="R20" s="32">
        <f t="shared" ref="R20:R22" si="15">IFERROR(O20/P20-1,"신규편입")</f>
        <v>-0.17241379310344829</v>
      </c>
    </row>
    <row r="21" spans="1:18" x14ac:dyDescent="0.4">
      <c r="A21" s="63" t="str">
        <f>VLOOKUP(B21,유니버스!$C$14:$D$2561,2,0)</f>
        <v>KQ</v>
      </c>
      <c r="B21" s="65" t="str">
        <f>'UNICORN SK하이닉스밸류체인액티브'!B27</f>
        <v>와이씨</v>
      </c>
      <c r="C21" s="65">
        <f>VLOOKUP(B21,'UNICORN SK하이닉스밸류체인액티브'!$B$11:$E$1000,4,0)</f>
        <v>1.48</v>
      </c>
      <c r="D21" s="65">
        <f>IFERROR(VLOOKUP(B21,'UNICORN SK하이닉스밸류체인액티브(과거)'!$B$11:$E$1000,4,0),0)</f>
        <v>1.58</v>
      </c>
      <c r="E21" s="20">
        <f t="shared" si="12"/>
        <v>-0.10000000000000009</v>
      </c>
      <c r="F21" s="32">
        <f t="shared" si="13"/>
        <v>-6.3291139240506333E-2</v>
      </c>
      <c r="G21" s="63" t="str">
        <f>VLOOKUP(H21,유니버스!$C$14:$D$2561,2,0)</f>
        <v>KS</v>
      </c>
      <c r="H21" s="65" t="str">
        <f>'WON 반도체밸류체인액티브'!B27</f>
        <v>코리아써키트</v>
      </c>
      <c r="I21" s="65">
        <f>VLOOKUP(H21,'WON 반도체밸류체인액티브'!$B$11:$E$1000,4,0)</f>
        <v>1.26</v>
      </c>
      <c r="J21" s="65">
        <f>IFERROR(VLOOKUP(H21,'WON 반도체밸류체인액티브(과거)'!$B$11:$E$1000,4,0),0)</f>
        <v>1.29</v>
      </c>
      <c r="K21" s="20">
        <f t="shared" si="8"/>
        <v>-3.0000000000000027E-2</v>
      </c>
      <c r="L21" s="32">
        <f t="shared" si="9"/>
        <v>-2.3255813953488413E-2</v>
      </c>
      <c r="M21" s="62" t="str">
        <f>VLOOKUP(N21,유니버스!$C$14:$D$2561,2,0)</f>
        <v>KQ</v>
      </c>
      <c r="N21" s="26" t="str">
        <f>'RISE 비메모리반도체액티브'!B27</f>
        <v>덕산하이메탈</v>
      </c>
      <c r="O21" s="26">
        <f>VLOOKUP(N21,'RISE 비메모리반도체액티브'!$B$11:$E$1000,4,0)</f>
        <v>0.64</v>
      </c>
      <c r="P21" s="26">
        <f>IFERROR(VLOOKUP(N21,'RISE 비메모리반도체액티브(과거)'!$B$11:$E$1000,4,0),0)</f>
        <v>0.72</v>
      </c>
      <c r="Q21" s="20">
        <f t="shared" si="14"/>
        <v>-7.999999999999996E-2</v>
      </c>
      <c r="R21" s="32">
        <f t="shared" si="15"/>
        <v>-0.11111111111111105</v>
      </c>
    </row>
    <row r="22" spans="1:18" x14ac:dyDescent="0.4">
      <c r="A22" s="63" t="str">
        <f>VLOOKUP(B22,유니버스!$C$14:$D$2561,2,0)</f>
        <v>KQ</v>
      </c>
      <c r="B22" s="65" t="str">
        <f>'UNICORN SK하이닉스밸류체인액티브'!B28</f>
        <v>GST</v>
      </c>
      <c r="C22" s="65">
        <f>VLOOKUP(B22,'UNICORN SK하이닉스밸류체인액티브'!$B$11:$E$1000,4,0)</f>
        <v>1.1200000000000001</v>
      </c>
      <c r="D22" s="65">
        <f>IFERROR(VLOOKUP(B22,'UNICORN SK하이닉스밸류체인액티브(과거)'!$B$11:$E$1000,4,0),0)</f>
        <v>1.23</v>
      </c>
      <c r="E22" s="20">
        <f t="shared" si="12"/>
        <v>-0.10999999999999988</v>
      </c>
      <c r="F22" s="32">
        <f t="shared" si="13"/>
        <v>-8.9430894308943021E-2</v>
      </c>
      <c r="G22" s="63" t="str">
        <f>VLOOKUP(H22,유니버스!$C$14:$D$2561,2,0)</f>
        <v>KQ</v>
      </c>
      <c r="H22" s="65" t="str">
        <f>'WON 반도체밸류체인액티브'!B28</f>
        <v>샘씨엔에스</v>
      </c>
      <c r="I22" s="65">
        <f>VLOOKUP(H22,'WON 반도체밸류체인액티브'!$B$11:$E$1000,4,0)</f>
        <v>1.01</v>
      </c>
      <c r="J22" s="65">
        <f>IFERROR(VLOOKUP(H22,'WON 반도체밸류체인액티브(과거)'!$B$11:$E$1000,4,0),0)</f>
        <v>0.98</v>
      </c>
      <c r="K22" s="20">
        <f t="shared" ref="K22:K27" si="16">I22-J22</f>
        <v>3.0000000000000027E-2</v>
      </c>
      <c r="L22" s="32">
        <f t="shared" ref="L22:L27" si="17">IFERROR(I22/J22-1,"신규편입")</f>
        <v>3.0612244897959107E-2</v>
      </c>
      <c r="M22" s="62" t="e">
        <f>VLOOKUP(N22,유니버스!$C$14:$D$2561,2,0)</f>
        <v>#N/A</v>
      </c>
      <c r="N22" s="26" t="str">
        <f>'RISE 비메모리반도체액티브'!B28</f>
        <v>원화현금</v>
      </c>
      <c r="O22" s="26">
        <f>VLOOKUP(N22,'RISE 비메모리반도체액티브'!$B$11:$E$1000,4,0)</f>
        <v>0</v>
      </c>
      <c r="P22" s="26">
        <f>IFERROR(VLOOKUP(N22,'RISE 비메모리반도체액티브(과거)'!$B$11:$E$1000,4,0),0)</f>
        <v>0</v>
      </c>
      <c r="Q22" s="20">
        <f t="shared" si="14"/>
        <v>0</v>
      </c>
      <c r="R22" s="32" t="str">
        <f t="shared" si="15"/>
        <v>신규편입</v>
      </c>
    </row>
    <row r="23" spans="1:18" x14ac:dyDescent="0.4">
      <c r="A23" s="63" t="str">
        <f>VLOOKUP(B23,유니버스!$C$14:$D$2561,2,0)</f>
        <v>KQ</v>
      </c>
      <c r="B23" s="65" t="str">
        <f>'UNICORN SK하이닉스밸류체인액티브'!B29</f>
        <v>오로스테크놀로지</v>
      </c>
      <c r="C23" s="65">
        <f>VLOOKUP(B23,'UNICORN SK하이닉스밸류체인액티브'!$B$11:$E$1000,4,0)</f>
        <v>0.77</v>
      </c>
      <c r="D23" s="65">
        <f>IFERROR(VLOOKUP(B23,'UNICORN SK하이닉스밸류체인액티브(과거)'!$B$11:$E$1000,4,0),0)</f>
        <v>0.79</v>
      </c>
      <c r="E23" s="20">
        <f t="shared" si="12"/>
        <v>-2.0000000000000018E-2</v>
      </c>
      <c r="F23" s="32">
        <f t="shared" si="13"/>
        <v>-2.5316455696202556E-2</v>
      </c>
      <c r="G23" s="63" t="str">
        <f>VLOOKUP(H23,유니버스!$C$14:$D$2561,2,0)</f>
        <v>KQ</v>
      </c>
      <c r="H23" s="65" t="str">
        <f>'WON 반도체밸류체인액티브'!B29</f>
        <v>인텍플러스</v>
      </c>
      <c r="I23" s="65">
        <f>VLOOKUP(H23,'WON 반도체밸류체인액티브'!$B$11:$E$1000,4,0)</f>
        <v>0.76</v>
      </c>
      <c r="J23" s="65">
        <f>IFERROR(VLOOKUP(H23,'WON 반도체밸류체인액티브(과거)'!$B$11:$E$1000,4,0),0)</f>
        <v>0.78</v>
      </c>
      <c r="K23" s="20">
        <f t="shared" si="16"/>
        <v>-2.0000000000000018E-2</v>
      </c>
      <c r="L23" s="32">
        <f t="shared" si="17"/>
        <v>-2.5641025641025661E-2</v>
      </c>
      <c r="N23" s="26"/>
      <c r="O23" s="26"/>
      <c r="P23" s="26"/>
      <c r="Q23" s="20"/>
      <c r="R23" s="32"/>
    </row>
    <row r="24" spans="1:18" x14ac:dyDescent="0.4">
      <c r="A24" s="63" t="str">
        <f>VLOOKUP(B24,유니버스!$C$14:$D$2561,2,0)</f>
        <v>KQ</v>
      </c>
      <c r="B24" s="65" t="str">
        <f>'UNICORN SK하이닉스밸류체인액티브'!B30</f>
        <v>HPSP</v>
      </c>
      <c r="C24" s="65">
        <f>VLOOKUP(B24,'UNICORN SK하이닉스밸류체인액티브'!$B$11:$E$1000,4,0)</f>
        <v>0.54</v>
      </c>
      <c r="D24" s="65">
        <f>IFERROR(VLOOKUP(B24,'UNICORN SK하이닉스밸류체인액티브(과거)'!$B$11:$E$1000,4,0),0)</f>
        <v>0.53</v>
      </c>
      <c r="E24" s="20">
        <f t="shared" si="12"/>
        <v>1.0000000000000009E-2</v>
      </c>
      <c r="F24" s="32">
        <f t="shared" si="13"/>
        <v>1.8867924528301883E-2</v>
      </c>
      <c r="G24" s="63" t="str">
        <f>VLOOKUP(H24,유니버스!$C$14:$D$2561,2,0)</f>
        <v>KQ</v>
      </c>
      <c r="H24" s="65" t="str">
        <f>'WON 반도체밸류체인액티브'!B30</f>
        <v>덕산테코피아</v>
      </c>
      <c r="I24" s="65">
        <f>VLOOKUP(H24,'WON 반도체밸류체인액티브'!$B$11:$E$1000,4,0)</f>
        <v>0.74</v>
      </c>
      <c r="J24" s="65">
        <f>IFERROR(VLOOKUP(H24,'WON 반도체밸류체인액티브(과거)'!$B$11:$E$1000,4,0),0)</f>
        <v>0.92</v>
      </c>
      <c r="K24" s="20">
        <f t="shared" si="16"/>
        <v>-0.18000000000000005</v>
      </c>
      <c r="L24" s="32">
        <f t="shared" si="17"/>
        <v>-0.19565217391304357</v>
      </c>
      <c r="N24" s="26"/>
      <c r="O24" s="26"/>
      <c r="P24" s="26"/>
      <c r="Q24" s="20"/>
      <c r="R24" s="32"/>
    </row>
    <row r="25" spans="1:18" x14ac:dyDescent="0.4">
      <c r="A25" s="63" t="str">
        <f>VLOOKUP(B25,유니버스!$C$14:$D$2561,2,0)</f>
        <v>KQ</v>
      </c>
      <c r="B25" s="65" t="str">
        <f>'UNICORN SK하이닉스밸류체인액티브'!B31</f>
        <v>이엔에프테크놀로지</v>
      </c>
      <c r="C25" s="65">
        <f>VLOOKUP(B25,'UNICORN SK하이닉스밸류체인액티브'!$B$11:$E$1000,4,0)</f>
        <v>0.12</v>
      </c>
      <c r="D25" s="65">
        <f>IFERROR(VLOOKUP(B25,'UNICORN SK하이닉스밸류체인액티브(과거)'!$B$11:$E$1000,4,0),0)</f>
        <v>0.12</v>
      </c>
      <c r="E25" s="20">
        <f t="shared" si="12"/>
        <v>0</v>
      </c>
      <c r="F25" s="32">
        <f t="shared" si="13"/>
        <v>0</v>
      </c>
      <c r="G25" s="63" t="str">
        <f>VLOOKUP(H25,유니버스!$C$14:$D$2561,2,0)</f>
        <v>KQ</v>
      </c>
      <c r="H25" s="65" t="str">
        <f>'WON 반도체밸류체인액티브'!B31</f>
        <v>에이디테크놀로지</v>
      </c>
      <c r="I25" s="65">
        <f>VLOOKUP(H25,'WON 반도체밸류체인액티브'!$B$11:$E$1000,4,0)</f>
        <v>0.6</v>
      </c>
      <c r="J25" s="65">
        <f>IFERROR(VLOOKUP(H25,'WON 반도체밸류체인액티브(과거)'!$B$11:$E$1000,4,0),0)</f>
        <v>0.66</v>
      </c>
      <c r="K25" s="20">
        <f t="shared" si="16"/>
        <v>-6.0000000000000053E-2</v>
      </c>
      <c r="L25" s="32">
        <f t="shared" si="17"/>
        <v>-9.0909090909090939E-2</v>
      </c>
      <c r="N25" s="26"/>
      <c r="O25" s="26"/>
      <c r="P25" s="26"/>
      <c r="Q25" s="20"/>
      <c r="R25" s="32"/>
    </row>
    <row r="26" spans="1:18" x14ac:dyDescent="0.4">
      <c r="A26" s="63" t="e">
        <f>VLOOKUP(B26,유니버스!$C$14:$D$2561,2,0)</f>
        <v>#N/A</v>
      </c>
      <c r="B26" s="65" t="str">
        <f>'UNICORN SK하이닉스밸류체인액티브'!B32</f>
        <v>원화현금</v>
      </c>
      <c r="C26" s="65">
        <f>VLOOKUP(B26,'UNICORN SK하이닉스밸류체인액티브'!$B$11:$E$1000,4,0)</f>
        <v>0.86</v>
      </c>
      <c r="D26" s="65">
        <f>IFERROR(VLOOKUP(B26,'UNICORN SK하이닉스밸류체인액티브(과거)'!$B$11:$E$1000,4,0),0)</f>
        <v>0.93</v>
      </c>
      <c r="E26" s="20">
        <f t="shared" si="12"/>
        <v>-7.0000000000000062E-2</v>
      </c>
      <c r="F26" s="32">
        <f t="shared" si="13"/>
        <v>-7.5268817204301119E-2</v>
      </c>
      <c r="G26" s="63" t="str">
        <f>VLOOKUP(H26,유니버스!$C$14:$D$2561,2,0)</f>
        <v>KQ</v>
      </c>
      <c r="H26" s="65" t="str">
        <f>'WON 반도체밸류체인액티브'!B32</f>
        <v>에치에프알</v>
      </c>
      <c r="I26" s="65">
        <f>VLOOKUP(H26,'WON 반도체밸류체인액티브'!$B$11:$E$1000,4,0)</f>
        <v>0.56000000000000005</v>
      </c>
      <c r="J26" s="65">
        <f>IFERROR(VLOOKUP(H26,'WON 반도체밸류체인액티브(과거)'!$B$11:$E$1000,4,0),0)</f>
        <v>0.63</v>
      </c>
      <c r="K26" s="20">
        <f t="shared" si="16"/>
        <v>-6.9999999999999951E-2</v>
      </c>
      <c r="L26" s="32">
        <f t="shared" si="17"/>
        <v>-0.11111111111111105</v>
      </c>
      <c r="N26" s="26"/>
      <c r="O26" s="26"/>
      <c r="P26" s="26"/>
      <c r="Q26" s="20"/>
      <c r="R26" s="32"/>
    </row>
    <row r="27" spans="1:18" x14ac:dyDescent="0.4">
      <c r="B27" s="65"/>
      <c r="C27" s="65"/>
      <c r="D27" s="65"/>
      <c r="E27" s="20"/>
      <c r="F27" s="32"/>
      <c r="G27" s="63" t="e">
        <f>VLOOKUP(H27,유니버스!$C$14:$D$2561,2,0)</f>
        <v>#N/A</v>
      </c>
      <c r="H27" s="65" t="str">
        <f>'WON 반도체밸류체인액티브'!B33</f>
        <v>원화예금</v>
      </c>
      <c r="I27" s="65">
        <f>VLOOKUP(H27,'WON 반도체밸류체인액티브'!$B$11:$E$1000,4,0)</f>
        <v>0</v>
      </c>
      <c r="J27" s="65">
        <f>IFERROR(VLOOKUP(H27,'WON 반도체밸류체인액티브(과거)'!$B$11:$E$1000,4,0),0)</f>
        <v>0</v>
      </c>
      <c r="K27" s="20">
        <f t="shared" si="16"/>
        <v>0</v>
      </c>
      <c r="L27" s="32" t="str">
        <f t="shared" si="17"/>
        <v>신규편입</v>
      </c>
      <c r="N27" s="26"/>
      <c r="O27" s="26"/>
      <c r="P27" s="26"/>
      <c r="Q27" s="20"/>
      <c r="R27" s="32"/>
    </row>
    <row r="28" spans="1:18" x14ac:dyDescent="0.4">
      <c r="B28" s="65"/>
      <c r="C28" s="65"/>
      <c r="D28" s="65"/>
      <c r="E28" s="20"/>
      <c r="F28" s="32"/>
      <c r="H28" s="65"/>
      <c r="I28" s="65"/>
      <c r="J28" s="65"/>
      <c r="K28" s="20"/>
      <c r="L28" s="32"/>
      <c r="N28" s="26"/>
      <c r="O28" s="26"/>
      <c r="P28" s="26"/>
      <c r="Q28" s="20"/>
      <c r="R28" s="32"/>
    </row>
    <row r="29" spans="1:18" x14ac:dyDescent="0.4">
      <c r="B29" s="65"/>
      <c r="C29" s="65"/>
      <c r="D29" s="65"/>
      <c r="E29" s="20"/>
      <c r="F29" s="32"/>
      <c r="H29" s="65"/>
      <c r="I29" s="65"/>
      <c r="J29" s="65"/>
      <c r="K29" s="20"/>
      <c r="L29" s="32"/>
      <c r="N29" s="26"/>
      <c r="O29" s="26"/>
      <c r="P29" s="26"/>
      <c r="Q29" s="20"/>
      <c r="R29" s="32"/>
    </row>
    <row r="30" spans="1:18" x14ac:dyDescent="0.4">
      <c r="B30" s="65"/>
      <c r="C30" s="65"/>
      <c r="D30" s="65"/>
      <c r="E30" s="20"/>
      <c r="F30" s="32"/>
      <c r="H30" s="65"/>
      <c r="I30" s="65"/>
      <c r="J30" s="65"/>
      <c r="K30" s="20"/>
      <c r="L30" s="32"/>
      <c r="N30" s="26"/>
      <c r="O30" s="26"/>
      <c r="P30" s="26"/>
      <c r="Q30" s="20"/>
      <c r="R30" s="32"/>
    </row>
    <row r="31" spans="1:18" x14ac:dyDescent="0.4">
      <c r="B31" s="65"/>
      <c r="C31" s="65"/>
      <c r="D31" s="65"/>
      <c r="E31" s="20"/>
      <c r="F31" s="32"/>
      <c r="H31" s="65"/>
      <c r="I31" s="65"/>
      <c r="J31" s="65"/>
      <c r="K31" s="20"/>
      <c r="L31" s="32"/>
      <c r="N31" s="26"/>
      <c r="O31" s="26"/>
      <c r="P31" s="26"/>
      <c r="Q31" s="20"/>
      <c r="R31" s="32"/>
    </row>
    <row r="32" spans="1:18" x14ac:dyDescent="0.4">
      <c r="B32" s="65"/>
      <c r="C32" s="65"/>
      <c r="D32" s="65"/>
      <c r="E32" s="20"/>
      <c r="F32" s="32"/>
      <c r="H32" s="65"/>
      <c r="I32" s="65"/>
      <c r="J32" s="65"/>
      <c r="K32" s="20"/>
      <c r="L32" s="32"/>
      <c r="N32" s="26"/>
      <c r="O32" s="26"/>
      <c r="P32" s="26"/>
      <c r="Q32" s="20"/>
      <c r="R32" s="32"/>
    </row>
    <row r="33" spans="2:18" x14ac:dyDescent="0.4">
      <c r="B33" s="65"/>
      <c r="C33" s="65"/>
      <c r="D33" s="65"/>
      <c r="E33" s="20"/>
      <c r="F33" s="32"/>
      <c r="H33" s="65"/>
      <c r="I33" s="65"/>
      <c r="J33" s="65"/>
      <c r="K33" s="20"/>
      <c r="L33" s="32"/>
      <c r="N33" s="26"/>
      <c r="O33" s="26"/>
      <c r="P33" s="26"/>
      <c r="Q33" s="20"/>
      <c r="R33" s="32"/>
    </row>
    <row r="34" spans="2:18" x14ac:dyDescent="0.4">
      <c r="B34" s="65"/>
      <c r="C34" s="65"/>
      <c r="D34" s="65"/>
      <c r="E34" s="20"/>
      <c r="F34" s="32"/>
      <c r="H34" s="65"/>
      <c r="I34" s="65"/>
      <c r="J34" s="65"/>
      <c r="K34" s="20"/>
      <c r="L34" s="32"/>
      <c r="N34" s="26"/>
      <c r="O34" s="26"/>
      <c r="P34" s="26"/>
      <c r="Q34" s="20"/>
      <c r="R34" s="32"/>
    </row>
    <row r="35" spans="2:18" x14ac:dyDescent="0.4">
      <c r="B35" s="65"/>
      <c r="C35" s="65"/>
      <c r="D35" s="65"/>
      <c r="E35" s="20"/>
      <c r="F35" s="32"/>
      <c r="H35" s="65"/>
      <c r="I35" s="65"/>
      <c r="J35" s="65"/>
      <c r="K35" s="20"/>
      <c r="L35" s="32"/>
      <c r="N35" s="26"/>
      <c r="O35" s="26"/>
      <c r="P35" s="26"/>
      <c r="Q35" s="20"/>
      <c r="R35" s="32"/>
    </row>
    <row r="36" spans="2:18" x14ac:dyDescent="0.4">
      <c r="B36" s="65"/>
      <c r="C36" s="65"/>
      <c r="D36" s="65"/>
      <c r="E36" s="20"/>
      <c r="F36" s="32"/>
      <c r="H36" s="65"/>
      <c r="I36" s="65"/>
      <c r="J36" s="65"/>
      <c r="K36" s="20"/>
      <c r="L36" s="32"/>
      <c r="N36" s="26"/>
      <c r="O36" s="26"/>
      <c r="P36" s="26"/>
      <c r="Q36" s="20"/>
      <c r="R36" s="32"/>
    </row>
    <row r="37" spans="2:18" x14ac:dyDescent="0.4">
      <c r="B37" s="65"/>
      <c r="C37" s="65"/>
      <c r="D37" s="65"/>
      <c r="E37" s="20"/>
      <c r="F37" s="32"/>
      <c r="H37" s="65"/>
      <c r="I37" s="65"/>
      <c r="J37" s="65"/>
      <c r="K37" s="20"/>
      <c r="L37" s="32"/>
      <c r="N37" s="26"/>
      <c r="O37" s="26"/>
      <c r="P37" s="26"/>
      <c r="Q37" s="20"/>
      <c r="R37" s="32"/>
    </row>
    <row r="38" spans="2:18" x14ac:dyDescent="0.4">
      <c r="B38" s="65"/>
      <c r="C38" s="65"/>
      <c r="D38" s="65"/>
      <c r="E38" s="20"/>
      <c r="F38" s="32"/>
      <c r="H38" s="65"/>
      <c r="I38" s="65"/>
      <c r="J38" s="65"/>
      <c r="K38" s="20"/>
      <c r="L38" s="32"/>
      <c r="N38" s="26"/>
      <c r="O38" s="26"/>
      <c r="P38" s="26"/>
      <c r="Q38" s="20"/>
      <c r="R38" s="32"/>
    </row>
    <row r="39" spans="2:18" x14ac:dyDescent="0.4">
      <c r="B39" s="65"/>
      <c r="C39" s="65"/>
      <c r="D39" s="65"/>
      <c r="E39" s="20"/>
      <c r="F39" s="32"/>
      <c r="H39" s="65"/>
      <c r="I39" s="65"/>
      <c r="J39" s="65"/>
      <c r="K39" s="20"/>
      <c r="L39" s="32"/>
      <c r="N39" s="26"/>
      <c r="O39" s="26"/>
      <c r="P39" s="26"/>
      <c r="Q39" s="20"/>
      <c r="R39" s="32"/>
    </row>
    <row r="40" spans="2:18" x14ac:dyDescent="0.4">
      <c r="B40" s="65"/>
      <c r="C40" s="65"/>
      <c r="D40" s="65"/>
      <c r="E40" s="20"/>
      <c r="F40" s="32"/>
      <c r="H40" s="65"/>
      <c r="I40" s="65"/>
      <c r="J40" s="65"/>
      <c r="K40" s="20"/>
      <c r="L40" s="32"/>
      <c r="N40" s="26"/>
      <c r="O40" s="26"/>
      <c r="P40" s="26"/>
      <c r="Q40" s="20"/>
      <c r="R40" s="32"/>
    </row>
    <row r="41" spans="2:18" x14ac:dyDescent="0.4">
      <c r="B41" s="65"/>
      <c r="C41" s="65"/>
      <c r="D41" s="65"/>
      <c r="E41" s="20"/>
      <c r="F41" s="32"/>
      <c r="H41" s="65"/>
      <c r="I41" s="65"/>
      <c r="J41" s="65"/>
      <c r="K41" s="20"/>
      <c r="L41" s="32"/>
      <c r="N41" s="26"/>
      <c r="O41" s="26"/>
      <c r="P41" s="26"/>
      <c r="Q41" s="20"/>
      <c r="R41" s="32"/>
    </row>
    <row r="42" spans="2:18" x14ac:dyDescent="0.4">
      <c r="B42" s="65"/>
      <c r="C42" s="65"/>
      <c r="D42" s="65"/>
      <c r="E42" s="20"/>
      <c r="F42" s="32"/>
      <c r="H42" s="65"/>
      <c r="I42" s="65"/>
      <c r="J42" s="65"/>
      <c r="K42" s="20"/>
      <c r="L42" s="32"/>
      <c r="N42" s="26"/>
      <c r="O42" s="26"/>
      <c r="P42" s="26"/>
      <c r="Q42" s="20"/>
      <c r="R42" s="32"/>
    </row>
    <row r="43" spans="2:18" x14ac:dyDescent="0.4">
      <c r="B43" s="65"/>
      <c r="C43" s="65"/>
      <c r="D43" s="65"/>
      <c r="E43" s="20"/>
      <c r="F43" s="32"/>
      <c r="H43" s="65"/>
      <c r="I43" s="65"/>
      <c r="J43" s="65"/>
      <c r="K43" s="20"/>
      <c r="L43" s="32"/>
      <c r="N43" s="26"/>
      <c r="O43" s="26"/>
      <c r="P43" s="26"/>
      <c r="Q43" s="20"/>
      <c r="R43" s="32"/>
    </row>
    <row r="44" spans="2:18" x14ac:dyDescent="0.4">
      <c r="B44" s="65"/>
      <c r="C44" s="65"/>
      <c r="D44" s="65"/>
      <c r="E44" s="20"/>
      <c r="F44" s="32"/>
      <c r="H44" s="65"/>
      <c r="I44" s="65"/>
      <c r="J44" s="65"/>
      <c r="K44" s="20"/>
      <c r="L44" s="32"/>
      <c r="N44" s="26"/>
      <c r="O44" s="26"/>
      <c r="P44" s="26"/>
      <c r="Q44" s="20"/>
      <c r="R44" s="32"/>
    </row>
    <row r="45" spans="2:18" x14ac:dyDescent="0.4">
      <c r="B45" s="65"/>
      <c r="C45" s="65"/>
      <c r="D45" s="65"/>
      <c r="E45" s="20"/>
      <c r="F45" s="32"/>
      <c r="H45" s="65"/>
      <c r="I45" s="65"/>
      <c r="J45" s="65"/>
      <c r="K45" s="20"/>
      <c r="L45" s="32"/>
      <c r="N45" s="26"/>
      <c r="O45" s="26"/>
      <c r="P45" s="26"/>
      <c r="Q45" s="20"/>
      <c r="R45" s="32"/>
    </row>
    <row r="46" spans="2:18" x14ac:dyDescent="0.4">
      <c r="B46" s="65"/>
      <c r="C46" s="65"/>
      <c r="D46" s="65"/>
      <c r="E46" s="20"/>
      <c r="F46" s="32"/>
      <c r="H46" s="65"/>
      <c r="I46" s="65"/>
      <c r="J46" s="65"/>
      <c r="K46" s="20"/>
      <c r="L46" s="32"/>
      <c r="N46" s="26"/>
      <c r="O46" s="26"/>
      <c r="P46" s="26"/>
      <c r="Q46" s="20"/>
      <c r="R46" s="32"/>
    </row>
    <row r="47" spans="2:18" x14ac:dyDescent="0.4">
      <c r="B47" s="65"/>
      <c r="C47" s="65"/>
      <c r="D47" s="65"/>
      <c r="E47" s="20"/>
      <c r="F47" s="32"/>
      <c r="H47" s="65"/>
      <c r="I47" s="65"/>
      <c r="J47" s="65"/>
      <c r="K47" s="20"/>
      <c r="L47" s="32"/>
      <c r="N47" s="26"/>
      <c r="O47" s="26"/>
      <c r="P47" s="26"/>
      <c r="Q47" s="20"/>
      <c r="R47" s="32"/>
    </row>
    <row r="48" spans="2:18" x14ac:dyDescent="0.4">
      <c r="B48" s="65"/>
      <c r="C48" s="65"/>
      <c r="D48" s="65"/>
      <c r="E48" s="20"/>
      <c r="F48" s="32"/>
      <c r="H48" s="65"/>
      <c r="I48" s="65"/>
      <c r="J48" s="65"/>
      <c r="K48" s="20"/>
      <c r="L48" s="32"/>
      <c r="N48" s="26"/>
      <c r="O48" s="26"/>
      <c r="P48" s="26"/>
      <c r="Q48" s="20"/>
      <c r="R48" s="32"/>
    </row>
    <row r="49" spans="2:18" x14ac:dyDescent="0.4">
      <c r="B49" s="65"/>
      <c r="C49" s="65"/>
      <c r="D49" s="65"/>
      <c r="E49" s="20"/>
      <c r="F49" s="32"/>
      <c r="H49" s="65"/>
      <c r="I49" s="65"/>
      <c r="J49" s="65"/>
      <c r="K49" s="20"/>
      <c r="L49" s="32"/>
      <c r="N49" s="26"/>
      <c r="O49" s="26"/>
      <c r="P49" s="26"/>
      <c r="Q49" s="20"/>
      <c r="R49" s="32"/>
    </row>
    <row r="50" spans="2:18" x14ac:dyDescent="0.4">
      <c r="B50" s="65"/>
      <c r="C50" s="65"/>
      <c r="D50" s="65"/>
      <c r="E50" s="20"/>
      <c r="F50" s="32"/>
      <c r="H50" s="65"/>
      <c r="I50" s="65"/>
      <c r="J50" s="65"/>
      <c r="K50" s="20"/>
      <c r="L50" s="32"/>
      <c r="N50" s="26"/>
      <c r="O50" s="26"/>
      <c r="P50" s="26"/>
      <c r="Q50" s="20"/>
      <c r="R50" s="32"/>
    </row>
    <row r="51" spans="2:18" x14ac:dyDescent="0.4">
      <c r="B51" s="65"/>
      <c r="C51" s="65"/>
      <c r="D51" s="65"/>
      <c r="E51" s="20"/>
      <c r="F51" s="32"/>
      <c r="H51" s="65"/>
      <c r="I51" s="65"/>
      <c r="J51" s="65"/>
      <c r="K51" s="20"/>
      <c r="L51" s="32"/>
      <c r="N51" s="26"/>
      <c r="O51" s="26"/>
      <c r="P51" s="26"/>
      <c r="Q51" s="20"/>
      <c r="R51" s="32"/>
    </row>
    <row r="52" spans="2:18" x14ac:dyDescent="0.4">
      <c r="B52" s="65"/>
      <c r="C52" s="65"/>
      <c r="D52" s="65"/>
      <c r="E52" s="20"/>
      <c r="F52" s="32"/>
      <c r="H52" s="65"/>
      <c r="I52" s="65"/>
      <c r="J52" s="65"/>
      <c r="K52" s="20"/>
      <c r="L52" s="32"/>
      <c r="N52" s="26"/>
      <c r="O52" s="26"/>
      <c r="P52" s="26"/>
      <c r="Q52" s="20"/>
      <c r="R52" s="32"/>
    </row>
    <row r="53" spans="2:18" x14ac:dyDescent="0.4">
      <c r="B53" s="65"/>
      <c r="C53" s="65"/>
      <c r="D53" s="65"/>
      <c r="E53" s="20"/>
      <c r="F53" s="32"/>
      <c r="H53" s="65"/>
      <c r="I53" s="65"/>
      <c r="J53" s="65"/>
      <c r="K53" s="20"/>
      <c r="L53" s="32"/>
      <c r="N53" s="26"/>
      <c r="O53" s="26"/>
      <c r="P53" s="26"/>
      <c r="Q53" s="20"/>
      <c r="R53" s="32"/>
    </row>
    <row r="54" spans="2:18" x14ac:dyDescent="0.4">
      <c r="B54" s="65"/>
      <c r="C54" s="65"/>
      <c r="D54" s="65"/>
      <c r="E54" s="20"/>
      <c r="F54" s="32"/>
      <c r="H54" s="65"/>
      <c r="I54" s="65"/>
      <c r="J54" s="65"/>
      <c r="K54" s="20"/>
      <c r="L54" s="32"/>
      <c r="N54" s="26"/>
      <c r="O54" s="26"/>
      <c r="P54" s="26"/>
      <c r="Q54" s="20"/>
      <c r="R54" s="32"/>
    </row>
    <row r="55" spans="2:18" x14ac:dyDescent="0.4">
      <c r="B55" s="65"/>
      <c r="C55" s="65"/>
      <c r="D55" s="65"/>
      <c r="E55" s="20"/>
      <c r="F55" s="32"/>
      <c r="H55" s="65"/>
      <c r="I55" s="65"/>
      <c r="J55" s="65"/>
      <c r="K55" s="20"/>
      <c r="L55" s="32"/>
      <c r="N55" s="26"/>
      <c r="O55" s="26"/>
      <c r="P55" s="26"/>
      <c r="Q55" s="20"/>
      <c r="R55" s="32"/>
    </row>
    <row r="56" spans="2:18" x14ac:dyDescent="0.4">
      <c r="B56" s="65"/>
      <c r="C56" s="65"/>
      <c r="D56" s="65"/>
      <c r="E56" s="20"/>
      <c r="F56" s="32"/>
      <c r="H56" s="65"/>
      <c r="I56" s="65"/>
      <c r="J56" s="65"/>
      <c r="K56" s="20"/>
      <c r="L56" s="32"/>
      <c r="N56" s="26"/>
      <c r="O56" s="26"/>
      <c r="P56" s="26"/>
      <c r="Q56" s="20"/>
      <c r="R56" s="32"/>
    </row>
    <row r="57" spans="2:18" x14ac:dyDescent="0.4">
      <c r="B57" s="65"/>
      <c r="C57" s="65"/>
      <c r="D57" s="65"/>
      <c r="E57" s="20"/>
      <c r="F57" s="32"/>
      <c r="H57" s="65"/>
      <c r="I57" s="65"/>
      <c r="J57" s="65"/>
      <c r="K57" s="20"/>
      <c r="L57" s="32"/>
      <c r="N57" s="26"/>
      <c r="O57" s="26"/>
      <c r="P57" s="26"/>
      <c r="Q57" s="20"/>
      <c r="R57" s="32"/>
    </row>
    <row r="58" spans="2:18" x14ac:dyDescent="0.4">
      <c r="B58" s="65"/>
      <c r="C58" s="65"/>
      <c r="D58" s="65"/>
      <c r="E58" s="20"/>
      <c r="F58" s="32"/>
      <c r="H58" s="65"/>
      <c r="I58" s="65"/>
      <c r="J58" s="65"/>
      <c r="K58" s="20"/>
      <c r="L58" s="32"/>
      <c r="N58" s="26"/>
      <c r="O58" s="26"/>
      <c r="P58" s="26"/>
      <c r="Q58" s="20"/>
      <c r="R58" s="32"/>
    </row>
    <row r="59" spans="2:18" x14ac:dyDescent="0.4">
      <c r="B59" s="65"/>
      <c r="C59" s="65"/>
      <c r="D59" s="65"/>
      <c r="E59" s="20"/>
      <c r="F59" s="32"/>
      <c r="H59" s="65"/>
      <c r="I59" s="65"/>
      <c r="J59" s="65"/>
      <c r="K59" s="20"/>
      <c r="L59" s="32"/>
      <c r="N59" s="26"/>
      <c r="O59" s="26"/>
      <c r="P59" s="26"/>
      <c r="Q59" s="20"/>
      <c r="R59" s="32"/>
    </row>
    <row r="60" spans="2:18" x14ac:dyDescent="0.4">
      <c r="B60" s="65"/>
      <c r="C60" s="65"/>
      <c r="D60" s="65"/>
      <c r="E60" s="20"/>
      <c r="F60" s="32"/>
      <c r="H60" s="65"/>
      <c r="I60" s="65"/>
      <c r="J60" s="65"/>
      <c r="K60" s="20"/>
      <c r="L60" s="32"/>
      <c r="N60" s="26"/>
      <c r="O60" s="26"/>
      <c r="P60" s="26"/>
      <c r="Q60" s="20"/>
      <c r="R60" s="32"/>
    </row>
    <row r="61" spans="2:18" x14ac:dyDescent="0.4">
      <c r="B61" s="65"/>
      <c r="C61" s="65"/>
      <c r="D61" s="65"/>
      <c r="E61" s="20"/>
      <c r="F61" s="32"/>
      <c r="H61" s="65"/>
      <c r="I61" s="65"/>
      <c r="J61" s="65"/>
      <c r="K61" s="20"/>
      <c r="L61" s="32"/>
      <c r="N61" s="26"/>
      <c r="O61" s="26"/>
      <c r="P61" s="26"/>
      <c r="Q61" s="20"/>
      <c r="R61" s="32"/>
    </row>
    <row r="62" spans="2:18" x14ac:dyDescent="0.4">
      <c r="B62" s="65"/>
      <c r="C62" s="65"/>
      <c r="D62" s="65"/>
      <c r="E62" s="20"/>
      <c r="F62" s="32"/>
      <c r="H62" s="65"/>
      <c r="I62" s="65"/>
      <c r="J62" s="65"/>
      <c r="K62" s="20"/>
      <c r="L62" s="32"/>
      <c r="N62" s="26"/>
      <c r="O62" s="26"/>
      <c r="P62" s="26"/>
      <c r="Q62" s="20"/>
      <c r="R62" s="32"/>
    </row>
    <row r="63" spans="2:18" x14ac:dyDescent="0.4">
      <c r="B63" s="65"/>
      <c r="C63" s="65"/>
      <c r="D63" s="65"/>
      <c r="E63" s="20"/>
      <c r="F63" s="32"/>
      <c r="H63" s="65"/>
      <c r="I63" s="65"/>
      <c r="J63" s="65"/>
      <c r="K63" s="20"/>
      <c r="L63" s="32"/>
      <c r="N63" s="26"/>
      <c r="O63" s="26"/>
      <c r="P63" s="26"/>
      <c r="Q63" s="20"/>
      <c r="R63" s="32"/>
    </row>
    <row r="64" spans="2:18" x14ac:dyDescent="0.4">
      <c r="B64" s="65"/>
      <c r="C64" s="65"/>
      <c r="D64" s="65"/>
      <c r="E64" s="20"/>
      <c r="F64" s="32"/>
      <c r="H64" s="65"/>
      <c r="I64" s="65"/>
      <c r="J64" s="65"/>
      <c r="K64" s="20"/>
      <c r="L64" s="32"/>
      <c r="N64" s="26"/>
      <c r="O64" s="26"/>
      <c r="P64" s="26"/>
      <c r="Q64" s="20"/>
      <c r="R64" s="32"/>
    </row>
    <row r="65" spans="2:18" x14ac:dyDescent="0.4">
      <c r="B65" s="65"/>
      <c r="C65" s="65"/>
      <c r="D65" s="65"/>
      <c r="E65" s="20"/>
      <c r="F65" s="32"/>
      <c r="H65" s="65"/>
      <c r="I65" s="65"/>
      <c r="J65" s="65"/>
      <c r="K65" s="20"/>
      <c r="L65" s="32"/>
      <c r="N65" s="26"/>
      <c r="O65" s="26"/>
      <c r="P65" s="26"/>
      <c r="Q65" s="20"/>
      <c r="R65" s="32"/>
    </row>
    <row r="66" spans="2:18" x14ac:dyDescent="0.4">
      <c r="B66" s="65"/>
      <c r="C66" s="65"/>
      <c r="D66" s="65"/>
      <c r="E66" s="20"/>
      <c r="F66" s="32"/>
      <c r="H66" s="65"/>
      <c r="I66" s="65"/>
      <c r="J66" s="65"/>
      <c r="K66" s="20"/>
      <c r="L66" s="32"/>
      <c r="N66" s="26"/>
      <c r="O66" s="26"/>
      <c r="P66" s="26"/>
      <c r="Q66" s="20"/>
      <c r="R66" s="32"/>
    </row>
    <row r="67" spans="2:18" x14ac:dyDescent="0.4">
      <c r="B67" s="65"/>
      <c r="C67" s="65"/>
      <c r="D67" s="65"/>
      <c r="E67" s="20"/>
      <c r="F67" s="32"/>
      <c r="H67" s="65"/>
      <c r="I67" s="65"/>
      <c r="J67" s="65"/>
      <c r="K67" s="20"/>
      <c r="L67" s="32"/>
      <c r="N67" s="26"/>
      <c r="O67" s="26"/>
      <c r="P67" s="26"/>
      <c r="Q67" s="20"/>
      <c r="R67" s="32"/>
    </row>
    <row r="68" spans="2:18" x14ac:dyDescent="0.4">
      <c r="B68" s="65"/>
      <c r="C68" s="65"/>
      <c r="D68" s="65"/>
      <c r="E68" s="20"/>
      <c r="F68" s="32"/>
      <c r="H68" s="65"/>
      <c r="I68" s="65"/>
      <c r="J68" s="65"/>
      <c r="K68" s="20"/>
      <c r="L68" s="32"/>
      <c r="N68" s="26"/>
      <c r="O68" s="26"/>
      <c r="P68" s="26"/>
      <c r="Q68" s="20"/>
      <c r="R68" s="32"/>
    </row>
    <row r="69" spans="2:18" x14ac:dyDescent="0.4">
      <c r="B69" s="65"/>
      <c r="C69" s="65"/>
      <c r="D69" s="65"/>
      <c r="E69" s="20"/>
      <c r="F69" s="32"/>
      <c r="H69" s="65"/>
      <c r="I69" s="65"/>
      <c r="J69" s="65"/>
      <c r="K69" s="20"/>
      <c r="L69" s="32"/>
      <c r="N69" s="26"/>
      <c r="O69" s="26"/>
      <c r="P69" s="26"/>
      <c r="Q69" s="20"/>
      <c r="R69" s="32"/>
    </row>
    <row r="70" spans="2:18" x14ac:dyDescent="0.4">
      <c r="B70" s="65"/>
      <c r="C70" s="65"/>
      <c r="D70" s="65"/>
      <c r="E70" s="20"/>
      <c r="F70" s="32"/>
      <c r="H70" s="65"/>
      <c r="I70" s="65"/>
      <c r="J70" s="65"/>
      <c r="K70" s="20"/>
      <c r="L70" s="32"/>
      <c r="N70" s="26"/>
      <c r="O70" s="26"/>
      <c r="P70" s="26"/>
      <c r="Q70" s="20"/>
      <c r="R70" s="32"/>
    </row>
    <row r="71" spans="2:18" x14ac:dyDescent="0.4">
      <c r="B71" s="65"/>
      <c r="C71" s="65"/>
      <c r="D71" s="65"/>
      <c r="E71" s="20"/>
      <c r="F71" s="32"/>
      <c r="H71" s="65"/>
      <c r="I71" s="65"/>
      <c r="J71" s="65"/>
      <c r="K71" s="20"/>
      <c r="L71" s="32"/>
      <c r="N71" s="26"/>
      <c r="O71" s="26"/>
      <c r="P71" s="26"/>
      <c r="Q71" s="20"/>
      <c r="R71" s="32"/>
    </row>
    <row r="72" spans="2:18" x14ac:dyDescent="0.4">
      <c r="B72" s="65"/>
      <c r="C72" s="65"/>
      <c r="D72" s="65"/>
      <c r="E72" s="20"/>
      <c r="F72" s="32"/>
      <c r="H72" s="65"/>
      <c r="I72" s="65"/>
      <c r="J72" s="65"/>
      <c r="K72" s="20"/>
      <c r="L72" s="32"/>
      <c r="N72" s="26"/>
      <c r="O72" s="26"/>
      <c r="P72" s="26"/>
      <c r="Q72" s="20"/>
      <c r="R72" s="32"/>
    </row>
    <row r="73" spans="2:18" x14ac:dyDescent="0.4">
      <c r="B73" s="65"/>
      <c r="C73" s="65"/>
      <c r="D73" s="65"/>
      <c r="E73" s="20"/>
      <c r="F73" s="32"/>
      <c r="H73" s="65"/>
      <c r="I73" s="65"/>
      <c r="J73" s="65"/>
      <c r="K73" s="20"/>
      <c r="L73" s="32"/>
      <c r="N73" s="26"/>
      <c r="O73" s="26"/>
      <c r="P73" s="26"/>
      <c r="Q73" s="20"/>
      <c r="R73" s="32"/>
    </row>
    <row r="74" spans="2:18" x14ac:dyDescent="0.4">
      <c r="B74" s="65"/>
      <c r="C74" s="65"/>
      <c r="D74" s="65"/>
      <c r="E74" s="20"/>
      <c r="F74" s="32"/>
      <c r="H74" s="65"/>
      <c r="I74" s="65"/>
      <c r="J74" s="65"/>
      <c r="K74" s="20"/>
      <c r="L74" s="32"/>
      <c r="N74" s="26"/>
      <c r="O74" s="26"/>
      <c r="P74" s="26"/>
      <c r="Q74" s="20"/>
      <c r="R74" s="32"/>
    </row>
    <row r="75" spans="2:18" x14ac:dyDescent="0.4">
      <c r="B75" s="65"/>
      <c r="C75" s="65"/>
      <c r="D75" s="65"/>
      <c r="E75" s="20"/>
      <c r="F75" s="32"/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2:18" x14ac:dyDescent="0.4">
      <c r="B76" s="65"/>
      <c r="C76" s="65"/>
      <c r="D76" s="65"/>
      <c r="E76" s="20"/>
      <c r="F76" s="32"/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2:18" x14ac:dyDescent="0.4">
      <c r="B77" s="65"/>
      <c r="C77" s="65"/>
      <c r="D77" s="65"/>
      <c r="E77" s="20"/>
      <c r="F77" s="32"/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2:18" x14ac:dyDescent="0.4">
      <c r="B78" s="65"/>
      <c r="C78" s="65"/>
      <c r="D78" s="65"/>
      <c r="E78" s="20"/>
      <c r="F78" s="32"/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2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2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R309"/>
  <sheetViews>
    <sheetView topLeftCell="C1" zoomScaleNormal="100" workbookViewId="0">
      <selection activeCell="N11" sqref="N11:P11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'SOL 코리아메가테크액티브'!A9</f>
        <v>SOL 코리아메가테크액티브</v>
      </c>
      <c r="H3" s="63" t="str">
        <f>'KoAct 배당성장액티브'!A9</f>
        <v>KoAct 배당성장액티브</v>
      </c>
      <c r="N3" s="62" t="str">
        <f>'TIMEFOLIO Korea플러스배당액티브'!A9</f>
        <v>TIME Korea플러스배당액티브</v>
      </c>
    </row>
    <row r="4" spans="1:18" x14ac:dyDescent="0.4">
      <c r="B4" s="65" t="s">
        <v>75</v>
      </c>
      <c r="C4" s="66" t="str">
        <f>'SOL 코리아메가테크액티브'!B4</f>
        <v>CPD [20260522]</v>
      </c>
      <c r="D4" s="66" t="str">
        <f>'SOL 코리아메가테크액티브(과거)'!B4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[20260522]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[20260522]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'SOL 코리아메가테크액티브'!B11</f>
        <v>삼성전자</v>
      </c>
      <c r="C5" s="65">
        <f>VLOOKUP(B5,'SOL 코리아메가테크액티브'!$B$11:$E$1000,4,0)</f>
        <v>17.02</v>
      </c>
      <c r="D5" s="65">
        <f>IFERROR(VLOOKUP(B5,'SOL 코리아메가테크액티브(과거)'!$B$11:$E$1000,4,0),0)</f>
        <v>15.76</v>
      </c>
      <c r="E5" s="20">
        <f>C5-D5</f>
        <v>1.2599999999999998</v>
      </c>
      <c r="F5" s="21">
        <f>IFERROR(C5/D5-1,"신규편입")</f>
        <v>7.9949238578680193E-2</v>
      </c>
      <c r="G5" s="63" t="e">
        <f>VLOOKUP(H5,유니버스!$C$14:$D$2561,2,0)</f>
        <v>#N/A</v>
      </c>
      <c r="H5" s="65" t="str">
        <f>'KoAct 배당성장액티브'!B11</f>
        <v>삼성전자우</v>
      </c>
      <c r="I5" s="65">
        <f>VLOOKUP(H5,'KoAct 배당성장액티브'!$B$11:$E$1000,4,0)</f>
        <v>23.19</v>
      </c>
      <c r="J5" s="65">
        <f>IFERROR(VLOOKUP(H5,'KoAct 배당성장액티브(과거)'!$B$11:$E$1000,4,0),0)</f>
        <v>23.11</v>
      </c>
      <c r="K5" s="20">
        <f>I5-J5</f>
        <v>8.0000000000001847E-2</v>
      </c>
      <c r="L5" s="21">
        <f>IFERROR(I5/J5-1,"신규편입")</f>
        <v>3.4617048896581348E-3</v>
      </c>
      <c r="M5" s="62" t="str">
        <f>VLOOKUP(N5,유니버스!$C$14:$D$2561,2,0)</f>
        <v>KS</v>
      </c>
      <c r="N5" s="26" t="str">
        <f>'TIMEFOLIO Korea플러스배당액티브'!B11</f>
        <v>SK하이닉스</v>
      </c>
      <c r="O5" s="20">
        <f>VLOOKUP(N5,'TIMEFOLIO Korea플러스배당액티브'!$B$11:$E$1000,4,0)</f>
        <v>28.71</v>
      </c>
      <c r="P5" s="20">
        <f>IFERROR(VLOOKUP(N5,'TIMEFOLIO Korea플러스배당액티브(과거)'!$B$11:$E$1000,4,0),0)</f>
        <v>27.59</v>
      </c>
      <c r="Q5" s="20">
        <f>O5-P5</f>
        <v>1.120000000000001</v>
      </c>
      <c r="R5" s="21">
        <f>IFERROR(O5/P5-1,"신규편입")</f>
        <v>4.0594418267488219E-2</v>
      </c>
    </row>
    <row r="6" spans="1:18" x14ac:dyDescent="0.4">
      <c r="A6" s="63" t="str">
        <f>VLOOKUP(B6,유니버스!$C$14:$D$2561,2,0)</f>
        <v>KS</v>
      </c>
      <c r="B6" s="65" t="str">
        <f>'SOL 코리아메가테크액티브'!B12</f>
        <v>SK하이닉스</v>
      </c>
      <c r="C6" s="65">
        <f>VLOOKUP(B6,'SOL 코리아메가테크액티브'!$B$11:$E$1000,4,0)</f>
        <v>16.48</v>
      </c>
      <c r="D6" s="65">
        <f>IFERROR(VLOOKUP(B6,'SOL 코리아메가테크액티브(과거)'!$B$11:$E$1000,4,0),0)</f>
        <v>15.85</v>
      </c>
      <c r="E6" s="20">
        <f t="shared" ref="E6:E49" si="0">C6-D6</f>
        <v>0.63000000000000078</v>
      </c>
      <c r="F6" s="21">
        <f t="shared" ref="F6:F49" si="1">IFERROR(C6/D6-1,"신규편입")</f>
        <v>3.9747634069400739E-2</v>
      </c>
      <c r="G6" s="63" t="str">
        <f>VLOOKUP(H6,유니버스!$C$14:$D$2561,2,0)</f>
        <v>KS</v>
      </c>
      <c r="H6" s="65" t="str">
        <f>'KoAct 배당성장액티브'!B12</f>
        <v>SK하이닉스</v>
      </c>
      <c r="I6" s="65">
        <f>VLOOKUP(H6,'KoAct 배당성장액티브'!$B$11:$E$1000,4,0)</f>
        <v>22.33</v>
      </c>
      <c r="J6" s="65">
        <f>IFERROR(VLOOKUP(H6,'KoAct 배당성장액티브(과거)'!$B$11:$E$1000,4,0),0)</f>
        <v>21.41</v>
      </c>
      <c r="K6" s="20">
        <f t="shared" ref="K6:K64" si="2">I6-J6</f>
        <v>0.91999999999999815</v>
      </c>
      <c r="L6" s="21">
        <f t="shared" ref="L6:L64" si="3">IFERROR(I6/J6-1,"신규편입")</f>
        <v>4.2970574497898095E-2</v>
      </c>
      <c r="M6" s="62" t="str">
        <f>VLOOKUP(N6,유니버스!$C$14:$D$2561,2,0)</f>
        <v>KS</v>
      </c>
      <c r="N6" s="26" t="str">
        <f>'TIMEFOLIO Korea플러스배당액티브'!B12</f>
        <v>삼성전자</v>
      </c>
      <c r="O6" s="20">
        <f>VLOOKUP(N6,'TIMEFOLIO Korea플러스배당액티브'!$B$11:$E$1000,4,0)</f>
        <v>11.64</v>
      </c>
      <c r="P6" s="20">
        <f>IFERROR(VLOOKUP(N6,'TIMEFOLIO Korea플러스배당액티브(과거)'!$B$11:$E$1000,4,0),0)</f>
        <v>10.77</v>
      </c>
      <c r="Q6" s="20">
        <f t="shared" ref="Q6:Q25" si="4">O6-P6</f>
        <v>0.87000000000000099</v>
      </c>
      <c r="R6" s="21">
        <f t="shared" ref="R6:R25" si="5">IFERROR(O6/P6-1,"신규편입")</f>
        <v>8.0779944289693706E-2</v>
      </c>
    </row>
    <row r="7" spans="1:18" x14ac:dyDescent="0.4">
      <c r="A7" s="63" t="str">
        <f>VLOOKUP(B7,유니버스!$C$14:$D$2561,2,0)</f>
        <v>KS</v>
      </c>
      <c r="B7" s="65" t="str">
        <f>'SOL 코리아메가테크액티브'!B13</f>
        <v>현대차</v>
      </c>
      <c r="C7" s="65">
        <f>VLOOKUP(B7,'SOL 코리아메가테크액티브'!$B$11:$E$1000,4,0)</f>
        <v>7.63</v>
      </c>
      <c r="D7" s="65">
        <f>IFERROR(VLOOKUP(B7,'SOL 코리아메가테크액티브(과거)'!$B$11:$E$1000,4,0),0)</f>
        <v>8.2200000000000006</v>
      </c>
      <c r="E7" s="20">
        <f t="shared" si="0"/>
        <v>-0.59000000000000075</v>
      </c>
      <c r="F7" s="21">
        <f t="shared" si="1"/>
        <v>-7.1776155717761636E-2</v>
      </c>
      <c r="G7" s="63" t="str">
        <f>VLOOKUP(H7,유니버스!$C$14:$D$2561,2,0)</f>
        <v>KS</v>
      </c>
      <c r="H7" s="65" t="str">
        <f>'KoAct 배당성장액티브'!B13</f>
        <v>HD현대중공업</v>
      </c>
      <c r="I7" s="65">
        <f>VLOOKUP(H7,'KoAct 배당성장액티브'!$B$11:$E$1000,4,0)</f>
        <v>3.17</v>
      </c>
      <c r="J7" s="65">
        <f>IFERROR(VLOOKUP(H7,'KoAct 배당성장액티브(과거)'!$B$11:$E$1000,4,0),0)</f>
        <v>3.09</v>
      </c>
      <c r="K7" s="20">
        <f t="shared" si="2"/>
        <v>8.0000000000000071E-2</v>
      </c>
      <c r="L7" s="21">
        <f t="shared" si="3"/>
        <v>2.5889967637540368E-2</v>
      </c>
      <c r="M7" s="62" t="str">
        <f>VLOOKUP(N7,유니버스!$C$14:$D$2561,2,0)</f>
        <v>KS</v>
      </c>
      <c r="N7" s="26" t="str">
        <f>'TIMEFOLIO Korea플러스배당액티브'!B13</f>
        <v>현대차</v>
      </c>
      <c r="O7" s="20">
        <f>VLOOKUP(N7,'TIMEFOLIO Korea플러스배당액티브'!$B$11:$E$1000,4,0)</f>
        <v>6.16</v>
      </c>
      <c r="P7" s="20">
        <f>IFERROR(VLOOKUP(N7,'TIMEFOLIO Korea플러스배당액티브(과거)'!$B$11:$E$1000,4,0),0)</f>
        <v>6.64</v>
      </c>
      <c r="Q7" s="20">
        <f t="shared" si="4"/>
        <v>-0.47999999999999954</v>
      </c>
      <c r="R7" s="21">
        <f t="shared" si="5"/>
        <v>-7.2289156626505924E-2</v>
      </c>
    </row>
    <row r="8" spans="1:18" x14ac:dyDescent="0.4">
      <c r="A8" s="63" t="str">
        <f>VLOOKUP(B8,유니버스!$C$14:$D$2561,2,0)</f>
        <v>KS</v>
      </c>
      <c r="B8" s="65" t="str">
        <f>'SOL 코리아메가테크액티브'!B14</f>
        <v>SK스퀘어</v>
      </c>
      <c r="C8" s="65">
        <f>VLOOKUP(B8,'SOL 코리아메가테크액티브'!$B$11:$E$1000,4,0)</f>
        <v>5.19</v>
      </c>
      <c r="D8" s="65">
        <f>IFERROR(VLOOKUP(B8,'SOL 코리아메가테크액티브(과거)'!$B$11:$E$1000,4,0),0)</f>
        <v>4.96</v>
      </c>
      <c r="E8" s="20">
        <f t="shared" si="0"/>
        <v>0.23000000000000043</v>
      </c>
      <c r="F8" s="21">
        <f t="shared" si="1"/>
        <v>4.6370967741935498E-2</v>
      </c>
      <c r="G8" s="63" t="str">
        <f>VLOOKUP(H8,유니버스!$C$14:$D$2561,2,0)</f>
        <v>KS</v>
      </c>
      <c r="H8" s="65" t="str">
        <f>'KoAct 배당성장액티브'!B14</f>
        <v>HD한국조선해양</v>
      </c>
      <c r="I8" s="65">
        <f>VLOOKUP(H8,'KoAct 배당성장액티브'!$B$11:$E$1000,4,0)</f>
        <v>1.96</v>
      </c>
      <c r="J8" s="65">
        <f>IFERROR(VLOOKUP(H8,'KoAct 배당성장액티브(과거)'!$B$11:$E$1000,4,0),0)</f>
        <v>2.0099999999999998</v>
      </c>
      <c r="K8" s="20">
        <f t="shared" si="2"/>
        <v>-4.9999999999999822E-2</v>
      </c>
      <c r="L8" s="21">
        <f t="shared" si="3"/>
        <v>-2.487562189054715E-2</v>
      </c>
      <c r="M8" s="62" t="str">
        <f>VLOOKUP(N8,유니버스!$C$14:$D$2561,2,0)</f>
        <v>KS</v>
      </c>
      <c r="N8" s="26" t="str">
        <f>'TIMEFOLIO Korea플러스배당액티브'!B14</f>
        <v>LS</v>
      </c>
      <c r="O8" s="20">
        <f>VLOOKUP(N8,'TIMEFOLIO Korea플러스배당액티브'!$B$11:$E$1000,4,0)</f>
        <v>4.08</v>
      </c>
      <c r="P8" s="20">
        <f>IFERROR(VLOOKUP(N8,'TIMEFOLIO Korea플러스배당액티브(과거)'!$B$11:$E$1000,4,0),0)</f>
        <v>3.79</v>
      </c>
      <c r="Q8" s="20">
        <f t="shared" si="4"/>
        <v>0.29000000000000004</v>
      </c>
      <c r="R8" s="21">
        <f t="shared" si="5"/>
        <v>7.6517150395778444E-2</v>
      </c>
    </row>
    <row r="9" spans="1:18" x14ac:dyDescent="0.4">
      <c r="A9" s="63" t="str">
        <f>VLOOKUP(B9,유니버스!$C$14:$D$2561,2,0)</f>
        <v>KS</v>
      </c>
      <c r="B9" s="65" t="str">
        <f>'SOL 코리아메가테크액티브'!B15</f>
        <v>LS ELECTRIC</v>
      </c>
      <c r="C9" s="65">
        <f>VLOOKUP(B9,'SOL 코리아메가테크액티브'!$B$11:$E$1000,4,0)</f>
        <v>4.6500000000000004</v>
      </c>
      <c r="D9" s="65">
        <f>IFERROR(VLOOKUP(B9,'SOL 코리아메가테크액티브(과거)'!$B$11:$E$1000,4,0),0)</f>
        <v>4.55</v>
      </c>
      <c r="E9" s="20">
        <f t="shared" si="0"/>
        <v>0.10000000000000053</v>
      </c>
      <c r="F9" s="21">
        <f t="shared" si="1"/>
        <v>2.1978021978022122E-2</v>
      </c>
      <c r="G9" s="63" t="str">
        <f>VLOOKUP(H9,유니버스!$C$14:$D$2561,2,0)</f>
        <v>KS</v>
      </c>
      <c r="H9" s="65" t="str">
        <f>'KoAct 배당성장액티브'!B15</f>
        <v>KB금융</v>
      </c>
      <c r="I9" s="65">
        <f>VLOOKUP(H9,'KoAct 배당성장액티브'!$B$11:$E$1000,4,0)</f>
        <v>1.83</v>
      </c>
      <c r="J9" s="65">
        <f>IFERROR(VLOOKUP(H9,'KoAct 배당성장액티브(과거)'!$B$11:$E$1000,4,0),0)</f>
        <v>1.46</v>
      </c>
      <c r="K9" s="20">
        <f t="shared" si="2"/>
        <v>0.37000000000000011</v>
      </c>
      <c r="L9" s="21">
        <f t="shared" si="3"/>
        <v>0.2534246575342467</v>
      </c>
      <c r="M9" s="62" t="str">
        <f>VLOOKUP(N9,유니버스!$C$14:$D$2561,2,0)</f>
        <v>KS</v>
      </c>
      <c r="N9" s="26" t="str">
        <f>'TIMEFOLIO Korea플러스배당액티브'!B15</f>
        <v>미래에셋증권</v>
      </c>
      <c r="O9" s="20">
        <f>VLOOKUP(N9,'TIMEFOLIO Korea플러스배당액티브'!$B$11:$E$1000,4,0)</f>
        <v>3.79</v>
      </c>
      <c r="P9" s="20">
        <f>IFERROR(VLOOKUP(N9,'TIMEFOLIO Korea플러스배당액티브(과거)'!$B$11:$E$1000,4,0),0)</f>
        <v>4.08</v>
      </c>
      <c r="Q9" s="20">
        <f t="shared" si="4"/>
        <v>-0.29000000000000004</v>
      </c>
      <c r="R9" s="21">
        <f t="shared" si="5"/>
        <v>-7.1078431372548989E-2</v>
      </c>
    </row>
    <row r="10" spans="1:18" x14ac:dyDescent="0.4">
      <c r="A10" s="63" t="str">
        <f>VLOOKUP(B10,유니버스!$C$14:$D$2561,2,0)</f>
        <v>KS</v>
      </c>
      <c r="B10" s="65" t="str">
        <f>'SOL 코리아메가테크액티브'!B16</f>
        <v>한화에어로스페이스</v>
      </c>
      <c r="C10" s="65">
        <f>VLOOKUP(B10,'SOL 코리아메가테크액티브'!$B$11:$E$1000,4,0)</f>
        <v>4.3099999999999996</v>
      </c>
      <c r="D10" s="65">
        <f>IFERROR(VLOOKUP(B10,'SOL 코리아메가테크액티브(과거)'!$B$11:$E$1000,4,0),0)</f>
        <v>4.3099999999999996</v>
      </c>
      <c r="E10" s="20">
        <f t="shared" si="0"/>
        <v>0</v>
      </c>
      <c r="F10" s="21">
        <f t="shared" si="1"/>
        <v>0</v>
      </c>
      <c r="G10" s="63" t="str">
        <f>VLOOKUP(H10,유니버스!$C$14:$D$2561,2,0)</f>
        <v>KQ</v>
      </c>
      <c r="H10" s="65" t="str">
        <f>'KoAct 배당성장액티브'!B16</f>
        <v>코나아이</v>
      </c>
      <c r="I10" s="65">
        <f>VLOOKUP(H10,'KoAct 배당성장액티브'!$B$11:$E$1000,4,0)</f>
        <v>1.79</v>
      </c>
      <c r="J10" s="65">
        <f>IFERROR(VLOOKUP(H10,'KoAct 배당성장액티브(과거)'!$B$11:$E$1000,4,0),0)</f>
        <v>2.12</v>
      </c>
      <c r="K10" s="20">
        <f t="shared" si="2"/>
        <v>-0.33000000000000007</v>
      </c>
      <c r="L10" s="21">
        <f t="shared" si="3"/>
        <v>-0.15566037735849059</v>
      </c>
      <c r="M10" s="62" t="str">
        <f>VLOOKUP(N10,유니버스!$C$14:$D$2561,2,0)</f>
        <v>KS</v>
      </c>
      <c r="N10" s="26" t="str">
        <f>'TIMEFOLIO Korea플러스배당액티브'!B16</f>
        <v>삼성증권</v>
      </c>
      <c r="O10" s="20">
        <f>VLOOKUP(N10,'TIMEFOLIO Korea플러스배당액티브'!$B$11:$E$1000,4,0)</f>
        <v>3.52</v>
      </c>
      <c r="P10" s="20">
        <f>IFERROR(VLOOKUP(N10,'TIMEFOLIO Korea플러스배당액티브(과거)'!$B$11:$E$1000,4,0),0)</f>
        <v>3.63</v>
      </c>
      <c r="Q10" s="20">
        <f t="shared" si="4"/>
        <v>-0.10999999999999988</v>
      </c>
      <c r="R10" s="21">
        <f t="shared" si="5"/>
        <v>-3.0303030303030276E-2</v>
      </c>
    </row>
    <row r="11" spans="1:18" x14ac:dyDescent="0.4">
      <c r="A11" s="63" t="str">
        <f>VLOOKUP(B11,유니버스!$C$14:$D$2561,2,0)</f>
        <v>KS</v>
      </c>
      <c r="B11" s="65" t="str">
        <f>'SOL 코리아메가테크액티브'!B17</f>
        <v>기아</v>
      </c>
      <c r="C11" s="65">
        <f>VLOOKUP(B11,'SOL 코리아메가테크액티브'!$B$11:$E$1000,4,0)</f>
        <v>3.36</v>
      </c>
      <c r="D11" s="65">
        <f>IFERROR(VLOOKUP(B11,'SOL 코리아메가테크액티브(과거)'!$B$11:$E$1000,4,0),0)</f>
        <v>3.44</v>
      </c>
      <c r="E11" s="20">
        <f t="shared" si="0"/>
        <v>-8.0000000000000071E-2</v>
      </c>
      <c r="F11" s="21">
        <f t="shared" si="1"/>
        <v>-2.3255813953488413E-2</v>
      </c>
      <c r="G11" s="63" t="str">
        <f>VLOOKUP(H11,유니버스!$C$14:$D$2561,2,0)</f>
        <v>KS</v>
      </c>
      <c r="H11" s="65" t="str">
        <f>'KoAct 배당성장액티브'!B17</f>
        <v>현대차</v>
      </c>
      <c r="I11" s="65">
        <f>VLOOKUP(H11,'KoAct 배당성장액티브'!$B$11:$E$1000,4,0)</f>
        <v>1.77</v>
      </c>
      <c r="J11" s="65">
        <f>IFERROR(VLOOKUP(H11,'KoAct 배당성장액티브(과거)'!$B$11:$E$1000,4,0),0)</f>
        <v>1.9</v>
      </c>
      <c r="K11" s="20">
        <f t="shared" si="2"/>
        <v>-0.12999999999999989</v>
      </c>
      <c r="L11" s="21">
        <f t="shared" si="3"/>
        <v>-6.8421052631578938E-2</v>
      </c>
      <c r="M11" s="62" t="str">
        <f>VLOOKUP(N11,유니버스!$C$14:$D$2561,2,0)</f>
        <v>KS</v>
      </c>
      <c r="N11" s="26" t="str">
        <f>'TIMEFOLIO Korea플러스배당액티브'!B17</f>
        <v>삼성물산</v>
      </c>
      <c r="O11" s="20">
        <f>VLOOKUP(N11,'TIMEFOLIO Korea플러스배당액티브'!$B$11:$E$1000,4,0)</f>
        <v>3.51</v>
      </c>
      <c r="P11" s="20">
        <f>IFERROR(VLOOKUP(N11,'TIMEFOLIO Korea플러스배당액티브(과거)'!$B$11:$E$1000,4,0),0)</f>
        <v>3.41</v>
      </c>
      <c r="Q11" s="20">
        <f t="shared" si="4"/>
        <v>9.9999999999999645E-2</v>
      </c>
      <c r="R11" s="21">
        <f t="shared" si="5"/>
        <v>2.9325513196480912E-2</v>
      </c>
    </row>
    <row r="12" spans="1:18" x14ac:dyDescent="0.4">
      <c r="A12" s="63" t="str">
        <f>VLOOKUP(B12,유니버스!$C$14:$D$2561,2,0)</f>
        <v>KS</v>
      </c>
      <c r="B12" s="65" t="str">
        <f>'SOL 코리아메가테크액티브'!B18</f>
        <v>현대모비스</v>
      </c>
      <c r="C12" s="65">
        <f>VLOOKUP(B12,'SOL 코리아메가테크액티브'!$B$11:$E$1000,4,0)</f>
        <v>3.26</v>
      </c>
      <c r="D12" s="65">
        <f>IFERROR(VLOOKUP(B12,'SOL 코리아메가테크액티브(과거)'!$B$11:$E$1000,4,0),0)</f>
        <v>3.14</v>
      </c>
      <c r="E12" s="20">
        <f t="shared" si="0"/>
        <v>0.11999999999999966</v>
      </c>
      <c r="F12" s="21">
        <f t="shared" si="1"/>
        <v>3.8216560509554132E-2</v>
      </c>
      <c r="G12" s="63" t="str">
        <f>VLOOKUP(H12,유니버스!$C$14:$D$2561,2,0)</f>
        <v>KS</v>
      </c>
      <c r="H12" s="65" t="str">
        <f>'KoAct 배당성장액티브'!B18</f>
        <v>한국금융지주</v>
      </c>
      <c r="I12" s="65">
        <f>VLOOKUP(H12,'KoAct 배당성장액티브'!$B$11:$E$1000,4,0)</f>
        <v>1.67</v>
      </c>
      <c r="J12" s="65">
        <f>IFERROR(VLOOKUP(H12,'KoAct 배당성장액티브(과거)'!$B$11:$E$1000,4,0),0)</f>
        <v>1.77</v>
      </c>
      <c r="K12" s="20">
        <f t="shared" si="2"/>
        <v>-0.10000000000000009</v>
      </c>
      <c r="L12" s="21">
        <f t="shared" si="3"/>
        <v>-5.6497175141242972E-2</v>
      </c>
      <c r="M12" s="62" t="str">
        <f>VLOOKUP(N12,유니버스!$C$14:$D$2561,2,0)</f>
        <v>KS</v>
      </c>
      <c r="N12" s="26" t="str">
        <f>'TIMEFOLIO Korea플러스배당액티브'!B18</f>
        <v>키움증권</v>
      </c>
      <c r="O12" s="20">
        <f>VLOOKUP(N12,'TIMEFOLIO Korea플러스배당액티브'!$B$11:$E$1000,4,0)</f>
        <v>3.21</v>
      </c>
      <c r="P12" s="20">
        <f>IFERROR(VLOOKUP(N12,'TIMEFOLIO Korea플러스배당액티브(과거)'!$B$11:$E$1000,4,0),0)</f>
        <v>3.18</v>
      </c>
      <c r="Q12" s="20">
        <f t="shared" si="4"/>
        <v>2.9999999999999805E-2</v>
      </c>
      <c r="R12" s="21">
        <f t="shared" si="5"/>
        <v>9.4339622641508303E-3</v>
      </c>
    </row>
    <row r="13" spans="1:18" x14ac:dyDescent="0.4">
      <c r="A13" s="63" t="str">
        <f>VLOOKUP(B13,유니버스!$C$14:$D$2561,2,0)</f>
        <v>KS</v>
      </c>
      <c r="B13" s="65" t="str">
        <f>'SOL 코리아메가테크액티브'!B19</f>
        <v>HD현대일렉트릭</v>
      </c>
      <c r="C13" s="65">
        <f>VLOOKUP(B13,'SOL 코리아메가테크액티브'!$B$11:$E$1000,4,0)</f>
        <v>2.96</v>
      </c>
      <c r="D13" s="65">
        <f>IFERROR(VLOOKUP(B13,'SOL 코리아메가테크액티브(과거)'!$B$11:$E$1000,4,0),0)</f>
        <v>3.15</v>
      </c>
      <c r="E13" s="20">
        <f t="shared" si="0"/>
        <v>-0.18999999999999995</v>
      </c>
      <c r="F13" s="21">
        <f t="shared" si="1"/>
        <v>-6.0317460317460325E-2</v>
      </c>
      <c r="G13" s="63" t="str">
        <f>VLOOKUP(H13,유니버스!$C$14:$D$2561,2,0)</f>
        <v>KS</v>
      </c>
      <c r="H13" s="65" t="str">
        <f>'KoAct 배당성장액티브'!B19</f>
        <v>키움증권</v>
      </c>
      <c r="I13" s="65">
        <f>VLOOKUP(H13,'KoAct 배당성장액티브'!$B$11:$E$1000,4,0)</f>
        <v>1.49</v>
      </c>
      <c r="J13" s="65">
        <f>IFERROR(VLOOKUP(H13,'KoAct 배당성장액티브(과거)'!$B$11:$E$1000,4,0),0)</f>
        <v>1.48</v>
      </c>
      <c r="K13" s="20">
        <f t="shared" si="2"/>
        <v>1.0000000000000009E-2</v>
      </c>
      <c r="L13" s="21">
        <f t="shared" si="3"/>
        <v>6.7567567567567988E-3</v>
      </c>
      <c r="M13" s="62" t="str">
        <f>VLOOKUP(N13,유니버스!$C$14:$D$2561,2,0)</f>
        <v>KS</v>
      </c>
      <c r="N13" s="26" t="str">
        <f>'TIMEFOLIO Korea플러스배당액티브'!B19</f>
        <v>삼성생명</v>
      </c>
      <c r="O13" s="20">
        <f>VLOOKUP(N13,'TIMEFOLIO Korea플러스배당액티브'!$B$11:$E$1000,4,0)</f>
        <v>2.48</v>
      </c>
      <c r="P13" s="20">
        <f>IFERROR(VLOOKUP(N13,'TIMEFOLIO Korea플러스배당액티브(과거)'!$B$11:$E$1000,4,0),0)</f>
        <v>2.2200000000000002</v>
      </c>
      <c r="Q13" s="20">
        <f t="shared" si="4"/>
        <v>0.25999999999999979</v>
      </c>
      <c r="R13" s="21">
        <f t="shared" si="5"/>
        <v>0.11711711711711703</v>
      </c>
    </row>
    <row r="14" spans="1:18" x14ac:dyDescent="0.4">
      <c r="A14" s="63" t="str">
        <f>VLOOKUP(B14,유니버스!$C$14:$D$2561,2,0)</f>
        <v>KS</v>
      </c>
      <c r="B14" s="65" t="str">
        <f>'SOL 코리아메가테크액티브'!B20</f>
        <v>LIG디펜스앤에어로스페이스</v>
      </c>
      <c r="C14" s="65">
        <f>VLOOKUP(B14,'SOL 코리아메가테크액티브'!$B$11:$E$1000,4,0)</f>
        <v>2.83</v>
      </c>
      <c r="D14" s="65">
        <f>IFERROR(VLOOKUP(B14,'SOL 코리아메가테크액티브(과거)'!$B$11:$E$1000,4,0),0)</f>
        <v>2.8</v>
      </c>
      <c r="E14" s="20">
        <f t="shared" si="0"/>
        <v>3.0000000000000249E-2</v>
      </c>
      <c r="F14" s="21">
        <f t="shared" si="1"/>
        <v>1.0714285714285898E-2</v>
      </c>
      <c r="G14" s="63" t="str">
        <f>VLOOKUP(H14,유니버스!$C$14:$D$2561,2,0)</f>
        <v>KS</v>
      </c>
      <c r="H14" s="65" t="str">
        <f>'KoAct 배당성장액티브'!B20</f>
        <v>SK스퀘어</v>
      </c>
      <c r="I14" s="65">
        <f>VLOOKUP(H14,'KoAct 배당성장액티브'!$B$11:$E$1000,4,0)</f>
        <v>1.46</v>
      </c>
      <c r="J14" s="65">
        <f>IFERROR(VLOOKUP(H14,'KoAct 배당성장액티브(과거)'!$B$11:$E$1000,4,0),0)</f>
        <v>1.39</v>
      </c>
      <c r="K14" s="20">
        <f t="shared" si="2"/>
        <v>7.0000000000000062E-2</v>
      </c>
      <c r="L14" s="21">
        <f t="shared" si="3"/>
        <v>5.0359712230215958E-2</v>
      </c>
      <c r="M14" s="62" t="str">
        <f>VLOOKUP(N14,유니버스!$C$14:$D$2561,2,0)</f>
        <v>KS</v>
      </c>
      <c r="N14" s="26" t="str">
        <f>'TIMEFOLIO Korea플러스배당액티브'!B20</f>
        <v>SK</v>
      </c>
      <c r="O14" s="20">
        <f>VLOOKUP(N14,'TIMEFOLIO Korea플러스배당액티브'!$B$11:$E$1000,4,0)</f>
        <v>2.46</v>
      </c>
      <c r="P14" s="20">
        <f>IFERROR(VLOOKUP(N14,'TIMEFOLIO Korea플러스배당액티브(과거)'!$B$11:$E$1000,4,0),0)</f>
        <v>2.2000000000000002</v>
      </c>
      <c r="Q14" s="20">
        <f t="shared" si="4"/>
        <v>0.25999999999999979</v>
      </c>
      <c r="R14" s="21">
        <f t="shared" si="5"/>
        <v>0.11818181818181817</v>
      </c>
    </row>
    <row r="15" spans="1:18" x14ac:dyDescent="0.4">
      <c r="A15" s="63" t="str">
        <f>VLOOKUP(B15,유니버스!$C$14:$D$2561,2,0)</f>
        <v>KS</v>
      </c>
      <c r="B15" s="65" t="str">
        <f>'SOL 코리아메가테크액티브'!B21</f>
        <v>한국항공우주</v>
      </c>
      <c r="C15" s="65">
        <f>VLOOKUP(B15,'SOL 코리아메가테크액티브'!$B$11:$E$1000,4,0)</f>
        <v>2.82</v>
      </c>
      <c r="D15" s="65">
        <f>IFERROR(VLOOKUP(B15,'SOL 코리아메가테크액티브(과거)'!$B$11:$E$1000,4,0),0)</f>
        <v>2.83</v>
      </c>
      <c r="E15" s="20">
        <f t="shared" si="0"/>
        <v>-1.0000000000000231E-2</v>
      </c>
      <c r="F15" s="21">
        <f t="shared" si="1"/>
        <v>-3.5335689045937757E-3</v>
      </c>
      <c r="G15" s="63" t="str">
        <f>VLOOKUP(H15,유니버스!$C$14:$D$2561,2,0)</f>
        <v>KQ</v>
      </c>
      <c r="H15" s="65" t="str">
        <f>'KoAct 배당성장액티브'!B21</f>
        <v>다우데이타</v>
      </c>
      <c r="I15" s="65">
        <f>VLOOKUP(H15,'KoAct 배당성장액티브'!$B$11:$E$1000,4,0)</f>
        <v>1.45</v>
      </c>
      <c r="J15" s="65">
        <f>IFERROR(VLOOKUP(H15,'KoAct 배당성장액티브(과거)'!$B$11:$E$1000,4,0),0)</f>
        <v>1.53</v>
      </c>
      <c r="K15" s="20">
        <f t="shared" si="2"/>
        <v>-8.0000000000000071E-2</v>
      </c>
      <c r="L15" s="21">
        <f t="shared" si="3"/>
        <v>-5.2287581699346442E-2</v>
      </c>
      <c r="M15" s="62" t="str">
        <f>VLOOKUP(N15,유니버스!$C$14:$D$2561,2,0)</f>
        <v>KS</v>
      </c>
      <c r="N15" s="26" t="str">
        <f>'TIMEFOLIO Korea플러스배당액티브'!B21</f>
        <v>삼양식품</v>
      </c>
      <c r="O15" s="20">
        <f>VLOOKUP(N15,'TIMEFOLIO Korea플러스배당액티브'!$B$11:$E$1000,4,0)</f>
        <v>2.44</v>
      </c>
      <c r="P15" s="20">
        <f>IFERROR(VLOOKUP(N15,'TIMEFOLIO Korea플러스배당액티브(과거)'!$B$11:$E$1000,4,0),0)</f>
        <v>2.74</v>
      </c>
      <c r="Q15" s="20">
        <f t="shared" si="4"/>
        <v>-0.30000000000000027</v>
      </c>
      <c r="R15" s="21">
        <f t="shared" si="5"/>
        <v>-0.1094890510948906</v>
      </c>
    </row>
    <row r="16" spans="1:18" x14ac:dyDescent="0.4">
      <c r="A16" s="63" t="str">
        <f>VLOOKUP(B16,유니버스!$C$14:$D$2561,2,0)</f>
        <v>KS</v>
      </c>
      <c r="B16" s="65" t="str">
        <f>'SOL 코리아메가테크액티브'!B22</f>
        <v>두산에너빌리티</v>
      </c>
      <c r="C16" s="65">
        <f>VLOOKUP(B16,'SOL 코리아메가테크액티브'!$B$11:$E$1000,4,0)</f>
        <v>2.7</v>
      </c>
      <c r="D16" s="65">
        <f>IFERROR(VLOOKUP(B16,'SOL 코리아메가테크액티브(과거)'!$B$11:$E$1000,4,0),0)</f>
        <v>2.83</v>
      </c>
      <c r="E16" s="20">
        <f t="shared" si="0"/>
        <v>-0.12999999999999989</v>
      </c>
      <c r="F16" s="21">
        <f t="shared" si="1"/>
        <v>-4.5936395759717308E-2</v>
      </c>
      <c r="G16" s="63" t="str">
        <f>VLOOKUP(H16,유니버스!$C$14:$D$2561,2,0)</f>
        <v>KS</v>
      </c>
      <c r="H16" s="65" t="str">
        <f>'KoAct 배당성장액티브'!B22</f>
        <v>삼성전기</v>
      </c>
      <c r="I16" s="65">
        <f>VLOOKUP(H16,'KoAct 배당성장액티브'!$B$11:$E$1000,4,0)</f>
        <v>1.4</v>
      </c>
      <c r="J16" s="65">
        <f>IFERROR(VLOOKUP(H16,'KoAct 배당성장액티브(과거)'!$B$11:$E$1000,4,0),0)</f>
        <v>1.2</v>
      </c>
      <c r="K16" s="20">
        <f t="shared" si="2"/>
        <v>0.19999999999999996</v>
      </c>
      <c r="L16" s="21">
        <f t="shared" si="3"/>
        <v>0.16666666666666674</v>
      </c>
      <c r="M16" s="62" t="str">
        <f>VLOOKUP(N16,유니버스!$C$14:$D$2561,2,0)</f>
        <v>KS</v>
      </c>
      <c r="N16" s="26" t="str">
        <f>'TIMEFOLIO Korea플러스배당액티브'!B22</f>
        <v>KB금융</v>
      </c>
      <c r="O16" s="20">
        <f>VLOOKUP(N16,'TIMEFOLIO Korea플러스배당액티브'!$B$11:$E$1000,4,0)</f>
        <v>2.44</v>
      </c>
      <c r="P16" s="20">
        <f>IFERROR(VLOOKUP(N16,'TIMEFOLIO Korea플러스배당액티브(과거)'!$B$11:$E$1000,4,0),0)</f>
        <v>2.5</v>
      </c>
      <c r="Q16" s="20">
        <f t="shared" si="4"/>
        <v>-6.0000000000000053E-2</v>
      </c>
      <c r="R16" s="21">
        <f t="shared" si="5"/>
        <v>-2.4000000000000021E-2</v>
      </c>
    </row>
    <row r="17" spans="1:18" x14ac:dyDescent="0.4">
      <c r="A17" s="63" t="str">
        <f>VLOOKUP(B17,유니버스!$C$14:$D$2561,2,0)</f>
        <v>KS</v>
      </c>
      <c r="B17" s="65" t="str">
        <f>'SOL 코리아메가테크액티브'!B23</f>
        <v>효성중공업</v>
      </c>
      <c r="C17" s="65">
        <f>VLOOKUP(B17,'SOL 코리아메가테크액티브'!$B$11:$E$1000,4,0)</f>
        <v>2.4900000000000002</v>
      </c>
      <c r="D17" s="65">
        <f>IFERROR(VLOOKUP(B17,'SOL 코리아메가테크액티브(과거)'!$B$11:$E$1000,4,0),0)</f>
        <v>2.44</v>
      </c>
      <c r="E17" s="20">
        <f t="shared" si="0"/>
        <v>5.0000000000000266E-2</v>
      </c>
      <c r="F17" s="21">
        <f t="shared" si="1"/>
        <v>2.0491803278688714E-2</v>
      </c>
      <c r="G17" s="63" t="str">
        <f>VLOOKUP(H17,유니버스!$C$14:$D$2561,2,0)</f>
        <v>KS</v>
      </c>
      <c r="H17" s="65" t="str">
        <f>'KoAct 배당성장액티브'!B23</f>
        <v>더블유게임즈</v>
      </c>
      <c r="I17" s="65">
        <f>VLOOKUP(H17,'KoAct 배당성장액티브'!$B$11:$E$1000,4,0)</f>
        <v>1.38</v>
      </c>
      <c r="J17" s="65">
        <f>IFERROR(VLOOKUP(H17,'KoAct 배당성장액티브(과거)'!$B$11:$E$1000,4,0),0)</f>
        <v>1.29</v>
      </c>
      <c r="K17" s="20">
        <f t="shared" si="2"/>
        <v>8.9999999999999858E-2</v>
      </c>
      <c r="L17" s="21">
        <f t="shared" si="3"/>
        <v>6.9767441860465018E-2</v>
      </c>
      <c r="M17" s="62" t="str">
        <f>VLOOKUP(N17,유니버스!$C$14:$D$2561,2,0)</f>
        <v>KS</v>
      </c>
      <c r="N17" s="26" t="str">
        <f>'TIMEFOLIO Korea플러스배당액티브'!B23</f>
        <v>한화투자증권</v>
      </c>
      <c r="O17" s="20">
        <f>VLOOKUP(N17,'TIMEFOLIO Korea플러스배당액티브'!$B$11:$E$1000,4,0)</f>
        <v>2.31</v>
      </c>
      <c r="P17" s="20">
        <f>IFERROR(VLOOKUP(N17,'TIMEFOLIO Korea플러스배당액티브(과거)'!$B$11:$E$1000,4,0),0)</f>
        <v>2.4300000000000002</v>
      </c>
      <c r="Q17" s="20">
        <f t="shared" si="4"/>
        <v>-0.12000000000000011</v>
      </c>
      <c r="R17" s="21">
        <f t="shared" si="5"/>
        <v>-4.9382716049382713E-2</v>
      </c>
    </row>
    <row r="18" spans="1:18" x14ac:dyDescent="0.4">
      <c r="A18" s="63" t="str">
        <f>VLOOKUP(B18,유니버스!$C$14:$D$2561,2,0)</f>
        <v>KQ</v>
      </c>
      <c r="B18" s="65" t="str">
        <f>'SOL 코리아메가테크액티브'!B24</f>
        <v>레인보우로보틱스</v>
      </c>
      <c r="C18" s="65">
        <f>VLOOKUP(B18,'SOL 코리아메가테크액티브'!$B$11:$E$1000,4,0)</f>
        <v>2.23</v>
      </c>
      <c r="D18" s="65">
        <f>IFERROR(VLOOKUP(B18,'SOL 코리아메가테크액티브(과거)'!$B$11:$E$1000,4,0),0)</f>
        <v>2.4900000000000002</v>
      </c>
      <c r="E18" s="20">
        <f t="shared" si="0"/>
        <v>-0.26000000000000023</v>
      </c>
      <c r="F18" s="21">
        <f t="shared" si="1"/>
        <v>-0.104417670682731</v>
      </c>
      <c r="G18" s="63" t="str">
        <f>VLOOKUP(H18,유니버스!$C$14:$D$2561,2,0)</f>
        <v>KS</v>
      </c>
      <c r="H18" s="65" t="str">
        <f>'KoAct 배당성장액티브'!B24</f>
        <v>KT&amp;G</v>
      </c>
      <c r="I18" s="65">
        <f>VLOOKUP(H18,'KoAct 배당성장액티브'!$B$11:$E$1000,4,0)</f>
        <v>1.33</v>
      </c>
      <c r="J18" s="65">
        <f>IFERROR(VLOOKUP(H18,'KoAct 배당성장액티브(과거)'!$B$11:$E$1000,4,0),0)</f>
        <v>1.36</v>
      </c>
      <c r="K18" s="20">
        <f t="shared" si="2"/>
        <v>-3.0000000000000027E-2</v>
      </c>
      <c r="L18" s="21">
        <f t="shared" si="3"/>
        <v>-2.2058823529411797E-2</v>
      </c>
      <c r="M18" s="62" t="str">
        <f>VLOOKUP(N18,유니버스!$C$14:$D$2561,2,0)</f>
        <v>KS</v>
      </c>
      <c r="N18" s="26" t="str">
        <f>'TIMEFOLIO Korea플러스배당액티브'!B24</f>
        <v>두산</v>
      </c>
      <c r="O18" s="20">
        <f>VLOOKUP(N18,'TIMEFOLIO Korea플러스배당액티브'!$B$11:$E$1000,4,0)</f>
        <v>2.2799999999999998</v>
      </c>
      <c r="P18" s="20">
        <f>IFERROR(VLOOKUP(N18,'TIMEFOLIO Korea플러스배당액티브(과거)'!$B$11:$E$1000,4,0),0)</f>
        <v>2.35</v>
      </c>
      <c r="Q18" s="20">
        <f t="shared" si="4"/>
        <v>-7.0000000000000284E-2</v>
      </c>
      <c r="R18" s="21">
        <f t="shared" si="5"/>
        <v>-2.9787234042553346E-2</v>
      </c>
    </row>
    <row r="19" spans="1:18" x14ac:dyDescent="0.4">
      <c r="A19" s="63" t="str">
        <f>VLOOKUP(B19,유니버스!$C$14:$D$2561,2,0)</f>
        <v>KS</v>
      </c>
      <c r="B19" s="65" t="str">
        <f>'SOL 코리아메가테크액티브'!B25</f>
        <v>한화시스템</v>
      </c>
      <c r="C19" s="65">
        <f>VLOOKUP(B19,'SOL 코리아메가테크액티브'!$B$11:$E$1000,4,0)</f>
        <v>1.82</v>
      </c>
      <c r="D19" s="65">
        <f>IFERROR(VLOOKUP(B19,'SOL 코리아메가테크액티브(과거)'!$B$11:$E$1000,4,0),0)</f>
        <v>1.87</v>
      </c>
      <c r="E19" s="20">
        <f t="shared" si="0"/>
        <v>-5.0000000000000044E-2</v>
      </c>
      <c r="F19" s="21">
        <f t="shared" si="1"/>
        <v>-2.6737967914438499E-2</v>
      </c>
      <c r="G19" s="63" t="str">
        <f>VLOOKUP(H19,유니버스!$C$14:$D$2561,2,0)</f>
        <v>KS</v>
      </c>
      <c r="H19" s="65" t="str">
        <f>'KoAct 배당성장액티브'!B25</f>
        <v>HD현대</v>
      </c>
      <c r="I19" s="65">
        <f>VLOOKUP(H19,'KoAct 배당성장액티브'!$B$11:$E$1000,4,0)</f>
        <v>1.24</v>
      </c>
      <c r="J19" s="65">
        <f>IFERROR(VLOOKUP(H19,'KoAct 배당성장액티브(과거)'!$B$11:$E$1000,4,0),0)</f>
        <v>1.23</v>
      </c>
      <c r="K19" s="20">
        <f t="shared" si="2"/>
        <v>1.0000000000000009E-2</v>
      </c>
      <c r="L19" s="21">
        <f t="shared" si="3"/>
        <v>8.1300813008129413E-3</v>
      </c>
      <c r="M19" s="62" t="str">
        <f>VLOOKUP(N19,유니버스!$C$14:$D$2561,2,0)</f>
        <v>KS</v>
      </c>
      <c r="N19" s="26" t="str">
        <f>'TIMEFOLIO Korea플러스배당액티브'!B25</f>
        <v>유안타증권</v>
      </c>
      <c r="O19" s="20">
        <f>VLOOKUP(N19,'TIMEFOLIO Korea플러스배당액티브'!$B$11:$E$1000,4,0)</f>
        <v>2.09</v>
      </c>
      <c r="P19" s="20">
        <f>IFERROR(VLOOKUP(N19,'TIMEFOLIO Korea플러스배당액티브(과거)'!$B$11:$E$1000,4,0),0)</f>
        <v>2.35</v>
      </c>
      <c r="Q19" s="20">
        <f t="shared" si="4"/>
        <v>-0.26000000000000023</v>
      </c>
      <c r="R19" s="21">
        <f t="shared" si="5"/>
        <v>-0.11063829787234047</v>
      </c>
    </row>
    <row r="20" spans="1:18" x14ac:dyDescent="0.4">
      <c r="A20" s="63" t="str">
        <f>VLOOKUP(B20,유니버스!$C$14:$D$2561,2,0)</f>
        <v>KQ</v>
      </c>
      <c r="B20" s="65" t="str">
        <f>'SOL 코리아메가테크액티브'!B26</f>
        <v>비에이치아이</v>
      </c>
      <c r="C20" s="65">
        <f>VLOOKUP(B20,'SOL 코리아메가테크액티브'!$B$11:$E$1000,4,0)</f>
        <v>1.72</v>
      </c>
      <c r="D20" s="65">
        <f>IFERROR(VLOOKUP(B20,'SOL 코리아메가테크액티브(과거)'!$B$11:$E$1000,4,0),0)</f>
        <v>1.87</v>
      </c>
      <c r="E20" s="20">
        <f t="shared" si="0"/>
        <v>-0.15000000000000013</v>
      </c>
      <c r="F20" s="21">
        <f t="shared" si="1"/>
        <v>-8.0213903743315607E-2</v>
      </c>
      <c r="G20" s="63" t="str">
        <f>VLOOKUP(H20,유니버스!$C$14:$D$2561,2,0)</f>
        <v>KS</v>
      </c>
      <c r="H20" s="65" t="str">
        <f>'KoAct 배당성장액티브'!B26</f>
        <v>한화에어로스페이스</v>
      </c>
      <c r="I20" s="65">
        <f>VLOOKUP(H20,'KoAct 배당성장액티브'!$B$11:$E$1000,4,0)</f>
        <v>1.24</v>
      </c>
      <c r="J20" s="65">
        <f>IFERROR(VLOOKUP(H20,'KoAct 배당성장액티브(과거)'!$B$11:$E$1000,4,0),0)</f>
        <v>0.82</v>
      </c>
      <c r="K20" s="20">
        <f t="shared" si="2"/>
        <v>0.42000000000000004</v>
      </c>
      <c r="L20" s="21">
        <f t="shared" si="3"/>
        <v>0.51219512195121952</v>
      </c>
      <c r="M20" s="62" t="str">
        <f>VLOOKUP(N20,유니버스!$C$14:$D$2561,2,0)</f>
        <v>KS</v>
      </c>
      <c r="N20" s="26" t="str">
        <f>'TIMEFOLIO Korea플러스배당액티브'!B26</f>
        <v>메리츠금융지주</v>
      </c>
      <c r="O20" s="20">
        <f>VLOOKUP(N20,'TIMEFOLIO Korea플러스배당액티브'!$B$11:$E$1000,4,0)</f>
        <v>1.7</v>
      </c>
      <c r="P20" s="20">
        <f>IFERROR(VLOOKUP(N20,'TIMEFOLIO Korea플러스배당액티브(과거)'!$B$11:$E$1000,4,0),0)</f>
        <v>1.7</v>
      </c>
      <c r="Q20" s="20">
        <f t="shared" si="4"/>
        <v>0</v>
      </c>
      <c r="R20" s="21">
        <f t="shared" si="5"/>
        <v>0</v>
      </c>
    </row>
    <row r="21" spans="1:18" x14ac:dyDescent="0.4">
      <c r="A21" s="63" t="str">
        <f>VLOOKUP(B21,유니버스!$C$14:$D$2561,2,0)</f>
        <v>KS</v>
      </c>
      <c r="B21" s="65" t="str">
        <f>'SOL 코리아메가테크액티브'!B27</f>
        <v>LG에너지솔루션</v>
      </c>
      <c r="C21" s="65">
        <f>VLOOKUP(B21,'SOL 코리아메가테크액티브'!$B$11:$E$1000,4,0)</f>
        <v>1.67</v>
      </c>
      <c r="D21" s="65">
        <f>IFERROR(VLOOKUP(B21,'SOL 코리아메가테크액티브(과거)'!$B$11:$E$1000,4,0),0)</f>
        <v>1.78</v>
      </c>
      <c r="E21" s="20">
        <f t="shared" si="0"/>
        <v>-0.1100000000000001</v>
      </c>
      <c r="F21" s="21">
        <f t="shared" si="1"/>
        <v>-6.1797752808988804E-2</v>
      </c>
      <c r="G21" s="63" t="str">
        <f>VLOOKUP(H21,유니버스!$C$14:$D$2561,2,0)</f>
        <v>KS</v>
      </c>
      <c r="H21" s="65" t="str">
        <f>'KoAct 배당성장액티브'!B27</f>
        <v>코리안리</v>
      </c>
      <c r="I21" s="65">
        <f>VLOOKUP(H21,'KoAct 배당성장액티브'!$B$11:$E$1000,4,0)</f>
        <v>1.1499999999999999</v>
      </c>
      <c r="J21" s="65">
        <f>IFERROR(VLOOKUP(H21,'KoAct 배당성장액티브(과거)'!$B$11:$E$1000,4,0),0)</f>
        <v>0</v>
      </c>
      <c r="K21" s="20">
        <f t="shared" si="2"/>
        <v>1.1499999999999999</v>
      </c>
      <c r="L21" s="21" t="str">
        <f t="shared" si="3"/>
        <v>신규편입</v>
      </c>
      <c r="M21" s="62" t="str">
        <f>VLOOKUP(N21,유니버스!$C$14:$D$2561,2,0)</f>
        <v>KS</v>
      </c>
      <c r="N21" s="26" t="str">
        <f>'TIMEFOLIO Korea플러스배당액티브'!B27</f>
        <v>BNK금융지주</v>
      </c>
      <c r="O21" s="20">
        <f>VLOOKUP(N21,'TIMEFOLIO Korea플러스배당액티브'!$B$11:$E$1000,4,0)</f>
        <v>1.59</v>
      </c>
      <c r="P21" s="20">
        <f>IFERROR(VLOOKUP(N21,'TIMEFOLIO Korea플러스배당액티브(과거)'!$B$11:$E$1000,4,0),0)</f>
        <v>1.64</v>
      </c>
      <c r="Q21" s="20">
        <f t="shared" si="4"/>
        <v>-4.9999999999999822E-2</v>
      </c>
      <c r="R21" s="21">
        <f t="shared" si="5"/>
        <v>-3.0487804878048697E-2</v>
      </c>
    </row>
    <row r="22" spans="1:18" x14ac:dyDescent="0.4">
      <c r="A22" s="63" t="str">
        <f>VLOOKUP(B22,유니버스!$C$14:$D$2561,2,0)</f>
        <v>KQ</v>
      </c>
      <c r="B22" s="65" t="str">
        <f>'SOL 코리아메가테크액티브'!B28</f>
        <v>알테오젠</v>
      </c>
      <c r="C22" s="65">
        <f>VLOOKUP(B22,'SOL 코리아메가테크액티브'!$B$11:$E$1000,4,0)</f>
        <v>1.5</v>
      </c>
      <c r="D22" s="65">
        <f>IFERROR(VLOOKUP(B22,'SOL 코리아메가테크액티브(과거)'!$B$11:$E$1000,4,0),0)</f>
        <v>1.61</v>
      </c>
      <c r="E22" s="20">
        <f t="shared" si="0"/>
        <v>-0.1100000000000001</v>
      </c>
      <c r="F22" s="21">
        <f t="shared" si="1"/>
        <v>-6.8322981366459645E-2</v>
      </c>
      <c r="G22" s="63" t="str">
        <f>VLOOKUP(H22,유니버스!$C$14:$D$2561,2,0)</f>
        <v>KS</v>
      </c>
      <c r="H22" s="65" t="str">
        <f>'KoAct 배당성장액티브'!B28</f>
        <v>삼성물산</v>
      </c>
      <c r="I22" s="65">
        <f>VLOOKUP(H22,'KoAct 배당성장액티브'!$B$11:$E$1000,4,0)</f>
        <v>1.1399999999999999</v>
      </c>
      <c r="J22" s="65">
        <f>IFERROR(VLOOKUP(H22,'KoAct 배당성장액티브(과거)'!$B$11:$E$1000,4,0),0)</f>
        <v>1.1100000000000001</v>
      </c>
      <c r="K22" s="20">
        <f t="shared" si="2"/>
        <v>2.9999999999999805E-2</v>
      </c>
      <c r="L22" s="21">
        <f t="shared" si="3"/>
        <v>2.7027027027026751E-2</v>
      </c>
      <c r="M22" s="62" t="str">
        <f>VLOOKUP(N22,유니버스!$C$14:$D$2561,2,0)</f>
        <v>KS</v>
      </c>
      <c r="N22" s="26" t="str">
        <f>'TIMEFOLIO Korea플러스배당액티브'!B28</f>
        <v>한화</v>
      </c>
      <c r="O22" s="20">
        <f>VLOOKUP(N22,'TIMEFOLIO Korea플러스배당액티브'!$B$11:$E$1000,4,0)</f>
        <v>1.53</v>
      </c>
      <c r="P22" s="20">
        <f>IFERROR(VLOOKUP(N22,'TIMEFOLIO Korea플러스배당액티브(과거)'!$B$11:$E$1000,4,0),0)</f>
        <v>1.65</v>
      </c>
      <c r="Q22" s="20">
        <f t="shared" si="4"/>
        <v>-0.11999999999999988</v>
      </c>
      <c r="R22" s="21">
        <f t="shared" si="5"/>
        <v>-7.272727272727264E-2</v>
      </c>
    </row>
    <row r="23" spans="1:18" x14ac:dyDescent="0.4">
      <c r="A23" s="63" t="str">
        <f>VLOOKUP(B23,유니버스!$C$14:$D$2561,2,0)</f>
        <v>KS</v>
      </c>
      <c r="B23" s="65" t="str">
        <f>'SOL 코리아메가테크액티브'!B29</f>
        <v>셀트리온</v>
      </c>
      <c r="C23" s="65">
        <f>VLOOKUP(B23,'SOL 코리아메가테크액티브'!$B$11:$E$1000,4,0)</f>
        <v>1.48</v>
      </c>
      <c r="D23" s="65">
        <f>IFERROR(VLOOKUP(B23,'SOL 코리아메가테크액티브(과거)'!$B$11:$E$1000,4,0),0)</f>
        <v>1.52</v>
      </c>
      <c r="E23" s="20">
        <f t="shared" si="0"/>
        <v>-4.0000000000000036E-2</v>
      </c>
      <c r="F23" s="21">
        <f t="shared" si="1"/>
        <v>-2.6315789473684181E-2</v>
      </c>
      <c r="G23" s="63" t="str">
        <f>VLOOKUP(H23,유니버스!$C$14:$D$2561,2,0)</f>
        <v>KS</v>
      </c>
      <c r="H23" s="65" t="str">
        <f>'KoAct 배당성장액티브'!B29</f>
        <v>SK</v>
      </c>
      <c r="I23" s="65">
        <f>VLOOKUP(H23,'KoAct 배당성장액티브'!$B$11:$E$1000,4,0)</f>
        <v>1.1000000000000001</v>
      </c>
      <c r="J23" s="65">
        <f>IFERROR(VLOOKUP(H23,'KoAct 배당성장액티브(과거)'!$B$11:$E$1000,4,0),0)</f>
        <v>0.98</v>
      </c>
      <c r="K23" s="20">
        <f t="shared" si="2"/>
        <v>0.12000000000000011</v>
      </c>
      <c r="L23" s="21">
        <f t="shared" si="3"/>
        <v>0.12244897959183687</v>
      </c>
      <c r="M23" s="62" t="str">
        <f>VLOOKUP(N23,유니버스!$C$14:$D$2561,2,0)</f>
        <v>KS</v>
      </c>
      <c r="N23" s="26" t="str">
        <f>'TIMEFOLIO Korea플러스배당액티브'!B29</f>
        <v>POSCO홀딩스</v>
      </c>
      <c r="O23" s="20">
        <f>VLOOKUP(N23,'TIMEFOLIO Korea플러스배당액티브'!$B$11:$E$1000,4,0)</f>
        <v>1.33</v>
      </c>
      <c r="P23" s="20">
        <f>IFERROR(VLOOKUP(N23,'TIMEFOLIO Korea플러스배당액티브(과거)'!$B$11:$E$1000,4,0),0)</f>
        <v>1.43</v>
      </c>
      <c r="Q23" s="20">
        <f t="shared" si="4"/>
        <v>-9.9999999999999867E-2</v>
      </c>
      <c r="R23" s="21">
        <f t="shared" si="5"/>
        <v>-6.9930069930069894E-2</v>
      </c>
    </row>
    <row r="24" spans="1:18" x14ac:dyDescent="0.4">
      <c r="A24" s="63" t="str">
        <f>VLOOKUP(B24,유니버스!$C$14:$D$2561,2,0)</f>
        <v>KS</v>
      </c>
      <c r="B24" s="65" t="str">
        <f>'SOL 코리아메가테크액티브'!B30</f>
        <v>대한전선</v>
      </c>
      <c r="C24" s="65">
        <f>VLOOKUP(B24,'SOL 코리아메가테크액티브'!$B$11:$E$1000,4,0)</f>
        <v>1.37</v>
      </c>
      <c r="D24" s="65">
        <f>IFERROR(VLOOKUP(B24,'SOL 코리아메가테크액티브(과거)'!$B$11:$E$1000,4,0),0)</f>
        <v>1.5</v>
      </c>
      <c r="E24" s="20">
        <f t="shared" si="0"/>
        <v>-0.12999999999999989</v>
      </c>
      <c r="F24" s="21">
        <f t="shared" si="1"/>
        <v>-8.6666666666666559E-2</v>
      </c>
      <c r="G24" s="63" t="str">
        <f>VLOOKUP(H24,유니버스!$C$14:$D$2561,2,0)</f>
        <v>KQ</v>
      </c>
      <c r="H24" s="65" t="str">
        <f>'KoAct 배당성장액티브'!B30</f>
        <v>테스</v>
      </c>
      <c r="I24" s="65">
        <f>VLOOKUP(H24,'KoAct 배당성장액티브'!$B$11:$E$1000,4,0)</f>
        <v>1</v>
      </c>
      <c r="J24" s="65">
        <f>IFERROR(VLOOKUP(H24,'KoAct 배당성장액티브(과거)'!$B$11:$E$1000,4,0),0)</f>
        <v>1.01</v>
      </c>
      <c r="K24" s="20">
        <f t="shared" si="2"/>
        <v>-1.0000000000000009E-2</v>
      </c>
      <c r="L24" s="21">
        <f t="shared" si="3"/>
        <v>-9.9009900990099098E-3</v>
      </c>
      <c r="M24" s="62" t="str">
        <f>VLOOKUP(N24,유니버스!$C$14:$D$2561,2,0)</f>
        <v>KS</v>
      </c>
      <c r="N24" s="26" t="str">
        <f>'TIMEFOLIO Korea플러스배당액티브'!B30</f>
        <v>KT&amp;G</v>
      </c>
      <c r="O24" s="20">
        <f>VLOOKUP(N24,'TIMEFOLIO Korea플러스배당액티브'!$B$11:$E$1000,4,0)</f>
        <v>1.29</v>
      </c>
      <c r="P24" s="20">
        <f>IFERROR(VLOOKUP(N24,'TIMEFOLIO Korea플러스배당액티브(과거)'!$B$11:$E$1000,4,0),0)</f>
        <v>1.31</v>
      </c>
      <c r="Q24" s="20">
        <f t="shared" si="4"/>
        <v>-2.0000000000000018E-2</v>
      </c>
      <c r="R24" s="21">
        <f t="shared" si="5"/>
        <v>-1.5267175572519109E-2</v>
      </c>
    </row>
    <row r="25" spans="1:18" x14ac:dyDescent="0.4">
      <c r="A25" s="63" t="str">
        <f>VLOOKUP(B25,유니버스!$C$14:$D$2561,2,0)</f>
        <v>KS</v>
      </c>
      <c r="B25" s="65" t="str">
        <f>'SOL 코리아메가테크액티브'!B31</f>
        <v>LG이노텍</v>
      </c>
      <c r="C25" s="65">
        <f>VLOOKUP(B25,'SOL 코리아메가테크액티브'!$B$11:$E$1000,4,0)</f>
        <v>1.24</v>
      </c>
      <c r="D25" s="65">
        <f>IFERROR(VLOOKUP(B25,'SOL 코리아메가테크액티브(과거)'!$B$11:$E$1000,4,0),0)</f>
        <v>1.1100000000000001</v>
      </c>
      <c r="E25" s="20">
        <f t="shared" si="0"/>
        <v>0.12999999999999989</v>
      </c>
      <c r="F25" s="21">
        <f t="shared" si="1"/>
        <v>0.11711711711711703</v>
      </c>
      <c r="G25" s="63" t="str">
        <f>VLOOKUP(H25,유니버스!$C$14:$D$2561,2,0)</f>
        <v>KS</v>
      </c>
      <c r="H25" s="65" t="str">
        <f>'KoAct 배당성장액티브'!B31</f>
        <v>효성중공업</v>
      </c>
      <c r="I25" s="65">
        <f>VLOOKUP(H25,'KoAct 배당성장액티브'!$B$11:$E$1000,4,0)</f>
        <v>0.98</v>
      </c>
      <c r="J25" s="65">
        <f>IFERROR(VLOOKUP(H25,'KoAct 배당성장액티브(과거)'!$B$11:$E$1000,4,0),0)</f>
        <v>1.27</v>
      </c>
      <c r="K25" s="20">
        <f t="shared" si="2"/>
        <v>-0.29000000000000004</v>
      </c>
      <c r="L25" s="21">
        <f t="shared" si="3"/>
        <v>-0.22834645669291342</v>
      </c>
      <c r="M25" s="62" t="str">
        <f>VLOOKUP(N25,유니버스!$C$14:$D$2561,2,0)</f>
        <v>KS</v>
      </c>
      <c r="N25" s="26" t="str">
        <f>'TIMEFOLIO Korea플러스배당액티브'!B31</f>
        <v>NH투자증권</v>
      </c>
      <c r="O25" s="20">
        <f>VLOOKUP(N25,'TIMEFOLIO Korea플러스배당액티브'!$B$11:$E$1000,4,0)</f>
        <v>1.1299999999999999</v>
      </c>
      <c r="P25" s="20">
        <f>IFERROR(VLOOKUP(N25,'TIMEFOLIO Korea플러스배당액티브(과거)'!$B$11:$E$1000,4,0),0)</f>
        <v>1.19</v>
      </c>
      <c r="Q25" s="20">
        <f t="shared" si="4"/>
        <v>-6.0000000000000053E-2</v>
      </c>
      <c r="R25" s="21">
        <f t="shared" si="5"/>
        <v>-5.0420168067226934E-2</v>
      </c>
    </row>
    <row r="26" spans="1:18" x14ac:dyDescent="0.4">
      <c r="A26" s="63" t="str">
        <f>VLOOKUP(B26,유니버스!$C$14:$D$2561,2,0)</f>
        <v>KS</v>
      </c>
      <c r="B26" s="65" t="str">
        <f>'SOL 코리아메가테크액티브'!B32</f>
        <v>삼성SDI</v>
      </c>
      <c r="C26" s="65">
        <f>VLOOKUP(B26,'SOL 코리아메가테크액티브'!$B$11:$E$1000,4,0)</f>
        <v>1.1499999999999999</v>
      </c>
      <c r="D26" s="65">
        <f>IFERROR(VLOOKUP(B26,'SOL 코리아메가테크액티브(과거)'!$B$11:$E$1000,4,0),0)</f>
        <v>1.18</v>
      </c>
      <c r="E26" s="20">
        <f t="shared" si="0"/>
        <v>-3.0000000000000027E-2</v>
      </c>
      <c r="F26" s="21">
        <f t="shared" si="1"/>
        <v>-2.5423728813559365E-2</v>
      </c>
      <c r="G26" s="63" t="str">
        <f>VLOOKUP(H26,유니버스!$C$14:$D$2561,2,0)</f>
        <v>KS</v>
      </c>
      <c r="H26" s="65" t="str">
        <f>'KoAct 배당성장액티브'!B32</f>
        <v>대덕</v>
      </c>
      <c r="I26" s="65">
        <f>VLOOKUP(H26,'KoAct 배당성장액티브'!$B$11:$E$1000,4,0)</f>
        <v>0.96</v>
      </c>
      <c r="J26" s="65">
        <f>IFERROR(VLOOKUP(H26,'KoAct 배당성장액티브(과거)'!$B$11:$E$1000,4,0),0)</f>
        <v>1.05</v>
      </c>
      <c r="K26" s="20">
        <f t="shared" si="2"/>
        <v>-9.000000000000008E-2</v>
      </c>
      <c r="L26" s="21">
        <f t="shared" si="3"/>
        <v>-8.5714285714285743E-2</v>
      </c>
      <c r="M26" s="62" t="str">
        <f>VLOOKUP(N26,유니버스!$C$14:$D$2561,2,0)</f>
        <v>KS</v>
      </c>
      <c r="N26" s="26" t="str">
        <f>'TIMEFOLIO Korea플러스배당액티브'!B32</f>
        <v>우리금융지주</v>
      </c>
      <c r="O26" s="20">
        <f>VLOOKUP(N26,'TIMEFOLIO Korea플러스배당액티브'!$B$11:$E$1000,4,0)</f>
        <v>1.08</v>
      </c>
      <c r="P26" s="20">
        <f>IFERROR(VLOOKUP(N26,'TIMEFOLIO Korea플러스배당액티브(과거)'!$B$11:$E$1000,4,0),0)</f>
        <v>1.1299999999999999</v>
      </c>
      <c r="Q26" s="20">
        <f t="shared" ref="Q26:Q34" si="6">O26-P26</f>
        <v>-4.9999999999999822E-2</v>
      </c>
      <c r="R26" s="21">
        <f t="shared" ref="R26:R34" si="7">IFERROR(O26/P26-1,"신규편입")</f>
        <v>-4.4247787610619316E-2</v>
      </c>
    </row>
    <row r="27" spans="1:18" x14ac:dyDescent="0.4">
      <c r="A27" s="63" t="str">
        <f>VLOOKUP(B27,유니버스!$C$14:$D$2561,2,0)</f>
        <v>KS</v>
      </c>
      <c r="B27" s="65" t="str">
        <f>'SOL 코리아메가테크액티브'!B33</f>
        <v>삼성전기</v>
      </c>
      <c r="C27" s="65">
        <f>VLOOKUP(B27,'SOL 코리아메가테크액티브'!$B$11:$E$1000,4,0)</f>
        <v>1.02</v>
      </c>
      <c r="D27" s="65">
        <f>IFERROR(VLOOKUP(B27,'SOL 코리아메가테크액티브(과거)'!$B$11:$E$1000,4,0),0)</f>
        <v>0.88</v>
      </c>
      <c r="E27" s="20">
        <f t="shared" si="0"/>
        <v>0.14000000000000001</v>
      </c>
      <c r="F27" s="21">
        <f t="shared" si="1"/>
        <v>0.15909090909090917</v>
      </c>
      <c r="G27" s="63" t="str">
        <f>VLOOKUP(H27,유니버스!$C$14:$D$2561,2,0)</f>
        <v>KS</v>
      </c>
      <c r="H27" s="65" t="str">
        <f>'KoAct 배당성장액티브'!B33</f>
        <v>삼성생명</v>
      </c>
      <c r="I27" s="65">
        <f>VLOOKUP(H27,'KoAct 배당성장액티브'!$B$11:$E$1000,4,0)</f>
        <v>0.91</v>
      </c>
      <c r="J27" s="65">
        <f>IFERROR(VLOOKUP(H27,'KoAct 배당성장액티브(과거)'!$B$11:$E$1000,4,0),0)</f>
        <v>0.81</v>
      </c>
      <c r="K27" s="20">
        <f t="shared" si="2"/>
        <v>9.9999999999999978E-2</v>
      </c>
      <c r="L27" s="21">
        <f t="shared" si="3"/>
        <v>0.12345679012345667</v>
      </c>
      <c r="M27" s="62" t="str">
        <f>VLOOKUP(N27,유니버스!$C$14:$D$2561,2,0)</f>
        <v>KS</v>
      </c>
      <c r="N27" s="26" t="str">
        <f>'TIMEFOLIO Korea플러스배당액티브'!B33</f>
        <v>한국금융지주</v>
      </c>
      <c r="O27" s="20">
        <f>VLOOKUP(N27,'TIMEFOLIO Korea플러스배당액티브'!$B$11:$E$1000,4,0)</f>
        <v>1.03</v>
      </c>
      <c r="P27" s="20">
        <f>IFERROR(VLOOKUP(N27,'TIMEFOLIO Korea플러스배당액티브(과거)'!$B$11:$E$1000,4,0),0)</f>
        <v>1.0900000000000001</v>
      </c>
      <c r="Q27" s="20">
        <f t="shared" si="6"/>
        <v>-6.0000000000000053E-2</v>
      </c>
      <c r="R27" s="21">
        <f t="shared" si="7"/>
        <v>-5.5045871559633031E-2</v>
      </c>
    </row>
    <row r="28" spans="1:18" x14ac:dyDescent="0.4">
      <c r="A28" s="63" t="str">
        <f>VLOOKUP(B28,유니버스!$C$14:$D$2561,2,0)</f>
        <v>KQ</v>
      </c>
      <c r="B28" s="65" t="str">
        <f>'SOL 코리아메가테크액티브'!B34</f>
        <v>로보티즈</v>
      </c>
      <c r="C28" s="65">
        <f>VLOOKUP(B28,'SOL 코리아메가테크액티브'!$B$11:$E$1000,4,0)</f>
        <v>0.92</v>
      </c>
      <c r="D28" s="65">
        <f>IFERROR(VLOOKUP(B28,'SOL 코리아메가테크액티브(과거)'!$B$11:$E$1000,4,0),0)</f>
        <v>1.02</v>
      </c>
      <c r="E28" s="20">
        <f t="shared" si="0"/>
        <v>-9.9999999999999978E-2</v>
      </c>
      <c r="F28" s="21">
        <f t="shared" si="1"/>
        <v>-9.8039215686274495E-2</v>
      </c>
      <c r="G28" s="63" t="str">
        <f>VLOOKUP(H28,유니버스!$C$14:$D$2561,2,0)</f>
        <v>KS</v>
      </c>
      <c r="H28" s="65" t="str">
        <f>'KoAct 배당성장액티브'!B34</f>
        <v>삼양식품</v>
      </c>
      <c r="I28" s="65">
        <f>VLOOKUP(H28,'KoAct 배당성장액티브'!$B$11:$E$1000,4,0)</f>
        <v>0.87</v>
      </c>
      <c r="J28" s="65">
        <f>IFERROR(VLOOKUP(H28,'KoAct 배당성장액티브(과거)'!$B$11:$E$1000,4,0),0)</f>
        <v>0.98</v>
      </c>
      <c r="K28" s="20">
        <f t="shared" si="2"/>
        <v>-0.10999999999999999</v>
      </c>
      <c r="L28" s="21">
        <f t="shared" si="3"/>
        <v>-0.11224489795918369</v>
      </c>
      <c r="M28" s="62" t="str">
        <f>VLOOKUP(N28,유니버스!$C$14:$D$2561,2,0)</f>
        <v>KS</v>
      </c>
      <c r="N28" s="26" t="str">
        <f>'TIMEFOLIO Korea플러스배당액티브'!B34</f>
        <v>하나금융지주</v>
      </c>
      <c r="O28" s="20">
        <f>VLOOKUP(N28,'TIMEFOLIO Korea플러스배당액티브'!$B$11:$E$1000,4,0)</f>
        <v>1.02</v>
      </c>
      <c r="P28" s="20">
        <f>IFERROR(VLOOKUP(N28,'TIMEFOLIO Korea플러스배당액티브(과거)'!$B$11:$E$1000,4,0),0)</f>
        <v>1.04</v>
      </c>
      <c r="Q28" s="20">
        <f t="shared" si="6"/>
        <v>-2.0000000000000018E-2</v>
      </c>
      <c r="R28" s="21">
        <f t="shared" si="7"/>
        <v>-1.9230769230769273E-2</v>
      </c>
    </row>
    <row r="29" spans="1:18" x14ac:dyDescent="0.4">
      <c r="A29" s="63" t="str">
        <f>VLOOKUP(B29,유니버스!$C$14:$D$2561,2,0)</f>
        <v>KS</v>
      </c>
      <c r="B29" s="65" t="str">
        <f>'SOL 코리아메가테크액티브'!B35</f>
        <v>현대로템</v>
      </c>
      <c r="C29" s="65">
        <f>VLOOKUP(B29,'SOL 코리아메가테크액티브'!$B$11:$E$1000,4,0)</f>
        <v>0.86</v>
      </c>
      <c r="D29" s="65">
        <f>IFERROR(VLOOKUP(B29,'SOL 코리아메가테크액티브(과거)'!$B$11:$E$1000,4,0),0)</f>
        <v>0.91</v>
      </c>
      <c r="E29" s="20">
        <f t="shared" si="0"/>
        <v>-5.0000000000000044E-2</v>
      </c>
      <c r="F29" s="21">
        <f t="shared" si="1"/>
        <v>-5.4945054945054972E-2</v>
      </c>
      <c r="G29" s="63" t="str">
        <f>VLOOKUP(H29,유니버스!$C$14:$D$2561,2,0)</f>
        <v>KQ</v>
      </c>
      <c r="H29" s="65" t="str">
        <f>'KoAct 배당성장액티브'!B35</f>
        <v>에스에이엠티</v>
      </c>
      <c r="I29" s="65">
        <f>VLOOKUP(H29,'KoAct 배당성장액티브'!$B$11:$E$1000,4,0)</f>
        <v>0.82</v>
      </c>
      <c r="J29" s="65">
        <f>IFERROR(VLOOKUP(H29,'KoAct 배당성장액티브(과거)'!$B$11:$E$1000,4,0),0)</f>
        <v>1.72</v>
      </c>
      <c r="K29" s="20">
        <f t="shared" si="2"/>
        <v>-0.9</v>
      </c>
      <c r="L29" s="21">
        <f t="shared" si="3"/>
        <v>-0.52325581395348841</v>
      </c>
      <c r="M29" s="62" t="str">
        <f>VLOOKUP(N29,유니버스!$C$14:$D$2561,2,0)</f>
        <v>KS</v>
      </c>
      <c r="N29" s="26" t="str">
        <f>'TIMEFOLIO Korea플러스배당액티브'!B35</f>
        <v>기업은행</v>
      </c>
      <c r="O29" s="20">
        <f>VLOOKUP(N29,'TIMEFOLIO Korea플러스배당액티브'!$B$11:$E$1000,4,0)</f>
        <v>1</v>
      </c>
      <c r="P29" s="20">
        <f>IFERROR(VLOOKUP(N29,'TIMEFOLIO Korea플러스배당액티브(과거)'!$B$11:$E$1000,4,0),0)</f>
        <v>1.05</v>
      </c>
      <c r="Q29" s="20">
        <f t="shared" si="6"/>
        <v>-5.0000000000000044E-2</v>
      </c>
      <c r="R29" s="21">
        <f t="shared" si="7"/>
        <v>-4.7619047619047672E-2</v>
      </c>
    </row>
    <row r="30" spans="1:18" x14ac:dyDescent="0.4">
      <c r="A30" s="63" t="str">
        <f>VLOOKUP(B30,유니버스!$C$14:$D$2561,2,0)</f>
        <v>KS</v>
      </c>
      <c r="B30" s="65" t="str">
        <f>'SOL 코리아메가테크액티브'!B36</f>
        <v>엘앤에프</v>
      </c>
      <c r="C30" s="65">
        <f>VLOOKUP(B30,'SOL 코리아메가테크액티브'!$B$11:$E$1000,4,0)</f>
        <v>0.84</v>
      </c>
      <c r="D30" s="65">
        <f>IFERROR(VLOOKUP(B30,'SOL 코리아메가테크액티브(과거)'!$B$11:$E$1000,4,0),0)</f>
        <v>0.89</v>
      </c>
      <c r="E30" s="20">
        <f t="shared" si="0"/>
        <v>-5.0000000000000044E-2</v>
      </c>
      <c r="F30" s="21">
        <f t="shared" si="1"/>
        <v>-5.6179775280898903E-2</v>
      </c>
      <c r="G30" s="63" t="str">
        <f>VLOOKUP(H30,유니버스!$C$14:$D$2561,2,0)</f>
        <v>KS</v>
      </c>
      <c r="H30" s="65" t="str">
        <f>'KoAct 배당성장액티브'!B36</f>
        <v>케이씨</v>
      </c>
      <c r="I30" s="65">
        <f>VLOOKUP(H30,'KoAct 배당성장액티브'!$B$11:$E$1000,4,0)</f>
        <v>0.78</v>
      </c>
      <c r="J30" s="65">
        <f>IFERROR(VLOOKUP(H30,'KoAct 배당성장액티브(과거)'!$B$11:$E$1000,4,0),0)</f>
        <v>0.87</v>
      </c>
      <c r="K30" s="20">
        <f t="shared" si="2"/>
        <v>-8.9999999999999969E-2</v>
      </c>
      <c r="L30" s="21">
        <f t="shared" si="3"/>
        <v>-0.10344827586206895</v>
      </c>
      <c r="M30" s="62" t="e">
        <f>VLOOKUP(N30,유니버스!$C$14:$D$2561,2,0)</f>
        <v>#N/A</v>
      </c>
      <c r="N30" s="26" t="str">
        <f>'TIMEFOLIO Korea플러스배당액티브'!B36</f>
        <v>현대차2우B</v>
      </c>
      <c r="O30" s="20">
        <f>VLOOKUP(N30,'TIMEFOLIO Korea플러스배당액티브'!$B$11:$E$1000,4,0)</f>
        <v>0.95</v>
      </c>
      <c r="P30" s="20">
        <f>IFERROR(VLOOKUP(N30,'TIMEFOLIO Korea플러스배당액티브(과거)'!$B$11:$E$1000,4,0),0)</f>
        <v>1.02</v>
      </c>
      <c r="Q30" s="20">
        <f t="shared" si="6"/>
        <v>-7.0000000000000062E-2</v>
      </c>
      <c r="R30" s="21">
        <f t="shared" si="7"/>
        <v>-6.8627450980392246E-2</v>
      </c>
    </row>
    <row r="31" spans="1:18" x14ac:dyDescent="0.4">
      <c r="A31" s="63" t="str">
        <f>VLOOKUP(B31,유니버스!$C$14:$D$2561,2,0)</f>
        <v>KS</v>
      </c>
      <c r="B31" s="65" t="str">
        <f>'SOL 코리아메가테크액티브'!B37</f>
        <v>삼성바이오로직스</v>
      </c>
      <c r="C31" s="65">
        <f>VLOOKUP(B31,'SOL 코리아메가테크액티브'!$B$11:$E$1000,4,0)</f>
        <v>0.84</v>
      </c>
      <c r="D31" s="65">
        <f>IFERROR(VLOOKUP(B31,'SOL 코리아메가테크액티브(과거)'!$B$11:$E$1000,4,0),0)</f>
        <v>0.87</v>
      </c>
      <c r="E31" s="20">
        <f t="shared" si="0"/>
        <v>-3.0000000000000027E-2</v>
      </c>
      <c r="F31" s="21">
        <f t="shared" si="1"/>
        <v>-3.4482758620689724E-2</v>
      </c>
      <c r="G31" s="63" t="str">
        <f>VLOOKUP(H31,유니버스!$C$14:$D$2561,2,0)</f>
        <v>KS</v>
      </c>
      <c r="H31" s="65" t="str">
        <f>'KoAct 배당성장액티브'!B37</f>
        <v>두산에너빌리티</v>
      </c>
      <c r="I31" s="65">
        <f>VLOOKUP(H31,'KoAct 배당성장액티브'!$B$11:$E$1000,4,0)</f>
        <v>0.68</v>
      </c>
      <c r="J31" s="65">
        <f>IFERROR(VLOOKUP(H31,'KoAct 배당성장액티브(과거)'!$B$11:$E$1000,4,0),0)</f>
        <v>0.71</v>
      </c>
      <c r="K31" s="20">
        <f t="shared" si="2"/>
        <v>-2.9999999999999916E-2</v>
      </c>
      <c r="L31" s="21">
        <f t="shared" si="3"/>
        <v>-4.2253521126760396E-2</v>
      </c>
      <c r="M31" s="62" t="str">
        <f>VLOOKUP(N31,유니버스!$C$14:$D$2561,2,0)</f>
        <v>KS</v>
      </c>
      <c r="N31" s="26" t="str">
        <f>'TIMEFOLIO Korea플러스배당액티브'!B37</f>
        <v>신한지주</v>
      </c>
      <c r="O31" s="20">
        <f>VLOOKUP(N31,'TIMEFOLIO Korea플러스배당액티브'!$B$11:$E$1000,4,0)</f>
        <v>0.81</v>
      </c>
      <c r="P31" s="20">
        <f>IFERROR(VLOOKUP(N31,'TIMEFOLIO Korea플러스배당액티브(과거)'!$B$11:$E$1000,4,0),0)</f>
        <v>0.83</v>
      </c>
      <c r="Q31" s="20">
        <f t="shared" si="6"/>
        <v>-1.9999999999999907E-2</v>
      </c>
      <c r="R31" s="21">
        <f t="shared" si="7"/>
        <v>-2.409638554216853E-2</v>
      </c>
    </row>
    <row r="32" spans="1:18" x14ac:dyDescent="0.4">
      <c r="A32" s="63" t="str">
        <f>VLOOKUP(B32,유니버스!$C$14:$D$2561,2,0)</f>
        <v>KS</v>
      </c>
      <c r="B32" s="65" t="str">
        <f>'SOL 코리아메가테크액티브'!B38</f>
        <v>이수페타시스</v>
      </c>
      <c r="C32" s="65">
        <f>VLOOKUP(B32,'SOL 코리아메가테크액티브'!$B$11:$E$1000,4,0)</f>
        <v>0.63</v>
      </c>
      <c r="D32" s="65">
        <f>IFERROR(VLOOKUP(B32,'SOL 코리아메가테크액티브(과거)'!$B$11:$E$1000,4,0),0)</f>
        <v>0.64</v>
      </c>
      <c r="E32" s="20">
        <f t="shared" si="0"/>
        <v>-1.0000000000000009E-2</v>
      </c>
      <c r="F32" s="21">
        <f t="shared" si="1"/>
        <v>-1.5625E-2</v>
      </c>
      <c r="G32" s="63" t="str">
        <f>VLOOKUP(H32,유니버스!$C$14:$D$2561,2,0)</f>
        <v>KS</v>
      </c>
      <c r="H32" s="65" t="str">
        <f>'KoAct 배당성장액티브'!B38</f>
        <v>SK텔레콤</v>
      </c>
      <c r="I32" s="65">
        <f>VLOOKUP(H32,'KoAct 배당성장액티브'!$B$11:$E$1000,4,0)</f>
        <v>0.67</v>
      </c>
      <c r="J32" s="65">
        <f>IFERROR(VLOOKUP(H32,'KoAct 배당성장액티브(과거)'!$B$11:$E$1000,4,0),0)</f>
        <v>0.68</v>
      </c>
      <c r="K32" s="20">
        <f t="shared" si="2"/>
        <v>-1.0000000000000009E-2</v>
      </c>
      <c r="L32" s="21">
        <f t="shared" si="3"/>
        <v>-1.4705882352941235E-2</v>
      </c>
      <c r="M32" s="62" t="str">
        <f>VLOOKUP(N32,유니버스!$C$14:$D$2561,2,0)</f>
        <v>KS</v>
      </c>
      <c r="N32" s="26" t="str">
        <f>'TIMEFOLIO Korea플러스배당액티브'!B38</f>
        <v>KT</v>
      </c>
      <c r="O32" s="20">
        <f>VLOOKUP(N32,'TIMEFOLIO Korea플러스배당액티브'!$B$11:$E$1000,4,0)</f>
        <v>0.78</v>
      </c>
      <c r="P32" s="20">
        <f>IFERROR(VLOOKUP(N32,'TIMEFOLIO Korea플러스배당액티브(과거)'!$B$11:$E$1000,4,0),0)</f>
        <v>0.85</v>
      </c>
      <c r="Q32" s="20">
        <f t="shared" si="6"/>
        <v>-6.9999999999999951E-2</v>
      </c>
      <c r="R32" s="21">
        <f t="shared" si="7"/>
        <v>-8.2352941176470518E-2</v>
      </c>
    </row>
    <row r="33" spans="1:18" x14ac:dyDescent="0.4">
      <c r="A33" s="63" t="str">
        <f>VLOOKUP(B33,유니버스!$C$14:$D$2561,2,0)</f>
        <v>KS</v>
      </c>
      <c r="B33" s="65" t="str">
        <f>'SOL 코리아메가테크액티브'!B39</f>
        <v>HD현대</v>
      </c>
      <c r="C33" s="65">
        <f>VLOOKUP(B33,'SOL 코리아메가테크액티브'!$B$11:$E$1000,4,0)</f>
        <v>0.61</v>
      </c>
      <c r="D33" s="65">
        <f>IFERROR(VLOOKUP(B33,'SOL 코리아메가테크액티브(과거)'!$B$11:$E$1000,4,0),0)</f>
        <v>0.6</v>
      </c>
      <c r="E33" s="20">
        <f t="shared" si="0"/>
        <v>1.0000000000000009E-2</v>
      </c>
      <c r="F33" s="21">
        <f t="shared" si="1"/>
        <v>1.6666666666666607E-2</v>
      </c>
      <c r="G33" s="63" t="str">
        <f>VLOOKUP(H33,유니버스!$C$14:$D$2561,2,0)</f>
        <v>KS</v>
      </c>
      <c r="H33" s="65" t="str">
        <f>'KoAct 배당성장액티브'!B39</f>
        <v>하나금융지주</v>
      </c>
      <c r="I33" s="65">
        <f>VLOOKUP(H33,'KoAct 배당성장액티브'!$B$11:$E$1000,4,0)</f>
        <v>0.66</v>
      </c>
      <c r="J33" s="65">
        <f>IFERROR(VLOOKUP(H33,'KoAct 배당성장액티브(과거)'!$B$11:$E$1000,4,0),0)</f>
        <v>0.68</v>
      </c>
      <c r="K33" s="20">
        <f t="shared" si="2"/>
        <v>-2.0000000000000018E-2</v>
      </c>
      <c r="L33" s="21">
        <f t="shared" si="3"/>
        <v>-2.9411764705882359E-2</v>
      </c>
      <c r="M33" s="62" t="str">
        <f>VLOOKUP(N33,유니버스!$C$14:$D$2561,2,0)</f>
        <v>KS</v>
      </c>
      <c r="N33" s="26" t="str">
        <f>'TIMEFOLIO Korea플러스배당액티브'!B39</f>
        <v>SK텔레콤</v>
      </c>
      <c r="O33" s="20">
        <f>VLOOKUP(N33,'TIMEFOLIO Korea플러스배당액티브'!$B$11:$E$1000,4,0)</f>
        <v>0.73</v>
      </c>
      <c r="P33" s="20">
        <f>IFERROR(VLOOKUP(N33,'TIMEFOLIO Korea플러스배당액티브(과거)'!$B$11:$E$1000,4,0),0)</f>
        <v>0.74</v>
      </c>
      <c r="Q33" s="20">
        <f t="shared" si="6"/>
        <v>-1.0000000000000009E-2</v>
      </c>
      <c r="R33" s="21">
        <f t="shared" si="7"/>
        <v>-1.3513513513513487E-2</v>
      </c>
    </row>
    <row r="34" spans="1:18" x14ac:dyDescent="0.4">
      <c r="A34" s="63" t="str">
        <f>VLOOKUP(B34,유니버스!$C$14:$D$2561,2,0)</f>
        <v>KS</v>
      </c>
      <c r="B34" s="65" t="str">
        <f>'SOL 코리아메가테크액티브'!B40</f>
        <v>두산로보틱스</v>
      </c>
      <c r="C34" s="65">
        <f>VLOOKUP(B34,'SOL 코리아메가테크액티브'!$B$11:$E$1000,4,0)</f>
        <v>0.57999999999999996</v>
      </c>
      <c r="D34" s="65">
        <f>IFERROR(VLOOKUP(B34,'SOL 코리아메가테크액티브(과거)'!$B$11:$E$1000,4,0),0)</f>
        <v>0.7</v>
      </c>
      <c r="E34" s="20">
        <f t="shared" si="0"/>
        <v>-0.12</v>
      </c>
      <c r="F34" s="21">
        <f t="shared" si="1"/>
        <v>-0.17142857142857149</v>
      </c>
      <c r="G34" s="63" t="str">
        <f>VLOOKUP(H34,유니버스!$C$14:$D$2561,2,0)</f>
        <v>KS</v>
      </c>
      <c r="H34" s="65" t="str">
        <f>'KoAct 배당성장액티브'!B40</f>
        <v>HD현대일렉트릭</v>
      </c>
      <c r="I34" s="65">
        <f>VLOOKUP(H34,'KoAct 배당성장액티브'!$B$11:$E$1000,4,0)</f>
        <v>0.66</v>
      </c>
      <c r="J34" s="65">
        <f>IFERROR(VLOOKUP(H34,'KoAct 배당성장액티브(과거)'!$B$11:$E$1000,4,0),0)</f>
        <v>0.7</v>
      </c>
      <c r="K34" s="20">
        <f t="shared" si="2"/>
        <v>-3.9999999999999925E-2</v>
      </c>
      <c r="L34" s="21">
        <f t="shared" si="3"/>
        <v>-5.7142857142857051E-2</v>
      </c>
      <c r="M34" s="62" t="str">
        <f>VLOOKUP(N34,유니버스!$C$14:$D$2561,2,0)</f>
        <v>KS</v>
      </c>
      <c r="N34" s="26" t="str">
        <f>'TIMEFOLIO Korea플러스배당액티브'!B40</f>
        <v>CJ</v>
      </c>
      <c r="O34" s="20">
        <f>VLOOKUP(N34,'TIMEFOLIO Korea플러스배당액티브'!$B$11:$E$1000,4,0)</f>
        <v>0.73</v>
      </c>
      <c r="P34" s="20">
        <f>IFERROR(VLOOKUP(N34,'TIMEFOLIO Korea플러스배당액티브(과거)'!$B$11:$E$1000,4,0),0)</f>
        <v>0.95</v>
      </c>
      <c r="Q34" s="20">
        <f t="shared" si="6"/>
        <v>-0.21999999999999997</v>
      </c>
      <c r="R34" s="21">
        <f t="shared" si="7"/>
        <v>-0.231578947368421</v>
      </c>
    </row>
    <row r="35" spans="1:18" x14ac:dyDescent="0.4">
      <c r="A35" s="63" t="str">
        <f>VLOOKUP(B35,유니버스!$C$14:$D$2561,2,0)</f>
        <v>KQ</v>
      </c>
      <c r="B35" s="65" t="str">
        <f>'SOL 코리아메가테크액티브'!B41</f>
        <v>고영</v>
      </c>
      <c r="C35" s="65">
        <f>VLOOKUP(B35,'SOL 코리아메가테크액티브'!$B$11:$E$1000,4,0)</f>
        <v>0.56999999999999995</v>
      </c>
      <c r="D35" s="65">
        <f>IFERROR(VLOOKUP(B35,'SOL 코리아메가테크액티브(과거)'!$B$11:$E$1000,4,0),0)</f>
        <v>0.56999999999999995</v>
      </c>
      <c r="E35" s="20">
        <f t="shared" si="0"/>
        <v>0</v>
      </c>
      <c r="F35" s="21">
        <f t="shared" si="1"/>
        <v>0</v>
      </c>
      <c r="G35" s="63" t="str">
        <f>VLOOKUP(H35,유니버스!$C$14:$D$2561,2,0)</f>
        <v>KS</v>
      </c>
      <c r="H35" s="65" t="str">
        <f>'KoAct 배당성장액티브'!B41</f>
        <v>강원랜드</v>
      </c>
      <c r="I35" s="65">
        <f>VLOOKUP(H35,'KoAct 배당성장액티브'!$B$11:$E$1000,4,0)</f>
        <v>0.63</v>
      </c>
      <c r="J35" s="65">
        <f>IFERROR(VLOOKUP(H35,'KoAct 배당성장액티브(과거)'!$B$11:$E$1000,4,0),0)</f>
        <v>0.69</v>
      </c>
      <c r="K35" s="20">
        <f t="shared" si="2"/>
        <v>-5.9999999999999942E-2</v>
      </c>
      <c r="L35" s="21">
        <f t="shared" si="3"/>
        <v>-8.6956521739130377E-2</v>
      </c>
      <c r="M35" s="62" t="str">
        <f>VLOOKUP(N35,유니버스!$C$14:$D$2561,2,0)</f>
        <v>KS</v>
      </c>
      <c r="N35" s="26" t="str">
        <f>'TIMEFOLIO Korea플러스배당액티브'!B41</f>
        <v>CJ제일제당</v>
      </c>
      <c r="O35" s="20">
        <f>VLOOKUP(N35,'TIMEFOLIO Korea플러스배당액티브'!$B$11:$E$1000,4,0)</f>
        <v>0.73</v>
      </c>
      <c r="P35" s="20">
        <f>IFERROR(VLOOKUP(N35,'TIMEFOLIO Korea플러스배당액티브(과거)'!$B$11:$E$1000,4,0),0)</f>
        <v>0.8</v>
      </c>
      <c r="Q35" s="20">
        <f t="shared" ref="Q35:Q37" si="8">O35-P35</f>
        <v>-7.0000000000000062E-2</v>
      </c>
      <c r="R35" s="21">
        <f t="shared" ref="R35:R37" si="9">IFERROR(O35/P35-1,"신규편입")</f>
        <v>-8.7500000000000022E-2</v>
      </c>
    </row>
    <row r="36" spans="1:18" x14ac:dyDescent="0.4">
      <c r="A36" s="63" t="str">
        <f>VLOOKUP(B36,유니버스!$C$14:$D$2561,2,0)</f>
        <v>KS</v>
      </c>
      <c r="B36" s="65" t="str">
        <f>'SOL 코리아메가테크액티브'!B42</f>
        <v>KT</v>
      </c>
      <c r="C36" s="65">
        <f>VLOOKUP(B36,'SOL 코리아메가테크액티브'!$B$11:$E$1000,4,0)</f>
        <v>0.38</v>
      </c>
      <c r="D36" s="65">
        <f>IFERROR(VLOOKUP(B36,'SOL 코리아메가테크액티브(과거)'!$B$11:$E$1000,4,0),0)</f>
        <v>0.42</v>
      </c>
      <c r="E36" s="20">
        <f t="shared" si="0"/>
        <v>-3.999999999999998E-2</v>
      </c>
      <c r="F36" s="21">
        <f t="shared" si="1"/>
        <v>-9.5238095238095233E-2</v>
      </c>
      <c r="G36" s="63" t="str">
        <f>VLOOKUP(H36,유니버스!$C$14:$D$2561,2,0)</f>
        <v>KS</v>
      </c>
      <c r="H36" s="65" t="str">
        <f>'KoAct 배당성장액티브'!B42</f>
        <v>CJ</v>
      </c>
      <c r="I36" s="65">
        <f>VLOOKUP(H36,'KoAct 배당성장액티브'!$B$11:$E$1000,4,0)</f>
        <v>0.63</v>
      </c>
      <c r="J36" s="65">
        <f>IFERROR(VLOOKUP(H36,'KoAct 배당성장액티브(과거)'!$B$11:$E$1000,4,0),0)</f>
        <v>0.83</v>
      </c>
      <c r="K36" s="20">
        <f t="shared" si="2"/>
        <v>-0.19999999999999996</v>
      </c>
      <c r="L36" s="21">
        <f t="shared" si="3"/>
        <v>-0.24096385542168675</v>
      </c>
      <c r="M36" s="62" t="str">
        <f>VLOOKUP(N36,유니버스!$C$14:$D$2561,2,0)</f>
        <v>KS</v>
      </c>
      <c r="N36" s="26" t="str">
        <f>'TIMEFOLIO Korea플러스배당액티브'!B42</f>
        <v>JB금융지주</v>
      </c>
      <c r="O36" s="20">
        <f>VLOOKUP(N36,'TIMEFOLIO Korea플러스배당액티브'!$B$11:$E$1000,4,0)</f>
        <v>0.72</v>
      </c>
      <c r="P36" s="20">
        <f>IFERROR(VLOOKUP(N36,'TIMEFOLIO Korea플러스배당액티브(과거)'!$B$11:$E$1000,4,0),0)</f>
        <v>0.73</v>
      </c>
      <c r="Q36" s="20">
        <f t="shared" si="8"/>
        <v>-1.0000000000000009E-2</v>
      </c>
      <c r="R36" s="21">
        <f t="shared" si="9"/>
        <v>-1.3698630136986356E-2</v>
      </c>
    </row>
    <row r="37" spans="1:18" x14ac:dyDescent="0.4">
      <c r="A37" s="63" t="str">
        <f>VLOOKUP(B37,유니버스!$C$14:$D$2561,2,0)</f>
        <v>KQ</v>
      </c>
      <c r="B37" s="65" t="str">
        <f>'SOL 코리아메가테크액티브'!B43</f>
        <v>리가켐바이오</v>
      </c>
      <c r="C37" s="65">
        <f>VLOOKUP(B37,'SOL 코리아메가테크액티브'!$B$11:$E$1000,4,0)</f>
        <v>0.36</v>
      </c>
      <c r="D37" s="65">
        <f>IFERROR(VLOOKUP(B37,'SOL 코리아메가테크액티브(과거)'!$B$11:$E$1000,4,0),0)</f>
        <v>0.51</v>
      </c>
      <c r="E37" s="20">
        <f t="shared" si="0"/>
        <v>-0.15000000000000002</v>
      </c>
      <c r="F37" s="21">
        <f t="shared" si="1"/>
        <v>-0.29411764705882359</v>
      </c>
      <c r="G37" s="63" t="str">
        <f>VLOOKUP(H37,유니버스!$C$14:$D$2561,2,0)</f>
        <v>KS</v>
      </c>
      <c r="H37" s="65" t="str">
        <f>'KoAct 배당성장액티브'!B43</f>
        <v>삼성화재</v>
      </c>
      <c r="I37" s="65">
        <f>VLOOKUP(H37,'KoAct 배당성장액티브'!$B$11:$E$1000,4,0)</f>
        <v>0.61</v>
      </c>
      <c r="J37" s="65">
        <f>IFERROR(VLOOKUP(H37,'KoAct 배당성장액티브(과거)'!$B$11:$E$1000,4,0),0)</f>
        <v>0.33</v>
      </c>
      <c r="K37" s="20">
        <f t="shared" si="2"/>
        <v>0.27999999999999997</v>
      </c>
      <c r="L37" s="21">
        <f t="shared" si="3"/>
        <v>0.8484848484848484</v>
      </c>
      <c r="M37" s="62" t="e">
        <f>VLOOKUP(N37,유니버스!$C$14:$D$2561,2,0)</f>
        <v>#N/A</v>
      </c>
      <c r="N37" s="26" t="str">
        <f>'TIMEFOLIO Korea플러스배당액티브'!B43</f>
        <v>원화현금</v>
      </c>
      <c r="O37" s="20">
        <f>VLOOKUP(N37,'TIMEFOLIO Korea플러스배당액티브'!$B$11:$E$1000,4,0)</f>
        <v>0.76</v>
      </c>
      <c r="P37" s="20">
        <f>IFERROR(VLOOKUP(N37,'TIMEFOLIO Korea플러스배당액티브(과거)'!$B$11:$E$1000,4,0),0)</f>
        <v>0.97</v>
      </c>
      <c r="Q37" s="20">
        <f t="shared" si="8"/>
        <v>-0.20999999999999996</v>
      </c>
      <c r="R37" s="21">
        <f t="shared" si="9"/>
        <v>-0.21649484536082475</v>
      </c>
    </row>
    <row r="38" spans="1:18" x14ac:dyDescent="0.4">
      <c r="A38" s="63" t="str">
        <f>VLOOKUP(B38,유니버스!$C$14:$D$2561,2,0)</f>
        <v>KS</v>
      </c>
      <c r="B38" s="65" t="str">
        <f>'SOL 코리아메가테크액티브'!B44</f>
        <v>NAVER</v>
      </c>
      <c r="C38" s="65">
        <f>VLOOKUP(B38,'SOL 코리아메가테크액티브'!$B$11:$E$1000,4,0)</f>
        <v>0.31</v>
      </c>
      <c r="D38" s="65">
        <f>IFERROR(VLOOKUP(B38,'SOL 코리아메가테크액티브(과거)'!$B$11:$E$1000,4,0),0)</f>
        <v>0.32</v>
      </c>
      <c r="E38" s="20">
        <f t="shared" si="0"/>
        <v>-1.0000000000000009E-2</v>
      </c>
      <c r="F38" s="21">
        <f t="shared" si="1"/>
        <v>-3.125E-2</v>
      </c>
      <c r="G38" s="63" t="str">
        <f>VLOOKUP(H38,유니버스!$C$14:$D$2561,2,0)</f>
        <v>KS</v>
      </c>
      <c r="H38" s="65" t="str">
        <f>'KoAct 배당성장액티브'!B44</f>
        <v>롯데쇼핑</v>
      </c>
      <c r="I38" s="65">
        <f>VLOOKUP(H38,'KoAct 배당성장액티브'!$B$11:$E$1000,4,0)</f>
        <v>0.59</v>
      </c>
      <c r="J38" s="65">
        <f>IFERROR(VLOOKUP(H38,'KoAct 배당성장액티브(과거)'!$B$11:$E$1000,4,0),0)</f>
        <v>0.63</v>
      </c>
      <c r="K38" s="20">
        <f t="shared" si="2"/>
        <v>-4.0000000000000036E-2</v>
      </c>
      <c r="L38" s="21">
        <f t="shared" si="3"/>
        <v>-6.34920634920636E-2</v>
      </c>
      <c r="N38" s="26"/>
      <c r="O38" s="20"/>
      <c r="P38" s="20"/>
      <c r="Q38" s="20"/>
      <c r="R38" s="21"/>
    </row>
    <row r="39" spans="1:18" x14ac:dyDescent="0.4">
      <c r="A39" s="63" t="str">
        <f>VLOOKUP(B39,유니버스!$C$14:$D$2561,2,0)</f>
        <v>KS</v>
      </c>
      <c r="B39" s="65" t="str">
        <f>'SOL 코리아메가테크액티브'!B45</f>
        <v>한화비전</v>
      </c>
      <c r="C39" s="65">
        <f>VLOOKUP(B39,'SOL 코리아메가테크액티브'!$B$11:$E$1000,4,0)</f>
        <v>0.3</v>
      </c>
      <c r="D39" s="65">
        <f>IFERROR(VLOOKUP(B39,'SOL 코리아메가테크액티브(과거)'!$B$11:$E$1000,4,0),0)</f>
        <v>0.3</v>
      </c>
      <c r="E39" s="20">
        <f t="shared" si="0"/>
        <v>0</v>
      </c>
      <c r="F39" s="21">
        <f t="shared" si="1"/>
        <v>0</v>
      </c>
      <c r="G39" s="63" t="str">
        <f>VLOOKUP(H39,유니버스!$C$14:$D$2561,2,0)</f>
        <v>KS</v>
      </c>
      <c r="H39" s="65" t="str">
        <f>'KoAct 배당성장액티브'!B45</f>
        <v>이노션</v>
      </c>
      <c r="I39" s="65">
        <f>VLOOKUP(H39,'KoAct 배당성장액티브'!$B$11:$E$1000,4,0)</f>
        <v>0.59</v>
      </c>
      <c r="J39" s="65">
        <f>IFERROR(VLOOKUP(H39,'KoAct 배당성장액티브(과거)'!$B$11:$E$1000,4,0),0)</f>
        <v>0</v>
      </c>
      <c r="K39" s="20">
        <f t="shared" si="2"/>
        <v>0.59</v>
      </c>
      <c r="L39" s="21" t="str">
        <f t="shared" si="3"/>
        <v>신규편입</v>
      </c>
      <c r="N39" s="26"/>
      <c r="O39" s="20"/>
      <c r="P39" s="20"/>
      <c r="Q39" s="20"/>
      <c r="R39" s="21"/>
    </row>
    <row r="40" spans="1:18" x14ac:dyDescent="0.4">
      <c r="A40" s="63" t="str">
        <f>VLOOKUP(B40,유니버스!$C$14:$D$2561,2,0)</f>
        <v>KQ</v>
      </c>
      <c r="B40" s="65" t="str">
        <f>'SOL 코리아메가테크액티브'!B46</f>
        <v>에이비엘바이오</v>
      </c>
      <c r="C40" s="65">
        <f>VLOOKUP(B40,'SOL 코리아메가테크액티브'!$B$11:$E$1000,4,0)</f>
        <v>0.28999999999999998</v>
      </c>
      <c r="D40" s="65">
        <f>IFERROR(VLOOKUP(B40,'SOL 코리아메가테크액티브(과거)'!$B$11:$E$1000,4,0),0)</f>
        <v>0.32</v>
      </c>
      <c r="E40" s="20">
        <f t="shared" si="0"/>
        <v>-3.0000000000000027E-2</v>
      </c>
      <c r="F40" s="21">
        <f t="shared" si="1"/>
        <v>-9.3750000000000111E-2</v>
      </c>
      <c r="G40" s="63" t="str">
        <f>VLOOKUP(H40,유니버스!$C$14:$D$2561,2,0)</f>
        <v>KS</v>
      </c>
      <c r="H40" s="65" t="str">
        <f>'KoAct 배당성장액티브'!B46</f>
        <v>크래프톤</v>
      </c>
      <c r="I40" s="65">
        <f>VLOOKUP(H40,'KoAct 배당성장액티브'!$B$11:$E$1000,4,0)</f>
        <v>0.57999999999999996</v>
      </c>
      <c r="J40" s="65">
        <f>IFERROR(VLOOKUP(H40,'KoAct 배당성장액티브(과거)'!$B$11:$E$1000,4,0),0)</f>
        <v>0.64</v>
      </c>
      <c r="K40" s="20">
        <f t="shared" si="2"/>
        <v>-6.0000000000000053E-2</v>
      </c>
      <c r="L40" s="21">
        <f t="shared" si="3"/>
        <v>-9.3750000000000111E-2</v>
      </c>
      <c r="N40" s="26"/>
      <c r="O40" s="20"/>
      <c r="P40" s="20"/>
      <c r="Q40" s="20"/>
      <c r="R40" s="21"/>
    </row>
    <row r="41" spans="1:18" x14ac:dyDescent="0.4">
      <c r="A41" s="63" t="str">
        <f>VLOOKUP(B41,유니버스!$C$14:$D$2561,2,0)</f>
        <v>KQ</v>
      </c>
      <c r="B41" s="65" t="str">
        <f>'SOL 코리아메가테크액티브'!B47</f>
        <v>인텔리안테크</v>
      </c>
      <c r="C41" s="65">
        <f>VLOOKUP(B41,'SOL 코리아메가테크액티브'!$B$11:$E$1000,4,0)</f>
        <v>0.26</v>
      </c>
      <c r="D41" s="65">
        <f>IFERROR(VLOOKUP(B41,'SOL 코리아메가테크액티브(과거)'!$B$11:$E$1000,4,0),0)</f>
        <v>0.31</v>
      </c>
      <c r="E41" s="20">
        <f t="shared" si="0"/>
        <v>-4.9999999999999989E-2</v>
      </c>
      <c r="F41" s="21">
        <f t="shared" si="1"/>
        <v>-0.16129032258064513</v>
      </c>
      <c r="G41" s="63" t="str">
        <f>VLOOKUP(H41,유니버스!$C$14:$D$2561,2,0)</f>
        <v>KS</v>
      </c>
      <c r="H41" s="65" t="str">
        <f>'KoAct 배당성장액티브'!B47</f>
        <v>한화시스템</v>
      </c>
      <c r="I41" s="65">
        <f>VLOOKUP(H41,'KoAct 배당성장액티브'!$B$11:$E$1000,4,0)</f>
        <v>0.56999999999999995</v>
      </c>
      <c r="J41" s="65">
        <f>IFERROR(VLOOKUP(H41,'KoAct 배당성장액티브(과거)'!$B$11:$E$1000,4,0),0)</f>
        <v>0.57999999999999996</v>
      </c>
      <c r="K41" s="20">
        <f t="shared" si="2"/>
        <v>-1.0000000000000009E-2</v>
      </c>
      <c r="L41" s="21">
        <f t="shared" si="3"/>
        <v>-1.7241379310344862E-2</v>
      </c>
      <c r="N41" s="26"/>
      <c r="O41" s="20"/>
      <c r="P41" s="20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'SOL 코리아메가테크액티브'!B48</f>
        <v>에코프로</v>
      </c>
      <c r="C42" s="65">
        <f>VLOOKUP(B42,'SOL 코리아메가테크액티브'!$B$11:$E$1000,4,0)</f>
        <v>0.25</v>
      </c>
      <c r="D42" s="65">
        <f>IFERROR(VLOOKUP(B42,'SOL 코리아메가테크액티브(과거)'!$B$11:$E$1000,4,0),0)</f>
        <v>0.25</v>
      </c>
      <c r="E42" s="20">
        <f t="shared" si="0"/>
        <v>0</v>
      </c>
      <c r="F42" s="21">
        <f t="shared" si="1"/>
        <v>0</v>
      </c>
      <c r="G42" s="63" t="str">
        <f>VLOOKUP(H42,유니버스!$C$14:$D$2561,2,0)</f>
        <v>KS</v>
      </c>
      <c r="H42" s="65" t="str">
        <f>'KoAct 배당성장액티브'!B48</f>
        <v>GS</v>
      </c>
      <c r="I42" s="65">
        <f>VLOOKUP(H42,'KoAct 배당성장액티브'!$B$11:$E$1000,4,0)</f>
        <v>0.56000000000000005</v>
      </c>
      <c r="J42" s="65">
        <f>IFERROR(VLOOKUP(H42,'KoAct 배당성장액티브(과거)'!$B$11:$E$1000,4,0),0)</f>
        <v>0.57999999999999996</v>
      </c>
      <c r="K42" s="20">
        <f t="shared" si="2"/>
        <v>-1.9999999999999907E-2</v>
      </c>
      <c r="L42" s="21">
        <f t="shared" si="3"/>
        <v>-3.4482758620689502E-2</v>
      </c>
      <c r="N42" s="26"/>
      <c r="O42" s="20"/>
      <c r="P42" s="20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'SOL 코리아메가테크액티브'!B49</f>
        <v>쎄트렉아이</v>
      </c>
      <c r="C43" s="65">
        <f>VLOOKUP(B43,'SOL 코리아메가테크액티브'!$B$11:$E$1000,4,0)</f>
        <v>0.25</v>
      </c>
      <c r="D43" s="65">
        <f>IFERROR(VLOOKUP(B43,'SOL 코리아메가테크액티브(과거)'!$B$11:$E$1000,4,0),0)</f>
        <v>0.27</v>
      </c>
      <c r="E43" s="20">
        <f t="shared" si="0"/>
        <v>-2.0000000000000018E-2</v>
      </c>
      <c r="F43" s="21">
        <f t="shared" si="1"/>
        <v>-7.4074074074074181E-2</v>
      </c>
      <c r="G43" s="63" t="str">
        <f>VLOOKUP(H43,유니버스!$C$14:$D$2561,2,0)</f>
        <v>KS</v>
      </c>
      <c r="H43" s="65" t="str">
        <f>'KoAct 배당성장액티브'!B49</f>
        <v>현대백화점</v>
      </c>
      <c r="I43" s="65">
        <f>VLOOKUP(H43,'KoAct 배당성장액티브'!$B$11:$E$1000,4,0)</f>
        <v>0.55000000000000004</v>
      </c>
      <c r="J43" s="65">
        <f>IFERROR(VLOOKUP(H43,'KoAct 배당성장액티브(과거)'!$B$11:$E$1000,4,0),0)</f>
        <v>0.55000000000000004</v>
      </c>
      <c r="K43" s="20">
        <f t="shared" si="2"/>
        <v>0</v>
      </c>
      <c r="L43" s="21">
        <f t="shared" si="3"/>
        <v>0</v>
      </c>
      <c r="N43" s="26"/>
      <c r="O43" s="20"/>
      <c r="P43" s="20"/>
      <c r="Q43" s="20"/>
      <c r="R43" s="21"/>
    </row>
    <row r="44" spans="1:18" x14ac:dyDescent="0.4">
      <c r="A44" s="63" t="str">
        <f>VLOOKUP(B44,유니버스!$C$14:$D$2561,2,0)</f>
        <v>KS</v>
      </c>
      <c r="B44" s="65" t="str">
        <f>'SOL 코리아메가테크액티브'!B50</f>
        <v>유한양행</v>
      </c>
      <c r="C44" s="65">
        <f>VLOOKUP(B44,'SOL 코리아메가테크액티브'!$B$11:$E$1000,4,0)</f>
        <v>0.23</v>
      </c>
      <c r="D44" s="65">
        <f>IFERROR(VLOOKUP(B44,'SOL 코리아메가테크액티브(과거)'!$B$11:$E$1000,4,0),0)</f>
        <v>0.25</v>
      </c>
      <c r="E44" s="20">
        <f t="shared" si="0"/>
        <v>-1.999999999999999E-2</v>
      </c>
      <c r="F44" s="21">
        <f t="shared" si="1"/>
        <v>-7.999999999999996E-2</v>
      </c>
      <c r="G44" s="63" t="str">
        <f>VLOOKUP(H44,유니버스!$C$14:$D$2561,2,0)</f>
        <v>KS</v>
      </c>
      <c r="H44" s="65" t="str">
        <f>'KoAct 배당성장액티브'!B50</f>
        <v>한국토지신탁</v>
      </c>
      <c r="I44" s="65">
        <f>VLOOKUP(H44,'KoAct 배당성장액티브'!$B$11:$E$1000,4,0)</f>
        <v>0.55000000000000004</v>
      </c>
      <c r="J44" s="65">
        <f>IFERROR(VLOOKUP(H44,'KoAct 배당성장액티브(과거)'!$B$11:$E$1000,4,0),0)</f>
        <v>0.61</v>
      </c>
      <c r="K44" s="20">
        <f t="shared" si="2"/>
        <v>-5.9999999999999942E-2</v>
      </c>
      <c r="L44" s="21">
        <f t="shared" si="3"/>
        <v>-9.8360655737704805E-2</v>
      </c>
      <c r="N44" s="26"/>
      <c r="O44" s="20"/>
      <c r="P44" s="20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'SOL 코리아메가테크액티브'!B51</f>
        <v>ISC</v>
      </c>
      <c r="C45" s="65">
        <f>VLOOKUP(B45,'SOL 코리아메가테크액티브'!$B$11:$E$1000,4,0)</f>
        <v>0.16</v>
      </c>
      <c r="D45" s="65">
        <f>IFERROR(VLOOKUP(B45,'SOL 코리아메가테크액티브(과거)'!$B$11:$E$1000,4,0),0)</f>
        <v>0.17</v>
      </c>
      <c r="E45" s="20">
        <f t="shared" si="0"/>
        <v>-1.0000000000000009E-2</v>
      </c>
      <c r="F45" s="21">
        <f t="shared" si="1"/>
        <v>-5.8823529411764719E-2</v>
      </c>
      <c r="G45" s="63" t="str">
        <f>VLOOKUP(H45,유니버스!$C$14:$D$2561,2,0)</f>
        <v>KS</v>
      </c>
      <c r="H45" s="65" t="str">
        <f>'KoAct 배당성장액티브'!B51</f>
        <v>DB손해보험</v>
      </c>
      <c r="I45" s="65">
        <f>VLOOKUP(H45,'KoAct 배당성장액티브'!$B$11:$E$1000,4,0)</f>
        <v>0.54</v>
      </c>
      <c r="J45" s="65">
        <f>IFERROR(VLOOKUP(H45,'KoAct 배당성장액티브(과거)'!$B$11:$E$1000,4,0),0)</f>
        <v>0.59</v>
      </c>
      <c r="K45" s="20">
        <f t="shared" si="2"/>
        <v>-4.9999999999999933E-2</v>
      </c>
      <c r="L45" s="21">
        <f t="shared" si="3"/>
        <v>-8.4745762711864292E-2</v>
      </c>
      <c r="N45" s="26"/>
      <c r="O45" s="20"/>
      <c r="P45" s="20"/>
      <c r="Q45" s="20"/>
      <c r="R45" s="21"/>
    </row>
    <row r="46" spans="1:18" x14ac:dyDescent="0.4">
      <c r="A46" s="63" t="str">
        <f>VLOOKUP(B46,유니버스!$C$14:$D$2561,2,0)</f>
        <v>KS</v>
      </c>
      <c r="B46" s="65" t="str">
        <f>'SOL 코리아메가테크액티브'!B52</f>
        <v>HL만도</v>
      </c>
      <c r="C46" s="65">
        <f>VLOOKUP(B46,'SOL 코리아메가테크액티브'!$B$11:$E$1000,4,0)</f>
        <v>0.16</v>
      </c>
      <c r="D46" s="65">
        <f>IFERROR(VLOOKUP(B46,'SOL 코리아메가테크액티브(과거)'!$B$11:$E$1000,4,0),0)</f>
        <v>0.17</v>
      </c>
      <c r="E46" s="20">
        <f t="shared" si="0"/>
        <v>-1.0000000000000009E-2</v>
      </c>
      <c r="F46" s="21">
        <f t="shared" si="1"/>
        <v>-5.8823529411764719E-2</v>
      </c>
      <c r="G46" s="63" t="str">
        <f>VLOOKUP(H46,유니버스!$C$14:$D$2561,2,0)</f>
        <v>KS</v>
      </c>
      <c r="H46" s="65" t="str">
        <f>'KoAct 배당성장액티브'!B52</f>
        <v>두산</v>
      </c>
      <c r="I46" s="65">
        <f>VLOOKUP(H46,'KoAct 배당성장액티브'!$B$11:$E$1000,4,0)</f>
        <v>0.53</v>
      </c>
      <c r="J46" s="65">
        <f>IFERROR(VLOOKUP(H46,'KoAct 배당성장액티브(과거)'!$B$11:$E$1000,4,0),0)</f>
        <v>0.55000000000000004</v>
      </c>
      <c r="K46" s="20">
        <f t="shared" si="2"/>
        <v>-2.0000000000000018E-2</v>
      </c>
      <c r="L46" s="21">
        <f t="shared" si="3"/>
        <v>-3.6363636363636376E-2</v>
      </c>
      <c r="N46" s="26"/>
      <c r="O46" s="20"/>
      <c r="P46" s="20"/>
      <c r="Q46" s="20"/>
      <c r="R46" s="21"/>
    </row>
    <row r="47" spans="1:18" x14ac:dyDescent="0.4">
      <c r="A47" s="63" t="str">
        <f>VLOOKUP(B47,유니버스!$C$14:$D$2561,2,0)</f>
        <v>KS</v>
      </c>
      <c r="B47" s="65" t="str">
        <f>'SOL 코리아메가테크액티브'!B53</f>
        <v>한미약품</v>
      </c>
      <c r="C47" s="65">
        <f>VLOOKUP(B47,'SOL 코리아메가테크액티브'!$B$11:$E$1000,4,0)</f>
        <v>0.14000000000000001</v>
      </c>
      <c r="D47" s="65">
        <f>IFERROR(VLOOKUP(B47,'SOL 코리아메가테크액티브(과거)'!$B$11:$E$1000,4,0),0)</f>
        <v>0.15</v>
      </c>
      <c r="E47" s="20">
        <f t="shared" si="0"/>
        <v>-9.9999999999999811E-3</v>
      </c>
      <c r="F47" s="21">
        <f t="shared" si="1"/>
        <v>-6.6666666666666541E-2</v>
      </c>
      <c r="G47" s="63" t="str">
        <f>VLOOKUP(H47,유니버스!$C$14:$D$2561,2,0)</f>
        <v>KS</v>
      </c>
      <c r="H47" s="65" t="str">
        <f>'KoAct 배당성장액티브'!B53</f>
        <v>포스코인터내셔널</v>
      </c>
      <c r="I47" s="65">
        <f>VLOOKUP(H47,'KoAct 배당성장액티브'!$B$11:$E$1000,4,0)</f>
        <v>0.52</v>
      </c>
      <c r="J47" s="65">
        <f>IFERROR(VLOOKUP(H47,'KoAct 배당성장액티브(과거)'!$B$11:$E$1000,4,0),0)</f>
        <v>0.56999999999999995</v>
      </c>
      <c r="K47" s="20">
        <f t="shared" si="2"/>
        <v>-4.9999999999999933E-2</v>
      </c>
      <c r="L47" s="21">
        <f t="shared" si="3"/>
        <v>-8.7719298245613975E-2</v>
      </c>
      <c r="N47" s="26"/>
      <c r="O47" s="20"/>
      <c r="P47" s="20"/>
      <c r="Q47" s="20"/>
      <c r="R47" s="21"/>
    </row>
    <row r="48" spans="1:18" x14ac:dyDescent="0.4">
      <c r="A48" s="63" t="str">
        <f>VLOOKUP(B48,유니버스!$C$14:$D$2561,2,0)</f>
        <v>KS</v>
      </c>
      <c r="B48" s="65" t="str">
        <f>'SOL 코리아메가테크액티브'!B54</f>
        <v>SK바이오팜</v>
      </c>
      <c r="C48" s="65">
        <f>VLOOKUP(B48,'SOL 코리아메가테크액티브'!$B$11:$E$1000,4,0)</f>
        <v>0.13</v>
      </c>
      <c r="D48" s="65">
        <f>IFERROR(VLOOKUP(B48,'SOL 코리아메가테크액티브(과거)'!$B$11:$E$1000,4,0),0)</f>
        <v>0.14000000000000001</v>
      </c>
      <c r="E48" s="20">
        <f t="shared" si="0"/>
        <v>-1.0000000000000009E-2</v>
      </c>
      <c r="F48" s="21">
        <f t="shared" si="1"/>
        <v>-7.1428571428571508E-2</v>
      </c>
      <c r="G48" s="63" t="str">
        <f>VLOOKUP(H48,유니버스!$C$14:$D$2561,2,0)</f>
        <v>KS</v>
      </c>
      <c r="H48" s="65" t="str">
        <f>'KoAct 배당성장액티브'!B54</f>
        <v>대신증권</v>
      </c>
      <c r="I48" s="65">
        <f>VLOOKUP(H48,'KoAct 배당성장액티브'!$B$11:$E$1000,4,0)</f>
        <v>0.52</v>
      </c>
      <c r="J48" s="65">
        <f>IFERROR(VLOOKUP(H48,'KoAct 배당성장액티브(과거)'!$B$11:$E$1000,4,0),0)</f>
        <v>0.55000000000000004</v>
      </c>
      <c r="K48" s="20">
        <f t="shared" si="2"/>
        <v>-3.0000000000000027E-2</v>
      </c>
      <c r="L48" s="21">
        <f t="shared" si="3"/>
        <v>-5.4545454545454564E-2</v>
      </c>
      <c r="N48" s="26"/>
      <c r="O48" s="20"/>
      <c r="P48" s="20"/>
      <c r="Q48" s="20"/>
      <c r="R48" s="21"/>
    </row>
    <row r="49" spans="1:18" x14ac:dyDescent="0.4">
      <c r="A49" s="63" t="e">
        <f>VLOOKUP(B49,유니버스!$C$14:$D$2561,2,0)</f>
        <v>#N/A</v>
      </c>
      <c r="B49" s="65" t="str">
        <f>'SOL 코리아메가테크액티브'!B55</f>
        <v>원화현금</v>
      </c>
      <c r="C49" s="65">
        <f>VLOOKUP(B49,'SOL 코리아메가테크액티브'!$B$11:$E$1000,4,0)</f>
        <v>0.04</v>
      </c>
      <c r="D49" s="65">
        <f>IFERROR(VLOOKUP(B49,'SOL 코리아메가테크액티브(과거)'!$B$11:$E$1000,4,0),0)</f>
        <v>0.12</v>
      </c>
      <c r="E49" s="20">
        <f t="shared" si="0"/>
        <v>-7.9999999999999988E-2</v>
      </c>
      <c r="F49" s="21">
        <f t="shared" si="1"/>
        <v>-0.66666666666666663</v>
      </c>
      <c r="G49" s="63" t="str">
        <f>VLOOKUP(H49,유니버스!$C$14:$D$2561,2,0)</f>
        <v>KS</v>
      </c>
      <c r="H49" s="65" t="str">
        <f>'KoAct 배당성장액티브'!B55</f>
        <v>LIG디펜스앤에어로스페이스</v>
      </c>
      <c r="I49" s="65">
        <f>VLOOKUP(H49,'KoAct 배당성장액티브'!$B$11:$E$1000,4,0)</f>
        <v>0.5</v>
      </c>
      <c r="J49" s="65">
        <f>IFERROR(VLOOKUP(H49,'KoAct 배당성장액티브(과거)'!$B$11:$E$1000,4,0),0)</f>
        <v>0.21</v>
      </c>
      <c r="K49" s="20">
        <f t="shared" si="2"/>
        <v>0.29000000000000004</v>
      </c>
      <c r="L49" s="21">
        <f t="shared" si="3"/>
        <v>1.3809523809523809</v>
      </c>
      <c r="N49" s="26"/>
      <c r="O49" s="20"/>
      <c r="P49" s="20"/>
      <c r="Q49" s="20"/>
      <c r="R49" s="21"/>
    </row>
    <row r="50" spans="1:18" x14ac:dyDescent="0.4">
      <c r="B50" s="65"/>
      <c r="C50" s="65"/>
      <c r="D50" s="65"/>
      <c r="E50" s="20"/>
      <c r="F50" s="21"/>
      <c r="G50" s="63" t="str">
        <f>VLOOKUP(H50,유니버스!$C$14:$D$2561,2,0)</f>
        <v>KS</v>
      </c>
      <c r="H50" s="65" t="str">
        <f>'KoAct 배당성장액티브'!B56</f>
        <v>비에이치</v>
      </c>
      <c r="I50" s="65">
        <f>VLOOKUP(H50,'KoAct 배당성장액티브'!$B$11:$E$1000,4,0)</f>
        <v>0.49</v>
      </c>
      <c r="J50" s="65">
        <f>IFERROR(VLOOKUP(H50,'KoAct 배당성장액티브(과거)'!$B$11:$E$1000,4,0),0)</f>
        <v>0</v>
      </c>
      <c r="K50" s="20">
        <f t="shared" si="2"/>
        <v>0.49</v>
      </c>
      <c r="L50" s="21" t="str">
        <f t="shared" si="3"/>
        <v>신규편입</v>
      </c>
      <c r="N50" s="26"/>
      <c r="O50" s="20"/>
      <c r="P50" s="20"/>
      <c r="Q50" s="20"/>
      <c r="R50" s="21"/>
    </row>
    <row r="51" spans="1:18" x14ac:dyDescent="0.4">
      <c r="B51" s="65"/>
      <c r="C51" s="65"/>
      <c r="D51" s="65"/>
      <c r="E51" s="20"/>
      <c r="F51" s="21"/>
      <c r="G51" s="63" t="str">
        <f>VLOOKUP(H51,유니버스!$C$14:$D$2561,2,0)</f>
        <v>KS</v>
      </c>
      <c r="H51" s="65" t="str">
        <f>'KoAct 배당성장액티브'!B57</f>
        <v>DN오토모티브</v>
      </c>
      <c r="I51" s="65">
        <f>VLOOKUP(H51,'KoAct 배당성장액티브'!$B$11:$E$1000,4,0)</f>
        <v>0.48</v>
      </c>
      <c r="J51" s="65">
        <f>IFERROR(VLOOKUP(H51,'KoAct 배당성장액티브(과거)'!$B$11:$E$1000,4,0),0)</f>
        <v>0.56000000000000005</v>
      </c>
      <c r="K51" s="20">
        <f t="shared" si="2"/>
        <v>-8.0000000000000071E-2</v>
      </c>
      <c r="L51" s="21">
        <f t="shared" si="3"/>
        <v>-0.14285714285714302</v>
      </c>
      <c r="N51" s="26"/>
      <c r="O51" s="20"/>
      <c r="P51" s="20"/>
      <c r="Q51" s="20"/>
      <c r="R51" s="21"/>
    </row>
    <row r="52" spans="1:18" x14ac:dyDescent="0.4">
      <c r="B52" s="65"/>
      <c r="C52" s="65"/>
      <c r="D52" s="65"/>
      <c r="E52" s="20"/>
      <c r="F52" s="21"/>
      <c r="G52" s="63" t="str">
        <f>VLOOKUP(H52,유니버스!$C$14:$D$2561,2,0)</f>
        <v>KS</v>
      </c>
      <c r="H52" s="65" t="str">
        <f>'KoAct 배당성장액티브'!B58</f>
        <v>SK가스</v>
      </c>
      <c r="I52" s="65">
        <f>VLOOKUP(H52,'KoAct 배당성장액티브'!$B$11:$E$1000,4,0)</f>
        <v>0.48</v>
      </c>
      <c r="J52" s="65">
        <f>IFERROR(VLOOKUP(H52,'KoAct 배당성장액티브(과거)'!$B$11:$E$1000,4,0),0)</f>
        <v>0.56000000000000005</v>
      </c>
      <c r="K52" s="20">
        <f t="shared" si="2"/>
        <v>-8.0000000000000071E-2</v>
      </c>
      <c r="L52" s="21">
        <f t="shared" si="3"/>
        <v>-0.14285714285714302</v>
      </c>
      <c r="N52" s="26"/>
      <c r="O52" s="20"/>
      <c r="P52" s="20"/>
      <c r="Q52" s="20"/>
      <c r="R52" s="21"/>
    </row>
    <row r="53" spans="1:18" x14ac:dyDescent="0.4">
      <c r="B53" s="65"/>
      <c r="C53" s="65"/>
      <c r="D53" s="65"/>
      <c r="E53" s="20"/>
      <c r="F53" s="21"/>
      <c r="G53" s="63" t="str">
        <f>VLOOKUP(H53,유니버스!$C$14:$D$2561,2,0)</f>
        <v>KS</v>
      </c>
      <c r="H53" s="65" t="str">
        <f>'KoAct 배당성장액티브'!B59</f>
        <v>현대엘리베이터</v>
      </c>
      <c r="I53" s="65">
        <f>VLOOKUP(H53,'KoAct 배당성장액티브'!$B$11:$E$1000,4,0)</f>
        <v>0.47</v>
      </c>
      <c r="J53" s="65">
        <f>IFERROR(VLOOKUP(H53,'KoAct 배당성장액티브(과거)'!$B$11:$E$1000,4,0),0)</f>
        <v>0.53</v>
      </c>
      <c r="K53" s="20">
        <f t="shared" si="2"/>
        <v>-6.0000000000000053E-2</v>
      </c>
      <c r="L53" s="21">
        <f t="shared" si="3"/>
        <v>-0.11320754716981141</v>
      </c>
      <c r="N53" s="26"/>
      <c r="O53" s="20"/>
      <c r="P53" s="20"/>
      <c r="Q53" s="20"/>
      <c r="R53" s="21"/>
    </row>
    <row r="54" spans="1:18" x14ac:dyDescent="0.4">
      <c r="B54" s="65"/>
      <c r="C54" s="65"/>
      <c r="D54" s="65"/>
      <c r="E54" s="20"/>
      <c r="F54" s="21"/>
      <c r="G54" s="63" t="str">
        <f>VLOOKUP(H54,유니버스!$C$14:$D$2561,2,0)</f>
        <v>KS</v>
      </c>
      <c r="H54" s="65" t="str">
        <f>'KoAct 배당성장액티브'!B60</f>
        <v>LS</v>
      </c>
      <c r="I54" s="65">
        <f>VLOOKUP(H54,'KoAct 배당성장액티브'!$B$11:$E$1000,4,0)</f>
        <v>0.47</v>
      </c>
      <c r="J54" s="65">
        <f>IFERROR(VLOOKUP(H54,'KoAct 배당성장액티브(과거)'!$B$11:$E$1000,4,0),0)</f>
        <v>0.68</v>
      </c>
      <c r="K54" s="20">
        <f t="shared" si="2"/>
        <v>-0.21000000000000008</v>
      </c>
      <c r="L54" s="21">
        <f t="shared" si="3"/>
        <v>-0.30882352941176483</v>
      </c>
      <c r="N54" s="26"/>
      <c r="O54" s="20"/>
      <c r="P54" s="20"/>
      <c r="Q54" s="20"/>
      <c r="R54" s="21"/>
    </row>
    <row r="55" spans="1:18" x14ac:dyDescent="0.4">
      <c r="B55" s="65"/>
      <c r="C55" s="65"/>
      <c r="D55" s="65"/>
      <c r="E55" s="20"/>
      <c r="F55" s="21"/>
      <c r="G55" s="63" t="str">
        <f>VLOOKUP(H55,유니버스!$C$14:$D$2561,2,0)</f>
        <v>KS</v>
      </c>
      <c r="H55" s="65" t="str">
        <f>'KoAct 배당성장액티브'!B61</f>
        <v>삼성바이오로직스</v>
      </c>
      <c r="I55" s="65">
        <f>VLOOKUP(H55,'KoAct 배당성장액티브'!$B$11:$E$1000,4,0)</f>
        <v>0.46</v>
      </c>
      <c r="J55" s="65">
        <f>IFERROR(VLOOKUP(H55,'KoAct 배당성장액티브(과거)'!$B$11:$E$1000,4,0),0)</f>
        <v>0.48</v>
      </c>
      <c r="K55" s="20">
        <f t="shared" si="2"/>
        <v>-1.9999999999999962E-2</v>
      </c>
      <c r="L55" s="21">
        <f t="shared" si="3"/>
        <v>-4.166666666666663E-2</v>
      </c>
      <c r="N55" s="26"/>
      <c r="O55" s="20"/>
      <c r="P55" s="20"/>
      <c r="Q55" s="20"/>
      <c r="R55" s="21"/>
    </row>
    <row r="56" spans="1:18" x14ac:dyDescent="0.4">
      <c r="B56" s="65"/>
      <c r="C56" s="65"/>
      <c r="D56" s="65"/>
      <c r="E56" s="20"/>
      <c r="F56" s="21"/>
      <c r="G56" s="63" t="str">
        <f>VLOOKUP(H56,유니버스!$C$14:$D$2561,2,0)</f>
        <v>KS</v>
      </c>
      <c r="H56" s="65" t="str">
        <f>'KoAct 배당성장액티브'!B62</f>
        <v>에이피알</v>
      </c>
      <c r="I56" s="65">
        <f>VLOOKUP(H56,'KoAct 배당성장액티브'!$B$11:$E$1000,4,0)</f>
        <v>0.4</v>
      </c>
      <c r="J56" s="65">
        <f>IFERROR(VLOOKUP(H56,'KoAct 배당성장액티브(과거)'!$B$11:$E$1000,4,0),0)</f>
        <v>0.41</v>
      </c>
      <c r="K56" s="20">
        <f t="shared" si="2"/>
        <v>-9.9999999999999534E-3</v>
      </c>
      <c r="L56" s="21">
        <f t="shared" si="3"/>
        <v>-2.4390243902438935E-2</v>
      </c>
      <c r="N56" s="26"/>
      <c r="O56" s="20"/>
      <c r="P56" s="20"/>
      <c r="Q56" s="20"/>
      <c r="R56" s="21"/>
    </row>
    <row r="57" spans="1:18" x14ac:dyDescent="0.4">
      <c r="B57" s="65"/>
      <c r="C57" s="65"/>
      <c r="D57" s="65"/>
      <c r="E57" s="20"/>
      <c r="F57" s="21"/>
      <c r="G57" s="63" t="str">
        <f>VLOOKUP(H57,유니버스!$C$14:$D$2561,2,0)</f>
        <v>KS</v>
      </c>
      <c r="H57" s="65" t="str">
        <f>'KoAct 배당성장액티브'!B63</f>
        <v>한미약품</v>
      </c>
      <c r="I57" s="65">
        <f>VLOOKUP(H57,'KoAct 배당성장액티브'!$B$11:$E$1000,4,0)</f>
        <v>0.36</v>
      </c>
      <c r="J57" s="65">
        <f>IFERROR(VLOOKUP(H57,'KoAct 배당성장액티브(과거)'!$B$11:$E$1000,4,0),0)</f>
        <v>0.4</v>
      </c>
      <c r="K57" s="20">
        <f t="shared" si="2"/>
        <v>-4.0000000000000036E-2</v>
      </c>
      <c r="L57" s="21">
        <f t="shared" si="3"/>
        <v>-0.10000000000000009</v>
      </c>
      <c r="N57" s="26"/>
      <c r="O57" s="20"/>
      <c r="P57" s="20"/>
      <c r="Q57" s="20"/>
      <c r="R57" s="21"/>
    </row>
    <row r="58" spans="1:18" x14ac:dyDescent="0.4">
      <c r="B58" s="65"/>
      <c r="C58" s="65"/>
      <c r="D58" s="65"/>
      <c r="E58" s="20"/>
      <c r="F58" s="21"/>
      <c r="G58" s="63" t="str">
        <f>VLOOKUP(H58,유니버스!$C$14:$D$2561,2,0)</f>
        <v>KS</v>
      </c>
      <c r="H58" s="65" t="str">
        <f>'KoAct 배당성장액티브'!B64</f>
        <v>제이에스코퍼레이션</v>
      </c>
      <c r="I58" s="65">
        <f>VLOOKUP(H58,'KoAct 배당성장액티브'!$B$11:$E$1000,4,0)</f>
        <v>0.35</v>
      </c>
      <c r="J58" s="65">
        <f>IFERROR(VLOOKUP(H58,'KoAct 배당성장액티브(과거)'!$B$11:$E$1000,4,0),0)</f>
        <v>0.4</v>
      </c>
      <c r="K58" s="20">
        <f t="shared" si="2"/>
        <v>-5.0000000000000044E-2</v>
      </c>
      <c r="L58" s="21">
        <f t="shared" si="3"/>
        <v>-0.12500000000000011</v>
      </c>
      <c r="N58" s="26"/>
      <c r="O58" s="20"/>
      <c r="P58" s="20"/>
      <c r="Q58" s="20"/>
      <c r="R58" s="21"/>
    </row>
    <row r="59" spans="1:18" x14ac:dyDescent="0.4">
      <c r="B59" s="65"/>
      <c r="C59" s="65"/>
      <c r="D59" s="65"/>
      <c r="E59" s="20"/>
      <c r="F59" s="21"/>
      <c r="G59" s="63" t="str">
        <f>VLOOKUP(H59,유니버스!$C$14:$D$2561,2,0)</f>
        <v>KQ</v>
      </c>
      <c r="H59" s="65" t="str">
        <f>'KoAct 배당성장액티브'!B65</f>
        <v>이지홀딩스</v>
      </c>
      <c r="I59" s="65">
        <f>VLOOKUP(H59,'KoAct 배당성장액티브'!$B$11:$E$1000,4,0)</f>
        <v>0.35</v>
      </c>
      <c r="J59" s="65">
        <f>IFERROR(VLOOKUP(H59,'KoAct 배당성장액티브(과거)'!$B$11:$E$1000,4,0),0)</f>
        <v>0.34</v>
      </c>
      <c r="K59" s="20">
        <f t="shared" si="2"/>
        <v>9.9999999999999534E-3</v>
      </c>
      <c r="L59" s="21">
        <f t="shared" si="3"/>
        <v>2.9411764705882248E-2</v>
      </c>
      <c r="N59" s="26"/>
      <c r="O59" s="20"/>
      <c r="P59" s="20"/>
      <c r="Q59" s="20"/>
      <c r="R59" s="21"/>
    </row>
    <row r="60" spans="1:18" x14ac:dyDescent="0.4">
      <c r="B60" s="65"/>
      <c r="C60" s="65"/>
      <c r="D60" s="65"/>
      <c r="E60" s="20"/>
      <c r="F60" s="21"/>
      <c r="G60" s="63" t="str">
        <f>VLOOKUP(H60,유니버스!$C$14:$D$2561,2,0)</f>
        <v>KS</v>
      </c>
      <c r="H60" s="65" t="str">
        <f>'KoAct 배당성장액티브'!B66</f>
        <v>포스코퓨처엠</v>
      </c>
      <c r="I60" s="65">
        <f>VLOOKUP(H60,'KoAct 배당성장액티브'!$B$11:$E$1000,4,0)</f>
        <v>0.35</v>
      </c>
      <c r="J60" s="65">
        <f>IFERROR(VLOOKUP(H60,'KoAct 배당성장액티브(과거)'!$B$11:$E$1000,4,0),0)</f>
        <v>0.36</v>
      </c>
      <c r="K60" s="20">
        <f t="shared" si="2"/>
        <v>-1.0000000000000009E-2</v>
      </c>
      <c r="L60" s="21">
        <f t="shared" si="3"/>
        <v>-2.777777777777779E-2</v>
      </c>
      <c r="N60" s="26"/>
      <c r="O60" s="20"/>
      <c r="P60" s="20"/>
      <c r="Q60" s="20"/>
      <c r="R60" s="21"/>
    </row>
    <row r="61" spans="1:18" x14ac:dyDescent="0.4">
      <c r="B61" s="65"/>
      <c r="C61" s="65"/>
      <c r="D61" s="65"/>
      <c r="E61" s="20"/>
      <c r="F61" s="21"/>
      <c r="G61" s="63" t="str">
        <f>VLOOKUP(H61,유니버스!$C$14:$D$2561,2,0)</f>
        <v>KS</v>
      </c>
      <c r="H61" s="65" t="str">
        <f>'KoAct 배당성장액티브'!B67</f>
        <v>메리츠금융지주</v>
      </c>
      <c r="I61" s="65">
        <f>VLOOKUP(H61,'KoAct 배당성장액티브'!$B$11:$E$1000,4,0)</f>
        <v>0.33</v>
      </c>
      <c r="J61" s="65">
        <f>IFERROR(VLOOKUP(H61,'KoAct 배당성장액티브(과거)'!$B$11:$E$1000,4,0),0)</f>
        <v>0.33</v>
      </c>
      <c r="K61" s="20">
        <f t="shared" si="2"/>
        <v>0</v>
      </c>
      <c r="L61" s="21">
        <f t="shared" si="3"/>
        <v>0</v>
      </c>
      <c r="N61" s="26"/>
      <c r="O61" s="20"/>
      <c r="P61" s="20"/>
      <c r="Q61" s="20"/>
      <c r="R61" s="21"/>
    </row>
    <row r="62" spans="1:18" x14ac:dyDescent="0.4">
      <c r="B62" s="65"/>
      <c r="C62" s="65"/>
      <c r="D62" s="65"/>
      <c r="E62" s="20"/>
      <c r="F62" s="21"/>
      <c r="G62" s="63" t="str">
        <f>VLOOKUP(H62,유니버스!$C$14:$D$2561,2,0)</f>
        <v>KS</v>
      </c>
      <c r="H62" s="65" t="str">
        <f>'KoAct 배당성장액티브'!B68</f>
        <v>미스토홀딩스</v>
      </c>
      <c r="I62" s="65">
        <f>VLOOKUP(H62,'KoAct 배당성장액티브'!$B$11:$E$1000,4,0)</f>
        <v>0.32</v>
      </c>
      <c r="J62" s="65">
        <f>IFERROR(VLOOKUP(H62,'KoAct 배당성장액티브(과거)'!$B$11:$E$1000,4,0),0)</f>
        <v>0.33</v>
      </c>
      <c r="K62" s="20">
        <f t="shared" si="2"/>
        <v>-1.0000000000000009E-2</v>
      </c>
      <c r="L62" s="21">
        <f t="shared" si="3"/>
        <v>-3.0303030303030276E-2</v>
      </c>
      <c r="N62" s="26"/>
      <c r="O62" s="20"/>
      <c r="P62" s="20"/>
      <c r="Q62" s="20"/>
      <c r="R62" s="21"/>
    </row>
    <row r="63" spans="1:18" x14ac:dyDescent="0.4">
      <c r="B63" s="65"/>
      <c r="C63" s="65"/>
      <c r="D63" s="65"/>
      <c r="E63" s="20"/>
      <c r="F63" s="21"/>
      <c r="G63" s="63" t="str">
        <f>VLOOKUP(H63,유니버스!$C$14:$D$2561,2,0)</f>
        <v>KS</v>
      </c>
      <c r="H63" s="65" t="str">
        <f>'KoAct 배당성장액티브'!B69</f>
        <v>JB금융지주</v>
      </c>
      <c r="I63" s="65">
        <f>VLOOKUP(H63,'KoAct 배당성장액티브'!$B$11:$E$1000,4,0)</f>
        <v>0.3</v>
      </c>
      <c r="J63" s="65">
        <f>IFERROR(VLOOKUP(H63,'KoAct 배당성장액티브(과거)'!$B$11:$E$1000,4,0),0)</f>
        <v>0.31</v>
      </c>
      <c r="K63" s="20">
        <f t="shared" si="2"/>
        <v>-1.0000000000000009E-2</v>
      </c>
      <c r="L63" s="21">
        <f t="shared" si="3"/>
        <v>-3.2258064516129115E-2</v>
      </c>
      <c r="N63" s="26"/>
      <c r="O63" s="20"/>
      <c r="P63" s="20"/>
      <c r="Q63" s="20"/>
      <c r="R63" s="21"/>
    </row>
    <row r="64" spans="1:18" x14ac:dyDescent="0.4">
      <c r="B64" s="65"/>
      <c r="C64" s="65"/>
      <c r="D64" s="65"/>
      <c r="E64" s="20"/>
      <c r="F64" s="21"/>
      <c r="G64" s="63" t="str">
        <f>VLOOKUP(H64,유니버스!$C$14:$D$2561,2,0)</f>
        <v>KS</v>
      </c>
      <c r="H64" s="65" t="str">
        <f>'KoAct 배당성장액티브'!B70</f>
        <v>한화솔루션</v>
      </c>
      <c r="I64" s="65">
        <f>VLOOKUP(H64,'KoAct 배당성장액티브'!$B$11:$E$1000,4,0)</f>
        <v>0.28000000000000003</v>
      </c>
      <c r="J64" s="65">
        <f>IFERROR(VLOOKUP(H64,'KoAct 배당성장액티브(과거)'!$B$11:$E$1000,4,0),0)</f>
        <v>0.28999999999999998</v>
      </c>
      <c r="K64" s="20">
        <f t="shared" si="2"/>
        <v>-9.9999999999999534E-3</v>
      </c>
      <c r="L64" s="21">
        <f t="shared" si="3"/>
        <v>-3.4482758620689502E-2</v>
      </c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G65" s="63" t="str">
        <f>VLOOKUP(H65,유니버스!$C$14:$D$2561,2,0)</f>
        <v>KS</v>
      </c>
      <c r="H65" s="65" t="str">
        <f>'KoAct 배당성장액티브'!B71</f>
        <v>해성디에스</v>
      </c>
      <c r="I65" s="65">
        <f>VLOOKUP(H65,'KoAct 배당성장액티브'!$B$11:$E$1000,4,0)</f>
        <v>0.28000000000000003</v>
      </c>
      <c r="J65" s="65">
        <f>IFERROR(VLOOKUP(H65,'KoAct 배당성장액티브(과거)'!$B$11:$E$1000,4,0),0)</f>
        <v>0.5</v>
      </c>
      <c r="K65" s="20">
        <f t="shared" ref="K65:K69" si="10">I65-J65</f>
        <v>-0.21999999999999997</v>
      </c>
      <c r="L65" s="21">
        <f t="shared" ref="L65:L69" si="11">IFERROR(I65/J65-1,"신규편입")</f>
        <v>-0.43999999999999995</v>
      </c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G66" s="63" t="str">
        <f>VLOOKUP(H66,유니버스!$C$14:$D$2561,2,0)</f>
        <v>KS</v>
      </c>
      <c r="H66" s="65" t="str">
        <f>'KoAct 배당성장액티브'!B72</f>
        <v>한전KPS</v>
      </c>
      <c r="I66" s="65">
        <f>VLOOKUP(H66,'KoAct 배당성장액티브'!$B$11:$E$1000,4,0)</f>
        <v>0.26</v>
      </c>
      <c r="J66" s="65">
        <f>IFERROR(VLOOKUP(H66,'KoAct 배당성장액티브(과거)'!$B$11:$E$1000,4,0),0)</f>
        <v>0.28000000000000003</v>
      </c>
      <c r="K66" s="20">
        <f t="shared" si="10"/>
        <v>-2.0000000000000018E-2</v>
      </c>
      <c r="L66" s="21">
        <f t="shared" si="11"/>
        <v>-7.1428571428571508E-2</v>
      </c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G67" s="63" t="str">
        <f>VLOOKUP(H67,유니버스!$C$14:$D$2561,2,0)</f>
        <v>KS</v>
      </c>
      <c r="H67" s="65" t="str">
        <f>'KoAct 배당성장액티브'!B73</f>
        <v>영원무역</v>
      </c>
      <c r="I67" s="65">
        <f>VLOOKUP(H67,'KoAct 배당성장액티브'!$B$11:$E$1000,4,0)</f>
        <v>0.26</v>
      </c>
      <c r="J67" s="65">
        <f>IFERROR(VLOOKUP(H67,'KoAct 배당성장액티브(과거)'!$B$11:$E$1000,4,0),0)</f>
        <v>0.28000000000000003</v>
      </c>
      <c r="K67" s="20">
        <f t="shared" si="10"/>
        <v>-2.0000000000000018E-2</v>
      </c>
      <c r="L67" s="21">
        <f t="shared" si="11"/>
        <v>-7.1428571428571508E-2</v>
      </c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G68" s="63" t="str">
        <f>VLOOKUP(H68,유니버스!$C$14:$D$2561,2,0)</f>
        <v>KS</v>
      </c>
      <c r="H68" s="65" t="str">
        <f>'KoAct 배당성장액티브'!B74</f>
        <v>OCI홀딩스</v>
      </c>
      <c r="I68" s="65">
        <f>VLOOKUP(H68,'KoAct 배당성장액티브'!$B$11:$E$1000,4,0)</f>
        <v>0.26</v>
      </c>
      <c r="J68" s="65">
        <f>IFERROR(VLOOKUP(H68,'KoAct 배당성장액티브(과거)'!$B$11:$E$1000,4,0),0)</f>
        <v>0.27</v>
      </c>
      <c r="K68" s="20">
        <f t="shared" si="10"/>
        <v>-1.0000000000000009E-2</v>
      </c>
      <c r="L68" s="21">
        <f t="shared" si="11"/>
        <v>-3.703703703703709E-2</v>
      </c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G69" s="63" t="str">
        <f>VLOOKUP(H69,유니버스!$C$14:$D$2561,2,0)</f>
        <v>KS</v>
      </c>
      <c r="H69" s="65" t="str">
        <f>'KoAct 배당성장액티브'!B75</f>
        <v>F&amp;F</v>
      </c>
      <c r="I69" s="65">
        <f>VLOOKUP(H69,'KoAct 배당성장액티브'!$B$11:$E$1000,4,0)</f>
        <v>0.25</v>
      </c>
      <c r="J69" s="65">
        <f>IFERROR(VLOOKUP(H69,'KoAct 배당성장액티브(과거)'!$B$11:$E$1000,4,0),0)</f>
        <v>0.28000000000000003</v>
      </c>
      <c r="K69" s="20">
        <f t="shared" si="10"/>
        <v>-3.0000000000000027E-2</v>
      </c>
      <c r="L69" s="21">
        <f t="shared" si="11"/>
        <v>-0.10714285714285721</v>
      </c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G70" s="63" t="str">
        <f>VLOOKUP(H70,유니버스!$C$14:$D$2561,2,0)</f>
        <v>KS</v>
      </c>
      <c r="H70" s="65" t="str">
        <f>'KoAct 배당성장액티브'!B76</f>
        <v>현대건설</v>
      </c>
      <c r="I70" s="65">
        <f>VLOOKUP(H70,'KoAct 배당성장액티브'!$B$11:$E$1000,4,0)</f>
        <v>0.24</v>
      </c>
      <c r="J70" s="65">
        <f>IFERROR(VLOOKUP(H70,'KoAct 배당성장액티브(과거)'!$B$11:$E$1000,4,0),0)</f>
        <v>0.26</v>
      </c>
      <c r="K70" s="20">
        <f t="shared" ref="K70" si="12">I70-J70</f>
        <v>-2.0000000000000018E-2</v>
      </c>
      <c r="L70" s="21">
        <f t="shared" ref="L70" si="13">IFERROR(I70/J70-1,"신규편입")</f>
        <v>-7.6923076923076983E-2</v>
      </c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G71" s="63" t="str">
        <f>VLOOKUP(H71,유니버스!$C$14:$D$2561,2,0)</f>
        <v>KS</v>
      </c>
      <c r="H71" s="65" t="str">
        <f>'KoAct 배당성장액티브'!B77</f>
        <v>NH투자증권</v>
      </c>
      <c r="I71" s="65">
        <f>VLOOKUP(H71,'KoAct 배당성장액티브'!$B$11:$E$1000,4,0)</f>
        <v>0.24</v>
      </c>
      <c r="J71" s="65">
        <f>IFERROR(VLOOKUP(H71,'KoAct 배당성장액티브(과거)'!$B$11:$E$1000,4,0),0)</f>
        <v>0.25</v>
      </c>
      <c r="K71" s="20">
        <f t="shared" ref="K71:K76" si="14">I71-J71</f>
        <v>-1.0000000000000009E-2</v>
      </c>
      <c r="L71" s="21">
        <f t="shared" ref="L71:L76" si="15">IFERROR(I71/J71-1,"신규편입")</f>
        <v>-4.0000000000000036E-2</v>
      </c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G72" s="63" t="str">
        <f>VLOOKUP(H72,유니버스!$C$14:$D$2561,2,0)</f>
        <v>KS</v>
      </c>
      <c r="H72" s="65" t="str">
        <f>'KoAct 배당성장액티브'!B78</f>
        <v>한국항공우주</v>
      </c>
      <c r="I72" s="65">
        <f>VLOOKUP(H72,'KoAct 배당성장액티브'!$B$11:$E$1000,4,0)</f>
        <v>0.23</v>
      </c>
      <c r="J72" s="65">
        <f>IFERROR(VLOOKUP(H72,'KoAct 배당성장액티브(과거)'!$B$11:$E$1000,4,0),0)</f>
        <v>0.23</v>
      </c>
      <c r="K72" s="20">
        <f t="shared" si="14"/>
        <v>0</v>
      </c>
      <c r="L72" s="21">
        <f t="shared" si="15"/>
        <v>0</v>
      </c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G73" s="63" t="str">
        <f>VLOOKUP(H73,유니버스!$C$14:$D$2561,2,0)</f>
        <v>KS</v>
      </c>
      <c r="H73" s="65" t="str">
        <f>'KoAct 배당성장액티브'!B79</f>
        <v>LX세미콘</v>
      </c>
      <c r="I73" s="65">
        <f>VLOOKUP(H73,'KoAct 배당성장액티브'!$B$11:$E$1000,4,0)</f>
        <v>0.23</v>
      </c>
      <c r="J73" s="65">
        <f>IFERROR(VLOOKUP(H73,'KoAct 배당성장액티브(과거)'!$B$11:$E$1000,4,0),0)</f>
        <v>0.45</v>
      </c>
      <c r="K73" s="20">
        <f t="shared" si="14"/>
        <v>-0.22</v>
      </c>
      <c r="L73" s="21">
        <f t="shared" si="15"/>
        <v>-0.48888888888888893</v>
      </c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G74" s="63" t="str">
        <f>VLOOKUP(H74,유니버스!$C$14:$D$2561,2,0)</f>
        <v>KS</v>
      </c>
      <c r="H74" s="65" t="str">
        <f>'KoAct 배당성장액티브'!B80</f>
        <v>오리온홀딩스</v>
      </c>
      <c r="I74" s="65">
        <f>VLOOKUP(H74,'KoAct 배당성장액티브'!$B$11:$E$1000,4,0)</f>
        <v>0.22</v>
      </c>
      <c r="J74" s="65">
        <f>IFERROR(VLOOKUP(H74,'KoAct 배당성장액티브(과거)'!$B$11:$E$1000,4,0),0)</f>
        <v>0.26</v>
      </c>
      <c r="K74" s="20">
        <f t="shared" si="14"/>
        <v>-4.0000000000000008E-2</v>
      </c>
      <c r="L74" s="21">
        <f t="shared" si="15"/>
        <v>-0.15384615384615385</v>
      </c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G75" s="63" t="str">
        <f>VLOOKUP(H75,유니버스!$C$14:$D$2561,2,0)</f>
        <v>KS</v>
      </c>
      <c r="H75" s="65" t="str">
        <f>'KoAct 배당성장액티브'!B81</f>
        <v>수산인더스트리</v>
      </c>
      <c r="I75" s="65">
        <f>VLOOKUP(H75,'KoAct 배당성장액티브'!$B$11:$E$1000,4,0)</f>
        <v>0.21</v>
      </c>
      <c r="J75" s="65">
        <f>IFERROR(VLOOKUP(H75,'KoAct 배당성장액티브(과거)'!$B$11:$E$1000,4,0),0)</f>
        <v>0.43</v>
      </c>
      <c r="K75" s="20">
        <f t="shared" si="14"/>
        <v>-0.22</v>
      </c>
      <c r="L75" s="21">
        <f t="shared" si="15"/>
        <v>-0.51162790697674421</v>
      </c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G76" s="63" t="str">
        <f>VLOOKUP(H76,유니버스!$C$14:$D$2561,2,0)</f>
        <v>KQ</v>
      </c>
      <c r="H76" s="65" t="str">
        <f>'KoAct 배당성장액티브'!B82</f>
        <v>서부T&amp;D</v>
      </c>
      <c r="I76" s="65">
        <f>VLOOKUP(H76,'KoAct 배당성장액티브'!$B$11:$E$1000,4,0)</f>
        <v>0.2</v>
      </c>
      <c r="J76" s="65">
        <f>IFERROR(VLOOKUP(H76,'KoAct 배당성장액티브(과거)'!$B$11:$E$1000,4,0),0)</f>
        <v>0.23</v>
      </c>
      <c r="K76" s="20">
        <f t="shared" si="14"/>
        <v>-0.03</v>
      </c>
      <c r="L76" s="21">
        <f t="shared" si="15"/>
        <v>-0.13043478260869568</v>
      </c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G77" s="63" t="str">
        <f>VLOOKUP(H77,유니버스!$C$14:$D$2561,2,0)</f>
        <v>KS</v>
      </c>
      <c r="H77" s="65" t="str">
        <f>'KoAct 배당성장액티브'!B83</f>
        <v>HL홀딩스</v>
      </c>
      <c r="I77" s="65">
        <f>VLOOKUP(H77,'KoAct 배당성장액티브'!$B$11:$E$1000,4,0)</f>
        <v>0.18</v>
      </c>
      <c r="J77" s="65">
        <f>IFERROR(VLOOKUP(H77,'KoAct 배당성장액티브(과거)'!$B$11:$E$1000,4,0),0)</f>
        <v>0.19</v>
      </c>
      <c r="K77" s="20">
        <f t="shared" ref="K77:K80" si="16">I77-J77</f>
        <v>-1.0000000000000009E-2</v>
      </c>
      <c r="L77" s="21">
        <f t="shared" ref="L77:L80" si="17">IFERROR(I77/J77-1,"신규편입")</f>
        <v>-5.2631578947368474E-2</v>
      </c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G78" s="63" t="str">
        <f>VLOOKUP(H78,유니버스!$C$14:$D$2561,2,0)</f>
        <v>KS</v>
      </c>
      <c r="H78" s="65" t="str">
        <f>'KoAct 배당성장액티브'!B84</f>
        <v>대한항공</v>
      </c>
      <c r="I78" s="65">
        <f>VLOOKUP(H78,'KoAct 배당성장액티브'!$B$11:$E$1000,4,0)</f>
        <v>0.18</v>
      </c>
      <c r="J78" s="65">
        <f>IFERROR(VLOOKUP(H78,'KoAct 배당성장액티브(과거)'!$B$11:$E$1000,4,0),0)</f>
        <v>0.7</v>
      </c>
      <c r="K78" s="20">
        <f t="shared" si="16"/>
        <v>-0.52</v>
      </c>
      <c r="L78" s="21">
        <f t="shared" si="17"/>
        <v>-0.74285714285714288</v>
      </c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G79" s="63" t="str">
        <f>VLOOKUP(H79,유니버스!$C$14:$D$2561,2,0)</f>
        <v>KS</v>
      </c>
      <c r="H79" s="65" t="str">
        <f>'KoAct 배당성장액티브'!B85</f>
        <v>이수페타시스</v>
      </c>
      <c r="I79" s="65">
        <f>VLOOKUP(H79,'KoAct 배당성장액티브'!$B$11:$E$1000,4,0)</f>
        <v>0.13</v>
      </c>
      <c r="J79" s="65">
        <f>IFERROR(VLOOKUP(H79,'KoAct 배당성장액티브(과거)'!$B$11:$E$1000,4,0),0)</f>
        <v>0.13</v>
      </c>
      <c r="K79" s="20">
        <f t="shared" si="16"/>
        <v>0</v>
      </c>
      <c r="L79" s="21">
        <f t="shared" si="17"/>
        <v>0</v>
      </c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G80" s="63" t="str">
        <f>VLOOKUP(H80,유니버스!$C$14:$D$2561,2,0)</f>
        <v>KS</v>
      </c>
      <c r="H80" s="65" t="str">
        <f>'KoAct 배당성장액티브'!B86</f>
        <v>두산밥캣</v>
      </c>
      <c r="I80" s="65">
        <f>VLOOKUP(H80,'KoAct 배당성장액티브'!$B$11:$E$1000,4,0)</f>
        <v>0.12</v>
      </c>
      <c r="J80" s="65">
        <f>IFERROR(VLOOKUP(H80,'KoAct 배당성장액티브(과거)'!$B$11:$E$1000,4,0),0)</f>
        <v>0.13</v>
      </c>
      <c r="K80" s="20">
        <f t="shared" si="16"/>
        <v>-1.0000000000000009E-2</v>
      </c>
      <c r="L80" s="21">
        <f t="shared" si="17"/>
        <v>-7.6923076923076983E-2</v>
      </c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G81" s="63" t="str">
        <f>VLOOKUP(H81,유니버스!$C$14:$D$2561,2,0)</f>
        <v>KS</v>
      </c>
      <c r="H81" s="65" t="str">
        <f>'KoAct 배당성장액티브'!B87</f>
        <v>HD건설기계</v>
      </c>
      <c r="I81" s="65">
        <f>VLOOKUP(H81,'KoAct 배당성장액티브'!$B$11:$E$1000,4,0)</f>
        <v>0.12</v>
      </c>
      <c r="J81" s="65">
        <f>IFERROR(VLOOKUP(H81,'KoAct 배당성장액티브(과거)'!$B$11:$E$1000,4,0),0)</f>
        <v>0.12</v>
      </c>
      <c r="K81" s="20">
        <f t="shared" ref="K81:K83" si="18">I81-J81</f>
        <v>0</v>
      </c>
      <c r="L81" s="21">
        <f t="shared" ref="L81:L83" si="19">IFERROR(I81/J81-1,"신규편입")</f>
        <v>0</v>
      </c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G82" s="63" t="str">
        <f>VLOOKUP(H82,유니버스!$C$14:$D$2561,2,0)</f>
        <v>KQ</v>
      </c>
      <c r="H82" s="65" t="str">
        <f>'KoAct 배당성장액티브'!B88</f>
        <v>솔브레인홀딩스</v>
      </c>
      <c r="I82" s="65">
        <f>VLOOKUP(H82,'KoAct 배당성장액티브'!$B$11:$E$1000,4,0)</f>
        <v>0.1</v>
      </c>
      <c r="J82" s="65">
        <f>IFERROR(VLOOKUP(H82,'KoAct 배당성장액티브(과거)'!$B$11:$E$1000,4,0),0)</f>
        <v>0.4</v>
      </c>
      <c r="K82" s="20">
        <f t="shared" si="18"/>
        <v>-0.30000000000000004</v>
      </c>
      <c r="L82" s="21">
        <f t="shared" si="19"/>
        <v>-0.75</v>
      </c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G83" s="63" t="e">
        <f>VLOOKUP(H83,유니버스!$C$14:$D$2561,2,0)</f>
        <v>#N/A</v>
      </c>
      <c r="H83" s="65" t="str">
        <f>'KoAct 배당성장액티브'!B89</f>
        <v>원화현금</v>
      </c>
      <c r="I83" s="65">
        <f>VLOOKUP(H83,'KoAct 배당성장액티브'!$B$11:$E$1000,4,0)</f>
        <v>0.84</v>
      </c>
      <c r="J83" s="65">
        <f>IFERROR(VLOOKUP(H83,'KoAct 배당성장액티브(과거)'!$B$11:$E$1000,4,0),0)</f>
        <v>0.56999999999999995</v>
      </c>
      <c r="K83" s="20">
        <f t="shared" si="18"/>
        <v>0.27</v>
      </c>
      <c r="L83" s="21">
        <f t="shared" si="19"/>
        <v>0.47368421052631593</v>
      </c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0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0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R119" s="25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R120" s="25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R121" s="25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</row>
    <row r="127" spans="2:18" x14ac:dyDescent="0.4">
      <c r="B127" s="65"/>
      <c r="C127" s="65"/>
      <c r="D127" s="65"/>
      <c r="E127" s="20"/>
      <c r="F127" s="21"/>
      <c r="H127" s="65"/>
      <c r="I127" s="65"/>
      <c r="J127" s="65"/>
      <c r="K127" s="20"/>
      <c r="L127" s="21"/>
    </row>
    <row r="128" spans="2:18" x14ac:dyDescent="0.4">
      <c r="B128" s="65"/>
      <c r="C128" s="65"/>
      <c r="D128" s="65"/>
      <c r="E128" s="20"/>
      <c r="F128" s="21"/>
      <c r="H128" s="65"/>
      <c r="I128" s="65"/>
      <c r="J128" s="65"/>
      <c r="K128" s="20"/>
      <c r="L128" s="21"/>
    </row>
    <row r="129" spans="2:18" x14ac:dyDescent="0.4">
      <c r="B129" s="65"/>
      <c r="C129" s="65"/>
      <c r="D129" s="65"/>
      <c r="E129" s="20"/>
      <c r="F129" s="21"/>
      <c r="H129" s="65"/>
      <c r="I129" s="65"/>
      <c r="J129" s="65"/>
      <c r="K129" s="20"/>
      <c r="L129" s="21"/>
    </row>
    <row r="130" spans="2:18" x14ac:dyDescent="0.4">
      <c r="B130" s="65"/>
      <c r="C130" s="65"/>
      <c r="D130" s="65"/>
      <c r="E130" s="20"/>
      <c r="F130" s="21"/>
      <c r="H130" s="65"/>
      <c r="I130" s="65"/>
      <c r="J130" s="65"/>
      <c r="K130" s="20"/>
      <c r="L130" s="21"/>
    </row>
    <row r="131" spans="2:18" x14ac:dyDescent="0.4">
      <c r="B131" s="65"/>
      <c r="C131" s="65"/>
      <c r="D131" s="65"/>
      <c r="E131" s="20"/>
      <c r="F131" s="21"/>
      <c r="H131" s="65"/>
      <c r="I131" s="65"/>
      <c r="J131" s="65"/>
      <c r="K131" s="20"/>
      <c r="L131" s="21"/>
    </row>
    <row r="132" spans="2:18" x14ac:dyDescent="0.4">
      <c r="B132" s="65"/>
      <c r="C132" s="65"/>
      <c r="D132" s="65"/>
      <c r="E132" s="20"/>
      <c r="F132" s="21"/>
      <c r="H132" s="65"/>
      <c r="I132" s="65"/>
      <c r="J132" s="65"/>
      <c r="K132" s="20"/>
      <c r="L132" s="21"/>
    </row>
    <row r="133" spans="2:18" x14ac:dyDescent="0.4">
      <c r="B133" s="65"/>
      <c r="C133" s="65"/>
      <c r="D133" s="65"/>
      <c r="E133" s="20"/>
      <c r="F133" s="21"/>
      <c r="H133" s="65"/>
      <c r="I133" s="65"/>
      <c r="J133" s="65"/>
      <c r="K133" s="20"/>
      <c r="L133" s="21"/>
    </row>
    <row r="134" spans="2:18" x14ac:dyDescent="0.4">
      <c r="B134" s="65"/>
      <c r="C134" s="65"/>
      <c r="D134" s="65"/>
      <c r="E134" s="20"/>
      <c r="F134" s="21"/>
      <c r="H134" s="65"/>
      <c r="I134" s="65"/>
      <c r="J134" s="65"/>
      <c r="K134" s="20"/>
      <c r="L134" s="21"/>
      <c r="R134" s="25"/>
    </row>
    <row r="135" spans="2:18" x14ac:dyDescent="0.4">
      <c r="B135" s="65"/>
      <c r="C135" s="65"/>
      <c r="D135" s="65"/>
      <c r="E135" s="20"/>
      <c r="F135" s="21"/>
      <c r="H135" s="65"/>
      <c r="I135" s="65"/>
      <c r="J135" s="65"/>
      <c r="K135" s="20"/>
      <c r="L135" s="21"/>
      <c r="R135" s="25"/>
    </row>
    <row r="136" spans="2:18" x14ac:dyDescent="0.4">
      <c r="B136" s="65"/>
      <c r="C136" s="65"/>
      <c r="D136" s="65"/>
      <c r="E136" s="20"/>
      <c r="F136" s="21"/>
      <c r="H136" s="65"/>
      <c r="I136" s="65"/>
      <c r="J136" s="65"/>
      <c r="K136" s="20"/>
      <c r="L136" s="21"/>
      <c r="R136" s="25"/>
    </row>
    <row r="137" spans="2:18" x14ac:dyDescent="0.4">
      <c r="B137" s="65"/>
      <c r="C137" s="65"/>
      <c r="D137" s="65"/>
      <c r="E137" s="20"/>
      <c r="F137" s="21"/>
      <c r="H137" s="65"/>
      <c r="I137" s="65"/>
      <c r="J137" s="65"/>
      <c r="K137" s="20"/>
      <c r="L137" s="21"/>
    </row>
    <row r="138" spans="2:18" x14ac:dyDescent="0.4">
      <c r="B138" s="65"/>
      <c r="C138" s="65"/>
      <c r="D138" s="65"/>
      <c r="E138" s="20"/>
      <c r="F138" s="21"/>
      <c r="H138" s="65"/>
      <c r="I138" s="65"/>
      <c r="J138" s="65"/>
      <c r="K138" s="20"/>
      <c r="L138" s="21"/>
    </row>
    <row r="139" spans="2:18" x14ac:dyDescent="0.4">
      <c r="B139" s="65"/>
      <c r="C139" s="65"/>
      <c r="D139" s="65"/>
      <c r="E139" s="20"/>
      <c r="F139" s="21"/>
      <c r="H139" s="65"/>
      <c r="I139" s="65"/>
      <c r="J139" s="65"/>
      <c r="K139" s="20"/>
      <c r="L139" s="21"/>
    </row>
    <row r="140" spans="2:18" x14ac:dyDescent="0.4">
      <c r="B140" s="65"/>
      <c r="C140" s="65"/>
      <c r="D140" s="65"/>
      <c r="E140" s="20"/>
      <c r="F140" s="21"/>
      <c r="H140" s="65"/>
      <c r="I140" s="65"/>
      <c r="J140" s="65"/>
      <c r="K140" s="20"/>
      <c r="L140" s="21"/>
    </row>
    <row r="141" spans="2:18" x14ac:dyDescent="0.4">
      <c r="B141" s="65"/>
      <c r="C141" s="65"/>
      <c r="D141" s="65"/>
      <c r="E141" s="20"/>
      <c r="F141" s="21"/>
      <c r="H141" s="65"/>
      <c r="I141" s="65"/>
      <c r="J141" s="65"/>
      <c r="K141" s="20"/>
      <c r="L141" s="21"/>
    </row>
    <row r="142" spans="2:18" x14ac:dyDescent="0.4">
      <c r="B142" s="65"/>
      <c r="C142" s="65"/>
      <c r="D142" s="65"/>
      <c r="E142" s="20"/>
      <c r="F142" s="21"/>
      <c r="H142" s="65"/>
      <c r="I142" s="65"/>
      <c r="J142" s="65"/>
      <c r="K142" s="20"/>
      <c r="L142" s="21"/>
    </row>
    <row r="143" spans="2:18" x14ac:dyDescent="0.4">
      <c r="B143" s="65"/>
      <c r="C143" s="65"/>
      <c r="D143" s="65"/>
      <c r="E143" s="20"/>
      <c r="F143" s="21"/>
      <c r="H143" s="65"/>
      <c r="I143" s="65"/>
      <c r="J143" s="65"/>
      <c r="K143" s="20"/>
      <c r="L143" s="21"/>
    </row>
    <row r="144" spans="2:18" x14ac:dyDescent="0.4">
      <c r="B144" s="65"/>
      <c r="C144" s="65"/>
      <c r="D144" s="65"/>
      <c r="E144" s="20"/>
      <c r="F144" s="21"/>
      <c r="H144" s="65"/>
      <c r="I144" s="65"/>
      <c r="J144" s="65"/>
      <c r="K144" s="20"/>
      <c r="L144" s="21"/>
    </row>
    <row r="145" spans="2:18" x14ac:dyDescent="0.4">
      <c r="B145" s="65"/>
      <c r="C145" s="65"/>
      <c r="D145" s="65"/>
      <c r="E145" s="20"/>
      <c r="F145" s="21"/>
      <c r="H145" s="65"/>
      <c r="I145" s="65"/>
      <c r="J145" s="65"/>
      <c r="K145" s="20"/>
      <c r="L145" s="21"/>
    </row>
    <row r="146" spans="2:18" x14ac:dyDescent="0.4">
      <c r="B146" s="65"/>
      <c r="C146" s="65"/>
      <c r="D146" s="65"/>
      <c r="E146" s="20"/>
      <c r="F146" s="21"/>
      <c r="H146" s="65"/>
      <c r="I146" s="65"/>
      <c r="J146" s="65"/>
      <c r="K146" s="20"/>
      <c r="L146" s="21"/>
      <c r="R146" s="25"/>
    </row>
    <row r="147" spans="2:18" x14ac:dyDescent="0.4">
      <c r="B147" s="65"/>
      <c r="C147" s="65"/>
      <c r="D147" s="65"/>
      <c r="E147" s="20"/>
      <c r="F147" s="21"/>
      <c r="H147" s="65"/>
      <c r="I147" s="65"/>
      <c r="J147" s="65"/>
      <c r="K147" s="20"/>
      <c r="L147" s="21"/>
    </row>
    <row r="148" spans="2:18" x14ac:dyDescent="0.4">
      <c r="B148" s="65"/>
      <c r="C148" s="65"/>
      <c r="D148" s="65"/>
      <c r="E148" s="20"/>
      <c r="F148" s="21"/>
      <c r="H148" s="65"/>
      <c r="I148" s="65"/>
      <c r="J148" s="65"/>
      <c r="K148" s="20"/>
      <c r="L148" s="21"/>
    </row>
    <row r="149" spans="2:18" x14ac:dyDescent="0.4">
      <c r="B149" s="65"/>
      <c r="C149" s="65"/>
      <c r="D149" s="65"/>
      <c r="E149" s="20"/>
      <c r="F149" s="21"/>
      <c r="H149" s="65"/>
      <c r="I149" s="65"/>
      <c r="J149" s="65"/>
      <c r="K149" s="20"/>
      <c r="L149" s="21"/>
    </row>
    <row r="150" spans="2:18" x14ac:dyDescent="0.4">
      <c r="B150" s="65"/>
      <c r="C150" s="65"/>
      <c r="D150" s="65"/>
      <c r="E150" s="20"/>
      <c r="F150" s="21"/>
      <c r="H150" s="65"/>
      <c r="I150" s="65"/>
      <c r="J150" s="65"/>
      <c r="K150" s="20"/>
      <c r="L150" s="21"/>
    </row>
    <row r="151" spans="2:18" x14ac:dyDescent="0.4">
      <c r="B151" s="65"/>
      <c r="C151" s="65"/>
      <c r="D151" s="65"/>
      <c r="E151" s="20"/>
      <c r="F151" s="21"/>
      <c r="H151" s="65"/>
      <c r="I151" s="65"/>
      <c r="J151" s="65"/>
      <c r="K151" s="20"/>
      <c r="L151" s="21"/>
    </row>
    <row r="152" spans="2:18" x14ac:dyDescent="0.4">
      <c r="B152" s="65"/>
      <c r="C152" s="65"/>
      <c r="D152" s="65"/>
      <c r="E152" s="20"/>
      <c r="F152" s="21"/>
      <c r="H152" s="65"/>
      <c r="I152" s="65"/>
      <c r="J152" s="65"/>
      <c r="K152" s="20"/>
      <c r="L152" s="21"/>
    </row>
    <row r="153" spans="2:18" x14ac:dyDescent="0.4">
      <c r="B153" s="65"/>
      <c r="C153" s="65"/>
      <c r="D153" s="65"/>
      <c r="E153" s="20"/>
      <c r="F153" s="21"/>
      <c r="H153" s="65"/>
      <c r="I153" s="65"/>
      <c r="J153" s="65"/>
      <c r="K153" s="20"/>
      <c r="L153" s="21"/>
    </row>
    <row r="154" spans="2:18" x14ac:dyDescent="0.4">
      <c r="B154" s="65"/>
      <c r="C154" s="65"/>
      <c r="D154" s="65"/>
      <c r="E154" s="20"/>
      <c r="F154" s="21"/>
      <c r="H154" s="65"/>
      <c r="I154" s="65"/>
      <c r="J154" s="65"/>
      <c r="K154" s="20"/>
      <c r="L154" s="21"/>
    </row>
    <row r="155" spans="2:18" x14ac:dyDescent="0.4">
      <c r="B155" s="65"/>
      <c r="C155" s="65"/>
      <c r="D155" s="65"/>
      <c r="E155" s="20"/>
      <c r="F155" s="21"/>
      <c r="H155" s="65"/>
      <c r="I155" s="65"/>
      <c r="J155" s="65"/>
      <c r="K155" s="20"/>
      <c r="L155" s="21"/>
    </row>
    <row r="156" spans="2:18" x14ac:dyDescent="0.4">
      <c r="B156" s="65"/>
      <c r="C156" s="65"/>
      <c r="D156" s="65"/>
      <c r="E156" s="20"/>
      <c r="F156" s="21"/>
      <c r="H156" s="65"/>
      <c r="I156" s="65"/>
      <c r="J156" s="65"/>
      <c r="K156" s="20"/>
      <c r="L156" s="21"/>
    </row>
    <row r="157" spans="2:18" x14ac:dyDescent="0.4">
      <c r="B157" s="65"/>
      <c r="C157" s="65"/>
      <c r="D157" s="65"/>
      <c r="E157" s="20"/>
      <c r="F157" s="21"/>
      <c r="H157" s="65"/>
      <c r="I157" s="65"/>
      <c r="J157" s="65"/>
      <c r="K157" s="20"/>
      <c r="L157" s="21"/>
    </row>
    <row r="158" spans="2:18" x14ac:dyDescent="0.4">
      <c r="B158" s="65"/>
      <c r="C158" s="65"/>
      <c r="D158" s="65"/>
      <c r="E158" s="20"/>
      <c r="F158" s="21"/>
      <c r="H158" s="65"/>
      <c r="I158" s="65"/>
      <c r="J158" s="65"/>
      <c r="K158" s="20"/>
      <c r="L158" s="21"/>
    </row>
    <row r="159" spans="2:18" x14ac:dyDescent="0.4">
      <c r="B159" s="65"/>
      <c r="C159" s="65"/>
      <c r="D159" s="65"/>
      <c r="E159" s="20"/>
      <c r="F159" s="21"/>
      <c r="H159" s="65"/>
      <c r="I159" s="65"/>
      <c r="J159" s="65"/>
      <c r="K159" s="20"/>
      <c r="L159" s="21"/>
    </row>
    <row r="160" spans="2:18" x14ac:dyDescent="0.4">
      <c r="B160" s="65"/>
      <c r="C160" s="65"/>
      <c r="D160" s="65"/>
      <c r="E160" s="20"/>
      <c r="F160" s="21"/>
      <c r="H160" s="65"/>
      <c r="I160" s="65"/>
      <c r="J160" s="65"/>
      <c r="K160" s="20"/>
      <c r="L160" s="21"/>
    </row>
    <row r="161" spans="2:12" x14ac:dyDescent="0.4">
      <c r="B161" s="65"/>
      <c r="C161" s="65"/>
      <c r="D161" s="65"/>
      <c r="E161" s="20"/>
      <c r="F161" s="21"/>
      <c r="H161" s="65"/>
      <c r="I161" s="65"/>
      <c r="J161" s="65"/>
      <c r="K161" s="20"/>
      <c r="L161" s="21"/>
    </row>
    <row r="162" spans="2:12" x14ac:dyDescent="0.4">
      <c r="B162" s="65"/>
      <c r="C162" s="65"/>
      <c r="D162" s="65"/>
      <c r="E162" s="20"/>
      <c r="F162" s="21"/>
      <c r="H162" s="65"/>
      <c r="I162" s="65"/>
      <c r="J162" s="65"/>
      <c r="K162" s="20"/>
      <c r="L162" s="21"/>
    </row>
    <row r="163" spans="2:12" x14ac:dyDescent="0.4">
      <c r="B163" s="65"/>
      <c r="C163" s="65"/>
      <c r="D163" s="65"/>
      <c r="E163" s="20"/>
      <c r="F163" s="21"/>
      <c r="H163" s="65"/>
      <c r="I163" s="65"/>
      <c r="J163" s="65"/>
      <c r="K163" s="20"/>
      <c r="L163" s="21"/>
    </row>
    <row r="164" spans="2:12" x14ac:dyDescent="0.4">
      <c r="B164" s="65"/>
      <c r="C164" s="65"/>
      <c r="D164" s="65"/>
      <c r="E164" s="20"/>
      <c r="F164" s="21"/>
      <c r="H164" s="65"/>
      <c r="I164" s="65"/>
      <c r="J164" s="65"/>
      <c r="K164" s="20"/>
      <c r="L164" s="21"/>
    </row>
    <row r="165" spans="2:12" x14ac:dyDescent="0.4">
      <c r="B165" s="65"/>
      <c r="C165" s="65"/>
      <c r="D165" s="65"/>
      <c r="E165" s="20"/>
      <c r="F165" s="21"/>
      <c r="H165" s="65"/>
      <c r="I165" s="65"/>
      <c r="J165" s="65"/>
      <c r="K165" s="20"/>
      <c r="L165" s="21"/>
    </row>
    <row r="166" spans="2:12" x14ac:dyDescent="0.4">
      <c r="B166" s="65"/>
      <c r="C166" s="65"/>
      <c r="D166" s="65"/>
      <c r="E166" s="20"/>
      <c r="F166" s="21"/>
      <c r="H166" s="65"/>
      <c r="I166" s="65"/>
      <c r="J166" s="65"/>
      <c r="K166" s="20"/>
      <c r="L166" s="21"/>
    </row>
    <row r="167" spans="2:12" x14ac:dyDescent="0.4">
      <c r="B167" s="65"/>
      <c r="C167" s="65"/>
      <c r="D167" s="65"/>
      <c r="E167" s="20"/>
      <c r="F167" s="21"/>
      <c r="H167" s="65"/>
      <c r="I167" s="65"/>
      <c r="J167" s="65"/>
      <c r="K167" s="20"/>
      <c r="L167" s="21"/>
    </row>
    <row r="168" spans="2:12" x14ac:dyDescent="0.4">
      <c r="B168" s="65"/>
      <c r="C168" s="65"/>
      <c r="D168" s="65"/>
      <c r="E168" s="20"/>
      <c r="F168" s="21"/>
      <c r="H168" s="65"/>
      <c r="I168" s="65"/>
      <c r="J168" s="65"/>
      <c r="K168" s="20"/>
      <c r="L168" s="21"/>
    </row>
    <row r="169" spans="2:12" x14ac:dyDescent="0.4">
      <c r="B169" s="65"/>
      <c r="C169" s="65"/>
      <c r="D169" s="65"/>
      <c r="E169" s="20"/>
      <c r="F169" s="21"/>
      <c r="H169" s="65"/>
      <c r="I169" s="65"/>
      <c r="J169" s="65"/>
      <c r="K169" s="20"/>
      <c r="L169" s="21"/>
    </row>
    <row r="170" spans="2:12" x14ac:dyDescent="0.4">
      <c r="B170" s="65"/>
      <c r="C170" s="65"/>
      <c r="D170" s="65"/>
      <c r="E170" s="20"/>
      <c r="F170" s="21"/>
      <c r="H170" s="65"/>
      <c r="I170" s="65"/>
      <c r="J170" s="65"/>
      <c r="K170" s="20"/>
      <c r="L170" s="21"/>
    </row>
    <row r="171" spans="2:12" x14ac:dyDescent="0.4">
      <c r="B171" s="65"/>
      <c r="C171" s="65"/>
      <c r="D171" s="65"/>
      <c r="E171" s="20"/>
      <c r="F171" s="21"/>
      <c r="H171" s="65"/>
      <c r="I171" s="65"/>
      <c r="J171" s="65"/>
      <c r="K171" s="20"/>
      <c r="L171" s="21"/>
    </row>
    <row r="172" spans="2:12" x14ac:dyDescent="0.4">
      <c r="B172" s="65"/>
      <c r="C172" s="65"/>
      <c r="D172" s="65"/>
      <c r="E172" s="20"/>
      <c r="F172" s="21"/>
      <c r="H172" s="65"/>
      <c r="I172" s="65"/>
      <c r="J172" s="65"/>
      <c r="K172" s="20"/>
      <c r="L172" s="21"/>
    </row>
    <row r="173" spans="2:12" x14ac:dyDescent="0.4">
      <c r="B173" s="65"/>
      <c r="C173" s="65"/>
      <c r="D173" s="65"/>
      <c r="E173" s="20"/>
      <c r="F173" s="21"/>
      <c r="H173" s="65"/>
      <c r="I173" s="65"/>
      <c r="J173" s="65"/>
      <c r="K173" s="20"/>
      <c r="L173" s="21"/>
    </row>
    <row r="174" spans="2:12" x14ac:dyDescent="0.4">
      <c r="B174" s="65"/>
      <c r="C174" s="65"/>
      <c r="D174" s="65"/>
      <c r="E174" s="20"/>
      <c r="F174" s="21"/>
      <c r="H174" s="65"/>
      <c r="I174" s="65"/>
      <c r="J174" s="65"/>
      <c r="K174" s="20"/>
      <c r="L174" s="21"/>
    </row>
    <row r="175" spans="2:12" x14ac:dyDescent="0.4">
      <c r="B175" s="65"/>
      <c r="C175" s="65"/>
      <c r="D175" s="65"/>
      <c r="E175" s="20"/>
      <c r="F175" s="21"/>
      <c r="H175" s="65"/>
      <c r="I175" s="65"/>
      <c r="J175" s="65"/>
      <c r="K175" s="20"/>
      <c r="L175" s="21"/>
    </row>
    <row r="176" spans="2:12" x14ac:dyDescent="0.4">
      <c r="B176" s="65"/>
      <c r="C176" s="65"/>
      <c r="D176" s="65"/>
      <c r="E176" s="20"/>
      <c r="F176" s="21"/>
      <c r="H176" s="65"/>
      <c r="I176" s="65"/>
      <c r="J176" s="65"/>
      <c r="K176" s="20"/>
      <c r="L176" s="21"/>
    </row>
    <row r="177" spans="2:18" x14ac:dyDescent="0.4">
      <c r="B177" s="65"/>
      <c r="C177" s="65"/>
      <c r="D177" s="65"/>
      <c r="E177" s="20"/>
      <c r="F177" s="21"/>
      <c r="H177" s="65"/>
      <c r="I177" s="65"/>
      <c r="J177" s="65"/>
      <c r="K177" s="20"/>
      <c r="L177" s="21"/>
    </row>
    <row r="178" spans="2:18" x14ac:dyDescent="0.4">
      <c r="B178" s="65"/>
      <c r="C178" s="65"/>
      <c r="D178" s="65"/>
      <c r="E178" s="20"/>
      <c r="F178" s="21"/>
      <c r="H178" s="65"/>
      <c r="I178" s="65"/>
      <c r="J178" s="65"/>
      <c r="K178" s="20"/>
      <c r="L178" s="21"/>
    </row>
    <row r="179" spans="2:18" x14ac:dyDescent="0.4">
      <c r="B179" s="65"/>
      <c r="C179" s="65"/>
      <c r="D179" s="65"/>
      <c r="E179" s="20"/>
      <c r="F179" s="21"/>
      <c r="H179" s="65"/>
      <c r="I179" s="65"/>
      <c r="J179" s="65"/>
      <c r="K179" s="20"/>
      <c r="L179" s="21"/>
    </row>
    <row r="180" spans="2:18" x14ac:dyDescent="0.4">
      <c r="B180" s="65"/>
      <c r="C180" s="65"/>
      <c r="D180" s="65"/>
      <c r="E180" s="20"/>
      <c r="F180" s="21"/>
      <c r="H180" s="65"/>
      <c r="I180" s="65"/>
      <c r="J180" s="65"/>
      <c r="K180" s="20"/>
      <c r="L180" s="21"/>
    </row>
    <row r="181" spans="2:18" x14ac:dyDescent="0.4">
      <c r="B181" s="65"/>
      <c r="C181" s="65"/>
      <c r="D181" s="65"/>
      <c r="E181" s="20"/>
      <c r="F181" s="21"/>
      <c r="H181" s="65"/>
      <c r="I181" s="65"/>
      <c r="J181" s="65"/>
      <c r="K181" s="20"/>
      <c r="L181" s="21"/>
    </row>
    <row r="182" spans="2:18" x14ac:dyDescent="0.4">
      <c r="B182" s="65"/>
      <c r="C182" s="65"/>
      <c r="D182" s="65"/>
      <c r="E182" s="20"/>
      <c r="F182" s="21"/>
      <c r="H182" s="65"/>
      <c r="I182" s="65"/>
      <c r="J182" s="65"/>
      <c r="K182" s="20"/>
      <c r="L182" s="21"/>
    </row>
    <row r="183" spans="2:18" x14ac:dyDescent="0.4">
      <c r="B183" s="65"/>
      <c r="C183" s="65"/>
      <c r="D183" s="65"/>
      <c r="E183" s="20"/>
      <c r="F183" s="21"/>
      <c r="H183" s="65"/>
      <c r="I183" s="65"/>
      <c r="J183" s="65"/>
      <c r="K183" s="20"/>
      <c r="L183" s="21"/>
    </row>
    <row r="184" spans="2:18" x14ac:dyDescent="0.4">
      <c r="B184" s="65"/>
      <c r="C184" s="65"/>
      <c r="D184" s="65"/>
      <c r="E184" s="20"/>
      <c r="F184" s="21"/>
      <c r="H184" s="65"/>
      <c r="I184" s="65"/>
      <c r="J184" s="65"/>
      <c r="K184" s="20"/>
      <c r="L184" s="21"/>
    </row>
    <row r="185" spans="2:18" x14ac:dyDescent="0.4">
      <c r="B185" s="65"/>
      <c r="C185" s="65"/>
      <c r="D185" s="65"/>
      <c r="E185" s="20"/>
      <c r="F185" s="21"/>
      <c r="H185" s="65"/>
      <c r="I185" s="65"/>
      <c r="J185" s="65"/>
      <c r="K185" s="20"/>
      <c r="L185" s="21"/>
    </row>
    <row r="186" spans="2:18" x14ac:dyDescent="0.4">
      <c r="B186" s="65"/>
      <c r="C186" s="65"/>
      <c r="D186" s="65"/>
      <c r="E186" s="20"/>
      <c r="F186" s="21"/>
      <c r="H186" s="65"/>
      <c r="I186" s="65"/>
      <c r="J186" s="65"/>
      <c r="K186" s="20"/>
      <c r="L186" s="21"/>
    </row>
    <row r="187" spans="2:18" x14ac:dyDescent="0.4">
      <c r="B187" s="65"/>
      <c r="C187" s="65"/>
      <c r="D187" s="65"/>
      <c r="E187" s="20"/>
      <c r="F187" s="21"/>
      <c r="H187" s="65"/>
      <c r="I187" s="65"/>
      <c r="J187" s="65"/>
      <c r="K187" s="20"/>
      <c r="L187" s="21"/>
    </row>
    <row r="188" spans="2:18" x14ac:dyDescent="0.4">
      <c r="B188" s="65"/>
      <c r="C188" s="65"/>
      <c r="D188" s="65"/>
      <c r="E188" s="20"/>
      <c r="F188" s="21"/>
      <c r="H188" s="65"/>
      <c r="I188" s="65"/>
      <c r="J188" s="65"/>
      <c r="K188" s="20"/>
      <c r="L188" s="21"/>
    </row>
    <row r="189" spans="2:18" x14ac:dyDescent="0.4">
      <c r="B189" s="65"/>
      <c r="C189" s="65"/>
      <c r="D189" s="65"/>
      <c r="E189" s="20"/>
      <c r="F189" s="21"/>
      <c r="H189" s="65"/>
      <c r="I189" s="65"/>
      <c r="J189" s="65"/>
      <c r="K189" s="20"/>
      <c r="L189" s="21"/>
    </row>
    <row r="190" spans="2:18" x14ac:dyDescent="0.4">
      <c r="B190" s="65"/>
      <c r="C190" s="65"/>
      <c r="D190" s="65"/>
      <c r="E190" s="20"/>
      <c r="F190" s="21"/>
      <c r="H190" s="65"/>
      <c r="I190" s="65"/>
      <c r="J190" s="65"/>
      <c r="K190" s="20"/>
      <c r="L190" s="21"/>
    </row>
    <row r="191" spans="2:18" x14ac:dyDescent="0.4">
      <c r="B191" s="65"/>
      <c r="C191" s="65"/>
      <c r="D191" s="65"/>
      <c r="E191" s="20"/>
      <c r="F191" s="21"/>
      <c r="H191" s="65"/>
      <c r="I191" s="65"/>
      <c r="J191" s="65"/>
      <c r="K191" s="20"/>
      <c r="L191" s="21"/>
    </row>
    <row r="192" spans="2:18" x14ac:dyDescent="0.4">
      <c r="B192" s="65"/>
      <c r="C192" s="65"/>
      <c r="D192" s="65"/>
      <c r="E192" s="20"/>
      <c r="F192" s="21"/>
      <c r="H192" s="65"/>
      <c r="I192" s="65"/>
      <c r="J192" s="65"/>
      <c r="K192" s="20"/>
      <c r="L192" s="21"/>
      <c r="R192" s="25"/>
    </row>
    <row r="193" spans="2:12" x14ac:dyDescent="0.4">
      <c r="B193" s="65"/>
      <c r="C193" s="65"/>
      <c r="D193" s="65"/>
      <c r="E193" s="20"/>
      <c r="F193" s="21"/>
      <c r="H193" s="65"/>
      <c r="I193" s="65"/>
      <c r="J193" s="65"/>
      <c r="K193" s="20"/>
      <c r="L193" s="21"/>
    </row>
    <row r="194" spans="2:12" x14ac:dyDescent="0.4">
      <c r="B194" s="65"/>
      <c r="C194" s="65"/>
      <c r="D194" s="65"/>
      <c r="E194" s="20"/>
      <c r="F194" s="21"/>
      <c r="H194" s="65"/>
      <c r="I194" s="65"/>
      <c r="J194" s="65"/>
      <c r="K194" s="20"/>
      <c r="L194" s="21"/>
    </row>
    <row r="195" spans="2:12" x14ac:dyDescent="0.4">
      <c r="B195" s="65"/>
      <c r="C195" s="65"/>
      <c r="D195" s="65"/>
      <c r="E195" s="20"/>
      <c r="F195" s="21"/>
      <c r="H195" s="65"/>
      <c r="I195" s="65"/>
      <c r="J195" s="65"/>
      <c r="K195" s="20"/>
      <c r="L195" s="21"/>
    </row>
    <row r="196" spans="2:12" x14ac:dyDescent="0.4">
      <c r="B196" s="65"/>
      <c r="C196" s="65"/>
      <c r="D196" s="65"/>
      <c r="E196" s="20"/>
      <c r="F196" s="21"/>
      <c r="H196" s="65"/>
      <c r="I196" s="65"/>
      <c r="J196" s="65"/>
      <c r="K196" s="20"/>
      <c r="L196" s="21"/>
    </row>
    <row r="197" spans="2:12" x14ac:dyDescent="0.4">
      <c r="B197" s="65"/>
      <c r="C197" s="65"/>
      <c r="D197" s="65"/>
      <c r="E197" s="20"/>
      <c r="F197" s="21"/>
      <c r="H197" s="65"/>
      <c r="I197" s="65"/>
      <c r="J197" s="65"/>
      <c r="K197" s="20"/>
      <c r="L197" s="21"/>
    </row>
    <row r="198" spans="2:12" x14ac:dyDescent="0.4">
      <c r="B198" s="65"/>
      <c r="C198" s="65"/>
      <c r="D198" s="65"/>
      <c r="E198" s="20"/>
      <c r="F198" s="21"/>
      <c r="H198" s="65"/>
      <c r="I198" s="65"/>
      <c r="J198" s="65"/>
      <c r="K198" s="20"/>
      <c r="L198" s="21"/>
    </row>
    <row r="199" spans="2:12" x14ac:dyDescent="0.4">
      <c r="B199" s="65"/>
      <c r="C199" s="65"/>
      <c r="D199" s="65"/>
      <c r="E199" s="20"/>
      <c r="F199" s="21"/>
      <c r="H199" s="65"/>
      <c r="I199" s="65"/>
      <c r="J199" s="65"/>
      <c r="K199" s="20"/>
      <c r="L199" s="21"/>
    </row>
    <row r="200" spans="2:12" x14ac:dyDescent="0.4">
      <c r="B200" s="65"/>
      <c r="C200" s="65"/>
      <c r="D200" s="65"/>
      <c r="E200" s="20"/>
      <c r="F200" s="21"/>
      <c r="H200" s="65"/>
      <c r="I200" s="65"/>
      <c r="J200" s="65"/>
      <c r="K200" s="20"/>
      <c r="L200" s="21"/>
    </row>
    <row r="201" spans="2:12" x14ac:dyDescent="0.4">
      <c r="B201" s="65"/>
      <c r="C201" s="65"/>
      <c r="D201" s="65"/>
      <c r="E201" s="20"/>
      <c r="F201" s="21"/>
      <c r="H201" s="65"/>
      <c r="I201" s="65"/>
      <c r="J201" s="65"/>
      <c r="K201" s="20"/>
      <c r="L201" s="21"/>
    </row>
    <row r="202" spans="2:12" x14ac:dyDescent="0.4">
      <c r="B202" s="65"/>
      <c r="C202" s="65"/>
      <c r="D202" s="65"/>
      <c r="E202" s="20"/>
      <c r="F202" s="21"/>
      <c r="H202" s="65"/>
      <c r="I202" s="65"/>
      <c r="J202" s="65"/>
      <c r="K202" s="20"/>
      <c r="L202" s="21"/>
    </row>
    <row r="203" spans="2:12" x14ac:dyDescent="0.4">
      <c r="B203" s="65"/>
      <c r="C203" s="65"/>
      <c r="D203" s="65"/>
      <c r="E203" s="20"/>
      <c r="F203" s="21"/>
      <c r="H203" s="65"/>
      <c r="I203" s="65"/>
      <c r="J203" s="65"/>
      <c r="K203" s="20"/>
      <c r="L203" s="21"/>
    </row>
    <row r="204" spans="2:12" x14ac:dyDescent="0.4">
      <c r="B204" s="65"/>
      <c r="C204" s="65"/>
      <c r="D204" s="65"/>
      <c r="E204" s="20"/>
      <c r="F204" s="21"/>
      <c r="H204" s="65"/>
      <c r="I204" s="65"/>
      <c r="J204" s="65"/>
      <c r="K204" s="20"/>
      <c r="L204" s="21"/>
    </row>
    <row r="205" spans="2:12" x14ac:dyDescent="0.4">
      <c r="B205" s="65"/>
      <c r="C205" s="65"/>
      <c r="D205" s="65"/>
      <c r="E205" s="20"/>
      <c r="F205" s="21"/>
      <c r="H205" s="65"/>
      <c r="I205" s="65"/>
      <c r="J205" s="65"/>
      <c r="K205" s="20"/>
      <c r="L205" s="21"/>
    </row>
    <row r="206" spans="2:12" x14ac:dyDescent="0.4">
      <c r="B206" s="65"/>
      <c r="C206" s="65"/>
      <c r="D206" s="65"/>
      <c r="E206" s="20"/>
      <c r="F206" s="21"/>
      <c r="H206" s="65"/>
      <c r="I206" s="65"/>
      <c r="J206" s="65"/>
      <c r="K206" s="20"/>
      <c r="L206" s="21"/>
    </row>
    <row r="207" spans="2:12" x14ac:dyDescent="0.4">
      <c r="B207" s="65"/>
      <c r="C207" s="65"/>
      <c r="D207" s="65"/>
      <c r="E207" s="20"/>
      <c r="F207" s="21"/>
      <c r="H207" s="65"/>
      <c r="I207" s="65"/>
      <c r="J207" s="65"/>
      <c r="K207" s="20"/>
      <c r="L207" s="21"/>
    </row>
    <row r="208" spans="2:12" x14ac:dyDescent="0.4">
      <c r="B208" s="65"/>
      <c r="C208" s="65"/>
      <c r="D208" s="65"/>
      <c r="E208" s="20"/>
      <c r="F208" s="21"/>
      <c r="H208" s="65"/>
      <c r="I208" s="65"/>
      <c r="J208" s="65"/>
      <c r="K208" s="20"/>
      <c r="L208" s="21"/>
    </row>
    <row r="209" spans="2:12" x14ac:dyDescent="0.4">
      <c r="B209" s="65"/>
      <c r="C209" s="65"/>
      <c r="D209" s="65"/>
      <c r="E209" s="20"/>
      <c r="F209" s="21"/>
      <c r="H209" s="65"/>
      <c r="I209" s="65"/>
      <c r="J209" s="65"/>
      <c r="K209" s="20"/>
      <c r="L209" s="21"/>
    </row>
    <row r="210" spans="2:12" x14ac:dyDescent="0.4">
      <c r="B210" s="65"/>
      <c r="C210" s="65"/>
      <c r="D210" s="65"/>
      <c r="E210" s="20"/>
      <c r="F210" s="21"/>
      <c r="H210" s="65"/>
      <c r="I210" s="65"/>
      <c r="J210" s="65"/>
      <c r="K210" s="20"/>
      <c r="L210" s="21"/>
    </row>
    <row r="211" spans="2:12" x14ac:dyDescent="0.4">
      <c r="B211" s="65"/>
      <c r="C211" s="65"/>
      <c r="D211" s="65"/>
      <c r="E211" s="20"/>
      <c r="F211" s="21"/>
      <c r="H211" s="65"/>
      <c r="I211" s="65"/>
      <c r="J211" s="65"/>
      <c r="K211" s="20"/>
      <c r="L211" s="21"/>
    </row>
    <row r="212" spans="2:12" x14ac:dyDescent="0.4">
      <c r="B212" s="65"/>
      <c r="C212" s="65"/>
      <c r="D212" s="65"/>
      <c r="E212" s="20"/>
      <c r="F212" s="21"/>
      <c r="H212" s="65"/>
      <c r="I212" s="65"/>
      <c r="J212" s="65"/>
      <c r="K212" s="20"/>
      <c r="L212" s="21"/>
    </row>
    <row r="213" spans="2:12" x14ac:dyDescent="0.4">
      <c r="B213" s="65"/>
      <c r="C213" s="65"/>
      <c r="D213" s="65"/>
      <c r="E213" s="20"/>
      <c r="F213" s="21"/>
      <c r="H213" s="65"/>
      <c r="I213" s="65"/>
      <c r="J213" s="65"/>
      <c r="K213" s="20"/>
      <c r="L213" s="21"/>
    </row>
    <row r="214" spans="2:12" x14ac:dyDescent="0.4">
      <c r="B214" s="65"/>
      <c r="C214" s="65"/>
      <c r="D214" s="65"/>
      <c r="E214" s="20"/>
      <c r="F214" s="21"/>
      <c r="H214" s="65"/>
      <c r="I214" s="65"/>
      <c r="J214" s="65"/>
      <c r="K214" s="20"/>
      <c r="L214" s="21"/>
    </row>
    <row r="215" spans="2:12" x14ac:dyDescent="0.4">
      <c r="B215" s="65"/>
      <c r="C215" s="65"/>
      <c r="D215" s="65"/>
      <c r="E215" s="20"/>
      <c r="F215" s="21"/>
      <c r="H215" s="65"/>
      <c r="I215" s="65"/>
      <c r="J215" s="65"/>
      <c r="K215" s="20"/>
      <c r="L215" s="21"/>
    </row>
    <row r="216" spans="2:12" x14ac:dyDescent="0.4">
      <c r="B216" s="65"/>
      <c r="C216" s="65"/>
      <c r="D216" s="65"/>
      <c r="E216" s="20"/>
      <c r="F216" s="21"/>
      <c r="H216" s="65"/>
      <c r="I216" s="65"/>
      <c r="J216" s="65"/>
      <c r="K216" s="20"/>
      <c r="L216" s="21"/>
    </row>
    <row r="217" spans="2:12" x14ac:dyDescent="0.4">
      <c r="B217" s="65"/>
      <c r="C217" s="65"/>
      <c r="D217" s="65"/>
      <c r="E217" s="20"/>
      <c r="F217" s="21"/>
      <c r="H217" s="65"/>
      <c r="I217" s="65"/>
      <c r="J217" s="65"/>
      <c r="K217" s="20"/>
      <c r="L217" s="21"/>
    </row>
    <row r="218" spans="2:12" x14ac:dyDescent="0.4">
      <c r="B218" s="65"/>
      <c r="C218" s="65"/>
      <c r="D218" s="65"/>
      <c r="E218" s="20"/>
      <c r="F218" s="21"/>
      <c r="H218" s="65"/>
      <c r="I218" s="65"/>
      <c r="J218" s="65"/>
      <c r="K218" s="20"/>
      <c r="L218" s="21"/>
    </row>
    <row r="219" spans="2:12" x14ac:dyDescent="0.4">
      <c r="B219" s="65"/>
      <c r="C219" s="65"/>
      <c r="D219" s="65"/>
      <c r="E219" s="20"/>
      <c r="F219" s="21"/>
      <c r="H219" s="65"/>
      <c r="I219" s="65"/>
      <c r="J219" s="65"/>
      <c r="K219" s="20"/>
      <c r="L219" s="21"/>
    </row>
    <row r="220" spans="2:12" x14ac:dyDescent="0.4">
      <c r="B220" s="65"/>
      <c r="C220" s="65"/>
      <c r="D220" s="65"/>
      <c r="E220" s="20"/>
      <c r="F220" s="21"/>
      <c r="H220" s="65"/>
      <c r="I220" s="65"/>
      <c r="J220" s="65"/>
      <c r="K220" s="20"/>
      <c r="L220" s="21"/>
    </row>
    <row r="221" spans="2:12" x14ac:dyDescent="0.4">
      <c r="B221" s="65"/>
      <c r="C221" s="65"/>
      <c r="D221" s="65"/>
      <c r="E221" s="20"/>
      <c r="F221" s="21"/>
      <c r="H221" s="65"/>
      <c r="I221" s="65"/>
      <c r="J221" s="65"/>
      <c r="K221" s="20"/>
      <c r="L221" s="21"/>
    </row>
    <row r="222" spans="2:12" x14ac:dyDescent="0.4">
      <c r="B222" s="65"/>
      <c r="C222" s="65"/>
      <c r="D222" s="65"/>
      <c r="E222" s="20"/>
      <c r="F222" s="21"/>
      <c r="H222" s="65"/>
      <c r="I222" s="65"/>
      <c r="J222" s="65"/>
      <c r="K222" s="20"/>
      <c r="L222" s="21"/>
    </row>
    <row r="223" spans="2:12" x14ac:dyDescent="0.4">
      <c r="B223" s="65"/>
      <c r="C223" s="65"/>
      <c r="D223" s="65"/>
      <c r="E223" s="20"/>
      <c r="F223" s="21"/>
      <c r="H223" s="65"/>
      <c r="I223" s="65"/>
      <c r="J223" s="65"/>
      <c r="K223" s="20"/>
      <c r="L223" s="21"/>
    </row>
    <row r="224" spans="2:12" x14ac:dyDescent="0.4">
      <c r="B224" s="65"/>
      <c r="C224" s="65"/>
      <c r="D224" s="65"/>
      <c r="E224" s="20"/>
      <c r="F224" s="21"/>
      <c r="H224" s="65"/>
      <c r="I224" s="65"/>
      <c r="J224" s="65"/>
      <c r="K224" s="20"/>
      <c r="L224" s="21"/>
    </row>
    <row r="225" spans="2:12" x14ac:dyDescent="0.4">
      <c r="B225" s="65"/>
      <c r="C225" s="65"/>
      <c r="D225" s="65"/>
      <c r="E225" s="20"/>
      <c r="F225" s="21"/>
      <c r="H225" s="65"/>
      <c r="I225" s="65"/>
      <c r="J225" s="65"/>
      <c r="K225" s="20"/>
      <c r="L225" s="21"/>
    </row>
    <row r="226" spans="2:12" x14ac:dyDescent="0.4">
      <c r="B226" s="65"/>
      <c r="C226" s="65"/>
      <c r="D226" s="65"/>
      <c r="E226" s="20"/>
      <c r="F226" s="21"/>
      <c r="H226" s="65"/>
      <c r="I226" s="65"/>
      <c r="J226" s="65"/>
      <c r="K226" s="20"/>
      <c r="L226" s="21"/>
    </row>
    <row r="227" spans="2:12" x14ac:dyDescent="0.4">
      <c r="B227" s="65"/>
      <c r="C227" s="65"/>
      <c r="D227" s="65"/>
      <c r="E227" s="20"/>
      <c r="F227" s="21"/>
      <c r="H227" s="65"/>
      <c r="I227" s="65"/>
      <c r="J227" s="65"/>
      <c r="K227" s="20"/>
      <c r="L227" s="21"/>
    </row>
    <row r="228" spans="2:12" x14ac:dyDescent="0.4">
      <c r="B228" s="65"/>
      <c r="C228" s="65"/>
      <c r="D228" s="65"/>
      <c r="E228" s="20"/>
      <c r="F228" s="21"/>
      <c r="H228" s="65"/>
      <c r="I228" s="65"/>
      <c r="J228" s="65"/>
      <c r="K228" s="20"/>
      <c r="L228" s="21"/>
    </row>
    <row r="229" spans="2:12" x14ac:dyDescent="0.4">
      <c r="B229" s="65"/>
      <c r="C229" s="65"/>
      <c r="D229" s="65"/>
      <c r="E229" s="20"/>
      <c r="F229" s="21"/>
      <c r="H229" s="65"/>
      <c r="I229" s="65"/>
      <c r="J229" s="65"/>
      <c r="K229" s="20"/>
      <c r="L229" s="21"/>
    </row>
    <row r="230" spans="2:12" x14ac:dyDescent="0.4">
      <c r="B230" s="65"/>
      <c r="C230" s="65"/>
      <c r="D230" s="65"/>
      <c r="E230" s="20"/>
      <c r="F230" s="21"/>
      <c r="H230" s="65"/>
      <c r="I230" s="65"/>
      <c r="J230" s="65"/>
      <c r="K230" s="20"/>
      <c r="L230" s="21"/>
    </row>
    <row r="231" spans="2:12" x14ac:dyDescent="0.4">
      <c r="B231" s="65"/>
      <c r="C231" s="65"/>
      <c r="D231" s="65"/>
      <c r="E231" s="20"/>
      <c r="F231" s="21"/>
      <c r="H231" s="65"/>
      <c r="I231" s="65"/>
      <c r="J231" s="65"/>
      <c r="K231" s="20"/>
      <c r="L231" s="21"/>
    </row>
    <row r="232" spans="2:12" x14ac:dyDescent="0.4">
      <c r="B232" s="65"/>
      <c r="C232" s="65"/>
      <c r="D232" s="65"/>
      <c r="E232" s="20"/>
      <c r="F232" s="21"/>
      <c r="H232" s="65"/>
      <c r="I232" s="65"/>
      <c r="J232" s="65"/>
      <c r="K232" s="20"/>
      <c r="L232" s="21"/>
    </row>
    <row r="233" spans="2:12" x14ac:dyDescent="0.4">
      <c r="B233" s="65"/>
      <c r="C233" s="65"/>
      <c r="D233" s="65"/>
      <c r="E233" s="20"/>
      <c r="F233" s="21"/>
      <c r="H233" s="65"/>
      <c r="I233" s="65"/>
      <c r="J233" s="65"/>
      <c r="K233" s="20"/>
      <c r="L233" s="21"/>
    </row>
    <row r="234" spans="2:12" x14ac:dyDescent="0.4">
      <c r="B234" s="65"/>
      <c r="C234" s="65"/>
      <c r="D234" s="65"/>
      <c r="E234" s="20"/>
      <c r="F234" s="21"/>
      <c r="H234" s="65"/>
      <c r="I234" s="65"/>
      <c r="J234" s="65"/>
      <c r="K234" s="20"/>
      <c r="L234" s="21"/>
    </row>
    <row r="235" spans="2:12" x14ac:dyDescent="0.4">
      <c r="B235" s="65"/>
      <c r="C235" s="65"/>
      <c r="D235" s="65"/>
      <c r="E235" s="20"/>
      <c r="F235" s="21"/>
      <c r="H235" s="65"/>
      <c r="I235" s="65"/>
      <c r="J235" s="65"/>
      <c r="K235" s="20"/>
      <c r="L235" s="21"/>
    </row>
    <row r="236" spans="2:12" x14ac:dyDescent="0.4">
      <c r="B236" s="65"/>
      <c r="C236" s="65"/>
      <c r="D236" s="65"/>
      <c r="E236" s="20"/>
      <c r="F236" s="21"/>
    </row>
    <row r="237" spans="2:12" x14ac:dyDescent="0.4">
      <c r="B237" s="65"/>
      <c r="C237" s="65"/>
      <c r="D237" s="65"/>
      <c r="E237" s="20"/>
      <c r="F237" s="21"/>
    </row>
    <row r="238" spans="2:12" x14ac:dyDescent="0.4">
      <c r="B238" s="65"/>
      <c r="C238" s="65"/>
      <c r="D238" s="65"/>
      <c r="E238" s="20"/>
      <c r="F238" s="21"/>
    </row>
    <row r="239" spans="2:12" x14ac:dyDescent="0.4">
      <c r="B239" s="65"/>
      <c r="C239" s="65"/>
      <c r="D239" s="65"/>
      <c r="E239" s="20"/>
      <c r="F239" s="21"/>
    </row>
    <row r="240" spans="2:12" x14ac:dyDescent="0.4">
      <c r="B240" s="65"/>
      <c r="C240" s="65"/>
      <c r="D240" s="65"/>
      <c r="E240" s="20"/>
      <c r="F240" s="21"/>
    </row>
    <row r="241" spans="2:6" x14ac:dyDescent="0.4">
      <c r="B241" s="65"/>
      <c r="C241" s="65"/>
      <c r="D241" s="65"/>
      <c r="E241" s="20"/>
      <c r="F241" s="21"/>
    </row>
    <row r="242" spans="2:6" x14ac:dyDescent="0.4">
      <c r="B242" s="65"/>
      <c r="C242" s="65"/>
      <c r="D242" s="65"/>
      <c r="E242" s="20"/>
      <c r="F242" s="21"/>
    </row>
    <row r="243" spans="2:6" x14ac:dyDescent="0.4">
      <c r="B243" s="65"/>
      <c r="C243" s="65"/>
      <c r="D243" s="65"/>
      <c r="E243" s="20"/>
      <c r="F243" s="21"/>
    </row>
    <row r="244" spans="2:6" x14ac:dyDescent="0.4">
      <c r="B244" s="65"/>
      <c r="C244" s="65"/>
      <c r="D244" s="65"/>
      <c r="E244" s="20"/>
      <c r="F244" s="21"/>
    </row>
    <row r="245" spans="2:6" x14ac:dyDescent="0.4">
      <c r="B245" s="65"/>
      <c r="C245" s="65"/>
      <c r="D245" s="65"/>
      <c r="E245" s="20"/>
      <c r="F245" s="21"/>
    </row>
    <row r="246" spans="2:6" x14ac:dyDescent="0.4">
      <c r="B246" s="65"/>
      <c r="C246" s="65"/>
      <c r="D246" s="65"/>
      <c r="E246" s="20"/>
      <c r="F246" s="21"/>
    </row>
    <row r="247" spans="2:6" x14ac:dyDescent="0.4">
      <c r="B247" s="65"/>
      <c r="C247" s="65"/>
      <c r="D247" s="65"/>
      <c r="E247" s="20"/>
      <c r="F247" s="21"/>
    </row>
    <row r="248" spans="2:6" x14ac:dyDescent="0.4">
      <c r="B248" s="65"/>
      <c r="C248" s="65"/>
      <c r="D248" s="65"/>
      <c r="E248" s="20"/>
      <c r="F248" s="21"/>
    </row>
    <row r="249" spans="2:6" x14ac:dyDescent="0.4">
      <c r="B249" s="65"/>
      <c r="C249" s="65"/>
      <c r="D249" s="65"/>
      <c r="E249" s="20"/>
      <c r="F249" s="21"/>
    </row>
    <row r="250" spans="2:6" x14ac:dyDescent="0.4">
      <c r="B250" s="65"/>
      <c r="C250" s="65"/>
      <c r="D250" s="65"/>
      <c r="E250" s="20"/>
      <c r="F250" s="21"/>
    </row>
    <row r="251" spans="2:6" x14ac:dyDescent="0.4">
      <c r="B251" s="65"/>
      <c r="C251" s="65"/>
      <c r="D251" s="65"/>
      <c r="E251" s="20"/>
      <c r="F251" s="21"/>
    </row>
    <row r="252" spans="2:6" x14ac:dyDescent="0.4">
      <c r="B252" s="65"/>
      <c r="C252" s="65"/>
      <c r="D252" s="65"/>
      <c r="E252" s="20"/>
      <c r="F252" s="21"/>
    </row>
    <row r="253" spans="2:6" x14ac:dyDescent="0.4">
      <c r="B253" s="65"/>
      <c r="C253" s="65"/>
      <c r="D253" s="65"/>
      <c r="E253" s="20"/>
      <c r="F253" s="21"/>
    </row>
    <row r="254" spans="2:6" x14ac:dyDescent="0.4">
      <c r="B254" s="65"/>
      <c r="C254" s="65"/>
      <c r="D254" s="65"/>
      <c r="E254" s="20"/>
      <c r="F254" s="21"/>
    </row>
    <row r="255" spans="2:6" x14ac:dyDescent="0.4">
      <c r="B255" s="65"/>
      <c r="C255" s="65"/>
      <c r="D255" s="65"/>
      <c r="E255" s="20"/>
      <c r="F255" s="21"/>
    </row>
    <row r="256" spans="2:6" x14ac:dyDescent="0.4">
      <c r="B256" s="65"/>
      <c r="C256" s="65"/>
      <c r="D256" s="65"/>
      <c r="E256" s="20"/>
      <c r="F256" s="21"/>
    </row>
    <row r="257" spans="2:6" x14ac:dyDescent="0.4">
      <c r="B257" s="65"/>
      <c r="C257" s="65"/>
      <c r="D257" s="65"/>
      <c r="E257" s="20"/>
      <c r="F257" s="21"/>
    </row>
    <row r="258" spans="2:6" x14ac:dyDescent="0.4">
      <c r="B258" s="65"/>
      <c r="C258" s="65"/>
      <c r="D258" s="65"/>
      <c r="E258" s="20"/>
      <c r="F258" s="21"/>
    </row>
    <row r="259" spans="2:6" x14ac:dyDescent="0.4">
      <c r="B259" s="65"/>
      <c r="C259" s="65"/>
      <c r="D259" s="65"/>
      <c r="E259" s="20"/>
      <c r="F259" s="21"/>
    </row>
    <row r="260" spans="2:6" x14ac:dyDescent="0.4">
      <c r="B260" s="65"/>
      <c r="C260" s="65"/>
      <c r="D260" s="65"/>
      <c r="E260" s="20"/>
      <c r="F260" s="21"/>
    </row>
    <row r="261" spans="2:6" x14ac:dyDescent="0.4">
      <c r="B261" s="65"/>
      <c r="C261" s="65"/>
      <c r="D261" s="65"/>
      <c r="E261" s="20"/>
      <c r="F261" s="21"/>
    </row>
    <row r="262" spans="2:6" x14ac:dyDescent="0.4">
      <c r="B262" s="65"/>
      <c r="C262" s="65"/>
      <c r="D262" s="65"/>
      <c r="E262" s="20"/>
      <c r="F262" s="21"/>
    </row>
    <row r="263" spans="2:6" x14ac:dyDescent="0.4">
      <c r="B263" s="65"/>
      <c r="C263" s="65"/>
      <c r="D263" s="65"/>
      <c r="E263" s="20"/>
      <c r="F263" s="21"/>
    </row>
    <row r="264" spans="2:6" x14ac:dyDescent="0.4">
      <c r="B264" s="65"/>
      <c r="C264" s="65"/>
      <c r="D264" s="65"/>
      <c r="E264" s="20"/>
      <c r="F264" s="21"/>
    </row>
    <row r="265" spans="2:6" x14ac:dyDescent="0.4">
      <c r="B265" s="65"/>
      <c r="C265" s="65"/>
      <c r="D265" s="65"/>
      <c r="E265" s="20"/>
      <c r="F265" s="21"/>
    </row>
    <row r="266" spans="2:6" x14ac:dyDescent="0.4">
      <c r="B266" s="65"/>
      <c r="C266" s="65"/>
      <c r="D266" s="65"/>
      <c r="E266" s="20"/>
      <c r="F266" s="21"/>
    </row>
    <row r="267" spans="2:6" x14ac:dyDescent="0.4">
      <c r="B267" s="65"/>
      <c r="C267" s="65"/>
      <c r="D267" s="65"/>
      <c r="E267" s="20"/>
      <c r="F267" s="21"/>
    </row>
    <row r="268" spans="2:6" x14ac:dyDescent="0.4">
      <c r="B268" s="65"/>
      <c r="C268" s="65"/>
      <c r="D268" s="65"/>
      <c r="E268" s="20"/>
      <c r="F268" s="21"/>
    </row>
    <row r="269" spans="2:6" x14ac:dyDescent="0.4">
      <c r="B269" s="65"/>
      <c r="C269" s="65"/>
      <c r="D269" s="65"/>
      <c r="E269" s="20"/>
      <c r="F269" s="21"/>
    </row>
    <row r="270" spans="2:6" x14ac:dyDescent="0.4">
      <c r="B270" s="65"/>
      <c r="C270" s="65"/>
      <c r="D270" s="65"/>
      <c r="E270" s="20"/>
      <c r="F270" s="21"/>
    </row>
    <row r="271" spans="2:6" x14ac:dyDescent="0.4">
      <c r="B271" s="65"/>
      <c r="C271" s="65"/>
      <c r="D271" s="65"/>
      <c r="E271" s="20"/>
      <c r="F271" s="21"/>
    </row>
    <row r="272" spans="2:6" x14ac:dyDescent="0.4">
      <c r="B272" s="65"/>
      <c r="C272" s="65"/>
      <c r="D272" s="65"/>
      <c r="E272" s="20"/>
      <c r="F272" s="21"/>
    </row>
    <row r="273" spans="2:6" x14ac:dyDescent="0.4">
      <c r="B273" s="65"/>
      <c r="C273" s="65"/>
      <c r="D273" s="65"/>
      <c r="E273" s="20"/>
      <c r="F273" s="21"/>
    </row>
    <row r="274" spans="2:6" x14ac:dyDescent="0.4">
      <c r="B274" s="65"/>
      <c r="C274" s="65"/>
      <c r="D274" s="65"/>
      <c r="E274" s="20"/>
      <c r="F274" s="21"/>
    </row>
    <row r="275" spans="2:6" x14ac:dyDescent="0.4">
      <c r="B275" s="65"/>
      <c r="C275" s="65"/>
      <c r="D275" s="65"/>
      <c r="E275" s="20"/>
      <c r="F275" s="21"/>
    </row>
    <row r="276" spans="2:6" x14ac:dyDescent="0.4">
      <c r="B276" s="65"/>
      <c r="C276" s="65"/>
      <c r="D276" s="65"/>
      <c r="E276" s="20"/>
      <c r="F276" s="21"/>
    </row>
    <row r="277" spans="2:6" x14ac:dyDescent="0.4">
      <c r="B277" s="65"/>
      <c r="C277" s="65"/>
      <c r="D277" s="65"/>
      <c r="E277" s="20"/>
      <c r="F277" s="21"/>
    </row>
    <row r="278" spans="2:6" x14ac:dyDescent="0.4">
      <c r="B278" s="65"/>
      <c r="C278" s="65"/>
      <c r="D278" s="65"/>
      <c r="E278" s="20"/>
      <c r="F278" s="21"/>
    </row>
    <row r="279" spans="2:6" x14ac:dyDescent="0.4">
      <c r="B279" s="65"/>
      <c r="C279" s="65"/>
      <c r="D279" s="65"/>
      <c r="E279" s="20"/>
      <c r="F279" s="21"/>
    </row>
    <row r="280" spans="2:6" x14ac:dyDescent="0.4">
      <c r="B280" s="65"/>
      <c r="C280" s="65"/>
      <c r="D280" s="65"/>
      <c r="E280" s="20"/>
      <c r="F280" s="21"/>
    </row>
    <row r="281" spans="2:6" x14ac:dyDescent="0.4">
      <c r="B281" s="65"/>
      <c r="C281" s="65"/>
      <c r="D281" s="65"/>
      <c r="E281" s="20"/>
      <c r="F281" s="21"/>
    </row>
    <row r="282" spans="2:6" x14ac:dyDescent="0.4">
      <c r="B282" s="65"/>
      <c r="C282" s="65"/>
      <c r="D282" s="65"/>
      <c r="E282" s="20"/>
      <c r="F282" s="21"/>
    </row>
    <row r="283" spans="2:6" x14ac:dyDescent="0.4">
      <c r="B283" s="65"/>
      <c r="C283" s="65"/>
      <c r="D283" s="65"/>
      <c r="E283" s="20"/>
      <c r="F283" s="21"/>
    </row>
    <row r="284" spans="2:6" x14ac:dyDescent="0.4">
      <c r="B284" s="65"/>
      <c r="C284" s="65"/>
      <c r="D284" s="65"/>
      <c r="E284" s="20"/>
      <c r="F284" s="21"/>
    </row>
    <row r="285" spans="2:6" x14ac:dyDescent="0.4">
      <c r="B285" s="65"/>
      <c r="C285" s="65"/>
      <c r="D285" s="65"/>
      <c r="E285" s="20"/>
      <c r="F285" s="21"/>
    </row>
    <row r="286" spans="2:6" x14ac:dyDescent="0.4">
      <c r="B286" s="65"/>
      <c r="C286" s="65"/>
      <c r="D286" s="65"/>
      <c r="E286" s="20"/>
      <c r="F286" s="21"/>
    </row>
    <row r="287" spans="2:6" x14ac:dyDescent="0.4">
      <c r="B287" s="65"/>
      <c r="C287" s="65"/>
      <c r="D287" s="65"/>
      <c r="E287" s="20"/>
      <c r="F287" s="21"/>
    </row>
    <row r="288" spans="2:6" x14ac:dyDescent="0.4">
      <c r="B288" s="65"/>
      <c r="C288" s="65"/>
      <c r="D288" s="65"/>
      <c r="E288" s="20"/>
      <c r="F288" s="21"/>
    </row>
    <row r="289" spans="2:6" x14ac:dyDescent="0.4">
      <c r="B289" s="65"/>
      <c r="C289" s="65"/>
      <c r="D289" s="65"/>
      <c r="E289" s="20"/>
      <c r="F289" s="21"/>
    </row>
    <row r="290" spans="2:6" x14ac:dyDescent="0.4">
      <c r="B290" s="65"/>
      <c r="C290" s="65"/>
      <c r="D290" s="65"/>
      <c r="E290" s="20"/>
      <c r="F290" s="21"/>
    </row>
    <row r="291" spans="2:6" x14ac:dyDescent="0.4">
      <c r="B291" s="65"/>
      <c r="C291" s="65"/>
      <c r="D291" s="65"/>
      <c r="E291" s="20"/>
      <c r="F291" s="21"/>
    </row>
    <row r="292" spans="2:6" x14ac:dyDescent="0.4">
      <c r="B292" s="65"/>
      <c r="C292" s="65"/>
      <c r="D292" s="65"/>
      <c r="E292" s="20"/>
      <c r="F292" s="21"/>
    </row>
    <row r="293" spans="2:6" x14ac:dyDescent="0.4">
      <c r="B293" s="65"/>
      <c r="C293" s="65"/>
      <c r="D293" s="65"/>
      <c r="E293" s="20"/>
      <c r="F293" s="21"/>
    </row>
    <row r="294" spans="2:6" x14ac:dyDescent="0.4">
      <c r="B294" s="65"/>
      <c r="C294" s="65"/>
      <c r="D294" s="65"/>
      <c r="E294" s="20"/>
      <c r="F294" s="21"/>
    </row>
    <row r="295" spans="2:6" x14ac:dyDescent="0.4">
      <c r="B295" s="65"/>
      <c r="C295" s="65"/>
      <c r="D295" s="65"/>
      <c r="E295" s="20"/>
      <c r="F295" s="21"/>
    </row>
    <row r="296" spans="2:6" x14ac:dyDescent="0.4">
      <c r="B296" s="65"/>
      <c r="C296" s="65"/>
      <c r="D296" s="65"/>
      <c r="E296" s="20"/>
      <c r="F296" s="21"/>
    </row>
    <row r="297" spans="2:6" x14ac:dyDescent="0.4">
      <c r="B297" s="65"/>
      <c r="C297" s="65"/>
      <c r="D297" s="65"/>
      <c r="E297" s="20"/>
      <c r="F297" s="21"/>
    </row>
    <row r="298" spans="2:6" x14ac:dyDescent="0.4">
      <c r="B298" s="65"/>
      <c r="C298" s="65"/>
      <c r="D298" s="65"/>
      <c r="E298" s="20"/>
      <c r="F298" s="21"/>
    </row>
    <row r="299" spans="2:6" x14ac:dyDescent="0.4">
      <c r="B299" s="65"/>
      <c r="C299" s="65"/>
      <c r="D299" s="65"/>
      <c r="E299" s="20"/>
      <c r="F299" s="21"/>
    </row>
    <row r="300" spans="2:6" x14ac:dyDescent="0.4">
      <c r="B300" s="65"/>
      <c r="C300" s="65"/>
      <c r="D300" s="65"/>
      <c r="E300" s="20"/>
      <c r="F300" s="21"/>
    </row>
    <row r="301" spans="2:6" x14ac:dyDescent="0.4">
      <c r="B301" s="65"/>
      <c r="C301" s="65"/>
      <c r="D301" s="65"/>
      <c r="E301" s="20"/>
      <c r="F301" s="21"/>
    </row>
    <row r="302" spans="2:6" x14ac:dyDescent="0.4">
      <c r="B302" s="65"/>
      <c r="C302" s="65"/>
      <c r="D302" s="65"/>
      <c r="E302" s="20"/>
      <c r="F302" s="21"/>
    </row>
    <row r="303" spans="2:6" x14ac:dyDescent="0.4">
      <c r="B303" s="65"/>
      <c r="C303" s="65"/>
      <c r="D303" s="65"/>
      <c r="E303" s="20"/>
      <c r="F303" s="21"/>
    </row>
    <row r="304" spans="2:6" x14ac:dyDescent="0.4">
      <c r="B304" s="65"/>
      <c r="C304" s="65"/>
      <c r="D304" s="65"/>
      <c r="E304" s="20"/>
      <c r="F304" s="21"/>
    </row>
    <row r="305" spans="2:6" x14ac:dyDescent="0.4">
      <c r="B305" s="65"/>
      <c r="C305" s="65"/>
      <c r="D305" s="65"/>
      <c r="E305" s="20"/>
      <c r="F305" s="21"/>
    </row>
    <row r="306" spans="2:6" x14ac:dyDescent="0.4">
      <c r="B306" s="65"/>
      <c r="C306" s="65"/>
      <c r="D306" s="65"/>
      <c r="E306" s="20"/>
      <c r="F306" s="21"/>
    </row>
    <row r="307" spans="2:6" x14ac:dyDescent="0.4">
      <c r="B307" s="65"/>
      <c r="C307" s="65"/>
      <c r="D307" s="65"/>
      <c r="E307" s="20"/>
      <c r="F307" s="21"/>
    </row>
    <row r="308" spans="2:6" x14ac:dyDescent="0.4">
      <c r="B308" s="65"/>
      <c r="C308" s="65"/>
      <c r="D308" s="65"/>
      <c r="E308" s="20"/>
      <c r="F308" s="21"/>
    </row>
    <row r="309" spans="2:6" x14ac:dyDescent="0.4">
      <c r="B309" s="65"/>
      <c r="C309" s="65"/>
      <c r="D309" s="65"/>
      <c r="E309" s="20"/>
      <c r="F309" s="21"/>
    </row>
  </sheetData>
  <autoFilter ref="B4:R4" xr:uid="{00000000-0009-0000-0000-000001000000}">
    <sortState xmlns:xlrd2="http://schemas.microsoft.com/office/spreadsheetml/2017/richdata2" ref="B5:R25">
      <sortCondition descending="1" ref="C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R154"/>
  <sheetViews>
    <sheetView zoomScaleNormal="100" workbookViewId="0">
      <selection activeCell="C23" sqref="C2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10" style="63" customWidth="1"/>
    <col min="10" max="10" width="10.09765625" style="63" customWidth="1"/>
    <col min="13" max="13" width="3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'KODEX 신재생에너지액티브'!A9</f>
        <v>KODEX 신재생에너지액티브</v>
      </c>
      <c r="H3" s="63" t="str">
        <f>'TIMEFOLIO K신재생에너지액티브'!A9</f>
        <v>TIME K신재생에너지액티브</v>
      </c>
      <c r="N3" s="62" t="str">
        <f>'RISE 2차전지액티브'!A9</f>
        <v>RISE 2차전지액티브</v>
      </c>
    </row>
    <row r="4" spans="1:18" x14ac:dyDescent="0.4">
      <c r="B4" s="65" t="s">
        <v>75</v>
      </c>
      <c r="C4" s="66" t="str">
        <f>'KODEX 신재생에너지액티브'!B4</f>
        <v>CPD [20260522]</v>
      </c>
      <c r="D4" s="66" t="str">
        <f>'KODEX 신재생에너지액티브(과거)'!B4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[20260522]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64" t="str">
        <f>C4</f>
        <v>CPD [20260522]</v>
      </c>
      <c r="P4" s="64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'KODEX 신재생에너지액티브'!B11</f>
        <v>OCI홀딩스</v>
      </c>
      <c r="C5" s="65">
        <f>VLOOKUP(B5,'KODEX 신재생에너지액티브'!$B$11:$E$1000,4,0)</f>
        <v>8.4499999999999993</v>
      </c>
      <c r="D5" s="65">
        <f>IFERROR(VLOOKUP(B5,'KODEX 신재생에너지액티브(과거)'!$B$11:$E$1000,4,0),0)</f>
        <v>8.32</v>
      </c>
      <c r="E5" s="20">
        <f>C5-D5</f>
        <v>0.12999999999999901</v>
      </c>
      <c r="F5" s="21">
        <f>IFERROR(C5/D5-1,"신규편입")</f>
        <v>1.5624999999999778E-2</v>
      </c>
      <c r="G5" s="63" t="str">
        <f>VLOOKUP(H5,유니버스!$C$14:$D$2561,2,0)</f>
        <v>KS</v>
      </c>
      <c r="H5" s="71" t="str">
        <f>'TIMEFOLIO K신재생에너지액티브'!B11</f>
        <v>SK하이닉스</v>
      </c>
      <c r="I5" s="71">
        <f>VLOOKUP(H5,'TIMEFOLIO K신재생에너지액티브'!$B$11:$E$1000,4,0)</f>
        <v>14.72</v>
      </c>
      <c r="J5" s="71">
        <f>IFERROR(VLOOKUP(H5,'TIMEFOLIO K신재생에너지액티브(과거)'!$B$11:$E$1000,4,0),0)</f>
        <v>14.19</v>
      </c>
      <c r="K5" s="20">
        <f>I5-J5</f>
        <v>0.53000000000000114</v>
      </c>
      <c r="L5" s="21">
        <f>IFERROR(I5/J5-1,"신규편입")</f>
        <v>3.7350246652572361E-2</v>
      </c>
      <c r="M5" s="62" t="str">
        <f>VLOOKUP(N5,유니버스!$C$14:$D$2561,2,0)</f>
        <v>KS</v>
      </c>
      <c r="N5" s="26" t="str">
        <f>'RISE 2차전지액티브'!B11</f>
        <v>삼성SDI</v>
      </c>
      <c r="O5" s="26">
        <f>VLOOKUP(N5,'RISE 2차전지액티브'!$B$11:$E$1000,4,0)</f>
        <v>13.29</v>
      </c>
      <c r="P5" s="26">
        <f>IFERROR(VLOOKUP(N5,'RISE 2차전지액티브(과거)'!$B$11:$E$1000,4,0),0)</f>
        <v>12.94</v>
      </c>
      <c r="Q5" s="20">
        <f>O5-P5</f>
        <v>0.34999999999999964</v>
      </c>
      <c r="R5" s="21">
        <f>IFERROR(O5/P5-1,"신규편입")</f>
        <v>2.7047913446677008E-2</v>
      </c>
    </row>
    <row r="6" spans="1:18" x14ac:dyDescent="0.4">
      <c r="A6" s="63" t="str">
        <f>VLOOKUP(B6,유니버스!$C$14:$D$2561,2,0)</f>
        <v>KS</v>
      </c>
      <c r="B6" s="65" t="str">
        <f>'KODEX 신재생에너지액티브'!B12</f>
        <v>HD현대에너지솔루션</v>
      </c>
      <c r="C6" s="65">
        <f>VLOOKUP(B6,'KODEX 신재생에너지액티브'!$B$11:$E$1000,4,0)</f>
        <v>6.88</v>
      </c>
      <c r="D6" s="65">
        <f>IFERROR(VLOOKUP(B6,'KODEX 신재생에너지액티브(과거)'!$B$11:$E$1000,4,0),0)</f>
        <v>6.62</v>
      </c>
      <c r="E6" s="20">
        <f t="shared" ref="E6:E67" si="0">C6-D6</f>
        <v>0.25999999999999979</v>
      </c>
      <c r="F6" s="21">
        <f t="shared" ref="F6:F67" si="1">IFERROR(C6/D6-1,"신규편입")</f>
        <v>3.92749244712991E-2</v>
      </c>
      <c r="G6" s="63" t="str">
        <f>VLOOKUP(H6,유니버스!$C$14:$D$2561,2,0)</f>
        <v>KS</v>
      </c>
      <c r="H6" s="71" t="str">
        <f>'TIMEFOLIO K신재생에너지액티브'!B12</f>
        <v>삼성전자</v>
      </c>
      <c r="I6" s="71">
        <f>VLOOKUP(H6,'TIMEFOLIO K신재생에너지액티브'!$B$11:$E$1000,4,0)</f>
        <v>11.83</v>
      </c>
      <c r="J6" s="71">
        <f>IFERROR(VLOOKUP(H6,'TIMEFOLIO K신재생에너지액티브(과거)'!$B$11:$E$1000,4,0),0)</f>
        <v>10.98</v>
      </c>
      <c r="K6" s="20">
        <f t="shared" ref="K6:K27" si="2">I6-J6</f>
        <v>0.84999999999999964</v>
      </c>
      <c r="L6" s="21">
        <f t="shared" ref="L6:L27" si="3">IFERROR(I6/J6-1,"신규편입")</f>
        <v>7.7413479052823364E-2</v>
      </c>
      <c r="M6" s="62" t="str">
        <f>VLOOKUP(N6,유니버스!$C$14:$D$2561,2,0)</f>
        <v>KS</v>
      </c>
      <c r="N6" s="26" t="str">
        <f>'RISE 2차전지액티브'!B12</f>
        <v>POSCO홀딩스</v>
      </c>
      <c r="O6" s="26">
        <f>VLOOKUP(N6,'RISE 2차전지액티브'!$B$11:$E$1000,4,0)</f>
        <v>10.27</v>
      </c>
      <c r="P6" s="26">
        <f>IFERROR(VLOOKUP(N6,'RISE 2차전지액티브(과거)'!$B$11:$E$1000,4,0),0)</f>
        <v>10.57</v>
      </c>
      <c r="Q6" s="20">
        <f t="shared" ref="Q6:Q19" si="4">O6-P6</f>
        <v>-0.30000000000000071</v>
      </c>
      <c r="R6" s="21">
        <f t="shared" ref="R6:R19" si="5">IFERROR(O6/P6-1,"신규편입")</f>
        <v>-2.838221381267747E-2</v>
      </c>
    </row>
    <row r="7" spans="1:18" x14ac:dyDescent="0.4">
      <c r="A7" s="63" t="str">
        <f>VLOOKUP(B7,유니버스!$C$14:$D$2561,2,0)</f>
        <v>KS</v>
      </c>
      <c r="B7" s="65" t="str">
        <f>'KODEX 신재생에너지액티브'!B13</f>
        <v>삼성SDI</v>
      </c>
      <c r="C7" s="65">
        <f>VLOOKUP(B7,'KODEX 신재생에너지액티브'!$B$11:$E$1000,4,0)</f>
        <v>6.71</v>
      </c>
      <c r="D7" s="65">
        <f>IFERROR(VLOOKUP(B7,'KODEX 신재생에너지액티브(과거)'!$B$11:$E$1000,4,0),0)</f>
        <v>6.57</v>
      </c>
      <c r="E7" s="20">
        <f t="shared" si="0"/>
        <v>0.13999999999999968</v>
      </c>
      <c r="F7" s="21">
        <f t="shared" si="1"/>
        <v>2.130898021308969E-2</v>
      </c>
      <c r="G7" s="63" t="str">
        <f>VLOOKUP(H7,유니버스!$C$14:$D$2561,2,0)</f>
        <v>KS</v>
      </c>
      <c r="H7" s="65" t="str">
        <f>'TIMEFOLIO K신재생에너지액티브'!B13</f>
        <v>삼성SDI</v>
      </c>
      <c r="I7" s="65">
        <f>VLOOKUP(H7,'TIMEFOLIO K신재생에너지액티브'!$B$11:$E$1000,4,0)</f>
        <v>8.61</v>
      </c>
      <c r="J7" s="65">
        <f>IFERROR(VLOOKUP(H7,'TIMEFOLIO K신재생에너지액티브(과거)'!$B$11:$E$1000,4,0),0)</f>
        <v>8.82</v>
      </c>
      <c r="K7" s="20">
        <f t="shared" si="2"/>
        <v>-0.21000000000000085</v>
      </c>
      <c r="L7" s="21">
        <f t="shared" si="3"/>
        <v>-2.3809523809523947E-2</v>
      </c>
      <c r="M7" s="62" t="str">
        <f>VLOOKUP(N7,유니버스!$C$14:$D$2561,2,0)</f>
        <v>KQ</v>
      </c>
      <c r="N7" s="26" t="str">
        <f>'RISE 2차전지액티브'!B13</f>
        <v>에코프로비엠</v>
      </c>
      <c r="O7" s="26">
        <f>VLOOKUP(N7,'RISE 2차전지액티브'!$B$11:$E$1000,4,0)</f>
        <v>9.0299999999999994</v>
      </c>
      <c r="P7" s="26">
        <f>IFERROR(VLOOKUP(N7,'RISE 2차전지액티브(과거)'!$B$11:$E$1000,4,0),0)</f>
        <v>8.6199999999999992</v>
      </c>
      <c r="Q7" s="20">
        <f t="shared" si="4"/>
        <v>0.41000000000000014</v>
      </c>
      <c r="R7" s="21">
        <f t="shared" si="5"/>
        <v>4.7563805104408274E-2</v>
      </c>
    </row>
    <row r="8" spans="1:18" x14ac:dyDescent="0.4">
      <c r="A8" s="63" t="str">
        <f>VLOOKUP(B8,유니버스!$C$14:$D$2561,2,0)</f>
        <v>KQ</v>
      </c>
      <c r="B8" s="72" t="str">
        <f>'KODEX 신재생에너지액티브'!B14</f>
        <v>서진시스템</v>
      </c>
      <c r="C8" s="72">
        <f>VLOOKUP(B8,'KODEX 신재생에너지액티브'!$B$11:$E$1000,4,0)</f>
        <v>6.09</v>
      </c>
      <c r="D8" s="72">
        <f>IFERROR(VLOOKUP(B8,'KODEX 신재생에너지액티브(과거)'!$B$11:$E$1000,4,0),0)</f>
        <v>5.05</v>
      </c>
      <c r="E8" s="20">
        <f t="shared" si="0"/>
        <v>1.04</v>
      </c>
      <c r="F8" s="21">
        <f t="shared" si="1"/>
        <v>0.2059405940594059</v>
      </c>
      <c r="G8" s="63" t="str">
        <f>VLOOKUP(H8,유니버스!$C$14:$D$2561,2,0)</f>
        <v>KS</v>
      </c>
      <c r="H8" s="65" t="str">
        <f>'TIMEFOLIO K신재생에너지액티브'!B14</f>
        <v>현대차</v>
      </c>
      <c r="I8" s="65">
        <f>VLOOKUP(H8,'TIMEFOLIO K신재생에너지액티브'!$B$11:$E$1000,4,0)</f>
        <v>8.42</v>
      </c>
      <c r="J8" s="65">
        <f>IFERROR(VLOOKUP(H8,'TIMEFOLIO K신재생에너지액티브(과거)'!$B$11:$E$1000,4,0),0)</f>
        <v>9.1</v>
      </c>
      <c r="K8" s="20">
        <f t="shared" si="2"/>
        <v>-0.67999999999999972</v>
      </c>
      <c r="L8" s="21">
        <f t="shared" si="3"/>
        <v>-7.4725274725274682E-2</v>
      </c>
      <c r="M8" s="62" t="str">
        <f>VLOOKUP(N8,유니버스!$C$14:$D$2561,2,0)</f>
        <v>KS</v>
      </c>
      <c r="N8" s="26" t="str">
        <f>'RISE 2차전지액티브'!B14</f>
        <v>엘앤에프</v>
      </c>
      <c r="O8" s="26">
        <f>VLOOKUP(N8,'RISE 2차전지액티브'!$B$11:$E$1000,4,0)</f>
        <v>8.74</v>
      </c>
      <c r="P8" s="26">
        <f>IFERROR(VLOOKUP(N8,'RISE 2차전지액티브(과거)'!$B$11:$E$1000,4,0),0)</f>
        <v>8.81</v>
      </c>
      <c r="Q8" s="20">
        <f t="shared" si="4"/>
        <v>-7.0000000000000284E-2</v>
      </c>
      <c r="R8" s="21">
        <f t="shared" si="5"/>
        <v>-7.9455164585698901E-3</v>
      </c>
    </row>
    <row r="9" spans="1:18" x14ac:dyDescent="0.4">
      <c r="A9" s="63" t="str">
        <f>VLOOKUP(B9,유니버스!$C$14:$D$2561,2,0)</f>
        <v>KS</v>
      </c>
      <c r="B9" s="65" t="str">
        <f>'KODEX 신재생에너지액티브'!B15</f>
        <v>산일전기</v>
      </c>
      <c r="C9" s="65">
        <f>VLOOKUP(B9,'KODEX 신재생에너지액티브'!$B$11:$E$1000,4,0)</f>
        <v>5.86</v>
      </c>
      <c r="D9" s="65">
        <f>IFERROR(VLOOKUP(B9,'KODEX 신재생에너지액티브(과거)'!$B$11:$E$1000,4,0),0)</f>
        <v>5.61</v>
      </c>
      <c r="E9" s="20">
        <f t="shared" si="0"/>
        <v>0.25</v>
      </c>
      <c r="F9" s="21">
        <f t="shared" si="1"/>
        <v>4.4563279857397609E-2</v>
      </c>
      <c r="G9" s="63" t="str">
        <f>VLOOKUP(H9,유니버스!$C$14:$D$2561,2,0)</f>
        <v>KS</v>
      </c>
      <c r="H9" s="65" t="str">
        <f>'TIMEFOLIO K신재생에너지액티브'!B15</f>
        <v>한화솔루션</v>
      </c>
      <c r="I9" s="65">
        <f>VLOOKUP(H9,'TIMEFOLIO K신재생에너지액티브'!$B$11:$E$1000,4,0)</f>
        <v>7.04</v>
      </c>
      <c r="J9" s="65">
        <f>IFERROR(VLOOKUP(H9,'TIMEFOLIO K신재생에너지액티브(과거)'!$B$11:$E$1000,4,0),0)</f>
        <v>7.24</v>
      </c>
      <c r="K9" s="20">
        <f t="shared" si="2"/>
        <v>-0.20000000000000018</v>
      </c>
      <c r="L9" s="21">
        <f t="shared" si="3"/>
        <v>-2.7624309392265234E-2</v>
      </c>
      <c r="M9" s="62" t="str">
        <f>VLOOKUP(N9,유니버스!$C$14:$D$2561,2,0)</f>
        <v>KS</v>
      </c>
      <c r="N9" s="26" t="str">
        <f>'RISE 2차전지액티브'!B15</f>
        <v>LG에너지솔루션</v>
      </c>
      <c r="O9" s="26">
        <f>VLOOKUP(N9,'RISE 2차전지액티브'!$B$11:$E$1000,4,0)</f>
        <v>8.44</v>
      </c>
      <c r="P9" s="26">
        <f>IFERROR(VLOOKUP(N9,'RISE 2차전지액티브(과거)'!$B$11:$E$1000,4,0),0)</f>
        <v>8.57</v>
      </c>
      <c r="Q9" s="20">
        <f t="shared" si="4"/>
        <v>-0.13000000000000078</v>
      </c>
      <c r="R9" s="21">
        <f t="shared" si="5"/>
        <v>-1.5169194865811031E-2</v>
      </c>
    </row>
    <row r="10" spans="1:18" x14ac:dyDescent="0.4">
      <c r="A10" s="63" t="str">
        <f>VLOOKUP(B10,유니버스!$C$14:$D$2561,2,0)</f>
        <v>KS</v>
      </c>
      <c r="B10" s="65" t="str">
        <f>'KODEX 신재생에너지액티브'!B16</f>
        <v>LS ELECTRIC</v>
      </c>
      <c r="C10" s="65">
        <f>VLOOKUP(B10,'KODEX 신재생에너지액티브'!$B$11:$E$1000,4,0)</f>
        <v>5.66</v>
      </c>
      <c r="D10" s="65">
        <f>IFERROR(VLOOKUP(B10,'KODEX 신재생에너지액티브(과거)'!$B$11:$E$1000,4,0),0)</f>
        <v>5.52</v>
      </c>
      <c r="E10" s="20">
        <f t="shared" si="0"/>
        <v>0.14000000000000057</v>
      </c>
      <c r="F10" s="21">
        <f t="shared" si="1"/>
        <v>2.5362318840579823E-2</v>
      </c>
      <c r="G10" s="63" t="str">
        <f>VLOOKUP(H10,유니버스!$C$14:$D$2561,2,0)</f>
        <v>KS</v>
      </c>
      <c r="H10" s="65" t="str">
        <f>'TIMEFOLIO K신재생에너지액티브'!B16</f>
        <v>한화</v>
      </c>
      <c r="I10" s="65">
        <f>VLOOKUP(H10,'TIMEFOLIO K신재생에너지액티브'!$B$11:$E$1000,4,0)</f>
        <v>5.37</v>
      </c>
      <c r="J10" s="65">
        <f>IFERROR(VLOOKUP(H10,'TIMEFOLIO K신재생에너지액티브(과거)'!$B$11:$E$1000,4,0),0)</f>
        <v>5.8</v>
      </c>
      <c r="K10" s="20">
        <f t="shared" si="2"/>
        <v>-0.42999999999999972</v>
      </c>
      <c r="L10" s="21">
        <f t="shared" si="3"/>
        <v>-7.413793103448274E-2</v>
      </c>
      <c r="M10" s="62" t="str">
        <f>VLOOKUP(N10,유니버스!$C$14:$D$2561,2,0)</f>
        <v>KQ</v>
      </c>
      <c r="N10" s="26" t="str">
        <f>'RISE 2차전지액티브'!B16</f>
        <v>에코프로</v>
      </c>
      <c r="O10" s="26">
        <f>VLOOKUP(N10,'RISE 2차전지액티브'!$B$11:$E$1000,4,0)</f>
        <v>8.1300000000000008</v>
      </c>
      <c r="P10" s="26">
        <f>IFERROR(VLOOKUP(N10,'RISE 2차전지액티브(과거)'!$B$11:$E$1000,4,0),0)</f>
        <v>7.9</v>
      </c>
      <c r="Q10" s="20">
        <f t="shared" si="4"/>
        <v>0.23000000000000043</v>
      </c>
      <c r="R10" s="21">
        <f t="shared" si="5"/>
        <v>2.9113924050633067E-2</v>
      </c>
    </row>
    <row r="11" spans="1:18" x14ac:dyDescent="0.4">
      <c r="A11" s="63" t="str">
        <f>VLOOKUP(B11,유니버스!$C$14:$D$2561,2,0)</f>
        <v>KQ</v>
      </c>
      <c r="B11" s="65" t="str">
        <f>'KODEX 신재생에너지액티브'!B17</f>
        <v>비나텍</v>
      </c>
      <c r="C11" s="65">
        <f>VLOOKUP(B11,'KODEX 신재생에너지액티브'!$B$11:$E$1000,4,0)</f>
        <v>4.96</v>
      </c>
      <c r="D11" s="65">
        <f>IFERROR(VLOOKUP(B11,'KODEX 신재생에너지액티브(과거)'!$B$11:$E$1000,4,0),0)</f>
        <v>5.33</v>
      </c>
      <c r="E11" s="20">
        <f t="shared" si="0"/>
        <v>-0.37000000000000011</v>
      </c>
      <c r="F11" s="21">
        <f t="shared" si="1"/>
        <v>-6.9418386491557293E-2</v>
      </c>
      <c r="G11" s="63" t="str">
        <f>VLOOKUP(H11,유니버스!$C$14:$D$2561,2,0)</f>
        <v>KS</v>
      </c>
      <c r="H11" s="71" t="str">
        <f>'TIMEFOLIO K신재생에너지액티브'!B17</f>
        <v>삼성전기</v>
      </c>
      <c r="I11" s="71">
        <f>VLOOKUP(H11,'TIMEFOLIO K신재생에너지액티브'!$B$11:$E$1000,4,0)</f>
        <v>5.21</v>
      </c>
      <c r="J11" s="71">
        <f>IFERROR(VLOOKUP(H11,'TIMEFOLIO K신재생에너지액티브(과거)'!$B$11:$E$1000,4,0),0)</f>
        <v>4.49</v>
      </c>
      <c r="K11" s="20">
        <f t="shared" si="2"/>
        <v>0.71999999999999975</v>
      </c>
      <c r="L11" s="21">
        <f t="shared" si="3"/>
        <v>0.16035634743875282</v>
      </c>
      <c r="M11" s="62" t="str">
        <f>VLOOKUP(N11,유니버스!$C$14:$D$2561,2,0)</f>
        <v>KS</v>
      </c>
      <c r="N11" s="26" t="str">
        <f>'RISE 2차전지액티브'!B17</f>
        <v>포스코퓨처엠</v>
      </c>
      <c r="O11" s="26">
        <f>VLOOKUP(N11,'RISE 2차전지액티브'!$B$11:$E$1000,4,0)</f>
        <v>8.06</v>
      </c>
      <c r="P11" s="26">
        <f>IFERROR(VLOOKUP(N11,'RISE 2차전지액티브(과거)'!$B$11:$E$1000,4,0),0)</f>
        <v>7.99</v>
      </c>
      <c r="Q11" s="20">
        <f t="shared" si="4"/>
        <v>7.0000000000000284E-2</v>
      </c>
      <c r="R11" s="21">
        <f t="shared" si="5"/>
        <v>8.7609511889863434E-3</v>
      </c>
    </row>
    <row r="12" spans="1:18" x14ac:dyDescent="0.4">
      <c r="A12" s="63" t="str">
        <f>VLOOKUP(B12,유니버스!$C$14:$D$2561,2,0)</f>
        <v>KS</v>
      </c>
      <c r="B12" s="65" t="str">
        <f>'KODEX 신재생에너지액티브'!B18</f>
        <v>효성중공업</v>
      </c>
      <c r="C12" s="65">
        <f>VLOOKUP(B12,'KODEX 신재생에너지액티브'!$B$11:$E$1000,4,0)</f>
        <v>4.8899999999999997</v>
      </c>
      <c r="D12" s="65">
        <f>IFERROR(VLOOKUP(B12,'KODEX 신재생에너지액티브(과거)'!$B$11:$E$1000,4,0),0)</f>
        <v>4.58</v>
      </c>
      <c r="E12" s="20">
        <f t="shared" si="0"/>
        <v>0.30999999999999961</v>
      </c>
      <c r="F12" s="21">
        <f t="shared" si="1"/>
        <v>6.7685589519650646E-2</v>
      </c>
      <c r="G12" s="63" t="str">
        <f>VLOOKUP(H12,유니버스!$C$14:$D$2561,2,0)</f>
        <v>KQ</v>
      </c>
      <c r="H12" s="65" t="str">
        <f>'TIMEFOLIO K신재생에너지액티브'!B18</f>
        <v>비나텍</v>
      </c>
      <c r="I12" s="65">
        <f>VLOOKUP(H12,'TIMEFOLIO K신재생에너지액티브'!$B$11:$E$1000,4,0)</f>
        <v>4.01</v>
      </c>
      <c r="J12" s="65">
        <f>IFERROR(VLOOKUP(H12,'TIMEFOLIO K신재생에너지액티브(과거)'!$B$11:$E$1000,4,0),0)</f>
        <v>4.51</v>
      </c>
      <c r="K12" s="20">
        <f t="shared" si="2"/>
        <v>-0.5</v>
      </c>
      <c r="L12" s="21">
        <f t="shared" si="3"/>
        <v>-0.11086474501108645</v>
      </c>
      <c r="M12" s="62" t="str">
        <f>VLOOKUP(N12,유니버스!$C$14:$D$2561,2,0)</f>
        <v>KS</v>
      </c>
      <c r="N12" s="26" t="str">
        <f>'RISE 2차전지액티브'!B18</f>
        <v>SK이노베이션</v>
      </c>
      <c r="O12" s="26">
        <f>VLOOKUP(N12,'RISE 2차전지액티브'!$B$11:$E$1000,4,0)</f>
        <v>7.94</v>
      </c>
      <c r="P12" s="26">
        <f>IFERROR(VLOOKUP(N12,'RISE 2차전지액티브(과거)'!$B$11:$E$1000,4,0),0)</f>
        <v>8.06</v>
      </c>
      <c r="Q12" s="20">
        <f t="shared" si="4"/>
        <v>-0.12000000000000011</v>
      </c>
      <c r="R12" s="21">
        <f t="shared" si="5"/>
        <v>-1.488833746898266E-2</v>
      </c>
    </row>
    <row r="13" spans="1:18" x14ac:dyDescent="0.4">
      <c r="A13" s="63" t="str">
        <f>VLOOKUP(B13,유니버스!$C$14:$D$2561,2,0)</f>
        <v>KS</v>
      </c>
      <c r="B13" s="65" t="str">
        <f>'KODEX 신재생에너지액티브'!B19</f>
        <v>씨에스윈드</v>
      </c>
      <c r="C13" s="65">
        <f>VLOOKUP(B13,'KODEX 신재생에너지액티브'!$B$11:$E$1000,4,0)</f>
        <v>4.04</v>
      </c>
      <c r="D13" s="65">
        <f>IFERROR(VLOOKUP(B13,'KODEX 신재생에너지액티브(과거)'!$B$11:$E$1000,4,0),0)</f>
        <v>4.21</v>
      </c>
      <c r="E13" s="20">
        <f t="shared" si="0"/>
        <v>-0.16999999999999993</v>
      </c>
      <c r="F13" s="21">
        <f t="shared" si="1"/>
        <v>-4.0380047505938266E-2</v>
      </c>
      <c r="G13" s="63" t="str">
        <f>VLOOKUP(H13,유니버스!$C$14:$D$2561,2,0)</f>
        <v>KS</v>
      </c>
      <c r="H13" s="65" t="str">
        <f>'TIMEFOLIO K신재생에너지액티브'!B19</f>
        <v>현대모비스</v>
      </c>
      <c r="I13" s="65">
        <f>VLOOKUP(H13,'TIMEFOLIO K신재생에너지액티브'!$B$11:$E$1000,4,0)</f>
        <v>3.79</v>
      </c>
      <c r="J13" s="65">
        <f>IFERROR(VLOOKUP(H13,'TIMEFOLIO K신재생에너지액티브(과거)'!$B$11:$E$1000,4,0),0)</f>
        <v>3.66</v>
      </c>
      <c r="K13" s="20">
        <f t="shared" si="2"/>
        <v>0.12999999999999989</v>
      </c>
      <c r="L13" s="21">
        <f t="shared" si="3"/>
        <v>3.5519125683060038E-2</v>
      </c>
      <c r="M13" s="62" t="str">
        <f>VLOOKUP(N13,유니버스!$C$14:$D$2561,2,0)</f>
        <v>KQ</v>
      </c>
      <c r="N13" s="26" t="str">
        <f>'RISE 2차전지액티브'!B19</f>
        <v>대주전자재료</v>
      </c>
      <c r="O13" s="26">
        <f>VLOOKUP(N13,'RISE 2차전지액티브'!$B$11:$E$1000,4,0)</f>
        <v>6</v>
      </c>
      <c r="P13" s="26">
        <f>IFERROR(VLOOKUP(N13,'RISE 2차전지액티브(과거)'!$B$11:$E$1000,4,0),0)</f>
        <v>6.61</v>
      </c>
      <c r="Q13" s="20">
        <f t="shared" si="4"/>
        <v>-0.61000000000000032</v>
      </c>
      <c r="R13" s="21">
        <f t="shared" si="5"/>
        <v>-9.2284417549167941E-2</v>
      </c>
    </row>
    <row r="14" spans="1:18" x14ac:dyDescent="0.4">
      <c r="A14" s="63" t="str">
        <f>VLOOKUP(B14,유니버스!$C$14:$D$2561,2,0)</f>
        <v>KS</v>
      </c>
      <c r="B14" s="65" t="str">
        <f>'KODEX 신재생에너지액티브'!B20</f>
        <v>SK오션플랜트</v>
      </c>
      <c r="C14" s="65">
        <f>VLOOKUP(B14,'KODEX 신재생에너지액티브'!$B$11:$E$1000,4,0)</f>
        <v>3.59</v>
      </c>
      <c r="D14" s="65">
        <f>IFERROR(VLOOKUP(B14,'KODEX 신재생에너지액티브(과거)'!$B$11:$E$1000,4,0),0)</f>
        <v>3.71</v>
      </c>
      <c r="E14" s="20">
        <f t="shared" si="0"/>
        <v>-0.12000000000000011</v>
      </c>
      <c r="F14" s="21">
        <f t="shared" si="1"/>
        <v>-3.2345013477088957E-2</v>
      </c>
      <c r="G14" s="63" t="str">
        <f>VLOOKUP(H14,유니버스!$C$14:$D$2561,2,0)</f>
        <v>KS</v>
      </c>
      <c r="H14" s="65" t="str">
        <f>'TIMEFOLIO K신재생에너지액티브'!B20</f>
        <v>기아</v>
      </c>
      <c r="I14" s="65">
        <f>VLOOKUP(H14,'TIMEFOLIO K신재생에너지액티브'!$B$11:$E$1000,4,0)</f>
        <v>3.35</v>
      </c>
      <c r="J14" s="65">
        <f>IFERROR(VLOOKUP(H14,'TIMEFOLIO K신재생에너지액티브(과거)'!$B$11:$E$1000,4,0),0)</f>
        <v>3.45</v>
      </c>
      <c r="K14" s="20">
        <f t="shared" si="2"/>
        <v>-0.10000000000000009</v>
      </c>
      <c r="L14" s="21">
        <f t="shared" si="3"/>
        <v>-2.8985507246376829E-2</v>
      </c>
      <c r="M14" s="62" t="str">
        <f>VLOOKUP(N14,유니버스!$C$14:$D$2561,2,0)</f>
        <v>KS</v>
      </c>
      <c r="N14" s="26" t="str">
        <f>'RISE 2차전지액티브'!B20</f>
        <v>롯데에너지머티리얼즈</v>
      </c>
      <c r="O14" s="26">
        <f>VLOOKUP(N14,'RISE 2차전지액티브'!$B$11:$E$1000,4,0)</f>
        <v>4.43</v>
      </c>
      <c r="P14" s="26">
        <f>IFERROR(VLOOKUP(N14,'RISE 2차전지액티브(과거)'!$B$11:$E$1000,4,0),0)</f>
        <v>4.59</v>
      </c>
      <c r="Q14" s="20">
        <f t="shared" si="4"/>
        <v>-0.16000000000000014</v>
      </c>
      <c r="R14" s="21">
        <f t="shared" si="5"/>
        <v>-3.4858387799564294E-2</v>
      </c>
    </row>
    <row r="15" spans="1:18" x14ac:dyDescent="0.4">
      <c r="A15" s="63" t="str">
        <f>VLOOKUP(B15,유니버스!$C$14:$D$2561,2,0)</f>
        <v>KS</v>
      </c>
      <c r="B15" s="65" t="str">
        <f>'KODEX 신재생에너지액티브'!B21</f>
        <v>HD현대일렉트릭</v>
      </c>
      <c r="C15" s="65">
        <f>VLOOKUP(B15,'KODEX 신재생에너지액티브'!$B$11:$E$1000,4,0)</f>
        <v>3.05</v>
      </c>
      <c r="D15" s="65">
        <f>IFERROR(VLOOKUP(B15,'KODEX 신재생에너지액티브(과거)'!$B$11:$E$1000,4,0),0)</f>
        <v>3.11</v>
      </c>
      <c r="E15" s="20">
        <f t="shared" si="0"/>
        <v>-6.0000000000000053E-2</v>
      </c>
      <c r="F15" s="21">
        <f t="shared" si="1"/>
        <v>-1.9292604501607746E-2</v>
      </c>
      <c r="G15" s="63" t="str">
        <f>VLOOKUP(H15,유니버스!$C$14:$D$2561,2,0)</f>
        <v>KQ</v>
      </c>
      <c r="H15" s="65" t="str">
        <f>'TIMEFOLIO K신재생에너지액티브'!B21</f>
        <v>동진쎄미켐</v>
      </c>
      <c r="I15" s="65">
        <f>VLOOKUP(H15,'TIMEFOLIO K신재생에너지액티브'!$B$11:$E$1000,4,0)</f>
        <v>3.09</v>
      </c>
      <c r="J15" s="65">
        <f>IFERROR(VLOOKUP(H15,'TIMEFOLIO K신재생에너지액티브(과거)'!$B$11:$E$1000,4,0),0)</f>
        <v>2.71</v>
      </c>
      <c r="K15" s="20">
        <f t="shared" si="2"/>
        <v>0.37999999999999989</v>
      </c>
      <c r="L15" s="21">
        <f t="shared" si="3"/>
        <v>0.14022140221402202</v>
      </c>
      <c r="M15" s="62" t="str">
        <f>VLOOKUP(N15,유니버스!$C$14:$D$2561,2,0)</f>
        <v>KS</v>
      </c>
      <c r="N15" s="26" t="str">
        <f>'RISE 2차전지액티브'!B21</f>
        <v>에코프로머티</v>
      </c>
      <c r="O15" s="26">
        <f>VLOOKUP(N15,'RISE 2차전지액티브'!$B$11:$E$1000,4,0)</f>
        <v>4.18</v>
      </c>
      <c r="P15" s="26">
        <f>IFERROR(VLOOKUP(N15,'RISE 2차전지액티브(과거)'!$B$11:$E$1000,4,0),0)</f>
        <v>4.08</v>
      </c>
      <c r="Q15" s="20">
        <f t="shared" si="4"/>
        <v>9.9999999999999645E-2</v>
      </c>
      <c r="R15" s="21">
        <f t="shared" si="5"/>
        <v>2.450980392156854E-2</v>
      </c>
    </row>
    <row r="16" spans="1:18" x14ac:dyDescent="0.4">
      <c r="A16" s="63" t="str">
        <f>VLOOKUP(B16,유니버스!$C$14:$D$2561,2,0)</f>
        <v>KS</v>
      </c>
      <c r="B16" s="65" t="str">
        <f>'KODEX 신재생에너지액티브'!B22</f>
        <v>일진전기</v>
      </c>
      <c r="C16" s="65">
        <f>VLOOKUP(B16,'KODEX 신재생에너지액티브'!$B$11:$E$1000,4,0)</f>
        <v>3.05</v>
      </c>
      <c r="D16" s="65">
        <f>IFERROR(VLOOKUP(B16,'KODEX 신재생에너지액티브(과거)'!$B$11:$E$1000,4,0),0)</f>
        <v>3.23</v>
      </c>
      <c r="E16" s="20">
        <f t="shared" si="0"/>
        <v>-0.18000000000000016</v>
      </c>
      <c r="F16" s="21">
        <f t="shared" si="1"/>
        <v>-5.5727554179566652E-2</v>
      </c>
      <c r="G16" s="63" t="str">
        <f>VLOOKUP(H16,유니버스!$C$14:$D$2561,2,0)</f>
        <v>KS</v>
      </c>
      <c r="H16" s="65" t="str">
        <f>'TIMEFOLIO K신재생에너지액티브'!B22</f>
        <v>엘앤에프</v>
      </c>
      <c r="I16" s="65">
        <f>VLOOKUP(H16,'TIMEFOLIO K신재생에너지액티브'!$B$11:$E$1000,4,0)</f>
        <v>3.09</v>
      </c>
      <c r="J16" s="65">
        <f>IFERROR(VLOOKUP(H16,'TIMEFOLIO K신재생에너지액티브(과거)'!$B$11:$E$1000,4,0),0)</f>
        <v>3.28</v>
      </c>
      <c r="K16" s="20">
        <f t="shared" si="2"/>
        <v>-0.18999999999999995</v>
      </c>
      <c r="L16" s="21">
        <f t="shared" si="3"/>
        <v>-5.7926829268292623E-2</v>
      </c>
      <c r="M16" s="62" t="str">
        <f>VLOOKUP(N16,유니버스!$C$14:$D$2561,2,0)</f>
        <v>KQ</v>
      </c>
      <c r="N16" s="26" t="str">
        <f>'RISE 2차전지액티브'!B22</f>
        <v>레이크머티리얼즈</v>
      </c>
      <c r="O16" s="26">
        <f>VLOOKUP(N16,'RISE 2차전지액티브'!$B$11:$E$1000,4,0)</f>
        <v>3.16</v>
      </c>
      <c r="P16" s="26">
        <f>IFERROR(VLOOKUP(N16,'RISE 2차전지액티브(과거)'!$B$11:$E$1000,4,0),0)</f>
        <v>3.21</v>
      </c>
      <c r="Q16" s="20">
        <f t="shared" si="4"/>
        <v>-4.9999999999999822E-2</v>
      </c>
      <c r="R16" s="21">
        <f t="shared" si="5"/>
        <v>-1.5576323987538832E-2</v>
      </c>
    </row>
    <row r="17" spans="1:18" x14ac:dyDescent="0.4">
      <c r="A17" s="63" t="str">
        <f>VLOOKUP(B17,유니버스!$C$14:$D$2561,2,0)</f>
        <v>KS</v>
      </c>
      <c r="B17" s="65" t="str">
        <f>'KODEX 신재생에너지액티브'!B23</f>
        <v>포스코퓨처엠</v>
      </c>
      <c r="C17" s="65">
        <f>VLOOKUP(B17,'KODEX 신재생에너지액티브'!$B$11:$E$1000,4,0)</f>
        <v>2.48</v>
      </c>
      <c r="D17" s="65">
        <f>IFERROR(VLOOKUP(B17,'KODEX 신재생에너지액티브(과거)'!$B$11:$E$1000,4,0),0)</f>
        <v>2.48</v>
      </c>
      <c r="E17" s="20">
        <f t="shared" si="0"/>
        <v>0</v>
      </c>
      <c r="F17" s="21">
        <f t="shared" si="1"/>
        <v>0</v>
      </c>
      <c r="G17" s="63" t="str">
        <f>VLOOKUP(H17,유니버스!$C$14:$D$2561,2,0)</f>
        <v>KS</v>
      </c>
      <c r="H17" s="65" t="str">
        <f>'TIMEFOLIO K신재생에너지액티브'!B23</f>
        <v>LS ELECTRIC</v>
      </c>
      <c r="I17" s="65">
        <f>VLOOKUP(H17,'TIMEFOLIO K신재생에너지액티브'!$B$11:$E$1000,4,0)</f>
        <v>3.07</v>
      </c>
      <c r="J17" s="65">
        <f>IFERROR(VLOOKUP(H17,'TIMEFOLIO K신재생에너지액티브(과거)'!$B$11:$E$1000,4,0),0)</f>
        <v>3.01</v>
      </c>
      <c r="K17" s="20">
        <f t="shared" si="2"/>
        <v>6.0000000000000053E-2</v>
      </c>
      <c r="L17" s="21">
        <f t="shared" si="3"/>
        <v>1.9933554817275656E-2</v>
      </c>
      <c r="M17" s="62" t="str">
        <f>VLOOKUP(N17,유니버스!$C$14:$D$2561,2,0)</f>
        <v>KQ</v>
      </c>
      <c r="N17" s="26" t="str">
        <f>'RISE 2차전지액티브'!B23</f>
        <v>솔브레인</v>
      </c>
      <c r="O17" s="26">
        <f>VLOOKUP(N17,'RISE 2차전지액티브'!$B$11:$E$1000,4,0)</f>
        <v>2.94</v>
      </c>
      <c r="P17" s="26">
        <f>IFERROR(VLOOKUP(N17,'RISE 2차전지액티브(과거)'!$B$11:$E$1000,4,0),0)</f>
        <v>2.74</v>
      </c>
      <c r="Q17" s="20">
        <f t="shared" si="4"/>
        <v>0.19999999999999973</v>
      </c>
      <c r="R17" s="21">
        <f t="shared" si="5"/>
        <v>7.2992700729926918E-2</v>
      </c>
    </row>
    <row r="18" spans="1:18" x14ac:dyDescent="0.4">
      <c r="A18" s="63" t="str">
        <f>VLOOKUP(B18,유니버스!$C$14:$D$2561,2,0)</f>
        <v>KQ</v>
      </c>
      <c r="B18" s="65" t="str">
        <f>'KODEX 신재생에너지액티브'!B24</f>
        <v>비에이치아이</v>
      </c>
      <c r="C18" s="65">
        <f>VLOOKUP(B18,'KODEX 신재생에너지액티브'!$B$11:$E$1000,4,0)</f>
        <v>2.4700000000000002</v>
      </c>
      <c r="D18" s="65">
        <f>IFERROR(VLOOKUP(B18,'KODEX 신재생에너지액티브(과거)'!$B$11:$E$1000,4,0),0)</f>
        <v>2.78</v>
      </c>
      <c r="E18" s="20">
        <f t="shared" si="0"/>
        <v>-0.30999999999999961</v>
      </c>
      <c r="F18" s="21">
        <f t="shared" si="1"/>
        <v>-0.11151079136690634</v>
      </c>
      <c r="G18" s="63" t="str">
        <f>VLOOKUP(H18,유니버스!$C$14:$D$2561,2,0)</f>
        <v>KS</v>
      </c>
      <c r="H18" s="65" t="str">
        <f>'TIMEFOLIO K신재생에너지액티브'!B24</f>
        <v>HD현대중공업</v>
      </c>
      <c r="I18" s="65">
        <f>VLOOKUP(H18,'TIMEFOLIO K신재생에너지액티브'!$B$11:$E$1000,4,0)</f>
        <v>3.06</v>
      </c>
      <c r="J18" s="65">
        <f>IFERROR(VLOOKUP(H18,'TIMEFOLIO K신재생에너지액티브(과거)'!$B$11:$E$1000,4,0),0)</f>
        <v>3</v>
      </c>
      <c r="K18" s="20">
        <f t="shared" si="2"/>
        <v>6.0000000000000053E-2</v>
      </c>
      <c r="L18" s="21">
        <f t="shared" si="3"/>
        <v>2.0000000000000018E-2</v>
      </c>
      <c r="M18" s="62" t="str">
        <f>VLOOKUP(N18,유니버스!$C$14:$D$2561,2,0)</f>
        <v>KS</v>
      </c>
      <c r="N18" s="26" t="str">
        <f>'RISE 2차전지액티브'!B24</f>
        <v>LS</v>
      </c>
      <c r="O18" s="26">
        <f>VLOOKUP(N18,'RISE 2차전지액티브'!$B$11:$E$1000,4,0)</f>
        <v>2.19</v>
      </c>
      <c r="P18" s="26">
        <f>IFERROR(VLOOKUP(N18,'RISE 2차전지액티브(과거)'!$B$11:$E$1000,4,0),0)</f>
        <v>1.94</v>
      </c>
      <c r="Q18" s="20">
        <f t="shared" si="4"/>
        <v>0.25</v>
      </c>
      <c r="R18" s="21">
        <f t="shared" si="5"/>
        <v>0.12886597938144329</v>
      </c>
    </row>
    <row r="19" spans="1:18" x14ac:dyDescent="0.4">
      <c r="A19" s="63" t="str">
        <f>VLOOKUP(B19,유니버스!$C$14:$D$2561,2,0)</f>
        <v>KS</v>
      </c>
      <c r="B19" s="65" t="str">
        <f>'KODEX 신재생에너지액티브'!B25</f>
        <v>SNT에너지</v>
      </c>
      <c r="C19" s="65">
        <f>VLOOKUP(B19,'KODEX 신재생에너지액티브'!$B$11:$E$1000,4,0)</f>
        <v>1.98</v>
      </c>
      <c r="D19" s="65">
        <f>IFERROR(VLOOKUP(B19,'KODEX 신재생에너지액티브(과거)'!$B$11:$E$1000,4,0),0)</f>
        <v>2.17</v>
      </c>
      <c r="E19" s="20">
        <f t="shared" si="0"/>
        <v>-0.18999999999999995</v>
      </c>
      <c r="F19" s="21">
        <f t="shared" si="1"/>
        <v>-8.7557603686635899E-2</v>
      </c>
      <c r="G19" s="63" t="str">
        <f>VLOOKUP(H19,유니버스!$C$14:$D$2561,2,0)</f>
        <v>KS</v>
      </c>
      <c r="H19" s="65" t="str">
        <f>'TIMEFOLIO K신재생에너지액티브'!B25</f>
        <v>HD한국조선해양</v>
      </c>
      <c r="I19" s="65">
        <f>VLOOKUP(H19,'TIMEFOLIO K신재생에너지액티브'!$B$11:$E$1000,4,0)</f>
        <v>2.67</v>
      </c>
      <c r="J19" s="65">
        <f>IFERROR(VLOOKUP(H19,'TIMEFOLIO K신재생에너지액티브(과거)'!$B$11:$E$1000,4,0),0)</f>
        <v>2.75</v>
      </c>
      <c r="K19" s="20">
        <f t="shared" si="2"/>
        <v>-8.0000000000000071E-2</v>
      </c>
      <c r="L19" s="21">
        <f t="shared" si="3"/>
        <v>-2.9090909090909167E-2</v>
      </c>
      <c r="M19" s="62" t="str">
        <f>VLOOKUP(N19,유니버스!$C$14:$D$2561,2,0)</f>
        <v>KQ</v>
      </c>
      <c r="N19" s="26" t="str">
        <f>'RISE 2차전지액티브'!B25</f>
        <v>성일하이텍</v>
      </c>
      <c r="O19" s="26">
        <f>VLOOKUP(N19,'RISE 2차전지액티브'!$B$11:$E$1000,4,0)</f>
        <v>1.45</v>
      </c>
      <c r="P19" s="26">
        <f>IFERROR(VLOOKUP(N19,'RISE 2차전지액티브(과거)'!$B$11:$E$1000,4,0),0)</f>
        <v>1.48</v>
      </c>
      <c r="Q19" s="20">
        <f t="shared" si="4"/>
        <v>-3.0000000000000027E-2</v>
      </c>
      <c r="R19" s="21">
        <f t="shared" si="5"/>
        <v>-2.0270270270270285E-2</v>
      </c>
    </row>
    <row r="20" spans="1:18" x14ac:dyDescent="0.4">
      <c r="A20" s="63" t="str">
        <f>VLOOKUP(B20,유니버스!$C$14:$D$2561,2,0)</f>
        <v>KS</v>
      </c>
      <c r="B20" s="65" t="str">
        <f>'KODEX 신재생에너지액티브'!B26</f>
        <v>엘앤에프</v>
      </c>
      <c r="C20" s="65">
        <f>VLOOKUP(B20,'KODEX 신재생에너지액티브'!$B$11:$E$1000,4,0)</f>
        <v>1.9</v>
      </c>
      <c r="D20" s="65">
        <f>IFERROR(VLOOKUP(B20,'KODEX 신재생에너지액티브(과거)'!$B$11:$E$1000,4,0),0)</f>
        <v>1.93</v>
      </c>
      <c r="E20" s="20">
        <f t="shared" si="0"/>
        <v>-3.0000000000000027E-2</v>
      </c>
      <c r="F20" s="21">
        <f t="shared" si="1"/>
        <v>-1.5544041450777257E-2</v>
      </c>
      <c r="G20" s="63" t="str">
        <f>VLOOKUP(H20,유니버스!$C$14:$D$2561,2,0)</f>
        <v>KS</v>
      </c>
      <c r="H20" s="65" t="str">
        <f>'TIMEFOLIO K신재생에너지액티브'!B26</f>
        <v>GS</v>
      </c>
      <c r="I20" s="65">
        <f>VLOOKUP(H20,'TIMEFOLIO K신재생에너지액티브'!$B$11:$E$1000,4,0)</f>
        <v>2.2599999999999998</v>
      </c>
      <c r="J20" s="65">
        <f>IFERROR(VLOOKUP(H20,'TIMEFOLIO K신재생에너지액티브(과거)'!$B$11:$E$1000,4,0),0)</f>
        <v>2.38</v>
      </c>
      <c r="K20" s="20">
        <f t="shared" si="2"/>
        <v>-0.12000000000000011</v>
      </c>
      <c r="L20" s="21">
        <f t="shared" si="3"/>
        <v>-5.0420168067226934E-2</v>
      </c>
      <c r="M20" s="62" t="str">
        <f>VLOOKUP(N20,유니버스!$C$14:$D$2561,2,0)</f>
        <v>KS</v>
      </c>
      <c r="N20" s="26" t="str">
        <f>'RISE 2차전지액티브'!B26</f>
        <v>한솔케미칼</v>
      </c>
      <c r="O20" s="26">
        <f>VLOOKUP(N20,'RISE 2차전지액티브'!$B$11:$E$1000,4,0)</f>
        <v>0.9</v>
      </c>
      <c r="P20" s="26">
        <f>IFERROR(VLOOKUP(N20,'RISE 2차전지액티브(과거)'!$B$11:$E$1000,4,0),0)</f>
        <v>1.01</v>
      </c>
      <c r="Q20" s="20">
        <f t="shared" ref="Q20:Q22" si="6">O20-P20</f>
        <v>-0.10999999999999999</v>
      </c>
      <c r="R20" s="21">
        <f t="shared" ref="R20:R22" si="7">IFERROR(O20/P20-1,"신규편입")</f>
        <v>-0.1089108910891089</v>
      </c>
    </row>
    <row r="21" spans="1:18" x14ac:dyDescent="0.4">
      <c r="A21" s="63" t="str">
        <f>VLOOKUP(B21,유니버스!$C$14:$D$2561,2,0)</f>
        <v>KS</v>
      </c>
      <c r="B21" s="65" t="str">
        <f>'KODEX 신재생에너지액티브'!B27</f>
        <v>SK이터닉스</v>
      </c>
      <c r="C21" s="65">
        <f>VLOOKUP(B21,'KODEX 신재생에너지액티브'!$B$11:$E$1000,4,0)</f>
        <v>1.85</v>
      </c>
      <c r="D21" s="65">
        <f>IFERROR(VLOOKUP(B21,'KODEX 신재생에너지액티브(과거)'!$B$11:$E$1000,4,0),0)</f>
        <v>1.91</v>
      </c>
      <c r="E21" s="20">
        <f t="shared" si="0"/>
        <v>-5.9999999999999831E-2</v>
      </c>
      <c r="F21" s="21">
        <f t="shared" si="1"/>
        <v>-3.1413612565444948E-2</v>
      </c>
      <c r="G21" s="63" t="str">
        <f>VLOOKUP(H21,유니버스!$C$14:$D$2561,2,0)</f>
        <v>KS</v>
      </c>
      <c r="H21" s="65" t="str">
        <f>'TIMEFOLIO K신재생에너지액티브'!B27</f>
        <v>LS</v>
      </c>
      <c r="I21" s="65">
        <f>VLOOKUP(H21,'TIMEFOLIO K신재생에너지액티브'!$B$11:$E$1000,4,0)</f>
        <v>2.25</v>
      </c>
      <c r="J21" s="65">
        <f>IFERROR(VLOOKUP(H21,'TIMEFOLIO K신재생에너지액티브(과거)'!$B$11:$E$1000,4,0),0)</f>
        <v>2.1</v>
      </c>
      <c r="K21" s="20">
        <f t="shared" si="2"/>
        <v>0.14999999999999991</v>
      </c>
      <c r="L21" s="21">
        <f t="shared" si="3"/>
        <v>7.1428571428571397E-2</v>
      </c>
      <c r="M21" s="62" t="str">
        <f>VLOOKUP(N21,유니버스!$C$14:$D$2561,2,0)</f>
        <v>KQ</v>
      </c>
      <c r="N21" s="26" t="str">
        <f>'RISE 2차전지액티브'!B27</f>
        <v>한중엔시에스</v>
      </c>
      <c r="O21" s="26">
        <f>VLOOKUP(N21,'RISE 2차전지액티브'!$B$11:$E$1000,4,0)</f>
        <v>0.82</v>
      </c>
      <c r="P21" s="26">
        <f>IFERROR(VLOOKUP(N21,'RISE 2차전지액티브(과거)'!$B$11:$E$1000,4,0),0)</f>
        <v>0.87</v>
      </c>
      <c r="Q21" s="20">
        <f t="shared" si="6"/>
        <v>-5.0000000000000044E-2</v>
      </c>
      <c r="R21" s="21">
        <f t="shared" si="7"/>
        <v>-5.7471264367816133E-2</v>
      </c>
    </row>
    <row r="22" spans="1:18" x14ac:dyDescent="0.4">
      <c r="A22" s="63" t="str">
        <f>VLOOKUP(B22,유니버스!$C$14:$D$2561,2,0)</f>
        <v>KS</v>
      </c>
      <c r="B22" s="65" t="str">
        <f>'KODEX 신재생에너지액티브'!B28</f>
        <v>LS</v>
      </c>
      <c r="C22" s="65">
        <f>VLOOKUP(B22,'KODEX 신재생에너지액티브'!$B$11:$E$1000,4,0)</f>
        <v>1.74</v>
      </c>
      <c r="D22" s="65">
        <f>IFERROR(VLOOKUP(B22,'KODEX 신재생에너지액티브(과거)'!$B$11:$E$1000,4,0),0)</f>
        <v>1.55</v>
      </c>
      <c r="E22" s="20">
        <f t="shared" si="0"/>
        <v>0.18999999999999995</v>
      </c>
      <c r="F22" s="21">
        <f t="shared" si="1"/>
        <v>0.1225806451612903</v>
      </c>
      <c r="G22" s="63" t="str">
        <f>VLOOKUP(H22,유니버스!$C$14:$D$2561,2,0)</f>
        <v>KS</v>
      </c>
      <c r="H22" s="65" t="str">
        <f>'TIMEFOLIO K신재생에너지액티브'!B28</f>
        <v>SK</v>
      </c>
      <c r="I22" s="65">
        <f>VLOOKUP(H22,'TIMEFOLIO K신재생에너지액티브'!$B$11:$E$1000,4,0)</f>
        <v>1.82</v>
      </c>
      <c r="J22" s="65">
        <f>IFERROR(VLOOKUP(H22,'TIMEFOLIO K신재생에너지액티브(과거)'!$B$11:$E$1000,4,0),0)</f>
        <v>1.63</v>
      </c>
      <c r="K22" s="20">
        <f t="shared" si="2"/>
        <v>0.19000000000000017</v>
      </c>
      <c r="L22" s="21">
        <f t="shared" si="3"/>
        <v>0.11656441717791433</v>
      </c>
      <c r="M22" s="62" t="e">
        <f>VLOOKUP(N22,유니버스!$C$14:$D$2561,2,0)</f>
        <v>#N/A</v>
      </c>
      <c r="N22" s="26" t="str">
        <f>'RISE 2차전지액티브'!B28</f>
        <v>원화현금</v>
      </c>
      <c r="O22" s="26">
        <f>VLOOKUP(N22,'RISE 2차전지액티브'!$B$11:$E$1000,4,0)</f>
        <v>0</v>
      </c>
      <c r="P22" s="26">
        <f>IFERROR(VLOOKUP(N22,'RISE 2차전지액티브(과거)'!$B$11:$E$1000,4,0),0)</f>
        <v>0</v>
      </c>
      <c r="Q22" s="20">
        <f t="shared" si="6"/>
        <v>0</v>
      </c>
      <c r="R22" s="21" t="str">
        <f t="shared" si="7"/>
        <v>신규편입</v>
      </c>
    </row>
    <row r="23" spans="1:18" x14ac:dyDescent="0.4">
      <c r="A23" s="63" t="str">
        <f>VLOOKUP(B23,유니버스!$C$14:$D$2561,2,0)</f>
        <v>KS</v>
      </c>
      <c r="B23" s="65" t="str">
        <f>'KODEX 신재생에너지액티브'!B29</f>
        <v>한화솔루션</v>
      </c>
      <c r="C23" s="65">
        <f>VLOOKUP(B23,'KODEX 신재생에너지액티브'!$B$11:$E$1000,4,0)</f>
        <v>1.6</v>
      </c>
      <c r="D23" s="65">
        <f>IFERROR(VLOOKUP(B23,'KODEX 신재생에너지액티브(과거)'!$B$11:$E$1000,4,0),0)</f>
        <v>1.57</v>
      </c>
      <c r="E23" s="20">
        <f t="shared" si="0"/>
        <v>3.0000000000000027E-2</v>
      </c>
      <c r="F23" s="21">
        <f t="shared" si="1"/>
        <v>1.9108280254777066E-2</v>
      </c>
      <c r="G23" s="63" t="str">
        <f>VLOOKUP(H23,유니버스!$C$14:$D$2561,2,0)</f>
        <v>KQ</v>
      </c>
      <c r="H23" s="65" t="str">
        <f>'TIMEFOLIO K신재생에너지액티브'!B29</f>
        <v>대주전자재료</v>
      </c>
      <c r="I23" s="65">
        <f>VLOOKUP(H23,'TIMEFOLIO K신재생에너지액티브'!$B$11:$E$1000,4,0)</f>
        <v>1.77</v>
      </c>
      <c r="J23" s="65">
        <f>IFERROR(VLOOKUP(H23,'TIMEFOLIO K신재생에너지액티브(과거)'!$B$11:$E$1000,4,0),0)</f>
        <v>2.0499999999999998</v>
      </c>
      <c r="K23" s="20">
        <f t="shared" si="2"/>
        <v>-0.2799999999999998</v>
      </c>
      <c r="L23" s="21">
        <f t="shared" si="3"/>
        <v>-0.13658536585365844</v>
      </c>
      <c r="N23" s="26"/>
      <c r="O23" s="26"/>
      <c r="P23" s="26"/>
      <c r="Q23" s="20"/>
      <c r="R23" s="21"/>
    </row>
    <row r="24" spans="1:18" x14ac:dyDescent="0.4">
      <c r="A24" s="63" t="str">
        <f>VLOOKUP(B24,유니버스!$C$14:$D$2561,2,0)</f>
        <v>KS</v>
      </c>
      <c r="B24" s="65" t="str">
        <f>'KODEX 신재생에너지액티브'!B30</f>
        <v>삼아알미늄</v>
      </c>
      <c r="C24" s="65">
        <f>VLOOKUP(B24,'KODEX 신재생에너지액티브'!$B$11:$E$1000,4,0)</f>
        <v>1.42</v>
      </c>
      <c r="D24" s="65">
        <f>IFERROR(VLOOKUP(B24,'KODEX 신재생에너지액티브(과거)'!$B$11:$E$1000,4,0),0)</f>
        <v>1.42</v>
      </c>
      <c r="E24" s="20">
        <f t="shared" si="0"/>
        <v>0</v>
      </c>
      <c r="F24" s="21">
        <f t="shared" si="1"/>
        <v>0</v>
      </c>
      <c r="G24" s="63" t="str">
        <f>VLOOKUP(H24,유니버스!$C$14:$D$2561,2,0)</f>
        <v>KS</v>
      </c>
      <c r="H24" s="65" t="str">
        <f>'TIMEFOLIO K신재생에너지액티브'!B30</f>
        <v>삼성물산</v>
      </c>
      <c r="I24" s="65">
        <f>VLOOKUP(H24,'TIMEFOLIO K신재생에너지액티브'!$B$11:$E$1000,4,0)</f>
        <v>1.67</v>
      </c>
      <c r="J24" s="65">
        <f>IFERROR(VLOOKUP(H24,'TIMEFOLIO K신재생에너지액티브(과거)'!$B$11:$E$1000,4,0),0)</f>
        <v>1.63</v>
      </c>
      <c r="K24" s="20">
        <f t="shared" si="2"/>
        <v>4.0000000000000036E-2</v>
      </c>
      <c r="L24" s="21">
        <f t="shared" si="3"/>
        <v>2.4539877300613577E-2</v>
      </c>
      <c r="N24" s="26"/>
      <c r="O24" s="26"/>
      <c r="P24" s="26"/>
      <c r="Q24" s="20"/>
      <c r="R24" s="21"/>
    </row>
    <row r="25" spans="1:18" x14ac:dyDescent="0.4">
      <c r="A25" s="63" t="str">
        <f>VLOOKUP(B25,유니버스!$C$14:$D$2561,2,0)</f>
        <v>KS</v>
      </c>
      <c r="B25" s="65" t="str">
        <f>'KODEX 신재생에너지액티브'!B31</f>
        <v>대원전선</v>
      </c>
      <c r="C25" s="65">
        <f>VLOOKUP(B25,'KODEX 신재생에너지액티브'!$B$11:$E$1000,4,0)</f>
        <v>1.41</v>
      </c>
      <c r="D25" s="65">
        <f>IFERROR(VLOOKUP(B25,'KODEX 신재생에너지액티브(과거)'!$B$11:$E$1000,4,0),0)</f>
        <v>1.71</v>
      </c>
      <c r="E25" s="20">
        <f t="shared" si="0"/>
        <v>-0.30000000000000004</v>
      </c>
      <c r="F25" s="21">
        <f t="shared" si="1"/>
        <v>-0.17543859649122806</v>
      </c>
      <c r="G25" s="63" t="str">
        <f>VLOOKUP(H25,유니버스!$C$14:$D$2561,2,0)</f>
        <v>KS</v>
      </c>
      <c r="H25" s="65" t="str">
        <f>'TIMEFOLIO K신재생에너지액티브'!B31</f>
        <v>POSCO홀딩스</v>
      </c>
      <c r="I25" s="65">
        <f>VLOOKUP(H25,'TIMEFOLIO K신재생에너지액티브'!$B$11:$E$1000,4,0)</f>
        <v>1.36</v>
      </c>
      <c r="J25" s="65">
        <f>IFERROR(VLOOKUP(H25,'TIMEFOLIO K신재생에너지액티브(과거)'!$B$11:$E$1000,4,0),0)</f>
        <v>1.47</v>
      </c>
      <c r="K25" s="20">
        <f t="shared" si="2"/>
        <v>-0.10999999999999988</v>
      </c>
      <c r="L25" s="21">
        <f t="shared" si="3"/>
        <v>-7.4829931972789088E-2</v>
      </c>
      <c r="N25" s="26"/>
      <c r="O25" s="26"/>
      <c r="P25" s="26"/>
      <c r="Q25" s="20"/>
      <c r="R25" s="21"/>
    </row>
    <row r="26" spans="1:18" x14ac:dyDescent="0.4">
      <c r="A26" s="63" t="str">
        <f>VLOOKUP(B26,유니버스!$C$14:$D$2561,2,0)</f>
        <v>KQ</v>
      </c>
      <c r="B26" s="65" t="str">
        <f>'KODEX 신재생에너지액티브'!B32</f>
        <v>비츠로셀</v>
      </c>
      <c r="C26" s="65">
        <f>VLOOKUP(B26,'KODEX 신재생에너지액티브'!$B$11:$E$1000,4,0)</f>
        <v>1.25</v>
      </c>
      <c r="D26" s="65">
        <f>IFERROR(VLOOKUP(B26,'KODEX 신재생에너지액티브(과거)'!$B$11:$E$1000,4,0),0)</f>
        <v>1.26</v>
      </c>
      <c r="E26" s="20">
        <f t="shared" si="0"/>
        <v>-1.0000000000000009E-2</v>
      </c>
      <c r="F26" s="21">
        <f t="shared" si="1"/>
        <v>-7.9365079365079083E-3</v>
      </c>
      <c r="G26" s="63" t="str">
        <f>VLOOKUP(H26,유니버스!$C$14:$D$2561,2,0)</f>
        <v>KS</v>
      </c>
      <c r="H26" s="65" t="str">
        <f>'TIMEFOLIO K신재생에너지액티브'!B32</f>
        <v>씨에스윈드</v>
      </c>
      <c r="I26" s="65">
        <f>VLOOKUP(H26,'TIMEFOLIO K신재생에너지액티브'!$B$11:$E$1000,4,0)</f>
        <v>1.32</v>
      </c>
      <c r="J26" s="65">
        <f>IFERROR(VLOOKUP(H26,'TIMEFOLIO K신재생에너지액티브(과거)'!$B$11:$E$1000,4,0),0)</f>
        <v>1.41</v>
      </c>
      <c r="K26" s="20">
        <f t="shared" si="2"/>
        <v>-8.9999999999999858E-2</v>
      </c>
      <c r="L26" s="21">
        <f t="shared" si="3"/>
        <v>-6.3829787234042423E-2</v>
      </c>
      <c r="N26" s="26"/>
      <c r="O26" s="26"/>
      <c r="P26" s="26"/>
      <c r="Q26" s="20"/>
      <c r="R26" s="21"/>
    </row>
    <row r="27" spans="1:18" x14ac:dyDescent="0.4">
      <c r="A27" s="63" t="str">
        <f>VLOOKUP(B27,유니버스!$C$14:$D$2561,2,0)</f>
        <v>KQ</v>
      </c>
      <c r="B27" s="65" t="str">
        <f>'KODEX 신재생에너지액티브'!B33</f>
        <v>에코프로비엠</v>
      </c>
      <c r="C27" s="65">
        <f>VLOOKUP(B27,'KODEX 신재생에너지액티브'!$B$11:$E$1000,4,0)</f>
        <v>1.1299999999999999</v>
      </c>
      <c r="D27" s="65">
        <f>IFERROR(VLOOKUP(B27,'KODEX 신재생에너지액티브(과거)'!$B$11:$E$1000,4,0),0)</f>
        <v>1.0900000000000001</v>
      </c>
      <c r="E27" s="20">
        <f t="shared" si="0"/>
        <v>3.9999999999999813E-2</v>
      </c>
      <c r="F27" s="21">
        <f t="shared" si="1"/>
        <v>3.6697247706421798E-2</v>
      </c>
      <c r="G27" s="63" t="e">
        <f>VLOOKUP(H27,유니버스!$C$14:$D$2561,2,0)</f>
        <v>#N/A</v>
      </c>
      <c r="H27" s="65" t="str">
        <f>'TIMEFOLIO K신재생에너지액티브'!B33</f>
        <v>원화현금</v>
      </c>
      <c r="I27" s="65">
        <f>VLOOKUP(H27,'TIMEFOLIO K신재생에너지액티브'!$B$11:$E$1000,4,0)</f>
        <v>0.21</v>
      </c>
      <c r="J27" s="65">
        <f>IFERROR(VLOOKUP(H27,'TIMEFOLIO K신재생에너지액티브(과거)'!$B$11:$E$1000,4,0),0)</f>
        <v>0.34</v>
      </c>
      <c r="K27" s="20">
        <f t="shared" si="2"/>
        <v>-0.13000000000000003</v>
      </c>
      <c r="L27" s="21">
        <f t="shared" si="3"/>
        <v>-0.38235294117647067</v>
      </c>
      <c r="N27" s="26"/>
      <c r="O27" s="26"/>
      <c r="P27" s="26"/>
      <c r="Q27" s="20"/>
      <c r="R27" s="21"/>
    </row>
    <row r="28" spans="1:18" x14ac:dyDescent="0.4">
      <c r="A28" s="63" t="str">
        <f>VLOOKUP(B28,유니버스!$C$14:$D$2561,2,0)</f>
        <v>KQ</v>
      </c>
      <c r="B28" s="65" t="str">
        <f>'KODEX 신재생에너지액티브'!B34</f>
        <v>한텍</v>
      </c>
      <c r="C28" s="65">
        <f>VLOOKUP(B28,'KODEX 신재생에너지액티브'!$B$11:$E$1000,4,0)</f>
        <v>0.96</v>
      </c>
      <c r="D28" s="65">
        <f>IFERROR(VLOOKUP(B28,'KODEX 신재생에너지액티브(과거)'!$B$11:$E$1000,4,0),0)</f>
        <v>0.96</v>
      </c>
      <c r="E28" s="20">
        <f t="shared" si="0"/>
        <v>0</v>
      </c>
      <c r="F28" s="21">
        <f t="shared" si="1"/>
        <v>0</v>
      </c>
      <c r="H28" s="65"/>
      <c r="I28" s="65"/>
      <c r="J28" s="65"/>
      <c r="K28" s="20"/>
      <c r="L28" s="21"/>
      <c r="N28" s="26"/>
      <c r="O28" s="26"/>
      <c r="P28" s="26"/>
      <c r="Q28" s="20"/>
      <c r="R28" s="21"/>
    </row>
    <row r="29" spans="1:18" x14ac:dyDescent="0.4">
      <c r="A29" s="63" t="str">
        <f>VLOOKUP(B29,유니버스!$C$14:$D$2561,2,0)</f>
        <v>KQ</v>
      </c>
      <c r="B29" s="65" t="str">
        <f>'KODEX 신재생에너지액티브'!B35</f>
        <v>미코</v>
      </c>
      <c r="C29" s="65">
        <f>VLOOKUP(B29,'KODEX 신재생에너지액티브'!$B$11:$E$1000,4,0)</f>
        <v>0.96</v>
      </c>
      <c r="D29" s="65">
        <f>IFERROR(VLOOKUP(B29,'KODEX 신재생에너지액티브(과거)'!$B$11:$E$1000,4,0),0)</f>
        <v>1.05</v>
      </c>
      <c r="E29" s="20">
        <f t="shared" si="0"/>
        <v>-9.000000000000008E-2</v>
      </c>
      <c r="F29" s="21">
        <f t="shared" si="1"/>
        <v>-8.5714285714285743E-2</v>
      </c>
      <c r="H29" s="65"/>
      <c r="I29" s="65"/>
      <c r="J29" s="65"/>
      <c r="K29" s="20"/>
      <c r="L29" s="21"/>
      <c r="N29" s="26"/>
      <c r="O29" s="26"/>
      <c r="P29" s="26"/>
      <c r="Q29" s="20"/>
      <c r="R29" s="21"/>
    </row>
    <row r="30" spans="1:18" x14ac:dyDescent="0.4">
      <c r="A30" s="63" t="str">
        <f>VLOOKUP(B30,유니버스!$C$14:$D$2561,2,0)</f>
        <v>KS</v>
      </c>
      <c r="B30" s="65" t="str">
        <f>'KODEX 신재생에너지액티브'!B36</f>
        <v>세아베스틸지주</v>
      </c>
      <c r="C30" s="65">
        <f>VLOOKUP(B30,'KODEX 신재생에너지액티브'!$B$11:$E$1000,4,0)</f>
        <v>0.92</v>
      </c>
      <c r="D30" s="65">
        <f>IFERROR(VLOOKUP(B30,'KODEX 신재생에너지액티브(과거)'!$B$11:$E$1000,4,0),0)</f>
        <v>0.98</v>
      </c>
      <c r="E30" s="20">
        <f t="shared" si="0"/>
        <v>-5.9999999999999942E-2</v>
      </c>
      <c r="F30" s="21">
        <f t="shared" si="1"/>
        <v>-6.1224489795918324E-2</v>
      </c>
      <c r="H30" s="65"/>
      <c r="I30" s="65"/>
      <c r="J30" s="65"/>
      <c r="K30" s="20"/>
      <c r="L30" s="21"/>
      <c r="N30" s="26"/>
      <c r="O30" s="26"/>
      <c r="P30" s="26"/>
      <c r="Q30" s="20"/>
      <c r="R30" s="21"/>
    </row>
    <row r="31" spans="1:18" x14ac:dyDescent="0.4">
      <c r="A31" s="63" t="str">
        <f>VLOOKUP(B31,유니버스!$C$14:$D$2561,2,0)</f>
        <v>KQ</v>
      </c>
      <c r="B31" s="65" t="str">
        <f>'KODEX 신재생에너지액티브'!B37</f>
        <v>태웅</v>
      </c>
      <c r="C31" s="65">
        <f>VLOOKUP(B31,'KODEX 신재생에너지액티브'!$B$11:$E$1000,4,0)</f>
        <v>0.9</v>
      </c>
      <c r="D31" s="65">
        <f>IFERROR(VLOOKUP(B31,'KODEX 신재생에너지액티브(과거)'!$B$11:$E$1000,4,0),0)</f>
        <v>0.93</v>
      </c>
      <c r="E31" s="20">
        <f t="shared" si="0"/>
        <v>-3.0000000000000027E-2</v>
      </c>
      <c r="F31" s="21">
        <f t="shared" si="1"/>
        <v>-3.2258064516129115E-2</v>
      </c>
      <c r="H31" s="65"/>
      <c r="I31" s="65"/>
      <c r="J31" s="65"/>
      <c r="K31" s="20"/>
      <c r="L31" s="21"/>
      <c r="N31" s="26"/>
      <c r="O31" s="26"/>
      <c r="P31" s="26"/>
      <c r="Q31" s="20"/>
      <c r="R31" s="21"/>
    </row>
    <row r="32" spans="1:18" x14ac:dyDescent="0.4">
      <c r="A32" s="63" t="str">
        <f>VLOOKUP(B32,유니버스!$C$14:$D$2561,2,0)</f>
        <v>KQ</v>
      </c>
      <c r="B32" s="65" t="str">
        <f>'KODEX 신재생에너지액티브'!B38</f>
        <v>코세스</v>
      </c>
      <c r="C32" s="65">
        <f>VLOOKUP(B32,'KODEX 신재생에너지액티브'!$B$11:$E$1000,4,0)</f>
        <v>0.86</v>
      </c>
      <c r="D32" s="65">
        <f>IFERROR(VLOOKUP(B32,'KODEX 신재생에너지액티브(과거)'!$B$11:$E$1000,4,0),0)</f>
        <v>0.88</v>
      </c>
      <c r="E32" s="20">
        <f t="shared" si="0"/>
        <v>-2.0000000000000018E-2</v>
      </c>
      <c r="F32" s="21">
        <f t="shared" si="1"/>
        <v>-2.2727272727272707E-2</v>
      </c>
      <c r="H32" s="65"/>
      <c r="I32" s="65"/>
      <c r="J32" s="65"/>
      <c r="K32" s="20"/>
      <c r="L32" s="21"/>
      <c r="N32" s="26"/>
      <c r="O32" s="26"/>
      <c r="P32" s="26"/>
      <c r="Q32" s="20"/>
      <c r="R32" s="21"/>
    </row>
    <row r="33" spans="1:18" x14ac:dyDescent="0.4">
      <c r="A33" s="63" t="str">
        <f>VLOOKUP(B33,유니버스!$C$14:$D$2561,2,0)</f>
        <v>KS</v>
      </c>
      <c r="B33" s="65" t="str">
        <f>'KODEX 신재생에너지액티브'!B39</f>
        <v>대한전선</v>
      </c>
      <c r="C33" s="65">
        <f>VLOOKUP(B33,'KODEX 신재생에너지액티브'!$B$11:$E$1000,4,0)</f>
        <v>0.78</v>
      </c>
      <c r="D33" s="65">
        <f>IFERROR(VLOOKUP(B33,'KODEX 신재생에너지액티브(과거)'!$B$11:$E$1000,4,0),0)</f>
        <v>0.83</v>
      </c>
      <c r="E33" s="20">
        <f t="shared" si="0"/>
        <v>-4.9999999999999933E-2</v>
      </c>
      <c r="F33" s="21">
        <f t="shared" si="1"/>
        <v>-6.0240963855421659E-2</v>
      </c>
      <c r="H33" s="65"/>
      <c r="I33" s="65"/>
      <c r="J33" s="65"/>
      <c r="K33" s="20"/>
      <c r="L33" s="21"/>
      <c r="N33" s="26"/>
      <c r="O33" s="26"/>
      <c r="P33" s="26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'KODEX 신재생에너지액티브'!B40</f>
        <v>상신이디피</v>
      </c>
      <c r="C34" s="65">
        <f>VLOOKUP(B34,'KODEX 신재생에너지액티브'!$B$11:$E$1000,4,0)</f>
        <v>0.76</v>
      </c>
      <c r="D34" s="65">
        <f>IFERROR(VLOOKUP(B34,'KODEX 신재생에너지액티브(과거)'!$B$11:$E$1000,4,0),0)</f>
        <v>0.74</v>
      </c>
      <c r="E34" s="20">
        <f t="shared" si="0"/>
        <v>2.0000000000000018E-2</v>
      </c>
      <c r="F34" s="21">
        <f t="shared" si="1"/>
        <v>2.7027027027026973E-2</v>
      </c>
      <c r="H34" s="65"/>
      <c r="I34" s="65"/>
      <c r="J34" s="65"/>
      <c r="K34" s="20"/>
      <c r="L34" s="21"/>
      <c r="N34" s="26"/>
      <c r="O34" s="26"/>
      <c r="P34" s="26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'KODEX 신재생에너지액티브'!B41</f>
        <v>레이크머티리얼즈</v>
      </c>
      <c r="C35" s="65">
        <f>VLOOKUP(B35,'KODEX 신재생에너지액티브'!$B$11:$E$1000,4,0)</f>
        <v>0.76</v>
      </c>
      <c r="D35" s="65">
        <f>IFERROR(VLOOKUP(B35,'KODEX 신재생에너지액티브(과거)'!$B$11:$E$1000,4,0),0)</f>
        <v>0.77</v>
      </c>
      <c r="E35" s="20">
        <f t="shared" si="0"/>
        <v>-1.0000000000000009E-2</v>
      </c>
      <c r="F35" s="21">
        <f t="shared" si="1"/>
        <v>-1.2987012987012991E-2</v>
      </c>
      <c r="H35" s="65"/>
      <c r="I35" s="65"/>
      <c r="J35" s="65"/>
      <c r="K35" s="20"/>
      <c r="L35" s="21"/>
      <c r="N35" s="26"/>
      <c r="O35" s="26"/>
      <c r="P35" s="26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'KODEX 신재생에너지액티브'!B42</f>
        <v>강원에너지</v>
      </c>
      <c r="C36" s="65">
        <f>VLOOKUP(B36,'KODEX 신재생에너지액티브'!$B$11:$E$1000,4,0)</f>
        <v>0.7</v>
      </c>
      <c r="D36" s="65">
        <f>IFERROR(VLOOKUP(B36,'KODEX 신재생에너지액티브(과거)'!$B$11:$E$1000,4,0),0)</f>
        <v>0.72</v>
      </c>
      <c r="E36" s="20">
        <f t="shared" si="0"/>
        <v>-2.0000000000000018E-2</v>
      </c>
      <c r="F36" s="21">
        <f t="shared" si="1"/>
        <v>-2.777777777777779E-2</v>
      </c>
      <c r="H36" s="65"/>
      <c r="I36" s="65"/>
      <c r="J36" s="65"/>
      <c r="K36" s="20"/>
      <c r="L36" s="21"/>
      <c r="N36" s="26"/>
      <c r="O36" s="26"/>
      <c r="P36" s="26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'KODEX 신재생에너지액티브'!B43</f>
        <v>대명에너지</v>
      </c>
      <c r="C37" s="65">
        <f>VLOOKUP(B37,'KODEX 신재생에너지액티브'!$B$11:$E$1000,4,0)</f>
        <v>0.66</v>
      </c>
      <c r="D37" s="65">
        <f>IFERROR(VLOOKUP(B37,'KODEX 신재생에너지액티브(과거)'!$B$11:$E$1000,4,0),0)</f>
        <v>0.76</v>
      </c>
      <c r="E37" s="20">
        <f t="shared" si="0"/>
        <v>-9.9999999999999978E-2</v>
      </c>
      <c r="F37" s="21">
        <f t="shared" si="1"/>
        <v>-0.13157894736842102</v>
      </c>
      <c r="H37" s="65"/>
      <c r="I37" s="65"/>
      <c r="J37" s="65"/>
      <c r="K37" s="20"/>
      <c r="L37" s="21"/>
      <c r="N37" s="26"/>
      <c r="O37" s="26"/>
      <c r="P37" s="26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'KODEX 신재생에너지액티브'!B44</f>
        <v>성일하이텍</v>
      </c>
      <c r="C38" s="65">
        <f>VLOOKUP(B38,'KODEX 신재생에너지액티브'!$B$11:$E$1000,4,0)</f>
        <v>0.62</v>
      </c>
      <c r="D38" s="65">
        <f>IFERROR(VLOOKUP(B38,'KODEX 신재생에너지액티브(과거)'!$B$11:$E$1000,4,0),0)</f>
        <v>0.64</v>
      </c>
      <c r="E38" s="20">
        <f t="shared" si="0"/>
        <v>-2.0000000000000018E-2</v>
      </c>
      <c r="F38" s="21">
        <f t="shared" si="1"/>
        <v>-3.125E-2</v>
      </c>
      <c r="H38" s="65"/>
      <c r="I38" s="65"/>
      <c r="J38" s="65"/>
      <c r="K38" s="20"/>
      <c r="L38" s="21"/>
      <c r="N38" s="26"/>
      <c r="O38" s="26"/>
      <c r="P38" s="26"/>
      <c r="Q38" s="20"/>
      <c r="R38" s="21"/>
    </row>
    <row r="39" spans="1:18" x14ac:dyDescent="0.4">
      <c r="A39" s="63" t="str">
        <f>VLOOKUP(B39,유니버스!$C$14:$D$2561,2,0)</f>
        <v>KS</v>
      </c>
      <c r="B39" s="65" t="str">
        <f>'KODEX 신재생에너지액티브'!B45</f>
        <v>에코프로머티</v>
      </c>
      <c r="C39" s="65">
        <f>VLOOKUP(B39,'KODEX 신재생에너지액티브'!$B$11:$E$1000,4,0)</f>
        <v>0.56000000000000005</v>
      </c>
      <c r="D39" s="65">
        <f>IFERROR(VLOOKUP(B39,'KODEX 신재생에너지액티브(과거)'!$B$11:$E$1000,4,0),0)</f>
        <v>0.55000000000000004</v>
      </c>
      <c r="E39" s="20">
        <f t="shared" si="0"/>
        <v>1.0000000000000009E-2</v>
      </c>
      <c r="F39" s="21">
        <f t="shared" si="1"/>
        <v>1.8181818181818299E-2</v>
      </c>
      <c r="H39" s="65"/>
      <c r="I39" s="65"/>
      <c r="J39" s="65"/>
      <c r="K39" s="20"/>
      <c r="L39" s="21"/>
      <c r="N39" s="26"/>
      <c r="O39" s="26"/>
      <c r="P39" s="26"/>
      <c r="Q39" s="20"/>
      <c r="R39" s="21"/>
    </row>
    <row r="40" spans="1:18" x14ac:dyDescent="0.4">
      <c r="A40" s="63" t="str">
        <f>VLOOKUP(B40,유니버스!$C$14:$D$2561,2,0)</f>
        <v>KQ</v>
      </c>
      <c r="B40" s="65" t="str">
        <f>'KODEX 신재생에너지액티브'!B46</f>
        <v>한선엔지니어링</v>
      </c>
      <c r="C40" s="65">
        <f>VLOOKUP(B40,'KODEX 신재생에너지액티브'!$B$11:$E$1000,4,0)</f>
        <v>0.55000000000000004</v>
      </c>
      <c r="D40" s="65">
        <f>IFERROR(VLOOKUP(B40,'KODEX 신재생에너지액티브(과거)'!$B$11:$E$1000,4,0),0)</f>
        <v>0.47</v>
      </c>
      <c r="E40" s="20">
        <f t="shared" si="0"/>
        <v>8.0000000000000071E-2</v>
      </c>
      <c r="F40" s="21">
        <f t="shared" si="1"/>
        <v>0.17021276595744705</v>
      </c>
      <c r="H40" s="65"/>
      <c r="I40" s="65"/>
      <c r="J40" s="65"/>
      <c r="K40" s="20"/>
      <c r="L40" s="21"/>
      <c r="N40" s="26"/>
      <c r="O40" s="26"/>
      <c r="P40" s="26"/>
      <c r="Q40" s="20"/>
      <c r="R40" s="21"/>
    </row>
    <row r="41" spans="1:18" x14ac:dyDescent="0.4">
      <c r="A41" s="63" t="str">
        <f>VLOOKUP(B41,유니버스!$C$14:$D$2561,2,0)</f>
        <v>KS</v>
      </c>
      <c r="B41" s="65" t="str">
        <f>'KODEX 신재생에너지액티브'!B47</f>
        <v>후성</v>
      </c>
      <c r="C41" s="65">
        <f>VLOOKUP(B41,'KODEX 신재생에너지액티브'!$B$11:$E$1000,4,0)</f>
        <v>0.55000000000000004</v>
      </c>
      <c r="D41" s="65">
        <f>IFERROR(VLOOKUP(B41,'KODEX 신재생에너지액티브(과거)'!$B$11:$E$1000,4,0),0)</f>
        <v>0.51</v>
      </c>
      <c r="E41" s="20">
        <f t="shared" si="0"/>
        <v>4.0000000000000036E-2</v>
      </c>
      <c r="F41" s="21">
        <f t="shared" si="1"/>
        <v>7.8431372549019773E-2</v>
      </c>
      <c r="H41" s="65"/>
      <c r="I41" s="65"/>
      <c r="J41" s="65"/>
      <c r="K41" s="20"/>
      <c r="L41" s="21"/>
      <c r="N41" s="26"/>
      <c r="O41" s="26"/>
      <c r="P41" s="26"/>
      <c r="Q41" s="20"/>
      <c r="R41" s="21"/>
    </row>
    <row r="42" spans="1:18" x14ac:dyDescent="0.4">
      <c r="A42" s="63" t="str">
        <f>VLOOKUP(B42,유니버스!$C$14:$D$2561,2,0)</f>
        <v>KS</v>
      </c>
      <c r="B42" s="65" t="str">
        <f>'KODEX 신재생에너지액티브'!B48</f>
        <v>LG에너지솔루션</v>
      </c>
      <c r="C42" s="65">
        <f>VLOOKUP(B42,'KODEX 신재생에너지액티브'!$B$11:$E$1000,4,0)</f>
        <v>0.48</v>
      </c>
      <c r="D42" s="65">
        <f>IFERROR(VLOOKUP(B42,'KODEX 신재생에너지액티브(과거)'!$B$11:$E$1000,4,0),0)</f>
        <v>0.49</v>
      </c>
      <c r="E42" s="20">
        <f t="shared" si="0"/>
        <v>-1.0000000000000009E-2</v>
      </c>
      <c r="F42" s="21">
        <f t="shared" si="1"/>
        <v>-2.0408163265306145E-2</v>
      </c>
      <c r="H42" s="65"/>
      <c r="I42" s="65"/>
      <c r="J42" s="65"/>
      <c r="K42" s="20"/>
      <c r="L42" s="21"/>
      <c r="N42" s="26"/>
      <c r="O42" s="26"/>
      <c r="P42" s="26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'KODEX 신재생에너지액티브'!B49</f>
        <v>선익시스템</v>
      </c>
      <c r="C43" s="65">
        <f>VLOOKUP(B43,'KODEX 신재생에너지액티브'!$B$11:$E$1000,4,0)</f>
        <v>0.47</v>
      </c>
      <c r="D43" s="65">
        <f>IFERROR(VLOOKUP(B43,'KODEX 신재생에너지액티브(과거)'!$B$11:$E$1000,4,0),0)</f>
        <v>0.49</v>
      </c>
      <c r="E43" s="20">
        <f t="shared" si="0"/>
        <v>-2.0000000000000018E-2</v>
      </c>
      <c r="F43" s="21">
        <f t="shared" si="1"/>
        <v>-4.081632653061229E-2</v>
      </c>
      <c r="H43" s="65"/>
      <c r="I43" s="65"/>
      <c r="J43" s="65"/>
      <c r="K43" s="20"/>
      <c r="L43" s="21"/>
      <c r="N43" s="26"/>
      <c r="O43" s="26"/>
      <c r="P43" s="26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'KODEX 신재생에너지액티브'!B50</f>
        <v>나노</v>
      </c>
      <c r="C44" s="65">
        <f>VLOOKUP(B44,'KODEX 신재생에너지액티브'!$B$11:$E$1000,4,0)</f>
        <v>0.45</v>
      </c>
      <c r="D44" s="65">
        <f>IFERROR(VLOOKUP(B44,'KODEX 신재생에너지액티브(과거)'!$B$11:$E$1000,4,0),0)</f>
        <v>0.39</v>
      </c>
      <c r="E44" s="20">
        <f t="shared" si="0"/>
        <v>0.06</v>
      </c>
      <c r="F44" s="21">
        <f t="shared" si="1"/>
        <v>0.15384615384615374</v>
      </c>
      <c r="H44" s="65"/>
      <c r="I44" s="65"/>
      <c r="J44" s="65"/>
      <c r="K44" s="20"/>
      <c r="L44" s="21"/>
      <c r="N44" s="26"/>
      <c r="O44" s="26"/>
      <c r="P44" s="26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'KODEX 신재생에너지액티브'!B51</f>
        <v>한중엔시에스</v>
      </c>
      <c r="C45" s="65">
        <f>VLOOKUP(B45,'KODEX 신재생에너지액티브'!$B$11:$E$1000,4,0)</f>
        <v>0.45</v>
      </c>
      <c r="D45" s="65">
        <f>IFERROR(VLOOKUP(B45,'KODEX 신재생에너지액티브(과거)'!$B$11:$E$1000,4,0),0)</f>
        <v>0.48</v>
      </c>
      <c r="E45" s="20">
        <f t="shared" si="0"/>
        <v>-2.9999999999999971E-2</v>
      </c>
      <c r="F45" s="21">
        <f t="shared" si="1"/>
        <v>-6.2499999999999889E-2</v>
      </c>
      <c r="H45" s="65"/>
      <c r="I45" s="65"/>
      <c r="J45" s="65"/>
      <c r="K45" s="20"/>
      <c r="L45" s="21"/>
      <c r="N45" s="26"/>
      <c r="O45" s="26"/>
      <c r="P45" s="26"/>
      <c r="Q45" s="20"/>
      <c r="R45" s="21"/>
    </row>
    <row r="46" spans="1:18" x14ac:dyDescent="0.4">
      <c r="A46" s="63" t="str">
        <f>VLOOKUP(B46,유니버스!$C$14:$D$2561,2,0)</f>
        <v>KS</v>
      </c>
      <c r="B46" s="65" t="str">
        <f>'KODEX 신재생에너지액티브'!B52</f>
        <v>대우건설</v>
      </c>
      <c r="C46" s="65">
        <f>VLOOKUP(B46,'KODEX 신재생에너지액티브'!$B$11:$E$1000,4,0)</f>
        <v>0.44</v>
      </c>
      <c r="D46" s="65">
        <f>IFERROR(VLOOKUP(B46,'KODEX 신재생에너지액티브(과거)'!$B$11:$E$1000,4,0),0)</f>
        <v>0.44</v>
      </c>
      <c r="E46" s="20">
        <f t="shared" si="0"/>
        <v>0</v>
      </c>
      <c r="F46" s="21">
        <f t="shared" si="1"/>
        <v>0</v>
      </c>
      <c r="H46" s="65"/>
      <c r="I46" s="65"/>
      <c r="J46" s="65"/>
      <c r="K46" s="20"/>
      <c r="L46" s="21"/>
      <c r="N46" s="26"/>
      <c r="O46" s="26"/>
      <c r="P46" s="26"/>
      <c r="Q46" s="20"/>
      <c r="R46" s="21"/>
    </row>
    <row r="47" spans="1:18" x14ac:dyDescent="0.4">
      <c r="A47" s="63" t="str">
        <f>VLOOKUP(B47,유니버스!$C$14:$D$2561,2,0)</f>
        <v>KQ</v>
      </c>
      <c r="B47" s="65" t="str">
        <f>'KODEX 신재생에너지액티브'!B53</f>
        <v>천보</v>
      </c>
      <c r="C47" s="65">
        <f>VLOOKUP(B47,'KODEX 신재생에너지액티브'!$B$11:$E$1000,4,0)</f>
        <v>0.41</v>
      </c>
      <c r="D47" s="65">
        <f>IFERROR(VLOOKUP(B47,'KODEX 신재생에너지액티브(과거)'!$B$11:$E$1000,4,0),0)</f>
        <v>0.43</v>
      </c>
      <c r="E47" s="20">
        <f t="shared" si="0"/>
        <v>-2.0000000000000018E-2</v>
      </c>
      <c r="F47" s="21">
        <f t="shared" si="1"/>
        <v>-4.6511627906976827E-2</v>
      </c>
      <c r="H47" s="65"/>
      <c r="I47" s="65"/>
      <c r="J47" s="65"/>
      <c r="K47" s="20"/>
      <c r="L47" s="21"/>
      <c r="N47" s="26"/>
      <c r="O47" s="26"/>
      <c r="P47" s="26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'KODEX 신재생에너지액티브'!B54</f>
        <v>아모센스</v>
      </c>
      <c r="C48" s="65">
        <f>VLOOKUP(B48,'KODEX 신재생에너지액티브'!$B$11:$E$1000,4,0)</f>
        <v>0.34</v>
      </c>
      <c r="D48" s="65">
        <f>IFERROR(VLOOKUP(B48,'KODEX 신재생에너지액티브(과거)'!$B$11:$E$1000,4,0),0)</f>
        <v>0.37</v>
      </c>
      <c r="E48" s="20">
        <f t="shared" si="0"/>
        <v>-2.9999999999999971E-2</v>
      </c>
      <c r="F48" s="21">
        <f t="shared" si="1"/>
        <v>-8.108108108108103E-2</v>
      </c>
      <c r="H48" s="65"/>
      <c r="I48" s="65"/>
      <c r="J48" s="65"/>
      <c r="K48" s="20"/>
      <c r="L48" s="21"/>
      <c r="N48" s="26"/>
      <c r="O48" s="26"/>
      <c r="P48" s="26"/>
      <c r="Q48" s="20"/>
      <c r="R48" s="21"/>
    </row>
    <row r="49" spans="1:18" x14ac:dyDescent="0.4">
      <c r="A49" s="63" t="str">
        <f>VLOOKUP(B49,유니버스!$C$14:$D$2561,2,0)</f>
        <v>KQ</v>
      </c>
      <c r="B49" s="65" t="str">
        <f>'KODEX 신재생에너지액티브'!B55</f>
        <v>지엔씨에너지</v>
      </c>
      <c r="C49" s="65">
        <f>VLOOKUP(B49,'KODEX 신재생에너지액티브'!$B$11:$E$1000,4,0)</f>
        <v>0.33</v>
      </c>
      <c r="D49" s="65">
        <f>IFERROR(VLOOKUP(B49,'KODEX 신재생에너지액티브(과거)'!$B$11:$E$1000,4,0),0)</f>
        <v>0.39</v>
      </c>
      <c r="E49" s="20">
        <f t="shared" si="0"/>
        <v>-0.06</v>
      </c>
      <c r="F49" s="21">
        <f t="shared" si="1"/>
        <v>-0.15384615384615385</v>
      </c>
      <c r="H49" s="65"/>
      <c r="I49" s="65"/>
      <c r="J49" s="65"/>
      <c r="K49" s="20"/>
      <c r="L49" s="21"/>
      <c r="N49" s="26"/>
      <c r="O49" s="26"/>
      <c r="P49" s="26"/>
      <c r="Q49" s="20"/>
      <c r="R49" s="21"/>
    </row>
    <row r="50" spans="1:18" x14ac:dyDescent="0.4">
      <c r="A50" s="63" t="str">
        <f>VLOOKUP(B50,유니버스!$C$14:$D$2561,2,0)</f>
        <v>KQ</v>
      </c>
      <c r="B50" s="65" t="str">
        <f>'KODEX 신재생에너지액티브'!B56</f>
        <v>씨에스베어링</v>
      </c>
      <c r="C50" s="65">
        <f>VLOOKUP(B50,'KODEX 신재생에너지액티브'!$B$11:$E$1000,4,0)</f>
        <v>0.33</v>
      </c>
      <c r="D50" s="65">
        <f>IFERROR(VLOOKUP(B50,'KODEX 신재생에너지액티브(과거)'!$B$11:$E$1000,4,0),0)</f>
        <v>0.36</v>
      </c>
      <c r="E50" s="20">
        <f t="shared" si="0"/>
        <v>-2.9999999999999971E-2</v>
      </c>
      <c r="F50" s="21">
        <f t="shared" si="1"/>
        <v>-8.3333333333333259E-2</v>
      </c>
      <c r="H50" s="65"/>
      <c r="I50" s="65"/>
      <c r="J50" s="65"/>
      <c r="K50" s="20"/>
      <c r="L50" s="21"/>
      <c r="N50" s="26"/>
      <c r="O50" s="26"/>
      <c r="P50" s="26"/>
      <c r="Q50" s="20"/>
      <c r="R50" s="21"/>
    </row>
    <row r="51" spans="1:18" x14ac:dyDescent="0.4">
      <c r="A51" s="63" t="str">
        <f>VLOOKUP(B51,유니버스!$C$14:$D$2561,2,0)</f>
        <v>KS</v>
      </c>
      <c r="B51" s="65" t="str">
        <f>'KODEX 신재생에너지액티브'!B57</f>
        <v>DI동일</v>
      </c>
      <c r="C51" s="65">
        <f>VLOOKUP(B51,'KODEX 신재생에너지액티브'!$B$11:$E$1000,4,0)</f>
        <v>0.31</v>
      </c>
      <c r="D51" s="65">
        <f>IFERROR(VLOOKUP(B51,'KODEX 신재생에너지액티브(과거)'!$B$11:$E$1000,4,0),0)</f>
        <v>0.3</v>
      </c>
      <c r="E51" s="20">
        <f t="shared" si="0"/>
        <v>1.0000000000000009E-2</v>
      </c>
      <c r="F51" s="21">
        <f t="shared" si="1"/>
        <v>3.3333333333333437E-2</v>
      </c>
      <c r="H51" s="65"/>
      <c r="I51" s="65"/>
      <c r="J51" s="65"/>
      <c r="K51" s="20"/>
      <c r="L51" s="21"/>
      <c r="N51" s="26"/>
      <c r="O51" s="26"/>
      <c r="P51" s="26"/>
      <c r="Q51" s="20"/>
      <c r="R51" s="21"/>
    </row>
    <row r="52" spans="1:18" x14ac:dyDescent="0.4">
      <c r="A52" s="63" t="str">
        <f>VLOOKUP(B52,유니버스!$C$14:$D$2561,2,0)</f>
        <v>KS</v>
      </c>
      <c r="B52" s="65" t="str">
        <f>'KODEX 신재생에너지액티브'!B58</f>
        <v>두산퓨얼셀</v>
      </c>
      <c r="C52" s="65">
        <f>VLOOKUP(B52,'KODEX 신재생에너지액티브'!$B$11:$E$1000,4,0)</f>
        <v>0.2</v>
      </c>
      <c r="D52" s="65">
        <f>IFERROR(VLOOKUP(B52,'KODEX 신재생에너지액티브(과거)'!$B$11:$E$1000,4,0),0)</f>
        <v>0.2</v>
      </c>
      <c r="E52" s="20">
        <f t="shared" si="0"/>
        <v>0</v>
      </c>
      <c r="F52" s="21">
        <f t="shared" si="1"/>
        <v>0</v>
      </c>
      <c r="H52" s="65"/>
      <c r="I52" s="65"/>
      <c r="J52" s="65"/>
      <c r="K52" s="20"/>
      <c r="L52" s="21"/>
      <c r="N52" s="26"/>
      <c r="O52" s="26"/>
      <c r="P52" s="26"/>
      <c r="Q52" s="20"/>
      <c r="R52" s="21"/>
    </row>
    <row r="53" spans="1:18" x14ac:dyDescent="0.4">
      <c r="A53" s="63" t="str">
        <f>VLOOKUP(B53,유니버스!$C$14:$D$2561,2,0)</f>
        <v>KQ</v>
      </c>
      <c r="B53" s="65" t="str">
        <f>'KODEX 신재생에너지액티브'!B59</f>
        <v>우양에이치씨</v>
      </c>
      <c r="C53" s="65">
        <f>VLOOKUP(B53,'KODEX 신재생에너지액티브'!$B$11:$E$1000,4,0)</f>
        <v>0.17</v>
      </c>
      <c r="D53" s="65">
        <f>IFERROR(VLOOKUP(B53,'KODEX 신재생에너지액티브(과거)'!$B$11:$E$1000,4,0),0)</f>
        <v>0.18</v>
      </c>
      <c r="E53" s="20">
        <f t="shared" si="0"/>
        <v>-9.9999999999999811E-3</v>
      </c>
      <c r="F53" s="21">
        <f t="shared" si="1"/>
        <v>-5.5555555555555469E-2</v>
      </c>
      <c r="H53" s="65"/>
      <c r="I53" s="65"/>
      <c r="J53" s="65"/>
      <c r="K53" s="20"/>
      <c r="L53" s="21"/>
      <c r="N53" s="26"/>
      <c r="O53" s="26"/>
      <c r="P53" s="26"/>
      <c r="Q53" s="20"/>
      <c r="R53" s="21"/>
    </row>
    <row r="54" spans="1:18" x14ac:dyDescent="0.4">
      <c r="A54" s="63" t="str">
        <f>VLOOKUP(B54,유니버스!$C$14:$D$2561,2,0)</f>
        <v>KQ</v>
      </c>
      <c r="B54" s="65" t="str">
        <f>'KODEX 신재생에너지액티브'!B60</f>
        <v>유니슨</v>
      </c>
      <c r="C54" s="65">
        <f>VLOOKUP(B54,'KODEX 신재생에너지액티브'!$B$11:$E$1000,4,0)</f>
        <v>0.15</v>
      </c>
      <c r="D54" s="65">
        <f>IFERROR(VLOOKUP(B54,'KODEX 신재생에너지액티브(과거)'!$B$11:$E$1000,4,0),0)</f>
        <v>0.15</v>
      </c>
      <c r="E54" s="20">
        <f t="shared" si="0"/>
        <v>0</v>
      </c>
      <c r="F54" s="21">
        <f t="shared" si="1"/>
        <v>0</v>
      </c>
      <c r="H54" s="65"/>
      <c r="I54" s="65"/>
      <c r="J54" s="65"/>
      <c r="K54" s="20"/>
      <c r="L54" s="21"/>
      <c r="N54" s="26"/>
      <c r="O54" s="26"/>
      <c r="P54" s="26"/>
      <c r="Q54" s="20"/>
      <c r="R54" s="21"/>
    </row>
    <row r="55" spans="1:18" x14ac:dyDescent="0.4">
      <c r="A55" s="63" t="str">
        <f>VLOOKUP(B55,유니버스!$C$14:$D$2561,2,0)</f>
        <v>KQ</v>
      </c>
      <c r="B55" s="65" t="str">
        <f>'KODEX 신재생에너지액티브'!B61</f>
        <v>주성엔지니어링</v>
      </c>
      <c r="C55" s="65">
        <f>VLOOKUP(B55,'KODEX 신재생에너지액티브'!$B$11:$E$1000,4,0)</f>
        <v>0.14000000000000001</v>
      </c>
      <c r="D55" s="65">
        <f>IFERROR(VLOOKUP(B55,'KODEX 신재생에너지액티브(과거)'!$B$11:$E$1000,4,0),0)</f>
        <v>0.11</v>
      </c>
      <c r="E55" s="20">
        <f t="shared" si="0"/>
        <v>3.0000000000000013E-2</v>
      </c>
      <c r="F55" s="21">
        <f t="shared" si="1"/>
        <v>0.27272727272727293</v>
      </c>
      <c r="H55" s="65"/>
      <c r="I55" s="65"/>
      <c r="J55" s="65"/>
      <c r="K55" s="20"/>
      <c r="L55" s="21"/>
      <c r="N55" s="26"/>
      <c r="O55" s="26"/>
      <c r="P55" s="26"/>
      <c r="Q55" s="20"/>
      <c r="R55" s="21"/>
    </row>
    <row r="56" spans="1:18" x14ac:dyDescent="0.4">
      <c r="A56" s="63" t="str">
        <f>VLOOKUP(B56,유니버스!$C$14:$D$2561,2,0)</f>
        <v>KS</v>
      </c>
      <c r="B56" s="65" t="str">
        <f>'KODEX 신재생에너지액티브'!B62</f>
        <v>두산에너빌리티</v>
      </c>
      <c r="C56" s="65">
        <f>VLOOKUP(B56,'KODEX 신재생에너지액티브'!$B$11:$E$1000,4,0)</f>
        <v>0.13</v>
      </c>
      <c r="D56" s="65">
        <f>IFERROR(VLOOKUP(B56,'KODEX 신재생에너지액티브(과거)'!$B$11:$E$1000,4,0),0)</f>
        <v>0.14000000000000001</v>
      </c>
      <c r="E56" s="20">
        <f t="shared" si="0"/>
        <v>-1.0000000000000009E-2</v>
      </c>
      <c r="F56" s="21">
        <f t="shared" si="1"/>
        <v>-7.1428571428571508E-2</v>
      </c>
      <c r="H56" s="65"/>
      <c r="I56" s="65"/>
      <c r="J56" s="65"/>
      <c r="K56" s="20"/>
      <c r="L56" s="21"/>
      <c r="N56" s="26"/>
      <c r="O56" s="26"/>
      <c r="P56" s="26"/>
      <c r="Q56" s="20"/>
      <c r="R56" s="21"/>
    </row>
    <row r="57" spans="1:18" x14ac:dyDescent="0.4">
      <c r="A57" s="63" t="str">
        <f>VLOOKUP(B57,유니버스!$C$14:$D$2561,2,0)</f>
        <v>KS</v>
      </c>
      <c r="B57" s="65" t="str">
        <f>'KODEX 신재생에너지액티브'!B63</f>
        <v>현대차</v>
      </c>
      <c r="C57" s="65">
        <f>VLOOKUP(B57,'KODEX 신재생에너지액티브'!$B$11:$E$1000,4,0)</f>
        <v>0.13</v>
      </c>
      <c r="D57" s="65">
        <f>IFERROR(VLOOKUP(B57,'KODEX 신재생에너지액티브(과거)'!$B$11:$E$1000,4,0),0)</f>
        <v>0.13</v>
      </c>
      <c r="E57" s="20">
        <f t="shared" si="0"/>
        <v>0</v>
      </c>
      <c r="F57" s="21">
        <f t="shared" si="1"/>
        <v>0</v>
      </c>
      <c r="H57" s="65"/>
      <c r="I57" s="65"/>
      <c r="J57" s="65"/>
      <c r="K57" s="20"/>
      <c r="L57" s="21"/>
      <c r="N57" s="26"/>
      <c r="O57" s="26"/>
      <c r="P57" s="26"/>
      <c r="Q57" s="20"/>
      <c r="R57" s="21"/>
    </row>
    <row r="58" spans="1:18" x14ac:dyDescent="0.4">
      <c r="A58" s="63" t="str">
        <f>VLOOKUP(B58,유니버스!$C$14:$D$2561,2,0)</f>
        <v>KS</v>
      </c>
      <c r="B58" s="65" t="str">
        <f>'KODEX 신재생에너지액티브'!B64</f>
        <v>LS에코에너지</v>
      </c>
      <c r="C58" s="65">
        <f>VLOOKUP(B58,'KODEX 신재생에너지액티브'!$B$11:$E$1000,4,0)</f>
        <v>0.12</v>
      </c>
      <c r="D58" s="65">
        <f>IFERROR(VLOOKUP(B58,'KODEX 신재생에너지액티브(과거)'!$B$11:$E$1000,4,0),0)</f>
        <v>0.11</v>
      </c>
      <c r="E58" s="20">
        <f t="shared" si="0"/>
        <v>9.999999999999995E-3</v>
      </c>
      <c r="F58" s="21">
        <f t="shared" si="1"/>
        <v>9.0909090909090828E-2</v>
      </c>
      <c r="H58" s="65"/>
      <c r="I58" s="65"/>
      <c r="J58" s="65"/>
      <c r="K58" s="20"/>
      <c r="L58" s="21"/>
      <c r="N58" s="26"/>
      <c r="O58" s="26"/>
      <c r="P58" s="26"/>
      <c r="Q58" s="20"/>
      <c r="R58" s="21"/>
    </row>
    <row r="59" spans="1:18" x14ac:dyDescent="0.4">
      <c r="A59" s="63" t="str">
        <f>VLOOKUP(B59,유니버스!$C$14:$D$2561,2,0)</f>
        <v>KS</v>
      </c>
      <c r="B59" s="65" t="str">
        <f>'KODEX 신재생에너지액티브'!B65</f>
        <v>현대모비스</v>
      </c>
      <c r="C59" s="65">
        <f>VLOOKUP(B59,'KODEX 신재생에너지액티브'!$B$11:$E$1000,4,0)</f>
        <v>0.1</v>
      </c>
      <c r="D59" s="65">
        <f>IFERROR(VLOOKUP(B59,'KODEX 신재생에너지액티브(과거)'!$B$11:$E$1000,4,0),0)</f>
        <v>0.1</v>
      </c>
      <c r="E59" s="20">
        <f t="shared" si="0"/>
        <v>0</v>
      </c>
      <c r="F59" s="21">
        <f t="shared" si="1"/>
        <v>0</v>
      </c>
      <c r="H59" s="65"/>
      <c r="I59" s="65"/>
      <c r="J59" s="65"/>
      <c r="K59" s="20"/>
      <c r="L59" s="21"/>
      <c r="N59" s="26"/>
      <c r="O59" s="26"/>
      <c r="P59" s="26"/>
      <c r="Q59" s="20"/>
      <c r="R59" s="21"/>
    </row>
    <row r="60" spans="1:18" x14ac:dyDescent="0.4">
      <c r="A60" s="63" t="str">
        <f>VLOOKUP(B60,유니버스!$C$14:$D$2561,2,0)</f>
        <v>KQ</v>
      </c>
      <c r="B60" s="65" t="str">
        <f>'KODEX 신재생에너지액티브'!B66</f>
        <v>덕산네오룩스</v>
      </c>
      <c r="C60" s="65">
        <f>VLOOKUP(B60,'KODEX 신재생에너지액티브'!$B$11:$E$1000,4,0)</f>
        <v>0.1</v>
      </c>
      <c r="D60" s="65">
        <f>IFERROR(VLOOKUP(B60,'KODEX 신재생에너지액티브(과거)'!$B$11:$E$1000,4,0),0)</f>
        <v>0.11</v>
      </c>
      <c r="E60" s="20">
        <f t="shared" si="0"/>
        <v>-9.999999999999995E-3</v>
      </c>
      <c r="F60" s="21">
        <f t="shared" si="1"/>
        <v>-9.0909090909090828E-2</v>
      </c>
      <c r="H60" s="65"/>
      <c r="I60" s="65"/>
      <c r="J60" s="65"/>
      <c r="K60" s="20"/>
      <c r="L60" s="21"/>
      <c r="N60" s="26"/>
      <c r="O60" s="26"/>
      <c r="P60" s="26"/>
      <c r="Q60" s="20"/>
      <c r="R60" s="21"/>
    </row>
    <row r="61" spans="1:18" x14ac:dyDescent="0.4">
      <c r="A61" s="63" t="str">
        <f>VLOOKUP(B61,유니버스!$C$14:$D$2561,2,0)</f>
        <v>KS</v>
      </c>
      <c r="B61" s="65" t="str">
        <f>'KODEX 신재생에너지액티브'!B67</f>
        <v>POSCO홀딩스</v>
      </c>
      <c r="C61" s="65">
        <f>VLOOKUP(B61,'KODEX 신재생에너지액티브'!$B$11:$E$1000,4,0)</f>
        <v>0.1</v>
      </c>
      <c r="D61" s="65">
        <f>IFERROR(VLOOKUP(B61,'KODEX 신재생에너지액티브(과거)'!$B$11:$E$1000,4,0),0)</f>
        <v>0.11</v>
      </c>
      <c r="E61" s="20">
        <f t="shared" si="0"/>
        <v>-9.999999999999995E-3</v>
      </c>
      <c r="F61" s="21">
        <f t="shared" si="1"/>
        <v>-9.0909090909090828E-2</v>
      </c>
      <c r="H61" s="65"/>
      <c r="I61" s="65"/>
      <c r="J61" s="65"/>
      <c r="K61" s="20"/>
      <c r="L61" s="21"/>
      <c r="N61" s="26"/>
      <c r="O61" s="26"/>
      <c r="P61" s="26"/>
      <c r="Q61" s="20"/>
      <c r="R61" s="21"/>
    </row>
    <row r="62" spans="1:18" x14ac:dyDescent="0.4">
      <c r="A62" s="63" t="str">
        <f>VLOOKUP(B62,유니버스!$C$14:$D$2561,2,0)</f>
        <v>KS</v>
      </c>
      <c r="B62" s="65" t="str">
        <f>'KODEX 신재생에너지액티브'!B68</f>
        <v>SK이노베이션</v>
      </c>
      <c r="C62" s="65">
        <f>VLOOKUP(B62,'KODEX 신재생에너지액티브'!$B$11:$E$1000,4,0)</f>
        <v>0.1</v>
      </c>
      <c r="D62" s="65">
        <f>IFERROR(VLOOKUP(B62,'KODEX 신재생에너지액티브(과거)'!$B$11:$E$1000,4,0),0)</f>
        <v>0.1</v>
      </c>
      <c r="E62" s="20">
        <f t="shared" si="0"/>
        <v>0</v>
      </c>
      <c r="F62" s="21">
        <f t="shared" si="1"/>
        <v>0</v>
      </c>
      <c r="H62" s="65"/>
      <c r="I62" s="65"/>
      <c r="J62" s="65"/>
      <c r="K62" s="20"/>
      <c r="L62" s="21"/>
      <c r="N62" s="26"/>
      <c r="O62" s="26"/>
      <c r="P62" s="26"/>
      <c r="Q62" s="20"/>
      <c r="R62" s="21"/>
    </row>
    <row r="63" spans="1:18" x14ac:dyDescent="0.4">
      <c r="A63" s="63" t="str">
        <f>VLOOKUP(B63,유니버스!$C$14:$D$2561,2,0)</f>
        <v>KS</v>
      </c>
      <c r="B63" s="65" t="str">
        <f>'KODEX 신재생에너지액티브'!B69</f>
        <v>LG전자</v>
      </c>
      <c r="C63" s="65">
        <f>VLOOKUP(B63,'KODEX 신재생에너지액티브'!$B$11:$E$1000,4,0)</f>
        <v>0.09</v>
      </c>
      <c r="D63" s="65">
        <f>IFERROR(VLOOKUP(B63,'KODEX 신재생에너지액티브(과거)'!$B$11:$E$1000,4,0),0)</f>
        <v>0.09</v>
      </c>
      <c r="E63" s="20">
        <f t="shared" si="0"/>
        <v>0</v>
      </c>
      <c r="F63" s="21">
        <f t="shared" si="1"/>
        <v>0</v>
      </c>
      <c r="H63" s="65"/>
      <c r="I63" s="65"/>
      <c r="J63" s="65"/>
      <c r="K63" s="20"/>
      <c r="L63" s="21"/>
      <c r="N63" s="26"/>
      <c r="O63" s="26"/>
      <c r="P63" s="26"/>
      <c r="Q63" s="20"/>
      <c r="R63" s="21"/>
    </row>
    <row r="64" spans="1:18" x14ac:dyDescent="0.4">
      <c r="A64" s="63" t="str">
        <f>VLOOKUP(B64,유니버스!$C$14:$D$2561,2,0)</f>
        <v>KQ</v>
      </c>
      <c r="B64" s="65" t="str">
        <f>'KODEX 신재생에너지액티브'!B70</f>
        <v>에어레인</v>
      </c>
      <c r="C64" s="65">
        <f>VLOOKUP(B64,'KODEX 신재생에너지액티브'!$B$11:$E$1000,4,0)</f>
        <v>0.08</v>
      </c>
      <c r="D64" s="65">
        <f>IFERROR(VLOOKUP(B64,'KODEX 신재생에너지액티브(과거)'!$B$11:$E$1000,4,0),0)</f>
        <v>0.09</v>
      </c>
      <c r="E64" s="20">
        <f t="shared" si="0"/>
        <v>-9.999999999999995E-3</v>
      </c>
      <c r="F64" s="21">
        <f t="shared" si="1"/>
        <v>-0.11111111111111105</v>
      </c>
      <c r="H64" s="65"/>
      <c r="I64" s="65"/>
      <c r="J64" s="65"/>
      <c r="K64" s="20"/>
      <c r="L64" s="21"/>
      <c r="N64" s="26"/>
      <c r="O64" s="26"/>
      <c r="P64" s="26"/>
      <c r="Q64" s="20"/>
      <c r="R64" s="21"/>
    </row>
    <row r="65" spans="1:18" x14ac:dyDescent="0.4">
      <c r="A65" s="63" t="str">
        <f>VLOOKUP(B65,유니버스!$C$14:$D$2561,2,0)</f>
        <v>KQ</v>
      </c>
      <c r="B65" s="65" t="str">
        <f>'KODEX 신재생에너지액티브'!B71</f>
        <v>제일일렉트릭</v>
      </c>
      <c r="C65" s="65">
        <f>VLOOKUP(B65,'KODEX 신재생에너지액티브'!$B$11:$E$1000,4,0)</f>
        <v>0.08</v>
      </c>
      <c r="D65" s="65">
        <f>IFERROR(VLOOKUP(B65,'KODEX 신재생에너지액티브(과거)'!$B$11:$E$1000,4,0),0)</f>
        <v>0.08</v>
      </c>
      <c r="E65" s="20">
        <f t="shared" si="0"/>
        <v>0</v>
      </c>
      <c r="F65" s="21">
        <f t="shared" si="1"/>
        <v>0</v>
      </c>
      <c r="H65" s="65"/>
      <c r="I65" s="65"/>
      <c r="J65" s="65"/>
      <c r="K65" s="20"/>
      <c r="L65" s="21"/>
      <c r="N65" s="26"/>
      <c r="O65" s="26"/>
      <c r="P65" s="26"/>
      <c r="Q65" s="20"/>
      <c r="R65" s="21"/>
    </row>
    <row r="66" spans="1:18" x14ac:dyDescent="0.4">
      <c r="A66" s="63" t="str">
        <f>VLOOKUP(B66,유니버스!$C$14:$D$2561,2,0)</f>
        <v>KS</v>
      </c>
      <c r="B66" s="65" t="str">
        <f>'KODEX 신재생에너지액티브'!B72</f>
        <v>삼성E&amp;A</v>
      </c>
      <c r="C66" s="65">
        <f>VLOOKUP(B66,'KODEX 신재생에너지액티브'!$B$11:$E$1000,4,0)</f>
        <v>7.0000000000000007E-2</v>
      </c>
      <c r="D66" s="65">
        <f>IFERROR(VLOOKUP(B66,'KODEX 신재생에너지액티브(과거)'!$B$11:$E$1000,4,0),0)</f>
        <v>7.0000000000000007E-2</v>
      </c>
      <c r="E66" s="20">
        <f t="shared" si="0"/>
        <v>0</v>
      </c>
      <c r="F66" s="21">
        <f t="shared" si="1"/>
        <v>0</v>
      </c>
      <c r="H66" s="65"/>
      <c r="I66" s="65"/>
      <c r="J66" s="65"/>
      <c r="K66" s="20"/>
      <c r="L66" s="21"/>
      <c r="N66" s="26"/>
      <c r="O66" s="26"/>
      <c r="P66" s="26"/>
      <c r="Q66" s="20"/>
      <c r="R66" s="21"/>
    </row>
    <row r="67" spans="1:18" x14ac:dyDescent="0.4">
      <c r="A67" s="63" t="str">
        <f>VLOOKUP(B67,유니버스!$C$14:$D$2561,2,0)</f>
        <v>KS</v>
      </c>
      <c r="B67" s="65" t="str">
        <f>'KODEX 신재생에너지액티브'!B73</f>
        <v>한솔케미칼</v>
      </c>
      <c r="C67" s="65">
        <f>VLOOKUP(B67,'KODEX 신재생에너지액티브'!$B$11:$E$1000,4,0)</f>
        <v>7.0000000000000007E-2</v>
      </c>
      <c r="D67" s="65">
        <f>IFERROR(VLOOKUP(B67,'KODEX 신재생에너지액티브(과거)'!$B$11:$E$1000,4,0),0)</f>
        <v>7.0000000000000007E-2</v>
      </c>
      <c r="E67" s="20">
        <f t="shared" si="0"/>
        <v>0</v>
      </c>
      <c r="F67" s="21">
        <f t="shared" si="1"/>
        <v>0</v>
      </c>
      <c r="H67" s="65"/>
      <c r="I67" s="65"/>
      <c r="J67" s="65"/>
      <c r="K67" s="20"/>
      <c r="L67" s="21"/>
      <c r="N67" s="26"/>
      <c r="O67" s="26"/>
      <c r="P67" s="26"/>
      <c r="Q67" s="20"/>
      <c r="R67" s="21"/>
    </row>
    <row r="68" spans="1:18" x14ac:dyDescent="0.4">
      <c r="A68" s="63" t="str">
        <f>VLOOKUP(B68,유니버스!$C$14:$D$2561,2,0)</f>
        <v>KS</v>
      </c>
      <c r="B68" s="65" t="str">
        <f>'KODEX 신재생에너지액티브'!B74</f>
        <v>S-Oil</v>
      </c>
      <c r="C68" s="65">
        <f>VLOOKUP(B68,'KODEX 신재생에너지액티브'!$B$11:$E$1000,4,0)</f>
        <v>7.0000000000000007E-2</v>
      </c>
      <c r="D68" s="65">
        <f>IFERROR(VLOOKUP(B68,'KODEX 신재생에너지액티브(과거)'!$B$11:$E$1000,4,0),0)</f>
        <v>7.0000000000000007E-2</v>
      </c>
      <c r="E68" s="20">
        <f t="shared" ref="E68:E82" si="8">C68-D68</f>
        <v>0</v>
      </c>
      <c r="F68" s="21">
        <f t="shared" ref="F68:F82" si="9">IFERROR(C68/D68-1,"신규편입")</f>
        <v>0</v>
      </c>
      <c r="H68" s="65"/>
      <c r="I68" s="65"/>
      <c r="J68" s="65"/>
      <c r="K68" s="20"/>
      <c r="L68" s="21"/>
      <c r="N68" s="26"/>
      <c r="O68" s="26"/>
      <c r="P68" s="26"/>
      <c r="Q68" s="20"/>
      <c r="R68" s="21"/>
    </row>
    <row r="69" spans="1:18" x14ac:dyDescent="0.4">
      <c r="A69" s="63" t="str">
        <f>VLOOKUP(B69,유니버스!$C$14:$D$2561,2,0)</f>
        <v>KS</v>
      </c>
      <c r="B69" s="65" t="str">
        <f>'KODEX 신재생에너지액티브'!B75</f>
        <v>기아</v>
      </c>
      <c r="C69" s="65">
        <f>VLOOKUP(B69,'KODEX 신재생에너지액티브'!$B$11:$E$1000,4,0)</f>
        <v>7.0000000000000007E-2</v>
      </c>
      <c r="D69" s="65">
        <f>IFERROR(VLOOKUP(B69,'KODEX 신재생에너지액티브(과거)'!$B$11:$E$1000,4,0),0)</f>
        <v>0.06</v>
      </c>
      <c r="E69" s="20">
        <f t="shared" si="8"/>
        <v>1.0000000000000009E-2</v>
      </c>
      <c r="F69" s="21">
        <f t="shared" si="9"/>
        <v>0.16666666666666674</v>
      </c>
      <c r="H69" s="65"/>
      <c r="I69" s="65"/>
      <c r="J69" s="65"/>
      <c r="K69" s="20"/>
      <c r="L69" s="21"/>
      <c r="N69" s="26"/>
      <c r="O69" s="26"/>
      <c r="P69" s="26"/>
      <c r="Q69" s="20"/>
      <c r="R69" s="21"/>
    </row>
    <row r="70" spans="1:18" x14ac:dyDescent="0.4">
      <c r="A70" s="63" t="str">
        <f>VLOOKUP(B70,유니버스!$C$14:$D$2561,2,0)</f>
        <v>KS</v>
      </c>
      <c r="B70" s="65" t="str">
        <f>'KODEX 신재생에너지액티브'!B76</f>
        <v>고려아연</v>
      </c>
      <c r="C70" s="65">
        <f>VLOOKUP(B70,'KODEX 신재생에너지액티브'!$B$11:$E$1000,4,0)</f>
        <v>0.05</v>
      </c>
      <c r="D70" s="65">
        <f>IFERROR(VLOOKUP(B70,'KODEX 신재생에너지액티브(과거)'!$B$11:$E$1000,4,0),0)</f>
        <v>0.05</v>
      </c>
      <c r="E70" s="20">
        <f t="shared" si="8"/>
        <v>0</v>
      </c>
      <c r="F70" s="21">
        <f t="shared" si="9"/>
        <v>0</v>
      </c>
      <c r="H70" s="65"/>
      <c r="I70" s="65"/>
      <c r="J70" s="65"/>
      <c r="K70" s="20"/>
      <c r="L70" s="21"/>
      <c r="N70" s="26"/>
      <c r="O70" s="26"/>
      <c r="P70" s="26"/>
      <c r="Q70" s="20"/>
      <c r="R70" s="21"/>
    </row>
    <row r="71" spans="1:18" x14ac:dyDescent="0.4">
      <c r="A71" s="63" t="str">
        <f>VLOOKUP(B71,유니버스!$C$14:$D$2561,2,0)</f>
        <v>KS</v>
      </c>
      <c r="B71" s="65" t="str">
        <f>'KODEX 신재생에너지액티브'!B77</f>
        <v>세아제강지주</v>
      </c>
      <c r="C71" s="65">
        <f>VLOOKUP(B71,'KODEX 신재생에너지액티브'!$B$11:$E$1000,4,0)</f>
        <v>0.05</v>
      </c>
      <c r="D71" s="65">
        <f>IFERROR(VLOOKUP(B71,'KODEX 신재생에너지액티브(과거)'!$B$11:$E$1000,4,0),0)</f>
        <v>0.05</v>
      </c>
      <c r="E71" s="20">
        <f t="shared" si="8"/>
        <v>0</v>
      </c>
      <c r="F71" s="21">
        <f t="shared" si="9"/>
        <v>0</v>
      </c>
      <c r="H71" s="65"/>
      <c r="I71" s="65"/>
      <c r="J71" s="65"/>
      <c r="K71" s="20"/>
      <c r="L71" s="21"/>
      <c r="N71" s="26"/>
      <c r="O71" s="26"/>
      <c r="P71" s="26"/>
      <c r="Q71" s="20"/>
      <c r="R71" s="21"/>
    </row>
    <row r="72" spans="1:18" x14ac:dyDescent="0.4">
      <c r="A72" s="63" t="str">
        <f>VLOOKUP(B72,유니버스!$C$14:$D$2561,2,0)</f>
        <v>KS</v>
      </c>
      <c r="B72" s="65" t="str">
        <f>'KODEX 신재생에너지액티브'!B78</f>
        <v>LG화학</v>
      </c>
      <c r="C72" s="65">
        <f>VLOOKUP(B72,'KODEX 신재생에너지액티브'!$B$11:$E$1000,4,0)</f>
        <v>0.04</v>
      </c>
      <c r="D72" s="65">
        <f>IFERROR(VLOOKUP(B72,'KODEX 신재생에너지액티브(과거)'!$B$11:$E$1000,4,0),0)</f>
        <v>0.04</v>
      </c>
      <c r="E72" s="20">
        <f t="shared" si="8"/>
        <v>0</v>
      </c>
      <c r="F72" s="21">
        <f t="shared" si="9"/>
        <v>0</v>
      </c>
      <c r="H72" s="65"/>
      <c r="I72" s="65"/>
      <c r="J72" s="65"/>
      <c r="K72" s="20"/>
      <c r="L72" s="21"/>
      <c r="N72" s="26"/>
      <c r="O72" s="26"/>
      <c r="P72" s="26"/>
      <c r="Q72" s="20"/>
      <c r="R72" s="21"/>
    </row>
    <row r="73" spans="1:18" x14ac:dyDescent="0.4">
      <c r="A73" s="63" t="str">
        <f>VLOOKUP(B73,유니버스!$C$14:$D$2561,2,0)</f>
        <v>KS</v>
      </c>
      <c r="B73" s="65" t="str">
        <f>'KODEX 신재생에너지액티브'!B79</f>
        <v>세아제강</v>
      </c>
      <c r="C73" s="65">
        <f>VLOOKUP(B73,'KODEX 신재생에너지액티브'!$B$11:$E$1000,4,0)</f>
        <v>0.04</v>
      </c>
      <c r="D73" s="65">
        <f>IFERROR(VLOOKUP(B73,'KODEX 신재생에너지액티브(과거)'!$B$11:$E$1000,4,0),0)</f>
        <v>0.04</v>
      </c>
      <c r="E73" s="20">
        <f t="shared" si="8"/>
        <v>0</v>
      </c>
      <c r="F73" s="21">
        <f t="shared" si="9"/>
        <v>0</v>
      </c>
      <c r="H73" s="65"/>
      <c r="I73" s="65"/>
      <c r="J73" s="65"/>
      <c r="K73" s="20"/>
      <c r="L73" s="21"/>
      <c r="N73" s="26"/>
      <c r="O73" s="26"/>
      <c r="P73" s="26"/>
      <c r="Q73" s="20"/>
      <c r="R73" s="21"/>
    </row>
    <row r="74" spans="1:18" x14ac:dyDescent="0.4">
      <c r="A74" s="63" t="str">
        <f>VLOOKUP(B74,유니버스!$C$14:$D$2561,2,0)</f>
        <v>KS</v>
      </c>
      <c r="B74" s="65" t="str">
        <f>'KODEX 신재생에너지액티브'!B80</f>
        <v>세진중공업</v>
      </c>
      <c r="C74" s="65">
        <f>VLOOKUP(B74,'KODEX 신재생에너지액티브'!$B$11:$E$1000,4,0)</f>
        <v>0.03</v>
      </c>
      <c r="D74" s="65">
        <f>IFERROR(VLOOKUP(B74,'KODEX 신재생에너지액티브(과거)'!$B$11:$E$1000,4,0),0)</f>
        <v>0.04</v>
      </c>
      <c r="E74" s="20">
        <f t="shared" si="8"/>
        <v>-1.0000000000000002E-2</v>
      </c>
      <c r="F74" s="21">
        <f t="shared" si="9"/>
        <v>-0.25</v>
      </c>
      <c r="H74" s="65"/>
      <c r="I74" s="65"/>
      <c r="J74" s="65"/>
      <c r="K74" s="20"/>
      <c r="L74" s="21"/>
      <c r="N74" s="26"/>
      <c r="O74" s="26"/>
      <c r="P74" s="26"/>
      <c r="Q74" s="20"/>
      <c r="R74" s="21"/>
    </row>
    <row r="75" spans="1:18" x14ac:dyDescent="0.4">
      <c r="A75" s="63" t="str">
        <f>VLOOKUP(B75,유니버스!$C$14:$D$2561,2,0)</f>
        <v>KS</v>
      </c>
      <c r="B75" s="65" t="str">
        <f>'KODEX 신재생에너지액티브'!B81</f>
        <v>현대건설</v>
      </c>
      <c r="C75" s="65">
        <f>VLOOKUP(B75,'KODEX 신재생에너지액티브'!$B$11:$E$1000,4,0)</f>
        <v>0.03</v>
      </c>
      <c r="D75" s="65">
        <f>IFERROR(VLOOKUP(B75,'KODEX 신재생에너지액티브(과거)'!$B$11:$E$1000,4,0),0)</f>
        <v>0.04</v>
      </c>
      <c r="E75" s="20">
        <f t="shared" si="8"/>
        <v>-1.0000000000000002E-2</v>
      </c>
      <c r="F75" s="21">
        <f t="shared" si="9"/>
        <v>-0.25</v>
      </c>
      <c r="H75" s="65"/>
      <c r="I75" s="65"/>
      <c r="J75" s="65"/>
      <c r="K75" s="20"/>
      <c r="L75" s="21"/>
      <c r="N75" s="26"/>
      <c r="O75" s="26"/>
      <c r="P75" s="26"/>
      <c r="Q75" s="20"/>
      <c r="R75" s="21"/>
    </row>
    <row r="76" spans="1:18" x14ac:dyDescent="0.4">
      <c r="A76" s="63" t="str">
        <f>VLOOKUP(B76,유니버스!$C$14:$D$2561,2,0)</f>
        <v>KS</v>
      </c>
      <c r="B76" s="65" t="str">
        <f>'KODEX 신재생에너지액티브'!B82</f>
        <v>한전기술</v>
      </c>
      <c r="C76" s="65">
        <f>VLOOKUP(B76,'KODEX 신재생에너지액티브'!$B$11:$E$1000,4,0)</f>
        <v>0.03</v>
      </c>
      <c r="D76" s="65">
        <f>IFERROR(VLOOKUP(B76,'KODEX 신재생에너지액티브(과거)'!$B$11:$E$1000,4,0),0)</f>
        <v>0.03</v>
      </c>
      <c r="E76" s="20">
        <f t="shared" si="8"/>
        <v>0</v>
      </c>
      <c r="F76" s="21">
        <f t="shared" si="9"/>
        <v>0</v>
      </c>
      <c r="H76" s="65"/>
      <c r="I76" s="65"/>
      <c r="J76" s="65"/>
      <c r="K76" s="20"/>
      <c r="L76" s="21"/>
      <c r="N76" s="26"/>
      <c r="O76" s="26"/>
      <c r="P76" s="26"/>
      <c r="Q76" s="20"/>
      <c r="R76" s="21"/>
    </row>
    <row r="77" spans="1:18" x14ac:dyDescent="0.4">
      <c r="A77" s="63" t="str">
        <f>VLOOKUP(B77,유니버스!$C$14:$D$2561,2,0)</f>
        <v>KS</v>
      </c>
      <c r="B77" s="65" t="str">
        <f>'KODEX 신재생에너지액티브'!B83</f>
        <v>한전KPS</v>
      </c>
      <c r="C77" s="65">
        <f>VLOOKUP(B77,'KODEX 신재생에너지액티브'!$B$11:$E$1000,4,0)</f>
        <v>0.03</v>
      </c>
      <c r="D77" s="65">
        <f>IFERROR(VLOOKUP(B77,'KODEX 신재생에너지액티브(과거)'!$B$11:$E$1000,4,0),0)</f>
        <v>0.03</v>
      </c>
      <c r="E77" s="20">
        <f t="shared" si="8"/>
        <v>0</v>
      </c>
      <c r="F77" s="21">
        <f t="shared" si="9"/>
        <v>0</v>
      </c>
      <c r="H77" s="65"/>
      <c r="I77" s="65"/>
      <c r="J77" s="65"/>
      <c r="K77" s="20"/>
      <c r="L77" s="21"/>
      <c r="N77" s="26"/>
      <c r="O77" s="26"/>
      <c r="P77" s="26"/>
      <c r="Q77" s="20"/>
      <c r="R77" s="21"/>
    </row>
    <row r="78" spans="1:18" x14ac:dyDescent="0.4">
      <c r="A78" s="63" t="str">
        <f>VLOOKUP(B78,유니버스!$C$14:$D$2561,2,0)</f>
        <v>KS</v>
      </c>
      <c r="B78" s="65" t="str">
        <f>'KODEX 신재생에너지액티브'!B84</f>
        <v>휴스틸</v>
      </c>
      <c r="C78" s="65">
        <f>VLOOKUP(B78,'KODEX 신재생에너지액티브'!$B$11:$E$1000,4,0)</f>
        <v>0.03</v>
      </c>
      <c r="D78" s="65">
        <f>IFERROR(VLOOKUP(B78,'KODEX 신재생에너지액티브(과거)'!$B$11:$E$1000,4,0),0)</f>
        <v>0.03</v>
      </c>
      <c r="E78" s="20">
        <f t="shared" si="8"/>
        <v>0</v>
      </c>
      <c r="F78" s="21">
        <f t="shared" si="9"/>
        <v>0</v>
      </c>
      <c r="H78" s="65"/>
      <c r="I78" s="65"/>
      <c r="J78" s="65"/>
      <c r="K78" s="20"/>
      <c r="L78" s="21"/>
      <c r="N78" s="26"/>
      <c r="O78" s="26"/>
      <c r="P78" s="26"/>
      <c r="Q78" s="20"/>
      <c r="R78" s="21"/>
    </row>
    <row r="79" spans="1:18" x14ac:dyDescent="0.4">
      <c r="A79" s="63" t="str">
        <f>VLOOKUP(B79,유니버스!$C$14:$D$2561,2,0)</f>
        <v>KS</v>
      </c>
      <c r="B79" s="65" t="str">
        <f>'KODEX 신재생에너지액티브'!B85</f>
        <v>한온시스템</v>
      </c>
      <c r="C79" s="65">
        <f>VLOOKUP(B79,'KODEX 신재생에너지액티브'!$B$11:$E$1000,4,0)</f>
        <v>0.03</v>
      </c>
      <c r="D79" s="65">
        <f>IFERROR(VLOOKUP(B79,'KODEX 신재생에너지액티브(과거)'!$B$11:$E$1000,4,0),0)</f>
        <v>0.03</v>
      </c>
      <c r="E79" s="20">
        <f t="shared" si="8"/>
        <v>0</v>
      </c>
      <c r="F79" s="21">
        <f t="shared" si="9"/>
        <v>0</v>
      </c>
      <c r="H79" s="65"/>
      <c r="I79" s="65"/>
      <c r="J79" s="65"/>
      <c r="K79" s="20"/>
      <c r="L79" s="21"/>
      <c r="N79" s="26"/>
      <c r="O79" s="26"/>
      <c r="P79" s="26"/>
      <c r="Q79" s="20"/>
      <c r="R79" s="21"/>
    </row>
    <row r="80" spans="1:18" x14ac:dyDescent="0.4">
      <c r="A80" s="63" t="str">
        <f>VLOOKUP(B80,유니버스!$C$14:$D$2561,2,0)</f>
        <v>KS</v>
      </c>
      <c r="B80" s="65" t="str">
        <f>'KODEX 신재생에너지액티브'!B86</f>
        <v>넥스틸</v>
      </c>
      <c r="C80" s="65">
        <f>VLOOKUP(B80,'KODEX 신재생에너지액티브'!$B$11:$E$1000,4,0)</f>
        <v>0.03</v>
      </c>
      <c r="D80" s="65">
        <f>IFERROR(VLOOKUP(B80,'KODEX 신재생에너지액티브(과거)'!$B$11:$E$1000,4,0),0)</f>
        <v>0.03</v>
      </c>
      <c r="E80" s="20">
        <f t="shared" si="8"/>
        <v>0</v>
      </c>
      <c r="F80" s="21">
        <f t="shared" si="9"/>
        <v>0</v>
      </c>
      <c r="H80" s="65"/>
      <c r="I80" s="65"/>
      <c r="J80" s="65"/>
      <c r="K80" s="20"/>
      <c r="L80" s="21"/>
      <c r="N80" s="26"/>
      <c r="O80" s="26"/>
      <c r="P80" s="26"/>
      <c r="Q80" s="20"/>
      <c r="R80" s="21"/>
    </row>
    <row r="81" spans="1:18" x14ac:dyDescent="0.4">
      <c r="A81" s="63" t="str">
        <f>VLOOKUP(B81,유니버스!$C$14:$D$2561,2,0)</f>
        <v>KS</v>
      </c>
      <c r="B81" s="65" t="str">
        <f>'KODEX 신재생에너지액티브'!B87</f>
        <v>코스모신소재</v>
      </c>
      <c r="C81" s="65">
        <f>VLOOKUP(B81,'KODEX 신재생에너지액티브'!$B$11:$E$1000,4,0)</f>
        <v>0.02</v>
      </c>
      <c r="D81" s="65">
        <f>IFERROR(VLOOKUP(B81,'KODEX 신재생에너지액티브(과거)'!$B$11:$E$1000,4,0),0)</f>
        <v>0.02</v>
      </c>
      <c r="E81" s="20">
        <f t="shared" si="8"/>
        <v>0</v>
      </c>
      <c r="F81" s="21">
        <f t="shared" si="9"/>
        <v>0</v>
      </c>
      <c r="H81" s="65"/>
      <c r="I81" s="65"/>
      <c r="J81" s="65"/>
      <c r="K81" s="20"/>
      <c r="L81" s="21"/>
      <c r="N81" s="26"/>
      <c r="O81" s="26"/>
      <c r="P81" s="26"/>
      <c r="Q81" s="20"/>
      <c r="R81" s="21"/>
    </row>
    <row r="82" spans="1:18" x14ac:dyDescent="0.4">
      <c r="A82" s="63" t="str">
        <f>VLOOKUP(B82,유니버스!$C$14:$D$2561,2,0)</f>
        <v>KS</v>
      </c>
      <c r="B82" s="65" t="str">
        <f>'KODEX 신재생에너지액티브'!B88</f>
        <v>한국전력</v>
      </c>
      <c r="C82" s="65">
        <f>VLOOKUP(B82,'KODEX 신재생에너지액티브'!$B$11:$E$1000,4,0)</f>
        <v>0.02</v>
      </c>
      <c r="D82" s="65">
        <f>IFERROR(VLOOKUP(B82,'KODEX 신재생에너지액티브(과거)'!$B$11:$E$1000,4,0),0)</f>
        <v>0.02</v>
      </c>
      <c r="E82" s="20">
        <f t="shared" si="8"/>
        <v>0</v>
      </c>
      <c r="F82" s="21">
        <f t="shared" si="9"/>
        <v>0</v>
      </c>
      <c r="H82" s="65"/>
      <c r="I82" s="65"/>
      <c r="J82" s="65"/>
      <c r="K82" s="20"/>
      <c r="L82" s="21"/>
      <c r="N82" s="26"/>
      <c r="O82" s="26"/>
      <c r="P82" s="26"/>
      <c r="Q82" s="20"/>
      <c r="R82" s="21"/>
    </row>
    <row r="83" spans="1:18" x14ac:dyDescent="0.4">
      <c r="A83" s="63" t="e">
        <f>VLOOKUP(B83,유니버스!$C$14:$D$2561,2,0)</f>
        <v>#N/A</v>
      </c>
      <c r="B83" s="65" t="str">
        <f>'KODEX 신재생에너지액티브'!B89</f>
        <v>원화현금</v>
      </c>
      <c r="C83" s="65">
        <f>VLOOKUP(B83,'KODEX 신재생에너지액티브'!$B$11:$E$1000,4,0)</f>
        <v>0.57999999999999996</v>
      </c>
      <c r="D83" s="65">
        <f>IFERROR(VLOOKUP(B83,'KODEX 신재생에너지액티브(과거)'!$B$11:$E$1000,4,0),0)</f>
        <v>0.92</v>
      </c>
      <c r="E83" s="20">
        <f t="shared" ref="E83" si="10">C83-D83</f>
        <v>-0.34000000000000008</v>
      </c>
      <c r="F83" s="21">
        <f t="shared" ref="F83" si="11">IFERROR(C83/D83-1,"신규편입")</f>
        <v>-0.36956521739130443</v>
      </c>
      <c r="H83" s="65"/>
      <c r="I83" s="65"/>
      <c r="J83" s="65"/>
      <c r="K83" s="20"/>
      <c r="L83" s="21"/>
      <c r="N83" s="26"/>
      <c r="O83" s="26"/>
      <c r="P83" s="26"/>
      <c r="Q83" s="20"/>
      <c r="R83" s="21"/>
    </row>
    <row r="84" spans="1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0"/>
      <c r="R84" s="21"/>
    </row>
    <row r="85" spans="1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0"/>
      <c r="R85" s="21"/>
    </row>
    <row r="86" spans="1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0"/>
      <c r="R86" s="21"/>
    </row>
    <row r="87" spans="1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0"/>
      <c r="R87" s="21"/>
    </row>
    <row r="88" spans="1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0"/>
      <c r="R88" s="21"/>
    </row>
    <row r="89" spans="1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0"/>
      <c r="R89" s="21"/>
    </row>
    <row r="90" spans="1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0"/>
      <c r="R90" s="21"/>
    </row>
    <row r="91" spans="1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0"/>
      <c r="R91" s="21"/>
    </row>
    <row r="92" spans="1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0"/>
      <c r="R92" s="21"/>
    </row>
    <row r="93" spans="1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0"/>
      <c r="R93" s="21"/>
    </row>
    <row r="94" spans="1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0"/>
      <c r="R94" s="21"/>
    </row>
    <row r="95" spans="1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0"/>
      <c r="R95" s="21"/>
    </row>
    <row r="96" spans="1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0"/>
      <c r="R112" s="21"/>
    </row>
    <row r="113" spans="2:18" x14ac:dyDescent="0.4">
      <c r="B113" s="65"/>
      <c r="C113" s="65"/>
      <c r="D113" s="65"/>
      <c r="E113" s="20"/>
      <c r="F113" s="21"/>
      <c r="N113" s="26"/>
      <c r="O113" s="26"/>
      <c r="P113" s="26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6"/>
      <c r="P114" s="26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6"/>
      <c r="P115" s="26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6"/>
      <c r="P116" s="26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2000000}">
    <sortState xmlns:xlrd2="http://schemas.microsoft.com/office/spreadsheetml/2017/richdata2" ref="B5:R69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3:R154"/>
  <sheetViews>
    <sheetView topLeftCell="C7" zoomScaleNormal="100" workbookViewId="0">
      <selection activeCell="N21" sqref="N21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7" t="str">
        <f>'TIMEFOLIO K이노베이션액티브'!A9</f>
        <v>TIME K이노베이션액티브</v>
      </c>
      <c r="H3" s="63" t="str">
        <f>'VITA MZ소비액티브'!A9</f>
        <v>VITA MZ소비액티브</v>
      </c>
      <c r="N3" s="17" t="str">
        <f>'KoAct AI인프라액티브'!A9</f>
        <v>KoAct AI인프라액티브</v>
      </c>
    </row>
    <row r="4" spans="1:18" x14ac:dyDescent="0.4">
      <c r="B4" s="65" t="s">
        <v>75</v>
      </c>
      <c r="C4" s="66" t="str">
        <f>'KODEX 신재생에너지액티브'!B4</f>
        <v>CPD [20260522]</v>
      </c>
      <c r="D4" s="66" t="str">
        <f>'KODEX 신재생에너지액티브(과거)'!B4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[20260522]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[20260522]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K이노베이션액티브'!B11</f>
        <v>삼성SDI</v>
      </c>
      <c r="C5" s="65">
        <f>VLOOKUP(B5,'TIMEFOLIO K이노베이션액티브'!$B$11:$E$1000,4,0)</f>
        <v>8.3000000000000007</v>
      </c>
      <c r="D5" s="65">
        <f>IFERROR(VLOOKUP(B5,'TIMEFOLIO K이노베이션액티브(과거)'!$B$11:$E$1000,4,0),0)</f>
        <v>8.41</v>
      </c>
      <c r="E5" s="26">
        <f>C5-D5</f>
        <v>-0.10999999999999943</v>
      </c>
      <c r="F5" s="27">
        <f>IFERROR(C5/D5-1,"신규편입")</f>
        <v>-1.3079667063020106E-2</v>
      </c>
      <c r="G5" s="63" t="str">
        <f>VLOOKUP(H5,유니버스!$C$14:$D$2561,2,0)</f>
        <v>KS</v>
      </c>
      <c r="H5" s="65" t="str">
        <f>'VITA MZ소비액티브'!B11</f>
        <v>삼양식품</v>
      </c>
      <c r="I5" s="65">
        <f>VLOOKUP(H5,'VITA MZ소비액티브'!$B$11:$E$1000,4,0)</f>
        <v>10.01</v>
      </c>
      <c r="J5" s="65">
        <f>IFERROR(VLOOKUP(H5,'VITA MZ소비액티브(과거)'!$B$11:$E$1000,4,0),0)</f>
        <v>10.32</v>
      </c>
      <c r="K5" s="20">
        <f>I5-J5</f>
        <v>-0.3100000000000005</v>
      </c>
      <c r="L5" s="21">
        <f>IFERROR(I5/J5-1,"신규편입")</f>
        <v>-3.0038759689922534E-2</v>
      </c>
      <c r="M5" s="62" t="str">
        <f>VLOOKUP(N5,유니버스!$C$14:$D$2561,2,0)</f>
        <v>KS</v>
      </c>
      <c r="N5" s="26" t="str">
        <f>'KoAct AI인프라액티브'!B11</f>
        <v>SK하이닉스</v>
      </c>
      <c r="O5" s="26">
        <f>VLOOKUP(N5,'KoAct AI인프라액티브'!$B$11:$E$1000,4,0)</f>
        <v>13.36</v>
      </c>
      <c r="P5" s="26">
        <f>IFERROR(VLOOKUP(N5,'KoAct AI인프라액티브(과거)'!$B$11:$E$1000,4,0),0)</f>
        <v>13.15</v>
      </c>
      <c r="Q5" s="26">
        <f>O5-P5</f>
        <v>0.20999999999999908</v>
      </c>
      <c r="R5" s="27">
        <f>IFERROR(O5/P5-1,"신규편입")</f>
        <v>1.5969581749049278E-2</v>
      </c>
    </row>
    <row r="6" spans="1:18" x14ac:dyDescent="0.4">
      <c r="A6" s="63" t="str">
        <f>VLOOKUP(B6,유니버스!$C$14:$D$2561,2,0)</f>
        <v>KS</v>
      </c>
      <c r="B6" s="65" t="str">
        <f>'TIMEFOLIO K이노베이션액티브'!B12</f>
        <v>POSCO홀딩스</v>
      </c>
      <c r="C6" s="65">
        <f>VLOOKUP(B6,'TIMEFOLIO K이노베이션액티브'!$B$11:$E$1000,4,0)</f>
        <v>8.07</v>
      </c>
      <c r="D6" s="65">
        <f>IFERROR(VLOOKUP(B6,'TIMEFOLIO K이노베이션액티브(과거)'!$B$11:$E$1000,4,0),0)</f>
        <v>7.36</v>
      </c>
      <c r="E6" s="26">
        <f t="shared" ref="E6:E32" si="0">C6-D6</f>
        <v>0.71</v>
      </c>
      <c r="F6" s="27">
        <f t="shared" ref="F6:F32" si="1">IFERROR(C6/D6-1,"신규편입")</f>
        <v>9.6467391304347894E-2</v>
      </c>
      <c r="G6" s="63" t="str">
        <f>VLOOKUP(H6,유니버스!$C$14:$D$2561,2,0)</f>
        <v>KS</v>
      </c>
      <c r="H6" s="65" t="str">
        <f>'VITA MZ소비액티브'!B12</f>
        <v>호텔신라</v>
      </c>
      <c r="I6" s="65">
        <f>VLOOKUP(H6,'VITA MZ소비액티브'!$B$11:$E$1000,4,0)</f>
        <v>8.9499999999999993</v>
      </c>
      <c r="J6" s="65">
        <f>IFERROR(VLOOKUP(H6,'VITA MZ소비액티브(과거)'!$B$11:$E$1000,4,0),0)</f>
        <v>9.17</v>
      </c>
      <c r="K6" s="20">
        <f t="shared" ref="K6:K21" si="2">I6-J6</f>
        <v>-0.22000000000000064</v>
      </c>
      <c r="L6" s="21">
        <f t="shared" ref="L6:L21" si="3">IFERROR(I6/J6-1,"신규편입")</f>
        <v>-2.399127589967287E-2</v>
      </c>
      <c r="M6" s="62" t="str">
        <f>VLOOKUP(N6,유니버스!$C$14:$D$2561,2,0)</f>
        <v>KS</v>
      </c>
      <c r="N6" s="26" t="str">
        <f>'KoAct AI인프라액티브'!B12</f>
        <v>삼성전자</v>
      </c>
      <c r="O6" s="26">
        <f>VLOOKUP(N6,'KoAct AI인프라액티브'!$B$11:$E$1000,4,0)</f>
        <v>6.2</v>
      </c>
      <c r="P6" s="26">
        <f>IFERROR(VLOOKUP(N6,'KoAct AI인프라액티브(과거)'!$B$11:$E$1000,4,0),0)</f>
        <v>5.88</v>
      </c>
      <c r="Q6" s="26">
        <f t="shared" ref="Q6:Q31" si="4">O6-P6</f>
        <v>0.32000000000000028</v>
      </c>
      <c r="R6" s="27">
        <f t="shared" ref="R6:R31" si="5">IFERROR(O6/P6-1,"신규편입")</f>
        <v>5.4421768707483054E-2</v>
      </c>
    </row>
    <row r="7" spans="1:18" x14ac:dyDescent="0.4">
      <c r="A7" s="63" t="str">
        <f>VLOOKUP(B7,유니버스!$C$14:$D$2561,2,0)</f>
        <v>KQ</v>
      </c>
      <c r="B7" s="72" t="str">
        <f>'TIMEFOLIO K이노베이션액티브'!B13</f>
        <v>서진시스템</v>
      </c>
      <c r="C7" s="72">
        <f>VLOOKUP(B7,'TIMEFOLIO K이노베이션액티브'!$B$11:$E$1000,4,0)</f>
        <v>6.68</v>
      </c>
      <c r="D7" s="72">
        <f>IFERROR(VLOOKUP(B7,'TIMEFOLIO K이노베이션액티브(과거)'!$B$11:$E$1000,4,0),0)</f>
        <v>4.3600000000000003</v>
      </c>
      <c r="E7" s="26">
        <f t="shared" si="0"/>
        <v>2.3199999999999994</v>
      </c>
      <c r="F7" s="27">
        <f t="shared" si="1"/>
        <v>0.53211009174311918</v>
      </c>
      <c r="G7" s="63" t="str">
        <f>VLOOKUP(H7,유니버스!$C$14:$D$2561,2,0)</f>
        <v>KQ</v>
      </c>
      <c r="H7" s="65" t="str">
        <f>'VITA MZ소비액티브'!B13</f>
        <v>에스앤디</v>
      </c>
      <c r="I7" s="65">
        <f>VLOOKUP(H7,'VITA MZ소비액티브'!$B$11:$E$1000,4,0)</f>
        <v>8.7799999999999994</v>
      </c>
      <c r="J7" s="65">
        <f>IFERROR(VLOOKUP(H7,'VITA MZ소비액티브(과거)'!$B$11:$E$1000,4,0),0)</f>
        <v>8.66</v>
      </c>
      <c r="K7" s="20">
        <f t="shared" si="2"/>
        <v>0.11999999999999922</v>
      </c>
      <c r="L7" s="21">
        <f t="shared" si="3"/>
        <v>1.3856812933025209E-2</v>
      </c>
      <c r="M7" s="62" t="str">
        <f>VLOOKUP(N7,유니버스!$C$14:$D$2561,2,0)</f>
        <v>KQ</v>
      </c>
      <c r="N7" s="26" t="str">
        <f>'KoAct AI인프라액티브'!B13</f>
        <v>테스</v>
      </c>
      <c r="O7" s="26">
        <f>VLOOKUP(N7,'KoAct AI인프라액티브'!$B$11:$E$1000,4,0)</f>
        <v>6.04</v>
      </c>
      <c r="P7" s="26">
        <f>IFERROR(VLOOKUP(N7,'KoAct AI인프라액티브(과거)'!$B$11:$E$1000,4,0),0)</f>
        <v>6.24</v>
      </c>
      <c r="Q7" s="26">
        <f t="shared" si="4"/>
        <v>-0.20000000000000018</v>
      </c>
      <c r="R7" s="27">
        <f t="shared" si="5"/>
        <v>-3.2051282051282048E-2</v>
      </c>
    </row>
    <row r="8" spans="1:18" x14ac:dyDescent="0.4">
      <c r="A8" s="63" t="str">
        <f>VLOOKUP(B8,유니버스!$C$14:$D$2561,2,0)</f>
        <v>KQ</v>
      </c>
      <c r="B8" s="65" t="str">
        <f>'TIMEFOLIO K이노베이션액티브'!B14</f>
        <v>미래에셋벤처투자</v>
      </c>
      <c r="C8" s="65">
        <f>VLOOKUP(B8,'TIMEFOLIO K이노베이션액티브'!$B$11:$E$1000,4,0)</f>
        <v>6.62</v>
      </c>
      <c r="D8" s="65">
        <f>IFERROR(VLOOKUP(B8,'TIMEFOLIO K이노베이션액티브(과거)'!$B$11:$E$1000,4,0),0)</f>
        <v>6.56</v>
      </c>
      <c r="E8" s="26">
        <f t="shared" si="0"/>
        <v>6.0000000000000497E-2</v>
      </c>
      <c r="F8" s="27">
        <f t="shared" si="1"/>
        <v>9.1463414634147533E-3</v>
      </c>
      <c r="G8" s="63" t="str">
        <f>VLOOKUP(H8,유니버스!$C$14:$D$2561,2,0)</f>
        <v>KQ</v>
      </c>
      <c r="H8" s="65" t="str">
        <f>'VITA MZ소비액티브'!B14</f>
        <v>서부T&amp;D</v>
      </c>
      <c r="I8" s="65">
        <f>VLOOKUP(H8,'VITA MZ소비액티브'!$B$11:$E$1000,4,0)</f>
        <v>8</v>
      </c>
      <c r="J8" s="65">
        <f>IFERROR(VLOOKUP(H8,'VITA MZ소비액티브(과거)'!$B$11:$E$1000,4,0),0)</f>
        <v>8.44</v>
      </c>
      <c r="K8" s="20">
        <f t="shared" si="2"/>
        <v>-0.4399999999999995</v>
      </c>
      <c r="L8" s="21">
        <f t="shared" si="3"/>
        <v>-5.2132701421800931E-2</v>
      </c>
      <c r="M8" s="62" t="str">
        <f>VLOOKUP(N8,유니버스!$C$14:$D$2561,2,0)</f>
        <v>KS</v>
      </c>
      <c r="N8" s="26" t="str">
        <f>'KoAct AI인프라액티브'!B14</f>
        <v>삼성SDI</v>
      </c>
      <c r="O8" s="26">
        <f>VLOOKUP(N8,'KoAct AI인프라액티브'!$B$11:$E$1000,4,0)</f>
        <v>5.62</v>
      </c>
      <c r="P8" s="26">
        <f>IFERROR(VLOOKUP(N8,'KoAct AI인프라액티브(과거)'!$B$11:$E$1000,4,0),0)</f>
        <v>5.88</v>
      </c>
      <c r="Q8" s="26">
        <f t="shared" si="4"/>
        <v>-0.25999999999999979</v>
      </c>
      <c r="R8" s="27">
        <f t="shared" si="5"/>
        <v>-4.421768707482987E-2</v>
      </c>
    </row>
    <row r="9" spans="1:18" x14ac:dyDescent="0.4">
      <c r="A9" s="63" t="str">
        <f>VLOOKUP(B9,유니버스!$C$14:$D$2561,2,0)</f>
        <v>KQ</v>
      </c>
      <c r="B9" s="65" t="str">
        <f>'TIMEFOLIO K이노베이션액티브'!B15</f>
        <v>파두</v>
      </c>
      <c r="C9" s="65">
        <f>VLOOKUP(B9,'TIMEFOLIO K이노베이션액티브'!$B$11:$E$1000,4,0)</f>
        <v>6.46</v>
      </c>
      <c r="D9" s="65">
        <f>IFERROR(VLOOKUP(B9,'TIMEFOLIO K이노베이션액티브(과거)'!$B$11:$E$1000,4,0),0)</f>
        <v>3.08</v>
      </c>
      <c r="E9" s="26">
        <f t="shared" si="0"/>
        <v>3.38</v>
      </c>
      <c r="F9" s="27">
        <f t="shared" si="1"/>
        <v>1.0974025974025974</v>
      </c>
      <c r="G9" s="63" t="str">
        <f>VLOOKUP(H9,유니버스!$C$14:$D$2561,2,0)</f>
        <v>KQ</v>
      </c>
      <c r="H9" s="65" t="str">
        <f>'VITA MZ소비액티브'!B15</f>
        <v>하림지주</v>
      </c>
      <c r="I9" s="65">
        <f>VLOOKUP(H9,'VITA MZ소비액티브'!$B$11:$E$1000,4,0)</f>
        <v>7.71</v>
      </c>
      <c r="J9" s="65">
        <f>IFERROR(VLOOKUP(H9,'VITA MZ소비액티브(과거)'!$B$11:$E$1000,4,0),0)</f>
        <v>7.63</v>
      </c>
      <c r="K9" s="20">
        <f t="shared" si="2"/>
        <v>8.0000000000000071E-2</v>
      </c>
      <c r="L9" s="21">
        <f t="shared" si="3"/>
        <v>1.0484927916120546E-2</v>
      </c>
      <c r="M9" s="62" t="str">
        <f>VLOOKUP(N9,유니버스!$C$14:$D$2561,2,0)</f>
        <v>KS</v>
      </c>
      <c r="N9" s="26" t="str">
        <f>'KoAct AI인프라액티브'!B15</f>
        <v>LG이노텍</v>
      </c>
      <c r="O9" s="26">
        <f>VLOOKUP(N9,'KoAct AI인프라액티브'!$B$11:$E$1000,4,0)</f>
        <v>5.25</v>
      </c>
      <c r="P9" s="26">
        <f>IFERROR(VLOOKUP(N9,'KoAct AI인프라액티브(과거)'!$B$11:$E$1000,4,0),0)</f>
        <v>4.82</v>
      </c>
      <c r="Q9" s="26">
        <f t="shared" si="4"/>
        <v>0.42999999999999972</v>
      </c>
      <c r="R9" s="27">
        <f t="shared" si="5"/>
        <v>8.9211618257261316E-2</v>
      </c>
    </row>
    <row r="10" spans="1:18" x14ac:dyDescent="0.4">
      <c r="A10" s="63" t="str">
        <f>VLOOKUP(B10,유니버스!$C$14:$D$2561,2,0)</f>
        <v>KQ</v>
      </c>
      <c r="B10" s="65" t="str">
        <f>'TIMEFOLIO K이노베이션액티브'!B16</f>
        <v>알테오젠</v>
      </c>
      <c r="C10" s="65">
        <f>VLOOKUP(B10,'TIMEFOLIO K이노베이션액티브'!$B$11:$E$1000,4,0)</f>
        <v>5.92</v>
      </c>
      <c r="D10" s="65">
        <f>IFERROR(VLOOKUP(B10,'TIMEFOLIO K이노베이션액티브(과거)'!$B$11:$E$1000,4,0),0)</f>
        <v>1.21</v>
      </c>
      <c r="E10" s="26">
        <f t="shared" si="0"/>
        <v>4.71</v>
      </c>
      <c r="F10" s="27">
        <f t="shared" si="1"/>
        <v>3.8925619834710741</v>
      </c>
      <c r="G10" s="63" t="str">
        <f>VLOOKUP(H10,유니버스!$C$14:$D$2561,2,0)</f>
        <v>KS</v>
      </c>
      <c r="H10" s="65" t="str">
        <f>'VITA MZ소비액티브'!B16</f>
        <v>에이피알</v>
      </c>
      <c r="I10" s="65">
        <f>VLOOKUP(H10,'VITA MZ소비액티브'!$B$11:$E$1000,4,0)</f>
        <v>7.69</v>
      </c>
      <c r="J10" s="65">
        <f>IFERROR(VLOOKUP(H10,'VITA MZ소비액티브(과거)'!$B$11:$E$1000,4,0),0)</f>
        <v>7.32</v>
      </c>
      <c r="K10" s="20">
        <f t="shared" si="2"/>
        <v>0.37000000000000011</v>
      </c>
      <c r="L10" s="21">
        <f t="shared" si="3"/>
        <v>5.0546448087431806E-2</v>
      </c>
      <c r="M10" s="62" t="str">
        <f>VLOOKUP(N10,유니버스!$C$14:$D$2561,2,0)</f>
        <v>KQ</v>
      </c>
      <c r="N10" s="26" t="str">
        <f>'KoAct AI인프라액티브'!B16</f>
        <v>두산테스나</v>
      </c>
      <c r="O10" s="26">
        <f>VLOOKUP(N10,'KoAct AI인프라액티브'!$B$11:$E$1000,4,0)</f>
        <v>4.71</v>
      </c>
      <c r="P10" s="26">
        <f>IFERROR(VLOOKUP(N10,'KoAct AI인프라액티브(과거)'!$B$11:$E$1000,4,0),0)</f>
        <v>5.15</v>
      </c>
      <c r="Q10" s="26">
        <f t="shared" si="4"/>
        <v>-0.44000000000000039</v>
      </c>
      <c r="R10" s="27">
        <f t="shared" si="5"/>
        <v>-8.543689320388359E-2</v>
      </c>
    </row>
    <row r="11" spans="1:18" x14ac:dyDescent="0.4">
      <c r="A11" s="63" t="str">
        <f>VLOOKUP(B11,유니버스!$C$14:$D$2561,2,0)</f>
        <v>KS</v>
      </c>
      <c r="B11" s="65" t="str">
        <f>'TIMEFOLIO K이노베이션액티브'!B17</f>
        <v>SK하이닉스</v>
      </c>
      <c r="C11" s="65">
        <f>VLOOKUP(B11,'TIMEFOLIO K이노베이션액티브'!$B$11:$E$1000,4,0)</f>
        <v>5.88</v>
      </c>
      <c r="D11" s="65">
        <f>IFERROR(VLOOKUP(B11,'TIMEFOLIO K이노베이션액티브(과거)'!$B$11:$E$1000,4,0),0)</f>
        <v>5.6</v>
      </c>
      <c r="E11" s="26">
        <f t="shared" si="0"/>
        <v>0.28000000000000025</v>
      </c>
      <c r="F11" s="27">
        <f t="shared" si="1"/>
        <v>5.0000000000000044E-2</v>
      </c>
      <c r="G11" s="63" t="str">
        <f>VLOOKUP(H11,유니버스!$C$14:$D$2561,2,0)</f>
        <v>KS</v>
      </c>
      <c r="H11" s="65" t="str">
        <f>'VITA MZ소비액티브'!B17</f>
        <v>GS피앤엘</v>
      </c>
      <c r="I11" s="65">
        <f>VLOOKUP(H11,'VITA MZ소비액티브'!$B$11:$E$1000,4,0)</f>
        <v>7.41</v>
      </c>
      <c r="J11" s="65">
        <f>IFERROR(VLOOKUP(H11,'VITA MZ소비액티브(과거)'!$B$11:$E$1000,4,0),0)</f>
        <v>7.96</v>
      </c>
      <c r="K11" s="20">
        <f t="shared" si="2"/>
        <v>-0.54999999999999982</v>
      </c>
      <c r="L11" s="21">
        <f t="shared" si="3"/>
        <v>-6.9095477386934667E-2</v>
      </c>
      <c r="M11" s="62" t="str">
        <f>VLOOKUP(N11,유니버스!$C$14:$D$2561,2,0)</f>
        <v>KQ</v>
      </c>
      <c r="N11" s="26" t="str">
        <f>'KoAct AI인프라액티브'!B17</f>
        <v>주성엔지니어링</v>
      </c>
      <c r="O11" s="26">
        <f>VLOOKUP(N11,'KoAct AI인프라액티브'!$B$11:$E$1000,4,0)</f>
        <v>4.41</v>
      </c>
      <c r="P11" s="26">
        <f>IFERROR(VLOOKUP(N11,'KoAct AI인프라액티브(과거)'!$B$11:$E$1000,4,0),0)</f>
        <v>3.88</v>
      </c>
      <c r="Q11" s="26">
        <f t="shared" si="4"/>
        <v>0.53000000000000025</v>
      </c>
      <c r="R11" s="27">
        <f t="shared" si="5"/>
        <v>0.13659793814432986</v>
      </c>
    </row>
    <row r="12" spans="1:18" x14ac:dyDescent="0.4">
      <c r="A12" s="63" t="str">
        <f>VLOOKUP(B12,유니버스!$C$14:$D$2561,2,0)</f>
        <v>KS</v>
      </c>
      <c r="B12" s="65" t="str">
        <f>'TIMEFOLIO K이노베이션액티브'!B18</f>
        <v>LG에너지솔루션</v>
      </c>
      <c r="C12" s="65">
        <f>VLOOKUP(B12,'TIMEFOLIO K이노베이션액티브'!$B$11:$E$1000,4,0)</f>
        <v>5.4</v>
      </c>
      <c r="D12" s="65">
        <f>IFERROR(VLOOKUP(B12,'TIMEFOLIO K이노베이션액티브(과거)'!$B$11:$E$1000,4,0),0)</f>
        <v>5.71</v>
      </c>
      <c r="E12" s="26">
        <f t="shared" si="0"/>
        <v>-0.30999999999999961</v>
      </c>
      <c r="F12" s="27">
        <f t="shared" si="1"/>
        <v>-5.4290718038528807E-2</v>
      </c>
      <c r="G12" s="63" t="str">
        <f>VLOOKUP(H12,유니버스!$C$14:$D$2561,2,0)</f>
        <v>KS</v>
      </c>
      <c r="H12" s="65" t="str">
        <f>'VITA MZ소비액티브'!B18</f>
        <v>신세계</v>
      </c>
      <c r="I12" s="65">
        <f>VLOOKUP(H12,'VITA MZ소비액티브'!$B$11:$E$1000,4,0)</f>
        <v>7.28</v>
      </c>
      <c r="J12" s="65">
        <f>IFERROR(VLOOKUP(H12,'VITA MZ소비액티브(과거)'!$B$11:$E$1000,4,0),0)</f>
        <v>6.41</v>
      </c>
      <c r="K12" s="20">
        <f t="shared" si="2"/>
        <v>0.87000000000000011</v>
      </c>
      <c r="L12" s="21">
        <f t="shared" si="3"/>
        <v>0.13572542901716078</v>
      </c>
      <c r="M12" s="62" t="str">
        <f>VLOOKUP(N12,유니버스!$C$14:$D$2561,2,0)</f>
        <v>KS</v>
      </c>
      <c r="N12" s="26" t="str">
        <f>'KoAct AI인프라액티브'!B18</f>
        <v>두산퓨얼셀</v>
      </c>
      <c r="O12" s="26">
        <f>VLOOKUP(N12,'KoAct AI인프라액티브'!$B$11:$E$1000,4,0)</f>
        <v>4.03</v>
      </c>
      <c r="P12" s="26">
        <f>IFERROR(VLOOKUP(N12,'KoAct AI인프라액티브(과거)'!$B$11:$E$1000,4,0),0)</f>
        <v>4.28</v>
      </c>
      <c r="Q12" s="26">
        <f t="shared" si="4"/>
        <v>-0.25</v>
      </c>
      <c r="R12" s="27">
        <f t="shared" si="5"/>
        <v>-5.8411214953271062E-2</v>
      </c>
    </row>
    <row r="13" spans="1:18" x14ac:dyDescent="0.4">
      <c r="A13" s="63" t="str">
        <f>VLOOKUP(B13,유니버스!$C$14:$D$2561,2,0)</f>
        <v>KQ</v>
      </c>
      <c r="B13" s="65" t="str">
        <f>'TIMEFOLIO K이노베이션액티브'!B19</f>
        <v>주성엔지니어링</v>
      </c>
      <c r="C13" s="65">
        <f>VLOOKUP(B13,'TIMEFOLIO K이노베이션액티브'!$B$11:$E$1000,4,0)</f>
        <v>4.83</v>
      </c>
      <c r="D13" s="65">
        <f>IFERROR(VLOOKUP(B13,'TIMEFOLIO K이노베이션액티브(과거)'!$B$11:$E$1000,4,0),0)</f>
        <v>7.2</v>
      </c>
      <c r="E13" s="26">
        <f t="shared" si="0"/>
        <v>-2.37</v>
      </c>
      <c r="F13" s="27">
        <f t="shared" si="1"/>
        <v>-0.32916666666666672</v>
      </c>
      <c r="G13" s="63" t="str">
        <f>VLOOKUP(H13,유니버스!$C$14:$D$2561,2,0)</f>
        <v>KS</v>
      </c>
      <c r="H13" s="65" t="str">
        <f>'VITA MZ소비액티브'!B19</f>
        <v>GS리테일</v>
      </c>
      <c r="I13" s="65">
        <f>VLOOKUP(H13,'VITA MZ소비액티브'!$B$11:$E$1000,4,0)</f>
        <v>6.79</v>
      </c>
      <c r="J13" s="65">
        <f>IFERROR(VLOOKUP(H13,'VITA MZ소비액티브(과거)'!$B$11:$E$1000,4,0),0)</f>
        <v>6.87</v>
      </c>
      <c r="K13" s="20">
        <f t="shared" si="2"/>
        <v>-8.0000000000000071E-2</v>
      </c>
      <c r="L13" s="21">
        <f t="shared" si="3"/>
        <v>-1.1644832605531286E-2</v>
      </c>
      <c r="M13" s="62" t="str">
        <f>VLOOKUP(N13,유니버스!$C$14:$D$2561,2,0)</f>
        <v>KS</v>
      </c>
      <c r="N13" s="26" t="str">
        <f>'KoAct AI인프라액티브'!B19</f>
        <v>LS ELECTRIC</v>
      </c>
      <c r="O13" s="26">
        <f>VLOOKUP(N13,'KoAct AI인프라액티브'!$B$11:$E$1000,4,0)</f>
        <v>3.74</v>
      </c>
      <c r="P13" s="26">
        <f>IFERROR(VLOOKUP(N13,'KoAct AI인프라액티브(과거)'!$B$11:$E$1000,4,0),0)</f>
        <v>5.74</v>
      </c>
      <c r="Q13" s="26">
        <f t="shared" si="4"/>
        <v>-2</v>
      </c>
      <c r="R13" s="27">
        <f t="shared" si="5"/>
        <v>-0.34843205574912894</v>
      </c>
    </row>
    <row r="14" spans="1:18" x14ac:dyDescent="0.4">
      <c r="A14" s="63" t="str">
        <f>VLOOKUP(B14,유니버스!$C$14:$D$2561,2,0)</f>
        <v>KQ</v>
      </c>
      <c r="B14" s="65" t="str">
        <f>'TIMEFOLIO K이노베이션액티브'!B20</f>
        <v>로보티즈</v>
      </c>
      <c r="C14" s="65">
        <f>VLOOKUP(B14,'TIMEFOLIO K이노베이션액티브'!$B$11:$E$1000,4,0)</f>
        <v>4.4800000000000004</v>
      </c>
      <c r="D14" s="65">
        <f>IFERROR(VLOOKUP(B14,'TIMEFOLIO K이노베이션액티브(과거)'!$B$11:$E$1000,4,0),0)</f>
        <v>4.95</v>
      </c>
      <c r="E14" s="26">
        <f t="shared" si="0"/>
        <v>-0.46999999999999975</v>
      </c>
      <c r="F14" s="27">
        <f t="shared" si="1"/>
        <v>-9.4949494949494895E-2</v>
      </c>
      <c r="G14" s="63" t="str">
        <f>VLOOKUP(H14,유니버스!$C$14:$D$2561,2,0)</f>
        <v>KS</v>
      </c>
      <c r="H14" s="65" t="str">
        <f>'VITA MZ소비액티브'!B20</f>
        <v>롯데쇼핑</v>
      </c>
      <c r="I14" s="65">
        <f>VLOOKUP(H14,'VITA MZ소비액티브'!$B$11:$E$1000,4,0)</f>
        <v>6.34</v>
      </c>
      <c r="J14" s="65">
        <f>IFERROR(VLOOKUP(H14,'VITA MZ소비액티브(과거)'!$B$11:$E$1000,4,0),0)</f>
        <v>6.21</v>
      </c>
      <c r="K14" s="20">
        <f t="shared" si="2"/>
        <v>0.12999999999999989</v>
      </c>
      <c r="L14" s="21">
        <f t="shared" si="3"/>
        <v>2.0933977455716679E-2</v>
      </c>
      <c r="M14" s="62" t="str">
        <f>VLOOKUP(N14,유니버스!$C$14:$D$2561,2,0)</f>
        <v>KS</v>
      </c>
      <c r="N14" s="26" t="str">
        <f>'KoAct AI인프라액티브'!B20</f>
        <v>대한전선</v>
      </c>
      <c r="O14" s="26">
        <f>VLOOKUP(N14,'KoAct AI인프라액티브'!$B$11:$E$1000,4,0)</f>
        <v>3.59</v>
      </c>
      <c r="P14" s="26">
        <f>IFERROR(VLOOKUP(N14,'KoAct AI인프라액티브(과거)'!$B$11:$E$1000,4,0),0)</f>
        <v>4.03</v>
      </c>
      <c r="Q14" s="26">
        <f t="shared" si="4"/>
        <v>-0.44000000000000039</v>
      </c>
      <c r="R14" s="27">
        <f t="shared" si="5"/>
        <v>-0.1091811414392061</v>
      </c>
    </row>
    <row r="15" spans="1:18" x14ac:dyDescent="0.4">
      <c r="A15" s="63" t="str">
        <f>VLOOKUP(B15,유니버스!$C$14:$D$2561,2,0)</f>
        <v>KS</v>
      </c>
      <c r="B15" s="65" t="str">
        <f>'TIMEFOLIO K이노베이션액티브'!B21</f>
        <v>NC</v>
      </c>
      <c r="C15" s="65">
        <f>VLOOKUP(B15,'TIMEFOLIO K이노베이션액티브'!$B$11:$E$1000,4,0)</f>
        <v>4.08</v>
      </c>
      <c r="D15" s="65">
        <f>IFERROR(VLOOKUP(B15,'TIMEFOLIO K이노베이션액티브(과거)'!$B$11:$E$1000,4,0),0)</f>
        <v>4.2699999999999996</v>
      </c>
      <c r="E15" s="26">
        <f t="shared" si="0"/>
        <v>-0.1899999999999995</v>
      </c>
      <c r="F15" s="27">
        <f t="shared" si="1"/>
        <v>-4.4496487119437877E-2</v>
      </c>
      <c r="G15" s="63" t="str">
        <f>VLOOKUP(H15,유니버스!$C$14:$D$2561,2,0)</f>
        <v>KS</v>
      </c>
      <c r="H15" s="65" t="str">
        <f>'VITA MZ소비액티브'!B21</f>
        <v>아모레퍼시픽</v>
      </c>
      <c r="I15" s="65">
        <f>VLOOKUP(H15,'VITA MZ소비액티브'!$B$11:$E$1000,4,0)</f>
        <v>5.36</v>
      </c>
      <c r="J15" s="65">
        <f>IFERROR(VLOOKUP(H15,'VITA MZ소비액티브(과거)'!$B$11:$E$1000,4,0),0)</f>
        <v>5.25</v>
      </c>
      <c r="K15" s="20">
        <f t="shared" si="2"/>
        <v>0.11000000000000032</v>
      </c>
      <c r="L15" s="21">
        <f t="shared" si="3"/>
        <v>2.0952380952381056E-2</v>
      </c>
      <c r="M15" s="62" t="str">
        <f>VLOOKUP(N15,유니버스!$C$14:$D$2561,2,0)</f>
        <v>KQ</v>
      </c>
      <c r="N15" s="26" t="str">
        <f>'KoAct AI인프라액티브'!B21</f>
        <v>피에스케이</v>
      </c>
      <c r="O15" s="26">
        <f>VLOOKUP(N15,'KoAct AI인프라액티브'!$B$11:$E$1000,4,0)</f>
        <v>3.26</v>
      </c>
      <c r="P15" s="26">
        <f>IFERROR(VLOOKUP(N15,'KoAct AI인프라액티브(과거)'!$B$11:$E$1000,4,0),0)</f>
        <v>3.16</v>
      </c>
      <c r="Q15" s="26">
        <f t="shared" si="4"/>
        <v>9.9999999999999645E-2</v>
      </c>
      <c r="R15" s="27">
        <f t="shared" si="5"/>
        <v>3.1645569620253111E-2</v>
      </c>
    </row>
    <row r="16" spans="1:18" x14ac:dyDescent="0.4">
      <c r="A16" s="63" t="str">
        <f>VLOOKUP(B16,유니버스!$C$14:$D$2561,2,0)</f>
        <v>KQ</v>
      </c>
      <c r="B16" s="65" t="str">
        <f>'TIMEFOLIO K이노베이션액티브'!B22</f>
        <v>인텔리안테크</v>
      </c>
      <c r="C16" s="65">
        <f>VLOOKUP(B16,'TIMEFOLIO K이노베이션액티브'!$B$11:$E$1000,4,0)</f>
        <v>3.8</v>
      </c>
      <c r="D16" s="65">
        <f>IFERROR(VLOOKUP(B16,'TIMEFOLIO K이노베이션액티브(과거)'!$B$11:$E$1000,4,0),0)</f>
        <v>4.4400000000000004</v>
      </c>
      <c r="E16" s="26">
        <f t="shared" si="0"/>
        <v>-0.64000000000000057</v>
      </c>
      <c r="F16" s="27">
        <f t="shared" si="1"/>
        <v>-0.14414414414414423</v>
      </c>
      <c r="G16" s="63" t="str">
        <f>VLOOKUP(H16,유니버스!$C$14:$D$2561,2,0)</f>
        <v>KS</v>
      </c>
      <c r="H16" s="65" t="str">
        <f>'VITA MZ소비액티브'!B22</f>
        <v>파라다이스</v>
      </c>
      <c r="I16" s="65">
        <f>VLOOKUP(H16,'VITA MZ소비액티브'!$B$11:$E$1000,4,0)</f>
        <v>4.5599999999999996</v>
      </c>
      <c r="J16" s="65">
        <f>IFERROR(VLOOKUP(H16,'VITA MZ소비액티브(과거)'!$B$11:$E$1000,4,0),0)</f>
        <v>4.6100000000000003</v>
      </c>
      <c r="K16" s="20">
        <f t="shared" si="2"/>
        <v>-5.0000000000000711E-2</v>
      </c>
      <c r="L16" s="21">
        <f t="shared" si="3"/>
        <v>-1.0845986984815759E-2</v>
      </c>
      <c r="M16" s="62" t="str">
        <f>VLOOKUP(N16,유니버스!$C$14:$D$2561,2,0)</f>
        <v>KS</v>
      </c>
      <c r="N16" s="26" t="str">
        <f>'KoAct AI인프라액티브'!B22</f>
        <v>코리아써키트</v>
      </c>
      <c r="O16" s="26">
        <f>VLOOKUP(N16,'KoAct AI인프라액티브'!$B$11:$E$1000,4,0)</f>
        <v>3.2</v>
      </c>
      <c r="P16" s="26">
        <f>IFERROR(VLOOKUP(N16,'KoAct AI인프라액티브(과거)'!$B$11:$E$1000,4,0),0)</f>
        <v>3.18</v>
      </c>
      <c r="Q16" s="26">
        <f t="shared" si="4"/>
        <v>2.0000000000000018E-2</v>
      </c>
      <c r="R16" s="27">
        <f t="shared" si="5"/>
        <v>6.2893081761006275E-3</v>
      </c>
    </row>
    <row r="17" spans="1:18" x14ac:dyDescent="0.4">
      <c r="A17" s="63" t="str">
        <f>VLOOKUP(B17,유니버스!$C$14:$D$2561,2,0)</f>
        <v>KQ</v>
      </c>
      <c r="B17" s="71" t="str">
        <f>'TIMEFOLIO K이노베이션액티브'!B23</f>
        <v>심텍</v>
      </c>
      <c r="C17" s="71">
        <f>VLOOKUP(B17,'TIMEFOLIO K이노베이션액티브'!$B$11:$E$1000,4,0)</f>
        <v>3.8</v>
      </c>
      <c r="D17" s="71">
        <f>IFERROR(VLOOKUP(B17,'TIMEFOLIO K이노베이션액티브(과거)'!$B$11:$E$1000,4,0),0)</f>
        <v>3.08</v>
      </c>
      <c r="E17" s="26">
        <f t="shared" si="0"/>
        <v>0.71999999999999975</v>
      </c>
      <c r="F17" s="27">
        <f t="shared" si="1"/>
        <v>0.23376623376623362</v>
      </c>
      <c r="G17" s="63" t="str">
        <f>VLOOKUP(H17,유니버스!$C$14:$D$2561,2,0)</f>
        <v>KS</v>
      </c>
      <c r="H17" s="65" t="str">
        <f>'VITA MZ소비액티브'!B23</f>
        <v>영원무역</v>
      </c>
      <c r="I17" s="65">
        <f>VLOOKUP(H17,'VITA MZ소비액티브'!$B$11:$E$1000,4,0)</f>
        <v>3.29</v>
      </c>
      <c r="J17" s="65">
        <f>IFERROR(VLOOKUP(H17,'VITA MZ소비액티브(과거)'!$B$11:$E$1000,4,0),0)</f>
        <v>3.28</v>
      </c>
      <c r="K17" s="20">
        <f t="shared" si="2"/>
        <v>1.0000000000000231E-2</v>
      </c>
      <c r="L17" s="21">
        <f t="shared" si="3"/>
        <v>3.0487804878049918E-3</v>
      </c>
      <c r="M17" s="62" t="str">
        <f>VLOOKUP(N17,유니버스!$C$14:$D$2561,2,0)</f>
        <v>KS</v>
      </c>
      <c r="N17" s="26" t="str">
        <f>'KoAct AI인프라액티브'!B23</f>
        <v>HD현대일렉트릭</v>
      </c>
      <c r="O17" s="26">
        <f>VLOOKUP(N17,'KoAct AI인프라액티브'!$B$11:$E$1000,4,0)</f>
        <v>3.12</v>
      </c>
      <c r="P17" s="26">
        <f>IFERROR(VLOOKUP(N17,'KoAct AI인프라액티브(과거)'!$B$11:$E$1000,4,0),0)</f>
        <v>3.39</v>
      </c>
      <c r="Q17" s="26">
        <f t="shared" si="4"/>
        <v>-0.27</v>
      </c>
      <c r="R17" s="27">
        <f t="shared" si="5"/>
        <v>-7.9646017699115057E-2</v>
      </c>
    </row>
    <row r="18" spans="1:18" x14ac:dyDescent="0.4">
      <c r="A18" s="63" t="str">
        <f>VLOOKUP(B18,유니버스!$C$14:$D$2561,2,0)</f>
        <v>KS</v>
      </c>
      <c r="B18" s="65" t="str">
        <f>'TIMEFOLIO K이노베이션액티브'!B24</f>
        <v>크래프톤</v>
      </c>
      <c r="C18" s="65">
        <f>VLOOKUP(B18,'TIMEFOLIO K이노베이션액티브'!$B$11:$E$1000,4,0)</f>
        <v>3.48</v>
      </c>
      <c r="D18" s="65">
        <f>IFERROR(VLOOKUP(B18,'TIMEFOLIO K이노베이션액티브(과거)'!$B$11:$E$1000,4,0),0)</f>
        <v>1.53</v>
      </c>
      <c r="E18" s="26">
        <f t="shared" si="0"/>
        <v>1.95</v>
      </c>
      <c r="F18" s="27">
        <f t="shared" si="1"/>
        <v>1.2745098039215685</v>
      </c>
      <c r="G18" s="63" t="str">
        <f>VLOOKUP(H18,유니버스!$C$14:$D$2561,2,0)</f>
        <v>KS</v>
      </c>
      <c r="H18" s="65" t="str">
        <f>'VITA MZ소비액티브'!B24</f>
        <v>F&amp;F</v>
      </c>
      <c r="I18" s="65">
        <f>VLOOKUP(H18,'VITA MZ소비액티브'!$B$11:$E$1000,4,0)</f>
        <v>2.79</v>
      </c>
      <c r="J18" s="65">
        <f>IFERROR(VLOOKUP(H18,'VITA MZ소비액티브(과거)'!$B$11:$E$1000,4,0),0)</f>
        <v>2.86</v>
      </c>
      <c r="K18" s="20">
        <f t="shared" si="2"/>
        <v>-6.999999999999984E-2</v>
      </c>
      <c r="L18" s="21">
        <f t="shared" si="3"/>
        <v>-2.4475524475524368E-2</v>
      </c>
      <c r="M18" s="62" t="str">
        <f>VLOOKUP(N18,유니버스!$C$14:$D$2561,2,0)</f>
        <v>KQ</v>
      </c>
      <c r="N18" s="26" t="str">
        <f>'KoAct AI인프라액티브'!B24</f>
        <v>티엘비</v>
      </c>
      <c r="O18" s="26">
        <f>VLOOKUP(N18,'KoAct AI인프라액티브'!$B$11:$E$1000,4,0)</f>
        <v>3.05</v>
      </c>
      <c r="P18" s="26">
        <f>IFERROR(VLOOKUP(N18,'KoAct AI인프라액티브(과거)'!$B$11:$E$1000,4,0),0)</f>
        <v>3.04</v>
      </c>
      <c r="Q18" s="26">
        <f t="shared" si="4"/>
        <v>9.9999999999997868E-3</v>
      </c>
      <c r="R18" s="27">
        <f t="shared" si="5"/>
        <v>3.2894736842103978E-3</v>
      </c>
    </row>
    <row r="19" spans="1:18" x14ac:dyDescent="0.4">
      <c r="A19" s="63" t="str">
        <f>VLOOKUP(B19,유니버스!$C$14:$D$2561,2,0)</f>
        <v>KQ</v>
      </c>
      <c r="B19" s="65" t="str">
        <f>'TIMEFOLIO K이노베이션액티브'!B25</f>
        <v>에스피지</v>
      </c>
      <c r="C19" s="65">
        <f>VLOOKUP(B19,'TIMEFOLIO K이노베이션액티브'!$B$11:$E$1000,4,0)</f>
        <v>2.97</v>
      </c>
      <c r="D19" s="65">
        <f>IFERROR(VLOOKUP(B19,'TIMEFOLIO K이노베이션액티브(과거)'!$B$11:$E$1000,4,0),0)</f>
        <v>3.03</v>
      </c>
      <c r="E19" s="26">
        <f t="shared" si="0"/>
        <v>-5.9999999999999609E-2</v>
      </c>
      <c r="F19" s="27">
        <f t="shared" si="1"/>
        <v>-1.9801980198019709E-2</v>
      </c>
      <c r="G19" s="63" t="str">
        <f>VLOOKUP(H19,유니버스!$C$14:$D$2561,2,0)</f>
        <v>KQ</v>
      </c>
      <c r="H19" s="65" t="str">
        <f>'VITA MZ소비액티브'!B25</f>
        <v>에스엠</v>
      </c>
      <c r="I19" s="65">
        <f>VLOOKUP(H19,'VITA MZ소비액티브'!$B$11:$E$1000,4,0)</f>
        <v>2.61</v>
      </c>
      <c r="J19" s="65">
        <f>IFERROR(VLOOKUP(H19,'VITA MZ소비액티브(과거)'!$B$11:$E$1000,4,0),0)</f>
        <v>2.65</v>
      </c>
      <c r="K19" s="20">
        <f t="shared" si="2"/>
        <v>-4.0000000000000036E-2</v>
      </c>
      <c r="L19" s="21">
        <f t="shared" si="3"/>
        <v>-1.5094339622641506E-2</v>
      </c>
      <c r="M19" s="62" t="str">
        <f>VLOOKUP(N19,유니버스!$C$14:$D$2561,2,0)</f>
        <v>KS</v>
      </c>
      <c r="N19" s="26" t="str">
        <f>'KoAct AI인프라액티브'!B25</f>
        <v>해성디에스</v>
      </c>
      <c r="O19" s="26">
        <f>VLOOKUP(N19,'KoAct AI인프라액티브'!$B$11:$E$1000,4,0)</f>
        <v>2.78</v>
      </c>
      <c r="P19" s="26">
        <f>IFERROR(VLOOKUP(N19,'KoAct AI인프라액티브(과거)'!$B$11:$E$1000,4,0),0)</f>
        <v>3.14</v>
      </c>
      <c r="Q19" s="26">
        <f t="shared" si="4"/>
        <v>-0.36000000000000032</v>
      </c>
      <c r="R19" s="27">
        <f t="shared" si="5"/>
        <v>-0.11464968152866251</v>
      </c>
    </row>
    <row r="20" spans="1:18" x14ac:dyDescent="0.4">
      <c r="A20" s="63" t="str">
        <f>VLOOKUP(B20,유니버스!$C$14:$D$2561,2,0)</f>
        <v>KQ</v>
      </c>
      <c r="B20" s="65" t="str">
        <f>'TIMEFOLIO K이노베이션액티브'!B26</f>
        <v>쎄트렉아이</v>
      </c>
      <c r="C20" s="65">
        <f>VLOOKUP(B20,'TIMEFOLIO K이노베이션액티브'!$B$11:$E$1000,4,0)</f>
        <v>2.79</v>
      </c>
      <c r="D20" s="65">
        <f>IFERROR(VLOOKUP(B20,'TIMEFOLIO K이노베이션액티브(과거)'!$B$11:$E$1000,4,0),0)</f>
        <v>3.02</v>
      </c>
      <c r="E20" s="26">
        <f t="shared" si="0"/>
        <v>-0.22999999999999998</v>
      </c>
      <c r="F20" s="27">
        <f t="shared" si="1"/>
        <v>-7.6158940397350938E-2</v>
      </c>
      <c r="G20" s="63" t="str">
        <f>VLOOKUP(H20,유니버스!$C$14:$D$2561,2,0)</f>
        <v>KQ</v>
      </c>
      <c r="H20" s="65" t="str">
        <f>'VITA MZ소비액티브'!B26</f>
        <v>실리콘투</v>
      </c>
      <c r="I20" s="65">
        <f>VLOOKUP(H20,'VITA MZ소비액티브'!$B$11:$E$1000,4,0)</f>
        <v>1.52</v>
      </c>
      <c r="J20" s="65">
        <f>IFERROR(VLOOKUP(H20,'VITA MZ소비액티브(과거)'!$B$11:$E$1000,4,0),0)</f>
        <v>1.47</v>
      </c>
      <c r="K20" s="20">
        <f t="shared" si="2"/>
        <v>5.0000000000000044E-2</v>
      </c>
      <c r="L20" s="21">
        <f t="shared" si="3"/>
        <v>3.4013605442176909E-2</v>
      </c>
      <c r="M20" s="62" t="str">
        <f>VLOOKUP(N20,유니버스!$C$14:$D$2561,2,0)</f>
        <v>KQ</v>
      </c>
      <c r="N20" s="74" t="str">
        <f>'KoAct AI인프라액티브'!B26</f>
        <v>네패스</v>
      </c>
      <c r="O20" s="74">
        <f>VLOOKUP(N20,'KoAct AI인프라액티브'!$B$11:$E$1000,4,0)</f>
        <v>2.77</v>
      </c>
      <c r="P20" s="74">
        <f>IFERROR(VLOOKUP(N20,'KoAct AI인프라액티브(과거)'!$B$11:$E$1000,4,0),0)</f>
        <v>0</v>
      </c>
      <c r="Q20" s="26">
        <f t="shared" si="4"/>
        <v>2.77</v>
      </c>
      <c r="R20" s="27" t="str">
        <f t="shared" si="5"/>
        <v>신규편입</v>
      </c>
    </row>
    <row r="21" spans="1:18" x14ac:dyDescent="0.4">
      <c r="A21" s="63" t="str">
        <f>VLOOKUP(B21,유니버스!$C$14:$D$2561,2,0)</f>
        <v>KQ</v>
      </c>
      <c r="B21" s="65" t="str">
        <f>'TIMEFOLIO K이노베이션액티브'!B27</f>
        <v>이노스페이스</v>
      </c>
      <c r="C21" s="65">
        <f>VLOOKUP(B21,'TIMEFOLIO K이노베이션액티브'!$B$11:$E$1000,4,0)</f>
        <v>2.73</v>
      </c>
      <c r="D21" s="65">
        <f>IFERROR(VLOOKUP(B21,'TIMEFOLIO K이노베이션액티브(과거)'!$B$11:$E$1000,4,0),0)</f>
        <v>2.57</v>
      </c>
      <c r="E21" s="26">
        <f t="shared" si="0"/>
        <v>0.16000000000000014</v>
      </c>
      <c r="F21" s="27">
        <f t="shared" si="1"/>
        <v>6.2256809338521402E-2</v>
      </c>
      <c r="G21" s="63" t="e">
        <f>VLOOKUP(H21,유니버스!$C$14:$D$2561,2,0)</f>
        <v>#N/A</v>
      </c>
      <c r="H21" s="65" t="str">
        <f>'VITA MZ소비액티브'!B27</f>
        <v>원화현금</v>
      </c>
      <c r="I21" s="65">
        <f>VLOOKUP(H21,'VITA MZ소비액티브'!$B$11:$E$1000,4,0)</f>
        <v>0.9</v>
      </c>
      <c r="J21" s="65">
        <f>IFERROR(VLOOKUP(H21,'VITA MZ소비액티브(과거)'!$B$11:$E$1000,4,0),0)</f>
        <v>0.89</v>
      </c>
      <c r="K21" s="20">
        <f t="shared" si="2"/>
        <v>1.0000000000000009E-2</v>
      </c>
      <c r="L21" s="21">
        <f t="shared" si="3"/>
        <v>1.1235955056179803E-2</v>
      </c>
      <c r="M21" s="62" t="str">
        <f>VLOOKUP(N21,유니버스!$C$14:$D$2561,2,0)</f>
        <v>KQ</v>
      </c>
      <c r="N21" s="74" t="str">
        <f>'KoAct AI인프라액티브'!B27</f>
        <v>심텍</v>
      </c>
      <c r="O21" s="74">
        <f>VLOOKUP(N21,'KoAct AI인프라액티브'!$B$11:$E$1000,4,0)</f>
        <v>2.5499999999999998</v>
      </c>
      <c r="P21" s="74">
        <f>IFERROR(VLOOKUP(N21,'KoAct AI인프라액티브(과거)'!$B$11:$E$1000,4,0),0)</f>
        <v>2.14</v>
      </c>
      <c r="Q21" s="26">
        <f t="shared" si="4"/>
        <v>0.4099999999999997</v>
      </c>
      <c r="R21" s="27">
        <f t="shared" si="5"/>
        <v>0.19158878504672883</v>
      </c>
    </row>
    <row r="22" spans="1:18" x14ac:dyDescent="0.4">
      <c r="A22" s="63" t="str">
        <f>VLOOKUP(B22,유니버스!$C$14:$D$2561,2,0)</f>
        <v>KQ</v>
      </c>
      <c r="B22" s="65" t="str">
        <f>'TIMEFOLIO K이노베이션액티브'!B28</f>
        <v>스피어</v>
      </c>
      <c r="C22" s="65">
        <f>VLOOKUP(B22,'TIMEFOLIO K이노베이션액티브'!$B$11:$E$1000,4,0)</f>
        <v>2.2999999999999998</v>
      </c>
      <c r="D22" s="65">
        <f>IFERROR(VLOOKUP(B22,'TIMEFOLIO K이노베이션액티브(과거)'!$B$11:$E$1000,4,0),0)</f>
        <v>2.2999999999999998</v>
      </c>
      <c r="E22" s="26">
        <f t="shared" si="0"/>
        <v>0</v>
      </c>
      <c r="F22" s="27">
        <f t="shared" si="1"/>
        <v>0</v>
      </c>
      <c r="H22" s="65"/>
      <c r="I22" s="65"/>
      <c r="J22" s="65"/>
      <c r="K22" s="20"/>
      <c r="L22" s="21"/>
      <c r="M22" s="62" t="str">
        <f>VLOOKUP(N22,유니버스!$C$14:$D$2561,2,0)</f>
        <v>KS</v>
      </c>
      <c r="N22" s="26" t="str">
        <f>'KoAct AI인프라액티브'!B28</f>
        <v>산일전기</v>
      </c>
      <c r="O22" s="26">
        <f>VLOOKUP(N22,'KoAct AI인프라액티브'!$B$11:$E$1000,4,0)</f>
        <v>2.5499999999999998</v>
      </c>
      <c r="P22" s="26">
        <f>IFERROR(VLOOKUP(N22,'KoAct AI인프라액티브(과거)'!$B$11:$E$1000,4,0),0)</f>
        <v>2.6</v>
      </c>
      <c r="Q22" s="26">
        <f t="shared" si="4"/>
        <v>-5.0000000000000266E-2</v>
      </c>
      <c r="R22" s="27">
        <f t="shared" si="5"/>
        <v>-1.9230769230769384E-2</v>
      </c>
    </row>
    <row r="23" spans="1:18" x14ac:dyDescent="0.4">
      <c r="A23" s="63" t="str">
        <f>VLOOKUP(B23,유니버스!$C$14:$D$2561,2,0)</f>
        <v>KQ</v>
      </c>
      <c r="B23" s="65" t="str">
        <f>'TIMEFOLIO K이노베이션액티브'!B29</f>
        <v>대주전자재료</v>
      </c>
      <c r="C23" s="65">
        <f>VLOOKUP(B23,'TIMEFOLIO K이노베이션액티브'!$B$11:$E$1000,4,0)</f>
        <v>2.23</v>
      </c>
      <c r="D23" s="65">
        <f>IFERROR(VLOOKUP(B23,'TIMEFOLIO K이노베이션액티브(과거)'!$B$11:$E$1000,4,0),0)</f>
        <v>2.56</v>
      </c>
      <c r="E23" s="26">
        <f t="shared" si="0"/>
        <v>-0.33000000000000007</v>
      </c>
      <c r="F23" s="27">
        <f t="shared" si="1"/>
        <v>-0.12890625</v>
      </c>
      <c r="H23" s="65"/>
      <c r="I23" s="65"/>
      <c r="J23" s="65"/>
      <c r="K23" s="20"/>
      <c r="L23" s="21"/>
      <c r="M23" s="62" t="str">
        <f>VLOOKUP(N23,유니버스!$C$14:$D$2561,2,0)</f>
        <v>KQ</v>
      </c>
      <c r="N23" s="26" t="str">
        <f>'KoAct AI인프라액티브'!B29</f>
        <v>HPSP</v>
      </c>
      <c r="O23" s="26">
        <f>VLOOKUP(N23,'KoAct AI인프라액티브'!$B$11:$E$1000,4,0)</f>
        <v>2.36</v>
      </c>
      <c r="P23" s="26">
        <f>IFERROR(VLOOKUP(N23,'KoAct AI인프라액티브(과거)'!$B$11:$E$1000,4,0),0)</f>
        <v>2.29</v>
      </c>
      <c r="Q23" s="26">
        <f t="shared" si="4"/>
        <v>6.999999999999984E-2</v>
      </c>
      <c r="R23" s="27">
        <f t="shared" si="5"/>
        <v>3.0567685589519611E-2</v>
      </c>
    </row>
    <row r="24" spans="1:18" x14ac:dyDescent="0.4">
      <c r="A24" s="63" t="str">
        <f>VLOOKUP(B24,유니버스!$C$14:$D$2561,2,0)</f>
        <v>KQ</v>
      </c>
      <c r="B24" s="65" t="str">
        <f>'TIMEFOLIO K이노베이션액티브'!B30</f>
        <v>기가비스</v>
      </c>
      <c r="C24" s="65">
        <f>VLOOKUP(B24,'TIMEFOLIO K이노베이션액티브'!$B$11:$E$1000,4,0)</f>
        <v>1.68</v>
      </c>
      <c r="D24" s="65">
        <f>IFERROR(VLOOKUP(B24,'TIMEFOLIO K이노베이션액티브(과거)'!$B$11:$E$1000,4,0),0)</f>
        <v>1.64</v>
      </c>
      <c r="E24" s="26">
        <f t="shared" si="0"/>
        <v>4.0000000000000036E-2</v>
      </c>
      <c r="F24" s="27">
        <f t="shared" si="1"/>
        <v>2.4390243902439046E-2</v>
      </c>
      <c r="H24" s="65"/>
      <c r="I24" s="65"/>
      <c r="J24" s="65"/>
      <c r="K24" s="20"/>
      <c r="L24" s="21"/>
      <c r="M24" s="62" t="str">
        <f>VLOOKUP(N24,유니버스!$C$14:$D$2561,2,0)</f>
        <v>KS</v>
      </c>
      <c r="N24" s="26" t="str">
        <f>'KoAct AI인프라액티브'!B30</f>
        <v>현대건설</v>
      </c>
      <c r="O24" s="26">
        <f>VLOOKUP(N24,'KoAct AI인프라액티브'!$B$11:$E$1000,4,0)</f>
        <v>2.04</v>
      </c>
      <c r="P24" s="26">
        <f>IFERROR(VLOOKUP(N24,'KoAct AI인프라액티브(과거)'!$B$11:$E$1000,4,0),0)</f>
        <v>2.2599999999999998</v>
      </c>
      <c r="Q24" s="26">
        <f t="shared" si="4"/>
        <v>-0.21999999999999975</v>
      </c>
      <c r="R24" s="27">
        <f t="shared" si="5"/>
        <v>-9.7345132743362761E-2</v>
      </c>
    </row>
    <row r="25" spans="1:18" x14ac:dyDescent="0.4">
      <c r="A25" s="63" t="str">
        <f>VLOOKUP(B25,유니버스!$C$14:$D$2561,2,0)</f>
        <v>KQ</v>
      </c>
      <c r="B25" s="65" t="str">
        <f>'TIMEFOLIO K이노베이션액티브'!B31</f>
        <v>제주반도체</v>
      </c>
      <c r="C25" s="65">
        <f>VLOOKUP(B25,'TIMEFOLIO K이노베이션액티브'!$B$11:$E$1000,4,0)</f>
        <v>1.52</v>
      </c>
      <c r="D25" s="65">
        <f>IFERROR(VLOOKUP(B25,'TIMEFOLIO K이노베이션액티브(과거)'!$B$11:$E$1000,4,0),0)</f>
        <v>0</v>
      </c>
      <c r="E25" s="26">
        <f t="shared" si="0"/>
        <v>1.52</v>
      </c>
      <c r="F25" s="27" t="str">
        <f t="shared" si="1"/>
        <v>신규편입</v>
      </c>
      <c r="H25" s="65"/>
      <c r="I25" s="65"/>
      <c r="J25" s="65"/>
      <c r="K25" s="20"/>
      <c r="L25" s="21"/>
      <c r="M25" s="62" t="str">
        <f>VLOOKUP(N25,유니버스!$C$14:$D$2561,2,0)</f>
        <v>KS</v>
      </c>
      <c r="N25" s="26" t="str">
        <f>'KoAct AI인프라액티브'!B31</f>
        <v>HD현대중공업</v>
      </c>
      <c r="O25" s="26">
        <f>VLOOKUP(N25,'KoAct AI인프라액티브'!$B$11:$E$1000,4,0)</f>
        <v>1.99</v>
      </c>
      <c r="P25" s="26">
        <f>IFERROR(VLOOKUP(N25,'KoAct AI인프라액티브(과거)'!$B$11:$E$1000,4,0),0)</f>
        <v>1.99</v>
      </c>
      <c r="Q25" s="26">
        <f t="shared" si="4"/>
        <v>0</v>
      </c>
      <c r="R25" s="27">
        <f t="shared" si="5"/>
        <v>0</v>
      </c>
    </row>
    <row r="26" spans="1:18" x14ac:dyDescent="0.4">
      <c r="A26" s="63" t="str">
        <f>VLOOKUP(B26,유니버스!$C$14:$D$2561,2,0)</f>
        <v>KS</v>
      </c>
      <c r="B26" s="65" t="str">
        <f>'TIMEFOLIO K이노베이션액티브'!B32</f>
        <v>코리아써키트</v>
      </c>
      <c r="C26" s="65">
        <f>VLOOKUP(B26,'TIMEFOLIO K이노베이션액티브'!$B$11:$E$1000,4,0)</f>
        <v>1.3</v>
      </c>
      <c r="D26" s="65">
        <f>IFERROR(VLOOKUP(B26,'TIMEFOLIO K이노베이션액티브(과거)'!$B$11:$E$1000,4,0),0)</f>
        <v>1.25</v>
      </c>
      <c r="E26" s="26">
        <f t="shared" si="0"/>
        <v>5.0000000000000044E-2</v>
      </c>
      <c r="F26" s="27">
        <f t="shared" si="1"/>
        <v>4.0000000000000036E-2</v>
      </c>
      <c r="H26" s="65"/>
      <c r="I26" s="65"/>
      <c r="J26" s="65"/>
      <c r="K26" s="20"/>
      <c r="L26" s="21"/>
      <c r="M26" s="62" t="str">
        <f>VLOOKUP(N26,유니버스!$C$14:$D$2561,2,0)</f>
        <v>KQ</v>
      </c>
      <c r="N26" s="26" t="str">
        <f>'KoAct AI인프라액티브'!B32</f>
        <v>하나마이크론</v>
      </c>
      <c r="O26" s="26">
        <f>VLOOKUP(N26,'KoAct AI인프라액티브'!$B$11:$E$1000,4,0)</f>
        <v>1.94</v>
      </c>
      <c r="P26" s="26">
        <f>IFERROR(VLOOKUP(N26,'KoAct AI인프라액티브(과거)'!$B$11:$E$1000,4,0),0)</f>
        <v>2.38</v>
      </c>
      <c r="Q26" s="26">
        <f t="shared" si="4"/>
        <v>-0.43999999999999995</v>
      </c>
      <c r="R26" s="27">
        <f t="shared" si="5"/>
        <v>-0.18487394957983194</v>
      </c>
    </row>
    <row r="27" spans="1:18" x14ac:dyDescent="0.4">
      <c r="A27" s="63" t="str">
        <f>VLOOKUP(B27,유니버스!$C$14:$D$2561,2,0)</f>
        <v>KQ</v>
      </c>
      <c r="B27" s="65" t="str">
        <f>'TIMEFOLIO K이노베이션액티브'!B33</f>
        <v>알지노믹스</v>
      </c>
      <c r="C27" s="65">
        <f>VLOOKUP(B27,'TIMEFOLIO K이노베이션액티브'!$B$11:$E$1000,4,0)</f>
        <v>1.22</v>
      </c>
      <c r="D27" s="65">
        <f>IFERROR(VLOOKUP(B27,'TIMEFOLIO K이노베이션액티브(과거)'!$B$11:$E$1000,4,0),0)</f>
        <v>1.41</v>
      </c>
      <c r="E27" s="26">
        <f t="shared" si="0"/>
        <v>-0.18999999999999995</v>
      </c>
      <c r="F27" s="27">
        <f t="shared" si="1"/>
        <v>-0.13475177304964536</v>
      </c>
      <c r="H27" s="65"/>
      <c r="I27" s="65"/>
      <c r="J27" s="65"/>
      <c r="K27" s="20"/>
      <c r="L27" s="21"/>
      <c r="M27" s="62" t="str">
        <f>VLOOKUP(N27,유니버스!$C$14:$D$2561,2,0)</f>
        <v>KS</v>
      </c>
      <c r="N27" s="26" t="str">
        <f>'KoAct AI인프라액티브'!B33</f>
        <v>LG에너지솔루션</v>
      </c>
      <c r="O27" s="26">
        <f>VLOOKUP(N27,'KoAct AI인프라액티브'!$B$11:$E$1000,4,0)</f>
        <v>1.91</v>
      </c>
      <c r="P27" s="26">
        <f>IFERROR(VLOOKUP(N27,'KoAct AI인프라액티브(과거)'!$B$11:$E$1000,4,0),0)</f>
        <v>2.08</v>
      </c>
      <c r="Q27" s="26">
        <f t="shared" si="4"/>
        <v>-0.17000000000000015</v>
      </c>
      <c r="R27" s="27">
        <f t="shared" si="5"/>
        <v>-8.1730769230769273E-2</v>
      </c>
    </row>
    <row r="28" spans="1:18" x14ac:dyDescent="0.4">
      <c r="A28" s="63" t="str">
        <f>VLOOKUP(B28,유니버스!$C$14:$D$2561,2,0)</f>
        <v>KQ</v>
      </c>
      <c r="B28" s="65" t="str">
        <f>'TIMEFOLIO K이노베이션액티브'!B34</f>
        <v>티엘비</v>
      </c>
      <c r="C28" s="65">
        <f>VLOOKUP(B28,'TIMEFOLIO K이노베이션액티브'!$B$11:$E$1000,4,0)</f>
        <v>1.21</v>
      </c>
      <c r="D28" s="65">
        <f>IFERROR(VLOOKUP(B28,'TIMEFOLIO K이노베이션액티브(과거)'!$B$11:$E$1000,4,0),0)</f>
        <v>1.17</v>
      </c>
      <c r="E28" s="26">
        <f t="shared" si="0"/>
        <v>4.0000000000000036E-2</v>
      </c>
      <c r="F28" s="27">
        <f t="shared" si="1"/>
        <v>3.4188034188034289E-2</v>
      </c>
      <c r="H28" s="65"/>
      <c r="I28" s="65"/>
      <c r="J28" s="65"/>
      <c r="K28" s="20"/>
      <c r="L28" s="21"/>
      <c r="M28" s="62" t="str">
        <f>VLOOKUP(N28,유니버스!$C$14:$D$2561,2,0)</f>
        <v>KS</v>
      </c>
      <c r="N28" s="74" t="str">
        <f>'KoAct AI인프라액티브'!B34</f>
        <v>이수페타시스</v>
      </c>
      <c r="O28" s="74">
        <f>VLOOKUP(N28,'KoAct AI인프라액티브'!$B$11:$E$1000,4,0)</f>
        <v>1.9</v>
      </c>
      <c r="P28" s="74">
        <f>IFERROR(VLOOKUP(N28,'KoAct AI인프라액티브(과거)'!$B$11:$E$1000,4,0),0)</f>
        <v>0</v>
      </c>
      <c r="Q28" s="26">
        <f t="shared" si="4"/>
        <v>1.9</v>
      </c>
      <c r="R28" s="27" t="str">
        <f t="shared" si="5"/>
        <v>신규편입</v>
      </c>
    </row>
    <row r="29" spans="1:18" x14ac:dyDescent="0.4">
      <c r="A29" s="63" t="str">
        <f>VLOOKUP(B29,유니버스!$C$14:$D$2561,2,0)</f>
        <v>KS</v>
      </c>
      <c r="B29" s="65" t="str">
        <f>'TIMEFOLIO K이노베이션액티브'!B35</f>
        <v>비에이치</v>
      </c>
      <c r="C29" s="65">
        <f>VLOOKUP(B29,'TIMEFOLIO K이노베이션액티브'!$B$11:$E$1000,4,0)</f>
        <v>0.72</v>
      </c>
      <c r="D29" s="65">
        <f>IFERROR(VLOOKUP(B29,'TIMEFOLIO K이노베이션액티브(과거)'!$B$11:$E$1000,4,0),0)</f>
        <v>0</v>
      </c>
      <c r="E29" s="26">
        <f t="shared" si="0"/>
        <v>0.72</v>
      </c>
      <c r="F29" s="27" t="str">
        <f t="shared" si="1"/>
        <v>신규편입</v>
      </c>
      <c r="H29" s="65"/>
      <c r="I29" s="65"/>
      <c r="J29" s="65"/>
      <c r="K29" s="20"/>
      <c r="L29" s="21"/>
      <c r="M29" s="62" t="str">
        <f>VLOOKUP(N29,유니버스!$C$14:$D$2561,2,0)</f>
        <v>KQ</v>
      </c>
      <c r="N29" s="74" t="str">
        <f>'KoAct AI인프라액티브'!B35</f>
        <v>한양디지텍</v>
      </c>
      <c r="O29" s="74">
        <f>VLOOKUP(N29,'KoAct AI인프라액티브'!$B$11:$E$1000,4,0)</f>
        <v>1.59</v>
      </c>
      <c r="P29" s="74">
        <f>IFERROR(VLOOKUP(N29,'KoAct AI인프라액티브(과거)'!$B$11:$E$1000,4,0),0)</f>
        <v>0</v>
      </c>
      <c r="Q29" s="26">
        <f t="shared" si="4"/>
        <v>1.59</v>
      </c>
      <c r="R29" s="27" t="str">
        <f t="shared" si="5"/>
        <v>신규편입</v>
      </c>
    </row>
    <row r="30" spans="1:18" x14ac:dyDescent="0.4">
      <c r="A30" s="63" t="str">
        <f>VLOOKUP(B30,유니버스!$C$14:$D$2561,2,0)</f>
        <v>KS</v>
      </c>
      <c r="B30" s="65" t="str">
        <f>'TIMEFOLIO K이노베이션액티브'!B36</f>
        <v>넷마블</v>
      </c>
      <c r="C30" s="65">
        <f>VLOOKUP(B30,'TIMEFOLIO K이노베이션액티브'!$B$11:$E$1000,4,0)</f>
        <v>0.56000000000000005</v>
      </c>
      <c r="D30" s="65">
        <f>IFERROR(VLOOKUP(B30,'TIMEFOLIO K이노베이션액티브(과거)'!$B$11:$E$1000,4,0),0)</f>
        <v>0.59</v>
      </c>
      <c r="E30" s="26">
        <f t="shared" si="0"/>
        <v>-2.9999999999999916E-2</v>
      </c>
      <c r="F30" s="27">
        <f t="shared" si="1"/>
        <v>-5.0847457627118509E-2</v>
      </c>
      <c r="H30" s="65"/>
      <c r="I30" s="65"/>
      <c r="J30" s="65"/>
      <c r="K30" s="20"/>
      <c r="L30" s="21"/>
      <c r="M30" s="62" t="str">
        <f>VLOOKUP(N30,유니버스!$C$14:$D$2561,2,0)</f>
        <v>KS</v>
      </c>
      <c r="N30" s="26" t="str">
        <f>'KoAct AI인프라액티브'!B36</f>
        <v>삼성에스디에스</v>
      </c>
      <c r="O30" s="26">
        <f>VLOOKUP(N30,'KoAct AI인프라액티브'!$B$11:$E$1000,4,0)</f>
        <v>1.35</v>
      </c>
      <c r="P30" s="26">
        <f>IFERROR(VLOOKUP(N30,'KoAct AI인프라액티브(과거)'!$B$11:$E$1000,4,0),0)</f>
        <v>0.44</v>
      </c>
      <c r="Q30" s="26">
        <f t="shared" si="4"/>
        <v>0.91000000000000014</v>
      </c>
      <c r="R30" s="27">
        <f t="shared" si="5"/>
        <v>2.0681818181818183</v>
      </c>
    </row>
    <row r="31" spans="1:18" x14ac:dyDescent="0.4">
      <c r="A31" s="63" t="e">
        <f>VLOOKUP(B31,유니버스!$C$14:$D$2561,2,0)</f>
        <v>#N/A</v>
      </c>
      <c r="B31" s="65" t="str">
        <f>'TIMEFOLIO K이노베이션액티브'!B37</f>
        <v>원화현금</v>
      </c>
      <c r="C31" s="65">
        <f>VLOOKUP(B31,'TIMEFOLIO K이노베이션액티브'!$B$11:$E$1000,4,0)</f>
        <v>0.96</v>
      </c>
      <c r="D31" s="65">
        <f>IFERROR(VLOOKUP(B31,'TIMEFOLIO K이노베이션액티브(과거)'!$B$11:$E$1000,4,0),0)</f>
        <v>1.03</v>
      </c>
      <c r="E31" s="26">
        <f t="shared" si="0"/>
        <v>-7.0000000000000062E-2</v>
      </c>
      <c r="F31" s="27">
        <f t="shared" si="1"/>
        <v>-6.796116504854377E-2</v>
      </c>
      <c r="H31" s="65"/>
      <c r="I31" s="65"/>
      <c r="J31" s="65"/>
      <c r="K31" s="20"/>
      <c r="L31" s="21"/>
      <c r="M31" s="62" t="str">
        <f>VLOOKUP(N31,유니버스!$C$14:$D$2561,2,0)</f>
        <v>KQ</v>
      </c>
      <c r="N31" s="26" t="str">
        <f>'KoAct AI인프라액티브'!B37</f>
        <v>나노</v>
      </c>
      <c r="O31" s="26">
        <f>VLOOKUP(N31,'KoAct AI인프라액티브'!$B$11:$E$1000,4,0)</f>
        <v>1.1399999999999999</v>
      </c>
      <c r="P31" s="26">
        <f>IFERROR(VLOOKUP(N31,'KoAct AI인프라액티브(과거)'!$B$11:$E$1000,4,0),0)</f>
        <v>1.05</v>
      </c>
      <c r="Q31" s="26">
        <f t="shared" si="4"/>
        <v>8.9999999999999858E-2</v>
      </c>
      <c r="R31" s="27">
        <f t="shared" si="5"/>
        <v>8.5714285714285632E-2</v>
      </c>
    </row>
    <row r="32" spans="1:18" x14ac:dyDescent="0.4">
      <c r="A32" s="63" t="e">
        <f>VLOOKUP(B32,유니버스!$C$14:$D$2561,2,0)</f>
        <v>#N/A</v>
      </c>
      <c r="B32" s="65">
        <f>'TIMEFOLIO K이노베이션액티브'!B38</f>
        <v>0</v>
      </c>
      <c r="C32" s="65" t="e">
        <f>VLOOKUP(B32,'TIMEFOLIO K이노베이션액티브'!$B$11:$E$1000,4,0)</f>
        <v>#N/A</v>
      </c>
      <c r="D32" s="65">
        <f>IFERROR(VLOOKUP(B32,'TIMEFOLIO K이노베이션액티브(과거)'!$B$11:$E$1000,4,0),0)</f>
        <v>0</v>
      </c>
      <c r="E32" s="26" t="e">
        <f t="shared" si="0"/>
        <v>#N/A</v>
      </c>
      <c r="F32" s="27" t="str">
        <f t="shared" si="1"/>
        <v>신규편입</v>
      </c>
      <c r="H32" s="65"/>
      <c r="I32" s="65"/>
      <c r="J32" s="65"/>
      <c r="K32" s="20"/>
      <c r="L32" s="21"/>
      <c r="M32" s="62" t="str">
        <f>VLOOKUP(N32,유니버스!$C$14:$D$2561,2,0)</f>
        <v>KQ</v>
      </c>
      <c r="N32" s="26" t="str">
        <f>'KoAct AI인프라액티브'!B38</f>
        <v>이오테크닉스</v>
      </c>
      <c r="O32" s="26">
        <f>VLOOKUP(N32,'KoAct AI인프라액티브'!$B$11:$E$1000,4,0)</f>
        <v>0.8</v>
      </c>
      <c r="P32" s="26">
        <f>IFERROR(VLOOKUP(N32,'KoAct AI인프라액티브(과거)'!$B$11:$E$1000,4,0),0)</f>
        <v>0.68</v>
      </c>
      <c r="Q32" s="26">
        <f t="shared" ref="Q32:Q33" si="6">O32-P32</f>
        <v>0.12</v>
      </c>
      <c r="R32" s="27">
        <f t="shared" ref="R32:R33" si="7">IFERROR(O32/P32-1,"신규편입")</f>
        <v>0.17647058823529416</v>
      </c>
    </row>
    <row r="33" spans="1:18" x14ac:dyDescent="0.4">
      <c r="A33" s="63" t="e">
        <f>VLOOKUP(B33,유니버스!$C$14:$D$2561,2,0)</f>
        <v>#N/A</v>
      </c>
      <c r="B33" s="65">
        <f>'TIMEFOLIO K이노베이션액티브'!B39</f>
        <v>0</v>
      </c>
      <c r="C33" s="65" t="e">
        <f>VLOOKUP(B33,'TIMEFOLIO K이노베이션액티브'!$B$11:$E$1000,4,0)</f>
        <v>#N/A</v>
      </c>
      <c r="D33" s="65">
        <f>IFERROR(VLOOKUP(B33,'TIMEFOLIO K이노베이션액티브(과거)'!$B$11:$E$1000,4,0),0)</f>
        <v>0</v>
      </c>
      <c r="E33" s="26" t="e">
        <f t="shared" ref="E33" si="8">C33-D33</f>
        <v>#N/A</v>
      </c>
      <c r="F33" s="27" t="str">
        <f t="shared" ref="F33" si="9">IFERROR(C33/D33-1,"신규편입")</f>
        <v>신규편입</v>
      </c>
      <c r="H33" s="65"/>
      <c r="I33" s="65"/>
      <c r="J33" s="65"/>
      <c r="K33" s="20"/>
      <c r="L33" s="21"/>
      <c r="M33" s="62" t="str">
        <f>VLOOKUP(N33,유니버스!$C$14:$D$2561,2,0)</f>
        <v>KS</v>
      </c>
      <c r="N33" s="26" t="str">
        <f>'KoAct AI인프라액티브'!B39</f>
        <v>두산에너빌리티</v>
      </c>
      <c r="O33" s="26">
        <f>VLOOKUP(N33,'KoAct AI인프라액티브'!$B$11:$E$1000,4,0)</f>
        <v>0.67</v>
      </c>
      <c r="P33" s="26">
        <f>IFERROR(VLOOKUP(N33,'KoAct AI인프라액티브(과거)'!$B$11:$E$1000,4,0),0)</f>
        <v>0.72</v>
      </c>
      <c r="Q33" s="26">
        <f t="shared" si="6"/>
        <v>-4.9999999999999933E-2</v>
      </c>
      <c r="R33" s="27">
        <f t="shared" si="7"/>
        <v>-6.9444444444444309E-2</v>
      </c>
    </row>
    <row r="34" spans="1:18" x14ac:dyDescent="0.4">
      <c r="A34" s="63" t="e">
        <f>VLOOKUP(B34,유니버스!$C$14:$D$2561,2,0)</f>
        <v>#N/A</v>
      </c>
      <c r="B34" s="65">
        <f>'TIMEFOLIO K이노베이션액티브'!B40</f>
        <v>0</v>
      </c>
      <c r="C34" s="65" t="e">
        <f>VLOOKUP(B34,'TIMEFOLIO K이노베이션액티브'!$B$11:$E$1000,4,0)</f>
        <v>#N/A</v>
      </c>
      <c r="D34" s="65">
        <f>IFERROR(VLOOKUP(B34,'TIMEFOLIO K이노베이션액티브(과거)'!$B$11:$E$1000,4,0),0)</f>
        <v>0</v>
      </c>
      <c r="E34" s="26" t="e">
        <f t="shared" ref="E34:E38" si="10">C34-D34</f>
        <v>#N/A</v>
      </c>
      <c r="F34" s="27" t="str">
        <f t="shared" ref="F34:F38" si="11">IFERROR(C34/D34-1,"신규편입")</f>
        <v>신규편입</v>
      </c>
      <c r="H34" s="65"/>
      <c r="I34" s="65"/>
      <c r="J34" s="65"/>
      <c r="K34" s="20"/>
      <c r="L34" s="21"/>
      <c r="M34" s="62" t="str">
        <f>VLOOKUP(N34,유니버스!$C$14:$D$2561,2,0)</f>
        <v>KQ</v>
      </c>
      <c r="N34" s="26" t="str">
        <f>'KoAct AI인프라액티브'!B40</f>
        <v>저스템</v>
      </c>
      <c r="O34" s="26">
        <f>VLOOKUP(N34,'KoAct AI인프라액티브'!$B$11:$E$1000,4,0)</f>
        <v>0.47</v>
      </c>
      <c r="P34" s="26">
        <f>IFERROR(VLOOKUP(N34,'KoAct AI인프라액티브(과거)'!$B$11:$E$1000,4,0),0)</f>
        <v>0</v>
      </c>
      <c r="Q34" s="26">
        <f t="shared" ref="Q34:Q35" si="12">O34-P34</f>
        <v>0.47</v>
      </c>
      <c r="R34" s="27" t="str">
        <f t="shared" ref="R34:R35" si="13">IFERROR(O34/P34-1,"신규편입")</f>
        <v>신규편입</v>
      </c>
    </row>
    <row r="35" spans="1:18" x14ac:dyDescent="0.4">
      <c r="A35" s="63" t="e">
        <f>VLOOKUP(B35,유니버스!$C$14:$D$2561,2,0)</f>
        <v>#N/A</v>
      </c>
      <c r="B35" s="65">
        <f>'TIMEFOLIO K이노베이션액티브'!B41</f>
        <v>0</v>
      </c>
      <c r="C35" s="65" t="e">
        <f>VLOOKUP(B35,'TIMEFOLIO K이노베이션액티브'!$B$11:$E$1000,4,0)</f>
        <v>#N/A</v>
      </c>
      <c r="D35" s="65">
        <f>IFERROR(VLOOKUP(B35,'TIMEFOLIO K이노베이션액티브(과거)'!$B$11:$E$1000,4,0),0)</f>
        <v>0</v>
      </c>
      <c r="E35" s="26" t="e">
        <f t="shared" si="10"/>
        <v>#N/A</v>
      </c>
      <c r="F35" s="27" t="str">
        <f t="shared" si="11"/>
        <v>신규편입</v>
      </c>
      <c r="H35" s="65"/>
      <c r="I35" s="65"/>
      <c r="J35" s="65"/>
      <c r="K35" s="20"/>
      <c r="L35" s="21"/>
      <c r="M35" s="62" t="str">
        <f>VLOOKUP(N35,유니버스!$C$14:$D$2561,2,0)</f>
        <v>KQ</v>
      </c>
      <c r="N35" s="26" t="str">
        <f>'KoAct AI인프라액티브'!B41</f>
        <v>고영</v>
      </c>
      <c r="O35" s="26">
        <f>VLOOKUP(N35,'KoAct AI인프라액티브'!$B$11:$E$1000,4,0)</f>
        <v>0.21</v>
      </c>
      <c r="P35" s="26">
        <f>IFERROR(VLOOKUP(N35,'KoAct AI인프라액티브(과거)'!$B$11:$E$1000,4,0),0)</f>
        <v>1.79</v>
      </c>
      <c r="Q35" s="26">
        <f t="shared" si="12"/>
        <v>-1.58</v>
      </c>
      <c r="R35" s="27">
        <f t="shared" si="13"/>
        <v>-0.88268156424581012</v>
      </c>
    </row>
    <row r="36" spans="1:18" x14ac:dyDescent="0.4">
      <c r="A36" s="63" t="e">
        <f>VLOOKUP(B36,유니버스!$C$14:$D$2561,2,0)</f>
        <v>#N/A</v>
      </c>
      <c r="B36" s="65">
        <f>'TIMEFOLIO K이노베이션액티브'!B42</f>
        <v>0</v>
      </c>
      <c r="C36" s="65" t="e">
        <f>VLOOKUP(B36,'TIMEFOLIO K이노베이션액티브'!$B$11:$E$1000,4,0)</f>
        <v>#N/A</v>
      </c>
      <c r="D36" s="65">
        <f>IFERROR(VLOOKUP(B36,'TIMEFOLIO K이노베이션액티브(과거)'!$B$11:$E$1000,4,0),0)</f>
        <v>0</v>
      </c>
      <c r="E36" s="26" t="e">
        <f t="shared" si="10"/>
        <v>#N/A</v>
      </c>
      <c r="F36" s="27" t="str">
        <f t="shared" si="11"/>
        <v>신규편입</v>
      </c>
      <c r="H36" s="65"/>
      <c r="I36" s="65"/>
      <c r="J36" s="65"/>
      <c r="K36" s="20"/>
      <c r="L36" s="21"/>
      <c r="M36" s="62" t="str">
        <f>VLOOKUP(N36,유니버스!$C$14:$D$2561,2,0)</f>
        <v>KS</v>
      </c>
      <c r="N36" s="26" t="str">
        <f>'KoAct AI인프라액티브'!B42</f>
        <v>포스코DX</v>
      </c>
      <c r="O36" s="26">
        <f>VLOOKUP(N36,'KoAct AI인프라액티브'!$B$11:$E$1000,4,0)</f>
        <v>0.2</v>
      </c>
      <c r="P36" s="26">
        <f>IFERROR(VLOOKUP(N36,'KoAct AI인프라액티브(과거)'!$B$11:$E$1000,4,0),0)</f>
        <v>0.22</v>
      </c>
      <c r="Q36" s="26">
        <f t="shared" ref="Q36:Q38" si="14">O36-P36</f>
        <v>-1.999999999999999E-2</v>
      </c>
      <c r="R36" s="27">
        <f t="shared" ref="R36:R38" si="15">IFERROR(O36/P36-1,"신규편입")</f>
        <v>-9.0909090909090828E-2</v>
      </c>
    </row>
    <row r="37" spans="1:18" x14ac:dyDescent="0.4">
      <c r="A37" s="63" t="e">
        <f>VLOOKUP(B37,유니버스!$C$14:$D$2561,2,0)</f>
        <v>#N/A</v>
      </c>
      <c r="B37" s="65">
        <f>'TIMEFOLIO K이노베이션액티브'!B43</f>
        <v>0</v>
      </c>
      <c r="C37" s="65" t="e">
        <f>VLOOKUP(B37,'TIMEFOLIO K이노베이션액티브'!$B$11:$E$1000,4,0)</f>
        <v>#N/A</v>
      </c>
      <c r="D37" s="65">
        <f>IFERROR(VLOOKUP(B37,'TIMEFOLIO K이노베이션액티브(과거)'!$B$11:$E$1000,4,0),0)</f>
        <v>0</v>
      </c>
      <c r="E37" s="26" t="e">
        <f t="shared" si="10"/>
        <v>#N/A</v>
      </c>
      <c r="F37" s="27" t="str">
        <f t="shared" si="11"/>
        <v>신규편입</v>
      </c>
      <c r="H37" s="65"/>
      <c r="I37" s="65"/>
      <c r="J37" s="65"/>
      <c r="K37" s="20"/>
      <c r="L37" s="21"/>
      <c r="M37" s="62" t="str">
        <f>VLOOKUP(N37,유니버스!$C$14:$D$2561,2,0)</f>
        <v>KQ</v>
      </c>
      <c r="N37" s="26" t="str">
        <f>'KoAct AI인프라액티브'!B43</f>
        <v>노타</v>
      </c>
      <c r="O37" s="26">
        <f>VLOOKUP(N37,'KoAct AI인프라액티브'!$B$11:$E$1000,4,0)</f>
        <v>0.2</v>
      </c>
      <c r="P37" s="26">
        <f>IFERROR(VLOOKUP(N37,'KoAct AI인프라액티브(과거)'!$B$11:$E$1000,4,0),0)</f>
        <v>0.23</v>
      </c>
      <c r="Q37" s="26">
        <f t="shared" si="14"/>
        <v>-0.03</v>
      </c>
      <c r="R37" s="27">
        <f t="shared" si="15"/>
        <v>-0.13043478260869568</v>
      </c>
    </row>
    <row r="38" spans="1:18" x14ac:dyDescent="0.4">
      <c r="A38" s="63" t="e">
        <f>VLOOKUP(B38,유니버스!$C$14:$D$2561,2,0)</f>
        <v>#N/A</v>
      </c>
      <c r="B38" s="65">
        <f>'TIMEFOLIO K이노베이션액티브'!B44</f>
        <v>0</v>
      </c>
      <c r="C38" s="65" t="e">
        <f>VLOOKUP(B38,'TIMEFOLIO K이노베이션액티브'!$B$11:$E$1000,4,0)</f>
        <v>#N/A</v>
      </c>
      <c r="D38" s="65">
        <f>IFERROR(VLOOKUP(B38,'TIMEFOLIO K이노베이션액티브(과거)'!$B$11:$E$1000,4,0),0)</f>
        <v>0</v>
      </c>
      <c r="E38" s="26" t="e">
        <f t="shared" si="10"/>
        <v>#N/A</v>
      </c>
      <c r="F38" s="27" t="str">
        <f t="shared" si="11"/>
        <v>신규편입</v>
      </c>
      <c r="H38" s="65"/>
      <c r="I38" s="65"/>
      <c r="J38" s="65"/>
      <c r="K38" s="20"/>
      <c r="L38" s="21"/>
      <c r="M38" s="62" t="e">
        <f>VLOOKUP(N38,유니버스!$C$14:$D$2561,2,0)</f>
        <v>#N/A</v>
      </c>
      <c r="N38" s="26" t="str">
        <f>'KoAct AI인프라액티브'!B44</f>
        <v>원화현금</v>
      </c>
      <c r="O38" s="26">
        <f>VLOOKUP(N38,'KoAct AI인프라액티브'!$B$11:$E$1000,4,0)</f>
        <v>1</v>
      </c>
      <c r="P38" s="26">
        <f>IFERROR(VLOOKUP(N38,'KoAct AI인프라액티브(과거)'!$B$11:$E$1000,4,0),0)</f>
        <v>0.59</v>
      </c>
      <c r="Q38" s="26">
        <f t="shared" si="14"/>
        <v>0.41000000000000003</v>
      </c>
      <c r="R38" s="27">
        <f t="shared" si="15"/>
        <v>0.69491525423728828</v>
      </c>
    </row>
    <row r="39" spans="1:18" x14ac:dyDescent="0.4">
      <c r="A39" s="63" t="e">
        <f>VLOOKUP(B39,유니버스!$C$14:$D$2561,2,0)</f>
        <v>#N/A</v>
      </c>
      <c r="B39" s="65"/>
      <c r="C39" s="65"/>
      <c r="D39" s="65"/>
      <c r="E39" s="26"/>
      <c r="F39" s="27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1:18" x14ac:dyDescent="0.4">
      <c r="B40" s="65"/>
      <c r="C40" s="65"/>
      <c r="D40" s="65"/>
      <c r="E40" s="26"/>
      <c r="F40" s="27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6"/>
      <c r="F41" s="27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6"/>
      <c r="F42" s="27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6"/>
      <c r="F43" s="27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6"/>
      <c r="F44" s="27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6"/>
      <c r="F45" s="27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6"/>
      <c r="F46" s="27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6"/>
      <c r="F47" s="27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6"/>
      <c r="F48" s="27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6"/>
      <c r="F49" s="27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6"/>
      <c r="F50" s="27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6"/>
      <c r="F51" s="27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6"/>
      <c r="F52" s="27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6"/>
      <c r="F53" s="27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6"/>
      <c r="F54" s="27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6"/>
      <c r="F55" s="27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6"/>
      <c r="F56" s="27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6"/>
      <c r="F57" s="27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6"/>
      <c r="F58" s="27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6"/>
      <c r="F59" s="27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6"/>
      <c r="F60" s="27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6"/>
      <c r="F61" s="27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6"/>
      <c r="F62" s="27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6"/>
      <c r="F63" s="27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6"/>
      <c r="F64" s="27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6"/>
      <c r="F65" s="27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6"/>
      <c r="F66" s="27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6"/>
      <c r="F67" s="27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6"/>
      <c r="F68" s="27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6"/>
      <c r="F69" s="27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6"/>
      <c r="F70" s="27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6"/>
      <c r="F71" s="27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6"/>
      <c r="F72" s="27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6"/>
      <c r="F73" s="27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6"/>
      <c r="F74" s="27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6"/>
      <c r="F75" s="27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6"/>
      <c r="F76" s="27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6"/>
      <c r="F77" s="27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6"/>
      <c r="F78" s="27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6"/>
      <c r="F79" s="27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6"/>
      <c r="F80" s="27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6"/>
      <c r="F81" s="27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6"/>
      <c r="F82" s="27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6"/>
      <c r="F83" s="27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6"/>
      <c r="F84" s="27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6"/>
      <c r="F85" s="27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6"/>
      <c r="F86" s="27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6"/>
      <c r="F87" s="27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6"/>
      <c r="F88" s="27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6"/>
      <c r="F89" s="27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6"/>
      <c r="F90" s="27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6"/>
      <c r="F91" s="27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6"/>
      <c r="F92" s="27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6"/>
      <c r="F93" s="27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6"/>
      <c r="F94" s="27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6"/>
      <c r="F95" s="27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6"/>
      <c r="F96" s="27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6"/>
      <c r="F97" s="27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6"/>
      <c r="F98" s="27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6"/>
      <c r="F99" s="27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6"/>
      <c r="F100" s="27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6"/>
      <c r="F101" s="27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6"/>
      <c r="F102" s="27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6"/>
      <c r="F103" s="27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6"/>
      <c r="F104" s="27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6"/>
      <c r="F105" s="27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6"/>
      <c r="F106" s="27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6"/>
      <c r="F107" s="27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6"/>
      <c r="F108" s="27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6"/>
      <c r="F109" s="27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6"/>
      <c r="F110" s="27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6"/>
      <c r="F111" s="27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6"/>
      <c r="F112" s="27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18" x14ac:dyDescent="0.4">
      <c r="B113" s="65"/>
      <c r="C113" s="65"/>
      <c r="D113" s="65"/>
      <c r="E113" s="20"/>
      <c r="F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3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R154"/>
  <sheetViews>
    <sheetView topLeftCell="C1" zoomScaleNormal="100" workbookViewId="0">
      <selection activeCell="N13" sqref="N13:P1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코스피액티브'!A9</f>
        <v>TIME 코스피액티브</v>
      </c>
      <c r="H3" s="63" t="str">
        <f>'KODEX 친환경조선해운액티브'!A9</f>
        <v>KODEX 친환경조선해운액티브</v>
      </c>
      <c r="N3" s="62" t="str">
        <f>'TIGER 코리아테크액티브'!A9</f>
        <v>TIGER 코리아테크액티브</v>
      </c>
    </row>
    <row r="4" spans="1:18" x14ac:dyDescent="0.4">
      <c r="B4" s="65" t="s">
        <v>75</v>
      </c>
      <c r="C4" s="66" t="str">
        <f>'KODEX 신재생에너지액티브'!B4</f>
        <v>CPD [20260522]</v>
      </c>
      <c r="D4" s="66" t="str">
        <f>'KODEX 신재생에너지액티브(과거)'!B4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[20260522]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[20260522]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코스피액티브'!B11</f>
        <v>SK하이닉스</v>
      </c>
      <c r="C5" s="65">
        <f>VLOOKUP(B5,'TIMEFOLIO 코스피액티브'!$B$11:$E$1000,4,0)</f>
        <v>27.2</v>
      </c>
      <c r="D5" s="65">
        <f>IFERROR(VLOOKUP(B5,'TIMEFOLIO 코스피액티브(과거)'!$B$11:$E$1000,4,0),0)</f>
        <v>26.8</v>
      </c>
      <c r="E5" s="20">
        <f>C5-D5</f>
        <v>0.39999999999999858</v>
      </c>
      <c r="F5" s="21">
        <f>IFERROR(C5/D5-1,"신규편입")</f>
        <v>1.4925373134328401E-2</v>
      </c>
      <c r="G5" s="63" t="str">
        <f>VLOOKUP(H5,유니버스!$C$14:$D$2561,2,0)</f>
        <v>KS</v>
      </c>
      <c r="H5" s="65" t="str">
        <f>'KODEX 친환경조선해운액티브'!B11</f>
        <v>한화엔진</v>
      </c>
      <c r="I5" s="65">
        <f>VLOOKUP(H5,'KODEX 친환경조선해운액티브'!$B$11:$E$1000,4,0)</f>
        <v>9.26</v>
      </c>
      <c r="J5" s="65">
        <f>IFERROR(VLOOKUP(H5,'KODEX 친환경조선해운액티브(과거)'!$B$11:$E$1000,4,0),0)</f>
        <v>9.1199999999999992</v>
      </c>
      <c r="K5" s="20">
        <f>I5-J5</f>
        <v>0.14000000000000057</v>
      </c>
      <c r="L5" s="21">
        <f>IFERROR(I5/J5-1,"신규편입")</f>
        <v>1.5350877192982448E-2</v>
      </c>
      <c r="M5" s="62" t="str">
        <f>VLOOKUP(N5,유니버스!$C$14:$D$2561,2,0)</f>
        <v>KS</v>
      </c>
      <c r="N5" s="26" t="str">
        <f>'TIGER 코리아테크액티브'!B11</f>
        <v>삼성전자</v>
      </c>
      <c r="O5" s="26">
        <f>VLOOKUP(N5,'TIGER 코리아테크액티브'!$B$11:$E$1000,4,0)</f>
        <v>24.66</v>
      </c>
      <c r="P5" s="26">
        <f>IFERROR(VLOOKUP(N5,'TIGER 코리아테크액티브(과거)'!$B$11:$E$1000,4,0),0)</f>
        <v>23.77</v>
      </c>
      <c r="Q5" s="26">
        <f>O5-P5</f>
        <v>0.89000000000000057</v>
      </c>
      <c r="R5" s="27">
        <f>IFERROR(O5/P5-1,"신규편입")</f>
        <v>3.7442153975599579E-2</v>
      </c>
    </row>
    <row r="6" spans="1:18" x14ac:dyDescent="0.4">
      <c r="A6" s="63" t="str">
        <f>VLOOKUP(B6,유니버스!$C$14:$D$2561,2,0)</f>
        <v>KS</v>
      </c>
      <c r="B6" s="65" t="str">
        <f>'TIMEFOLIO 코스피액티브'!B12</f>
        <v>삼성전자</v>
      </c>
      <c r="C6" s="65">
        <f>VLOOKUP(B6,'TIMEFOLIO 코스피액티브'!$B$11:$E$1000,4,0)</f>
        <v>20.149999999999999</v>
      </c>
      <c r="D6" s="65">
        <f>IFERROR(VLOOKUP(B6,'TIMEFOLIO 코스피액티브(과거)'!$B$11:$E$1000,4,0),0)</f>
        <v>19.13</v>
      </c>
      <c r="E6" s="20">
        <f t="shared" ref="E6:E28" si="0">C6-D6</f>
        <v>1.0199999999999996</v>
      </c>
      <c r="F6" s="21">
        <f t="shared" ref="F6:F28" si="1">IFERROR(C6/D6-1,"신규편입")</f>
        <v>5.3319393622582423E-2</v>
      </c>
      <c r="G6" s="63" t="str">
        <f>VLOOKUP(H6,유니버스!$C$14:$D$2561,2,0)</f>
        <v>KS</v>
      </c>
      <c r="H6" s="65" t="str">
        <f>'KODEX 친환경조선해운액티브'!B12</f>
        <v>HD현대중공업</v>
      </c>
      <c r="I6" s="65">
        <f>VLOOKUP(H6,'KODEX 친환경조선해운액티브'!$B$11:$E$1000,4,0)</f>
        <v>9.24</v>
      </c>
      <c r="J6" s="65">
        <f>IFERROR(VLOOKUP(H6,'KODEX 친환경조선해운액티브(과거)'!$B$11:$E$1000,4,0),0)</f>
        <v>8.7799999999999994</v>
      </c>
      <c r="K6" s="20">
        <f t="shared" ref="K6:K26" si="2">I6-J6</f>
        <v>0.46000000000000085</v>
      </c>
      <c r="L6" s="21">
        <f t="shared" ref="L6:L26" si="3">IFERROR(I6/J6-1,"신규편입")</f>
        <v>5.2391799544419193E-2</v>
      </c>
      <c r="M6" s="62" t="str">
        <f>VLOOKUP(N6,유니버스!$C$14:$D$2561,2,0)</f>
        <v>KS</v>
      </c>
      <c r="N6" s="26" t="str">
        <f>'TIGER 코리아테크액티브'!B12</f>
        <v>SK하이닉스</v>
      </c>
      <c r="O6" s="26">
        <f>VLOOKUP(N6,'TIGER 코리아테크액티브'!$B$11:$E$1000,4,0)</f>
        <v>14.18</v>
      </c>
      <c r="P6" s="26">
        <f>IFERROR(VLOOKUP(N6,'TIGER 코리아테크액티브(과거)'!$B$11:$E$1000,4,0),0)</f>
        <v>14.19</v>
      </c>
      <c r="Q6" s="26">
        <f t="shared" ref="Q6:Q27" si="4">O6-P6</f>
        <v>-9.9999999999997868E-3</v>
      </c>
      <c r="R6" s="27">
        <f t="shared" ref="R6:R27" si="5">IFERROR(O6/P6-1,"신규편입")</f>
        <v>-7.0472163495416407E-4</v>
      </c>
    </row>
    <row r="7" spans="1:18" x14ac:dyDescent="0.4">
      <c r="A7" s="63" t="str">
        <f>VLOOKUP(B7,유니버스!$C$14:$D$2561,2,0)</f>
        <v>KS</v>
      </c>
      <c r="B7" s="71" t="str">
        <f>'TIMEFOLIO 코스피액티브'!B13</f>
        <v>삼성전기</v>
      </c>
      <c r="C7" s="71">
        <f>VLOOKUP(B7,'TIMEFOLIO 코스피액티브'!$B$11:$E$1000,4,0)</f>
        <v>4.72</v>
      </c>
      <c r="D7" s="71">
        <f>IFERROR(VLOOKUP(B7,'TIMEFOLIO 코스피액티브(과거)'!$B$11:$E$1000,4,0),0)</f>
        <v>4.16</v>
      </c>
      <c r="E7" s="20">
        <f t="shared" si="0"/>
        <v>0.55999999999999961</v>
      </c>
      <c r="F7" s="21">
        <f t="shared" si="1"/>
        <v>0.13461538461538458</v>
      </c>
      <c r="G7" s="63" t="str">
        <f>VLOOKUP(H7,유니버스!$C$14:$D$2561,2,0)</f>
        <v>KS</v>
      </c>
      <c r="H7" s="65" t="str">
        <f>'KODEX 친환경조선해운액티브'!B13</f>
        <v>삼성중공업</v>
      </c>
      <c r="I7" s="65">
        <f>VLOOKUP(H7,'KODEX 친환경조선해운액티브'!$B$11:$E$1000,4,0)</f>
        <v>8.4700000000000006</v>
      </c>
      <c r="J7" s="65">
        <f>IFERROR(VLOOKUP(H7,'KODEX 친환경조선해운액티브(과거)'!$B$11:$E$1000,4,0),0)</f>
        <v>8.65</v>
      </c>
      <c r="K7" s="20">
        <f t="shared" si="2"/>
        <v>-0.17999999999999972</v>
      </c>
      <c r="L7" s="21">
        <f t="shared" si="3"/>
        <v>-2.0809248554913284E-2</v>
      </c>
      <c r="M7" s="62" t="str">
        <f>VLOOKUP(N7,유니버스!$C$14:$D$2561,2,0)</f>
        <v>KS</v>
      </c>
      <c r="N7" s="26" t="str">
        <f>'TIGER 코리아테크액티브'!B13</f>
        <v>삼성전기</v>
      </c>
      <c r="O7" s="26">
        <f>VLOOKUP(N7,'TIGER 코리아테크액티브'!$B$11:$E$1000,4,0)</f>
        <v>10.27</v>
      </c>
      <c r="P7" s="26">
        <f>IFERROR(VLOOKUP(N7,'TIGER 코리아테크액티브(과거)'!$B$11:$E$1000,4,0),0)</f>
        <v>9.4499999999999993</v>
      </c>
      <c r="Q7" s="26">
        <f t="shared" si="4"/>
        <v>0.82000000000000028</v>
      </c>
      <c r="R7" s="27">
        <f t="shared" si="5"/>
        <v>8.6772486772486834E-2</v>
      </c>
    </row>
    <row r="8" spans="1:18" x14ac:dyDescent="0.4">
      <c r="A8" s="63" t="str">
        <f>VLOOKUP(B8,유니버스!$C$14:$D$2561,2,0)</f>
        <v>KS</v>
      </c>
      <c r="B8" s="65" t="str">
        <f>'TIMEFOLIO 코스피액티브'!B14</f>
        <v>현대차</v>
      </c>
      <c r="C8" s="65">
        <f>VLOOKUP(B8,'TIMEFOLIO 코스피액티브'!$B$11:$E$1000,4,0)</f>
        <v>4.4800000000000004</v>
      </c>
      <c r="D8" s="65">
        <f>IFERROR(VLOOKUP(B8,'TIMEFOLIO 코스피액티브(과거)'!$B$11:$E$1000,4,0),0)</f>
        <v>4.95</v>
      </c>
      <c r="E8" s="20">
        <f t="shared" si="0"/>
        <v>-0.46999999999999975</v>
      </c>
      <c r="F8" s="21">
        <f t="shared" si="1"/>
        <v>-9.4949494949494895E-2</v>
      </c>
      <c r="G8" s="63" t="str">
        <f>VLOOKUP(H8,유니버스!$C$14:$D$2561,2,0)</f>
        <v>KS</v>
      </c>
      <c r="H8" s="65" t="str">
        <f>'KODEX 친환경조선해운액티브'!B14</f>
        <v>HD현대</v>
      </c>
      <c r="I8" s="65">
        <f>VLOOKUP(H8,'KODEX 친환경조선해운액티브'!$B$11:$E$1000,4,0)</f>
        <v>8.07</v>
      </c>
      <c r="J8" s="65">
        <f>IFERROR(VLOOKUP(H8,'KODEX 친환경조선해운액티브(과거)'!$B$11:$E$1000,4,0),0)</f>
        <v>7.82</v>
      </c>
      <c r="K8" s="20">
        <f t="shared" si="2"/>
        <v>0.25</v>
      </c>
      <c r="L8" s="21">
        <f t="shared" si="3"/>
        <v>3.1969309462915652E-2</v>
      </c>
      <c r="M8" s="62" t="str">
        <f>VLOOKUP(N8,유니버스!$C$14:$D$2561,2,0)</f>
        <v>KS</v>
      </c>
      <c r="N8" s="26" t="str">
        <f>'TIGER 코리아테크액티브'!B14</f>
        <v>SK스퀘어</v>
      </c>
      <c r="O8" s="26">
        <f>VLOOKUP(N8,'TIGER 코리아테크액티브'!$B$11:$E$1000,4,0)</f>
        <v>8.33</v>
      </c>
      <c r="P8" s="26">
        <f>IFERROR(VLOOKUP(N8,'TIGER 코리아테크액티브(과거)'!$B$11:$E$1000,4,0),0)</f>
        <v>8.2799999999999994</v>
      </c>
      <c r="Q8" s="26">
        <f t="shared" si="4"/>
        <v>5.0000000000000711E-2</v>
      </c>
      <c r="R8" s="27">
        <f t="shared" si="5"/>
        <v>6.0386473429951959E-3</v>
      </c>
    </row>
    <row r="9" spans="1:18" x14ac:dyDescent="0.4">
      <c r="A9" s="63" t="str">
        <f>VLOOKUP(B9,유니버스!$C$14:$D$2561,2,0)</f>
        <v>KS</v>
      </c>
      <c r="B9" s="65" t="str">
        <f>'TIMEFOLIO 코스피액티브'!B15</f>
        <v>삼성SDI</v>
      </c>
      <c r="C9" s="65">
        <f>VLOOKUP(B9,'TIMEFOLIO 코스피액티브'!$B$11:$E$1000,4,0)</f>
        <v>4.18</v>
      </c>
      <c r="D9" s="65">
        <f>IFERROR(VLOOKUP(B9,'TIMEFOLIO 코스피액티브(과거)'!$B$11:$E$1000,4,0),0)</f>
        <v>4.38</v>
      </c>
      <c r="E9" s="20">
        <f t="shared" si="0"/>
        <v>-0.20000000000000018</v>
      </c>
      <c r="F9" s="21">
        <f t="shared" si="1"/>
        <v>-4.5662100456621002E-2</v>
      </c>
      <c r="G9" s="63" t="str">
        <f>VLOOKUP(H9,유니버스!$C$14:$D$2561,2,0)</f>
        <v>KS</v>
      </c>
      <c r="H9" s="65" t="str">
        <f>'KODEX 친환경조선해운액티브'!B15</f>
        <v>한화오션</v>
      </c>
      <c r="I9" s="65">
        <f>VLOOKUP(H9,'KODEX 친환경조선해운액티브'!$B$11:$E$1000,4,0)</f>
        <v>7.64</v>
      </c>
      <c r="J9" s="65">
        <f>IFERROR(VLOOKUP(H9,'KODEX 친환경조선해운액티브(과거)'!$B$11:$E$1000,4,0),0)</f>
        <v>7.92</v>
      </c>
      <c r="K9" s="20">
        <f t="shared" si="2"/>
        <v>-0.28000000000000025</v>
      </c>
      <c r="L9" s="21">
        <f t="shared" si="3"/>
        <v>-3.5353535353535359E-2</v>
      </c>
      <c r="M9" s="62" t="str">
        <f>VLOOKUP(N9,유니버스!$C$14:$D$2561,2,0)</f>
        <v>KS</v>
      </c>
      <c r="N9" s="26" t="str">
        <f>'TIGER 코리아테크액티브'!B15</f>
        <v>대덕전자</v>
      </c>
      <c r="O9" s="26">
        <f>VLOOKUP(N9,'TIGER 코리아테크액티브'!$B$11:$E$1000,4,0)</f>
        <v>4.28</v>
      </c>
      <c r="P9" s="26">
        <f>IFERROR(VLOOKUP(N9,'TIGER 코리아테크액티브(과거)'!$B$11:$E$1000,4,0),0)</f>
        <v>4.24</v>
      </c>
      <c r="Q9" s="26">
        <f t="shared" si="4"/>
        <v>4.0000000000000036E-2</v>
      </c>
      <c r="R9" s="27">
        <f t="shared" si="5"/>
        <v>9.4339622641510523E-3</v>
      </c>
    </row>
    <row r="10" spans="1:18" x14ac:dyDescent="0.4">
      <c r="A10" s="63" t="str">
        <f>VLOOKUP(B10,유니버스!$C$14:$D$2561,2,0)</f>
        <v>KS</v>
      </c>
      <c r="B10" s="65" t="str">
        <f>'TIMEFOLIO 코스피액티브'!B16</f>
        <v>효성중공업</v>
      </c>
      <c r="C10" s="65">
        <f>VLOOKUP(B10,'TIMEFOLIO 코스피액티브'!$B$11:$E$1000,4,0)</f>
        <v>3.32</v>
      </c>
      <c r="D10" s="65">
        <f>IFERROR(VLOOKUP(B10,'TIMEFOLIO 코스피액티브(과거)'!$B$11:$E$1000,4,0),0)</f>
        <v>3.32</v>
      </c>
      <c r="E10" s="20">
        <f t="shared" si="0"/>
        <v>0</v>
      </c>
      <c r="F10" s="21">
        <f t="shared" si="1"/>
        <v>0</v>
      </c>
      <c r="G10" s="63" t="str">
        <f>VLOOKUP(H10,유니버스!$C$14:$D$2561,2,0)</f>
        <v>KS</v>
      </c>
      <c r="H10" s="65" t="str">
        <f>'KODEX 친환경조선해운액티브'!B16</f>
        <v>HD한국조선해양</v>
      </c>
      <c r="I10" s="65">
        <f>VLOOKUP(H10,'KODEX 친환경조선해운액티브'!$B$11:$E$1000,4,0)</f>
        <v>7.02</v>
      </c>
      <c r="J10" s="65">
        <f>IFERROR(VLOOKUP(H10,'KODEX 친환경조선해운액티브(과거)'!$B$11:$E$1000,4,0),0)</f>
        <v>7.03</v>
      </c>
      <c r="K10" s="20">
        <f t="shared" si="2"/>
        <v>-1.0000000000000675E-2</v>
      </c>
      <c r="L10" s="21">
        <f t="shared" si="3"/>
        <v>-1.4224751066856944E-3</v>
      </c>
      <c r="M10" s="62" t="str">
        <f>VLOOKUP(N10,유니버스!$C$14:$D$2561,2,0)</f>
        <v>KS</v>
      </c>
      <c r="N10" s="26" t="str">
        <f>'TIGER 코리아테크액티브'!B16</f>
        <v>삼성SDI</v>
      </c>
      <c r="O10" s="26">
        <f>VLOOKUP(N10,'TIGER 코리아테크액티브'!$B$11:$E$1000,4,0)</f>
        <v>4.05</v>
      </c>
      <c r="P10" s="26">
        <f>IFERROR(VLOOKUP(N10,'TIGER 코리아테크액티브(과거)'!$B$11:$E$1000,4,0),0)</f>
        <v>5.1100000000000003</v>
      </c>
      <c r="Q10" s="26">
        <f t="shared" si="4"/>
        <v>-1.0600000000000005</v>
      </c>
      <c r="R10" s="27">
        <f t="shared" si="5"/>
        <v>-0.20743639921722123</v>
      </c>
    </row>
    <row r="11" spans="1:18" x14ac:dyDescent="0.4">
      <c r="A11" s="63" t="str">
        <f>VLOOKUP(B11,유니버스!$C$14:$D$2561,2,0)</f>
        <v>KS</v>
      </c>
      <c r="B11" s="65" t="str">
        <f>'TIMEFOLIO 코스피액티브'!B17</f>
        <v>SK스퀘어</v>
      </c>
      <c r="C11" s="65">
        <f>VLOOKUP(B11,'TIMEFOLIO 코스피액티브'!$B$11:$E$1000,4,0)</f>
        <v>3.31</v>
      </c>
      <c r="D11" s="65">
        <f>IFERROR(VLOOKUP(B11,'TIMEFOLIO 코스피액티브(과거)'!$B$11:$E$1000,4,0),0)</f>
        <v>3.24</v>
      </c>
      <c r="E11" s="20">
        <f t="shared" si="0"/>
        <v>6.999999999999984E-2</v>
      </c>
      <c r="F11" s="21">
        <f t="shared" si="1"/>
        <v>2.1604938271604812E-2</v>
      </c>
      <c r="G11" s="63" t="str">
        <f>VLOOKUP(H11,유니버스!$C$14:$D$2561,2,0)</f>
        <v>KS</v>
      </c>
      <c r="H11" s="65" t="str">
        <f>'KODEX 친환경조선해운액티브'!B17</f>
        <v>한국카본</v>
      </c>
      <c r="I11" s="65">
        <f>VLOOKUP(H11,'KODEX 친환경조선해운액티브'!$B$11:$E$1000,4,0)</f>
        <v>6.53</v>
      </c>
      <c r="J11" s="65">
        <f>IFERROR(VLOOKUP(H11,'KODEX 친환경조선해운액티브(과거)'!$B$11:$E$1000,4,0),0)</f>
        <v>7.06</v>
      </c>
      <c r="K11" s="20">
        <f t="shared" si="2"/>
        <v>-0.52999999999999936</v>
      </c>
      <c r="L11" s="21">
        <f t="shared" si="3"/>
        <v>-7.507082152974498E-2</v>
      </c>
      <c r="M11" s="62" t="str">
        <f>VLOOKUP(N11,유니버스!$C$14:$D$2561,2,0)</f>
        <v>KQ</v>
      </c>
      <c r="N11" s="26" t="str">
        <f>'TIGER 코리아테크액티브'!B17</f>
        <v>올릭스</v>
      </c>
      <c r="O11" s="26">
        <f>VLOOKUP(N11,'TIGER 코리아테크액티브'!$B$11:$E$1000,4,0)</f>
        <v>3.78</v>
      </c>
      <c r="P11" s="26">
        <f>IFERROR(VLOOKUP(N11,'TIGER 코리아테크액티브(과거)'!$B$11:$E$1000,4,0),0)</f>
        <v>4.08</v>
      </c>
      <c r="Q11" s="26">
        <f t="shared" si="4"/>
        <v>-0.30000000000000027</v>
      </c>
      <c r="R11" s="27">
        <f t="shared" si="5"/>
        <v>-7.3529411764705954E-2</v>
      </c>
    </row>
    <row r="12" spans="1:18" x14ac:dyDescent="0.4">
      <c r="A12" s="63" t="str">
        <f>VLOOKUP(B12,유니버스!$C$14:$D$2561,2,0)</f>
        <v>KS</v>
      </c>
      <c r="B12" s="65" t="str">
        <f>'TIMEFOLIO 코스피액티브'!B18</f>
        <v>LS</v>
      </c>
      <c r="C12" s="65">
        <f>VLOOKUP(B12,'TIMEFOLIO 코스피액티브'!$B$11:$E$1000,4,0)</f>
        <v>3.17</v>
      </c>
      <c r="D12" s="65">
        <f>IFERROR(VLOOKUP(B12,'TIMEFOLIO 코스피액티브(과거)'!$B$11:$E$1000,4,0),0)</f>
        <v>3.02</v>
      </c>
      <c r="E12" s="20">
        <f t="shared" si="0"/>
        <v>0.14999999999999991</v>
      </c>
      <c r="F12" s="21">
        <f t="shared" si="1"/>
        <v>4.9668874172185351E-2</v>
      </c>
      <c r="G12" s="63" t="str">
        <f>VLOOKUP(H12,유니버스!$C$14:$D$2561,2,0)</f>
        <v>KS</v>
      </c>
      <c r="H12" s="65" t="str">
        <f>'KODEX 친환경조선해운액티브'!B18</f>
        <v>HD현대마린엔진</v>
      </c>
      <c r="I12" s="65">
        <f>VLOOKUP(H12,'KODEX 친환경조선해운액티브'!$B$11:$E$1000,4,0)</f>
        <v>6.13</v>
      </c>
      <c r="J12" s="65">
        <f>IFERROR(VLOOKUP(H12,'KODEX 친환경조선해운액티브(과거)'!$B$11:$E$1000,4,0),0)</f>
        <v>6.33</v>
      </c>
      <c r="K12" s="20">
        <f t="shared" si="2"/>
        <v>-0.20000000000000018</v>
      </c>
      <c r="L12" s="21">
        <f t="shared" si="3"/>
        <v>-3.1595576619273369E-2</v>
      </c>
      <c r="M12" s="62" t="str">
        <f>VLOOKUP(N12,유니버스!$C$14:$D$2561,2,0)</f>
        <v>KQ</v>
      </c>
      <c r="N12" s="26" t="str">
        <f>'TIGER 코리아테크액티브'!B18</f>
        <v>피에스케이</v>
      </c>
      <c r="O12" s="26">
        <f>VLOOKUP(N12,'TIGER 코리아테크액티브'!$B$11:$E$1000,4,0)</f>
        <v>2.86</v>
      </c>
      <c r="P12" s="26">
        <f>IFERROR(VLOOKUP(N12,'TIGER 코리아테크액티브(과거)'!$B$11:$E$1000,4,0),0)</f>
        <v>2.82</v>
      </c>
      <c r="Q12" s="26">
        <f t="shared" si="4"/>
        <v>4.0000000000000036E-2</v>
      </c>
      <c r="R12" s="27">
        <f t="shared" si="5"/>
        <v>1.4184397163120588E-2</v>
      </c>
    </row>
    <row r="13" spans="1:18" x14ac:dyDescent="0.4">
      <c r="A13" s="63" t="str">
        <f>VLOOKUP(B13,유니버스!$C$14:$D$2561,2,0)</f>
        <v>KS</v>
      </c>
      <c r="B13" s="65" t="str">
        <f>'TIMEFOLIO 코스피액티브'!B19</f>
        <v>에이피알</v>
      </c>
      <c r="C13" s="65">
        <f>VLOOKUP(B13,'TIMEFOLIO 코스피액티브'!$B$11:$E$1000,4,0)</f>
        <v>2.97</v>
      </c>
      <c r="D13" s="65">
        <f>IFERROR(VLOOKUP(B13,'TIMEFOLIO 코스피액티브(과거)'!$B$11:$E$1000,4,0),0)</f>
        <v>2.87</v>
      </c>
      <c r="E13" s="20">
        <f t="shared" si="0"/>
        <v>0.10000000000000009</v>
      </c>
      <c r="F13" s="21">
        <f t="shared" si="1"/>
        <v>3.4843205574912828E-2</v>
      </c>
      <c r="G13" s="63" t="str">
        <f>VLOOKUP(H13,유니버스!$C$14:$D$2561,2,0)</f>
        <v>KS</v>
      </c>
      <c r="H13" s="65" t="str">
        <f>'KODEX 친환경조선해운액티브'!B19</f>
        <v>HD현대마린솔루션</v>
      </c>
      <c r="I13" s="65">
        <f>VLOOKUP(H13,'KODEX 친환경조선해운액티브'!$B$11:$E$1000,4,0)</f>
        <v>5.43</v>
      </c>
      <c r="J13" s="65">
        <f>IFERROR(VLOOKUP(H13,'KODEX 친환경조선해운액티브(과거)'!$B$11:$E$1000,4,0),0)</f>
        <v>5.08</v>
      </c>
      <c r="K13" s="20">
        <f t="shared" si="2"/>
        <v>0.34999999999999964</v>
      </c>
      <c r="L13" s="21">
        <f t="shared" si="3"/>
        <v>6.8897637795275468E-2</v>
      </c>
      <c r="M13" s="62" t="str">
        <f>VLOOKUP(N13,유니버스!$C$14:$D$2561,2,0)</f>
        <v>KQ</v>
      </c>
      <c r="N13" s="74" t="str">
        <f>'TIGER 코리아테크액티브'!B19</f>
        <v>파두</v>
      </c>
      <c r="O13" s="74">
        <f>VLOOKUP(N13,'TIGER 코리아테크액티브'!$B$11:$E$1000,4,0)</f>
        <v>2.84</v>
      </c>
      <c r="P13" s="74">
        <f>IFERROR(VLOOKUP(N13,'TIGER 코리아테크액티브(과거)'!$B$11:$E$1000,4,0),0)</f>
        <v>1.59</v>
      </c>
      <c r="Q13" s="26">
        <f t="shared" si="4"/>
        <v>1.2499999999999998</v>
      </c>
      <c r="R13" s="27">
        <f t="shared" si="5"/>
        <v>0.78616352201257844</v>
      </c>
    </row>
    <row r="14" spans="1:18" x14ac:dyDescent="0.4">
      <c r="A14" s="63" t="str">
        <f>VLOOKUP(B14,유니버스!$C$14:$D$2561,2,0)</f>
        <v>KS</v>
      </c>
      <c r="B14" s="65" t="str">
        <f>'TIMEFOLIO 코스피액티브'!B20</f>
        <v>현대모비스</v>
      </c>
      <c r="C14" s="65">
        <f>VLOOKUP(B14,'TIMEFOLIO 코스피액티브'!$B$11:$E$1000,4,0)</f>
        <v>2.31</v>
      </c>
      <c r="D14" s="65">
        <f>IFERROR(VLOOKUP(B14,'TIMEFOLIO 코스피액티브(과거)'!$B$11:$E$1000,4,0),0)</f>
        <v>2.23</v>
      </c>
      <c r="E14" s="20">
        <f t="shared" si="0"/>
        <v>8.0000000000000071E-2</v>
      </c>
      <c r="F14" s="21">
        <f t="shared" si="1"/>
        <v>3.5874439461883512E-2</v>
      </c>
      <c r="G14" s="63" t="str">
        <f>VLOOKUP(H14,유니버스!$C$14:$D$2561,2,0)</f>
        <v>KQ</v>
      </c>
      <c r="H14" s="65" t="str">
        <f>'KODEX 친환경조선해운액티브'!B20</f>
        <v>동성화인텍</v>
      </c>
      <c r="I14" s="65">
        <f>VLOOKUP(H14,'KODEX 친환경조선해운액티브'!$B$11:$E$1000,4,0)</f>
        <v>4.3</v>
      </c>
      <c r="J14" s="65">
        <f>IFERROR(VLOOKUP(H14,'KODEX 친환경조선해운액티브(과거)'!$B$11:$E$1000,4,0),0)</f>
        <v>4.3499999999999996</v>
      </c>
      <c r="K14" s="20">
        <f t="shared" si="2"/>
        <v>-4.9999999999999822E-2</v>
      </c>
      <c r="L14" s="21">
        <f t="shared" si="3"/>
        <v>-1.1494252873563204E-2</v>
      </c>
      <c r="M14" s="62" t="str">
        <f>VLOOKUP(N14,유니버스!$C$14:$D$2561,2,0)</f>
        <v>KQ</v>
      </c>
      <c r="N14" s="26" t="str">
        <f>'TIGER 코리아테크액티브'!B20</f>
        <v>두산테스나</v>
      </c>
      <c r="O14" s="26">
        <f>VLOOKUP(N14,'TIGER 코리아테크액티브'!$B$11:$E$1000,4,0)</f>
        <v>2.82</v>
      </c>
      <c r="P14" s="26">
        <f>IFERROR(VLOOKUP(N14,'TIGER 코리아테크액티브(과거)'!$B$11:$E$1000,4,0),0)</f>
        <v>2.73</v>
      </c>
      <c r="Q14" s="26">
        <f t="shared" si="4"/>
        <v>8.9999999999999858E-2</v>
      </c>
      <c r="R14" s="27">
        <f t="shared" si="5"/>
        <v>3.296703296703285E-2</v>
      </c>
    </row>
    <row r="15" spans="1:18" x14ac:dyDescent="0.4">
      <c r="A15" s="63" t="str">
        <f>VLOOKUP(B15,유니버스!$C$14:$D$2561,2,0)</f>
        <v>KS</v>
      </c>
      <c r="B15" s="65" t="str">
        <f>'TIMEFOLIO 코스피액티브'!B21</f>
        <v>LG에너지솔루션</v>
      </c>
      <c r="C15" s="65">
        <f>VLOOKUP(B15,'TIMEFOLIO 코스피액티브'!$B$11:$E$1000,4,0)</f>
        <v>2.17</v>
      </c>
      <c r="D15" s="65">
        <f>IFERROR(VLOOKUP(B15,'TIMEFOLIO 코스피액티브(과거)'!$B$11:$E$1000,4,0),0)</f>
        <v>2.37</v>
      </c>
      <c r="E15" s="20">
        <f t="shared" si="0"/>
        <v>-0.20000000000000018</v>
      </c>
      <c r="F15" s="21">
        <f t="shared" si="1"/>
        <v>-8.4388185654008518E-2</v>
      </c>
      <c r="G15" s="63" t="str">
        <f>VLOOKUP(H15,유니버스!$C$14:$D$2561,2,0)</f>
        <v>KS</v>
      </c>
      <c r="H15" s="65" t="str">
        <f>'KODEX 친환경조선해운액티브'!B21</f>
        <v>팬오션</v>
      </c>
      <c r="I15" s="65">
        <f>VLOOKUP(H15,'KODEX 친환경조선해운액티브'!$B$11:$E$1000,4,0)</f>
        <v>4.04</v>
      </c>
      <c r="J15" s="65">
        <f>IFERROR(VLOOKUP(H15,'KODEX 친환경조선해운액티브(과거)'!$B$11:$E$1000,4,0),0)</f>
        <v>4.16</v>
      </c>
      <c r="K15" s="20">
        <f t="shared" si="2"/>
        <v>-0.12000000000000011</v>
      </c>
      <c r="L15" s="21">
        <f t="shared" si="3"/>
        <v>-2.8846153846153855E-2</v>
      </c>
      <c r="M15" s="62" t="str">
        <f>VLOOKUP(N15,유니버스!$C$14:$D$2561,2,0)</f>
        <v>KQ</v>
      </c>
      <c r="N15" s="26" t="str">
        <f>'TIGER 코리아테크액티브'!B21</f>
        <v>기가비스</v>
      </c>
      <c r="O15" s="26">
        <f>VLOOKUP(N15,'TIGER 코리아테크액티브'!$B$11:$E$1000,4,0)</f>
        <v>2.36</v>
      </c>
      <c r="P15" s="26">
        <f>IFERROR(VLOOKUP(N15,'TIGER 코리아테크액티브(과거)'!$B$11:$E$1000,4,0),0)</f>
        <v>2.4</v>
      </c>
      <c r="Q15" s="26">
        <f t="shared" si="4"/>
        <v>-4.0000000000000036E-2</v>
      </c>
      <c r="R15" s="27">
        <f t="shared" si="5"/>
        <v>-1.6666666666666718E-2</v>
      </c>
    </row>
    <row r="16" spans="1:18" x14ac:dyDescent="0.4">
      <c r="A16" s="63" t="str">
        <f>VLOOKUP(B16,유니버스!$C$14:$D$2561,2,0)</f>
        <v>KS</v>
      </c>
      <c r="B16" s="65" t="str">
        <f>'TIMEFOLIO 코스피액티브'!B22</f>
        <v>삼성물산</v>
      </c>
      <c r="C16" s="65">
        <f>VLOOKUP(B16,'TIMEFOLIO 코스피액티브'!$B$11:$E$1000,4,0)</f>
        <v>2.13</v>
      </c>
      <c r="D16" s="65">
        <f>IFERROR(VLOOKUP(B16,'TIMEFOLIO 코스피액티브(과거)'!$B$11:$E$1000,4,0),0)</f>
        <v>2.13</v>
      </c>
      <c r="E16" s="20">
        <f t="shared" si="0"/>
        <v>0</v>
      </c>
      <c r="F16" s="21">
        <f t="shared" si="1"/>
        <v>0</v>
      </c>
      <c r="G16" s="63" t="str">
        <f>VLOOKUP(H16,유니버스!$C$14:$D$2561,2,0)</f>
        <v>KS</v>
      </c>
      <c r="H16" s="65" t="str">
        <f>'KODEX 친환경조선해운액티브'!B22</f>
        <v>STX엔진</v>
      </c>
      <c r="I16" s="65">
        <f>VLOOKUP(H16,'KODEX 친환경조선해운액티브'!$B$11:$E$1000,4,0)</f>
        <v>3.75</v>
      </c>
      <c r="J16" s="65">
        <f>IFERROR(VLOOKUP(H16,'KODEX 친환경조선해운액티브(과거)'!$B$11:$E$1000,4,0),0)</f>
        <v>3.79</v>
      </c>
      <c r="K16" s="20">
        <f t="shared" si="2"/>
        <v>-4.0000000000000036E-2</v>
      </c>
      <c r="L16" s="21">
        <f t="shared" si="3"/>
        <v>-1.0554089709762571E-2</v>
      </c>
      <c r="M16" s="62" t="str">
        <f>VLOOKUP(N16,유니버스!$C$14:$D$2561,2,0)</f>
        <v>KQ</v>
      </c>
      <c r="N16" s="26" t="str">
        <f>'TIGER 코리아테크액티브'!B22</f>
        <v>티에스이</v>
      </c>
      <c r="O16" s="26">
        <f>VLOOKUP(N16,'TIGER 코리아테크액티브'!$B$11:$E$1000,4,0)</f>
        <v>1.99</v>
      </c>
      <c r="P16" s="26">
        <f>IFERROR(VLOOKUP(N16,'TIGER 코리아테크액티브(과거)'!$B$11:$E$1000,4,0),0)</f>
        <v>2.08</v>
      </c>
      <c r="Q16" s="26">
        <f t="shared" si="4"/>
        <v>-9.000000000000008E-2</v>
      </c>
      <c r="R16" s="27">
        <f t="shared" si="5"/>
        <v>-4.3269230769230838E-2</v>
      </c>
    </row>
    <row r="17" spans="1:18" x14ac:dyDescent="0.4">
      <c r="A17" s="63" t="str">
        <f>VLOOKUP(B17,유니버스!$C$14:$D$2561,2,0)</f>
        <v>KS</v>
      </c>
      <c r="B17" s="65" t="str">
        <f>'TIMEFOLIO 코스피액티브'!B23</f>
        <v>LS ELECTRIC</v>
      </c>
      <c r="C17" s="65">
        <f>VLOOKUP(B17,'TIMEFOLIO 코스피액티브'!$B$11:$E$1000,4,0)</f>
        <v>2.0699999999999998</v>
      </c>
      <c r="D17" s="65">
        <f>IFERROR(VLOOKUP(B17,'TIMEFOLIO 코스피액티브(과거)'!$B$11:$E$1000,4,0),0)</f>
        <v>2.08</v>
      </c>
      <c r="E17" s="20">
        <f t="shared" si="0"/>
        <v>-1.0000000000000231E-2</v>
      </c>
      <c r="F17" s="21">
        <f t="shared" si="1"/>
        <v>-4.8076923076924016E-3</v>
      </c>
      <c r="G17" s="63" t="str">
        <f>VLOOKUP(H17,유니버스!$C$14:$D$2561,2,0)</f>
        <v>KS</v>
      </c>
      <c r="H17" s="71" t="str">
        <f>'KODEX 친환경조선해운액티브'!B23</f>
        <v>SK</v>
      </c>
      <c r="I17" s="71">
        <f>VLOOKUP(H17,'KODEX 친환경조선해운액티브'!$B$11:$E$1000,4,0)</f>
        <v>3.57</v>
      </c>
      <c r="J17" s="71">
        <f>IFERROR(VLOOKUP(H17,'KODEX 친환경조선해운액티브(과거)'!$B$11:$E$1000,4,0),0)</f>
        <v>3.11</v>
      </c>
      <c r="K17" s="20">
        <f t="shared" si="2"/>
        <v>0.45999999999999996</v>
      </c>
      <c r="L17" s="21">
        <f t="shared" si="3"/>
        <v>0.14790996784565924</v>
      </c>
      <c r="M17" s="62" t="str">
        <f>VLOOKUP(N17,유니버스!$C$14:$D$2561,2,0)</f>
        <v>KQ</v>
      </c>
      <c r="N17" s="74" t="str">
        <f>'TIGER 코리아테크액티브'!B23</f>
        <v>엠케이전자</v>
      </c>
      <c r="O17" s="74">
        <f>VLOOKUP(N17,'TIGER 코리아테크액티브'!$B$11:$E$1000,4,0)</f>
        <v>1.94</v>
      </c>
      <c r="P17" s="74">
        <f>IFERROR(VLOOKUP(N17,'TIGER 코리아테크액티브(과거)'!$B$11:$E$1000,4,0),0)</f>
        <v>1.73</v>
      </c>
      <c r="Q17" s="26">
        <f t="shared" si="4"/>
        <v>0.20999999999999996</v>
      </c>
      <c r="R17" s="27">
        <f t="shared" si="5"/>
        <v>0.12138728323699421</v>
      </c>
    </row>
    <row r="18" spans="1:18" x14ac:dyDescent="0.4">
      <c r="A18" s="63" t="str">
        <f>VLOOKUP(B18,유니버스!$C$14:$D$2561,2,0)</f>
        <v>KS</v>
      </c>
      <c r="B18" s="65" t="str">
        <f>'TIMEFOLIO 코스피액티브'!B24</f>
        <v>삼성화재</v>
      </c>
      <c r="C18" s="65">
        <f>VLOOKUP(B18,'TIMEFOLIO 코스피액티브'!$B$11:$E$1000,4,0)</f>
        <v>1.91</v>
      </c>
      <c r="D18" s="65">
        <f>IFERROR(VLOOKUP(B18,'TIMEFOLIO 코스피액티브(과거)'!$B$11:$E$1000,4,0),0)</f>
        <v>1.97</v>
      </c>
      <c r="E18" s="20">
        <f t="shared" si="0"/>
        <v>-6.0000000000000053E-2</v>
      </c>
      <c r="F18" s="21">
        <f t="shared" si="1"/>
        <v>-3.0456852791878153E-2</v>
      </c>
      <c r="G18" s="63" t="str">
        <f>VLOOKUP(H18,유니버스!$C$14:$D$2561,2,0)</f>
        <v>KS</v>
      </c>
      <c r="H18" s="65" t="str">
        <f>'KODEX 친환경조선해운액티브'!B24</f>
        <v>대한조선</v>
      </c>
      <c r="I18" s="65">
        <f>VLOOKUP(H18,'KODEX 친환경조선해운액티브'!$B$11:$E$1000,4,0)</f>
        <v>3.55</v>
      </c>
      <c r="J18" s="65">
        <f>IFERROR(VLOOKUP(H18,'KODEX 친환경조선해운액티브(과거)'!$B$11:$E$1000,4,0),0)</f>
        <v>3.61</v>
      </c>
      <c r="K18" s="20">
        <f t="shared" si="2"/>
        <v>-6.0000000000000053E-2</v>
      </c>
      <c r="L18" s="21">
        <f t="shared" si="3"/>
        <v>-1.6620498614958512E-2</v>
      </c>
      <c r="M18" s="62" t="str">
        <f>VLOOKUP(N18,유니버스!$C$14:$D$2561,2,0)</f>
        <v>KQ</v>
      </c>
      <c r="N18" s="26" t="str">
        <f>'TIGER 코리아테크액티브'!B24</f>
        <v>브이엠</v>
      </c>
      <c r="O18" s="26">
        <f>VLOOKUP(N18,'TIGER 코리아테크액티브'!$B$11:$E$1000,4,0)</f>
        <v>1.68</v>
      </c>
      <c r="P18" s="26">
        <f>IFERROR(VLOOKUP(N18,'TIGER 코리아테크액티브(과거)'!$B$11:$E$1000,4,0),0)</f>
        <v>1.62</v>
      </c>
      <c r="Q18" s="26">
        <f t="shared" si="4"/>
        <v>5.9999999999999831E-2</v>
      </c>
      <c r="R18" s="27">
        <f t="shared" si="5"/>
        <v>3.7037037037036979E-2</v>
      </c>
    </row>
    <row r="19" spans="1:18" x14ac:dyDescent="0.4">
      <c r="A19" s="63" t="str">
        <f>VLOOKUP(B19,유니버스!$C$14:$D$2561,2,0)</f>
        <v>KS</v>
      </c>
      <c r="B19" s="65" t="str">
        <f>'TIMEFOLIO 코스피액티브'!B25</f>
        <v>SK</v>
      </c>
      <c r="C19" s="65">
        <f>VLOOKUP(B19,'TIMEFOLIO 코스피액티브'!$B$11:$E$1000,4,0)</f>
        <v>1.77</v>
      </c>
      <c r="D19" s="65">
        <f>IFERROR(VLOOKUP(B19,'TIMEFOLIO 코스피액티브(과거)'!$B$11:$E$1000,4,0),0)</f>
        <v>1.59</v>
      </c>
      <c r="E19" s="20">
        <f t="shared" si="0"/>
        <v>0.17999999999999994</v>
      </c>
      <c r="F19" s="21">
        <f t="shared" si="1"/>
        <v>0.1132075471698113</v>
      </c>
      <c r="G19" s="63" t="str">
        <f>VLOOKUP(H19,유니버스!$C$14:$D$2561,2,0)</f>
        <v>KS</v>
      </c>
      <c r="H19" s="65" t="str">
        <f>'KODEX 친환경조선해운액티브'!B25</f>
        <v>한화시스템</v>
      </c>
      <c r="I19" s="65">
        <f>VLOOKUP(H19,'KODEX 친환경조선해운액티브'!$B$11:$E$1000,4,0)</f>
        <v>2.92</v>
      </c>
      <c r="J19" s="65">
        <f>IFERROR(VLOOKUP(H19,'KODEX 친환경조선해운액티브(과거)'!$B$11:$E$1000,4,0),0)</f>
        <v>2.93</v>
      </c>
      <c r="K19" s="20">
        <f t="shared" si="2"/>
        <v>-1.0000000000000231E-2</v>
      </c>
      <c r="L19" s="21">
        <f t="shared" si="3"/>
        <v>-3.4129692832765013E-3</v>
      </c>
      <c r="M19" s="62" t="str">
        <f>VLOOKUP(N19,유니버스!$C$14:$D$2561,2,0)</f>
        <v>KQ</v>
      </c>
      <c r="N19" s="26" t="str">
        <f>'TIGER 코리아테크액티브'!B25</f>
        <v>네오티스</v>
      </c>
      <c r="O19" s="26">
        <f>VLOOKUP(N19,'TIGER 코리아테크액티브'!$B$11:$E$1000,4,0)</f>
        <v>1.66</v>
      </c>
      <c r="P19" s="26">
        <f>IFERROR(VLOOKUP(N19,'TIGER 코리아테크액티브(과거)'!$B$11:$E$1000,4,0),0)</f>
        <v>1.91</v>
      </c>
      <c r="Q19" s="26">
        <f t="shared" si="4"/>
        <v>-0.25</v>
      </c>
      <c r="R19" s="27">
        <f t="shared" si="5"/>
        <v>-0.13089005235602091</v>
      </c>
    </row>
    <row r="20" spans="1:18" x14ac:dyDescent="0.4">
      <c r="A20" s="63" t="str">
        <f>VLOOKUP(B20,유니버스!$C$14:$D$2561,2,0)</f>
        <v>KS</v>
      </c>
      <c r="B20" s="65" t="str">
        <f>'TIMEFOLIO 코스피액티브'!B26</f>
        <v>두산</v>
      </c>
      <c r="C20" s="65">
        <f>VLOOKUP(B20,'TIMEFOLIO 코스피액티브'!$B$11:$E$1000,4,0)</f>
        <v>1.62</v>
      </c>
      <c r="D20" s="65">
        <f>IFERROR(VLOOKUP(B20,'TIMEFOLIO 코스피액티브(과거)'!$B$11:$E$1000,4,0),0)</f>
        <v>1.72</v>
      </c>
      <c r="E20" s="20">
        <f t="shared" si="0"/>
        <v>-9.9999999999999867E-2</v>
      </c>
      <c r="F20" s="21">
        <f t="shared" si="1"/>
        <v>-5.8139534883720811E-2</v>
      </c>
      <c r="G20" s="63" t="str">
        <f>VLOOKUP(H20,유니버스!$C$14:$D$2561,2,0)</f>
        <v>KS</v>
      </c>
      <c r="H20" s="65" t="str">
        <f>'KODEX 친환경조선해운액티브'!B26</f>
        <v>HMM</v>
      </c>
      <c r="I20" s="65">
        <f>VLOOKUP(H20,'KODEX 친환경조선해운액티브'!$B$11:$E$1000,4,0)</f>
        <v>2.78</v>
      </c>
      <c r="J20" s="65">
        <f>IFERROR(VLOOKUP(H20,'KODEX 친환경조선해운액티브(과거)'!$B$11:$E$1000,4,0),0)</f>
        <v>2.73</v>
      </c>
      <c r="K20" s="20">
        <f t="shared" si="2"/>
        <v>4.9999999999999822E-2</v>
      </c>
      <c r="L20" s="21">
        <f t="shared" si="3"/>
        <v>1.831501831501825E-2</v>
      </c>
      <c r="M20" s="62" t="str">
        <f>VLOOKUP(N20,유니버스!$C$14:$D$2561,2,0)</f>
        <v>KS</v>
      </c>
      <c r="N20" s="74" t="str">
        <f>'TIGER 코리아테크액티브'!B26</f>
        <v>두산</v>
      </c>
      <c r="O20" s="74">
        <f>VLOOKUP(N20,'TIGER 코리아테크액티브'!$B$11:$E$1000,4,0)</f>
        <v>1.56</v>
      </c>
      <c r="P20" s="74">
        <f>IFERROR(VLOOKUP(N20,'TIGER 코리아테크액티브(과거)'!$B$11:$E$1000,4,0),0)</f>
        <v>0.84</v>
      </c>
      <c r="Q20" s="26">
        <f t="shared" si="4"/>
        <v>0.72000000000000008</v>
      </c>
      <c r="R20" s="27">
        <f t="shared" si="5"/>
        <v>0.85714285714285721</v>
      </c>
    </row>
    <row r="21" spans="1:18" x14ac:dyDescent="0.4">
      <c r="A21" s="63" t="str">
        <f>VLOOKUP(B21,유니버스!$C$14:$D$2561,2,0)</f>
        <v>KS</v>
      </c>
      <c r="B21" s="65" t="str">
        <f>'TIMEFOLIO 코스피액티브'!B27</f>
        <v>한화에어로스페이스</v>
      </c>
      <c r="C21" s="65">
        <f>VLOOKUP(B21,'TIMEFOLIO 코스피액티브'!$B$11:$E$1000,4,0)</f>
        <v>1.6</v>
      </c>
      <c r="D21" s="65">
        <f>IFERROR(VLOOKUP(B21,'TIMEFOLIO 코스피액티브(과거)'!$B$11:$E$1000,4,0),0)</f>
        <v>1.64</v>
      </c>
      <c r="E21" s="20">
        <f t="shared" si="0"/>
        <v>-3.9999999999999813E-2</v>
      </c>
      <c r="F21" s="21">
        <f t="shared" si="1"/>
        <v>-2.4390243902438935E-2</v>
      </c>
      <c r="G21" s="63" t="str">
        <f>VLOOKUP(H21,유니버스!$C$14:$D$2561,2,0)</f>
        <v>KS</v>
      </c>
      <c r="H21" s="65" t="str">
        <f>'KODEX 친환경조선해운액티브'!B27</f>
        <v>HJ중공업</v>
      </c>
      <c r="I21" s="65">
        <f>VLOOKUP(H21,'KODEX 친환경조선해운액티브'!$B$11:$E$1000,4,0)</f>
        <v>1.19</v>
      </c>
      <c r="J21" s="65">
        <f>IFERROR(VLOOKUP(H21,'KODEX 친환경조선해운액티브(과거)'!$B$11:$E$1000,4,0),0)</f>
        <v>1.29</v>
      </c>
      <c r="K21" s="20">
        <f t="shared" si="2"/>
        <v>-0.10000000000000009</v>
      </c>
      <c r="L21" s="21">
        <f t="shared" si="3"/>
        <v>-7.7519379844961267E-2</v>
      </c>
      <c r="M21" s="62" t="str">
        <f>VLOOKUP(N21,유니버스!$C$14:$D$2561,2,0)</f>
        <v>KQ</v>
      </c>
      <c r="N21" s="26" t="str">
        <f>'TIGER 코리아테크액티브'!B27</f>
        <v>GST</v>
      </c>
      <c r="O21" s="26">
        <f>VLOOKUP(N21,'TIGER 코리아테크액티브'!$B$11:$E$1000,4,0)</f>
        <v>1.47</v>
      </c>
      <c r="P21" s="26">
        <f>IFERROR(VLOOKUP(N21,'TIGER 코리아테크액티브(과거)'!$B$11:$E$1000,4,0),0)</f>
        <v>1.49</v>
      </c>
      <c r="Q21" s="26">
        <f t="shared" si="4"/>
        <v>-2.0000000000000018E-2</v>
      </c>
      <c r="R21" s="27">
        <f t="shared" si="5"/>
        <v>-1.3422818791946289E-2</v>
      </c>
    </row>
    <row r="22" spans="1:18" x14ac:dyDescent="0.4">
      <c r="A22" s="63" t="str">
        <f>VLOOKUP(B22,유니버스!$C$14:$D$2561,2,0)</f>
        <v>KS</v>
      </c>
      <c r="B22" s="65" t="str">
        <f>'TIMEFOLIO 코스피액티브'!B28</f>
        <v>POSCO홀딩스</v>
      </c>
      <c r="C22" s="65">
        <f>VLOOKUP(B22,'TIMEFOLIO 코스피액티브'!$B$11:$E$1000,4,0)</f>
        <v>1.5</v>
      </c>
      <c r="D22" s="65">
        <f>IFERROR(VLOOKUP(B22,'TIMEFOLIO 코스피액티브(과거)'!$B$11:$E$1000,4,0),0)</f>
        <v>1.66</v>
      </c>
      <c r="E22" s="20">
        <f t="shared" si="0"/>
        <v>-0.15999999999999992</v>
      </c>
      <c r="F22" s="21">
        <f t="shared" si="1"/>
        <v>-9.6385542168674676E-2</v>
      </c>
      <c r="G22" s="63" t="str">
        <f>VLOOKUP(H22,유니버스!$C$14:$D$2561,2,0)</f>
        <v>KS</v>
      </c>
      <c r="H22" s="65" t="str">
        <f>'KODEX 친환경조선해운액티브'!B28</f>
        <v>대한해운</v>
      </c>
      <c r="I22" s="65">
        <f>VLOOKUP(H22,'KODEX 친환경조선해운액티브'!$B$11:$E$1000,4,0)</f>
        <v>1.07</v>
      </c>
      <c r="J22" s="65">
        <f>IFERROR(VLOOKUP(H22,'KODEX 친환경조선해운액티브(과거)'!$B$11:$E$1000,4,0),0)</f>
        <v>1.0900000000000001</v>
      </c>
      <c r="K22" s="20">
        <f t="shared" si="2"/>
        <v>-2.0000000000000018E-2</v>
      </c>
      <c r="L22" s="21">
        <f t="shared" si="3"/>
        <v>-1.834862385321101E-2</v>
      </c>
      <c r="M22" s="62" t="str">
        <f>VLOOKUP(N22,유니버스!$C$14:$D$2561,2,0)</f>
        <v>KS</v>
      </c>
      <c r="N22" s="74" t="str">
        <f>'TIGER 코리아테크액티브'!B28</f>
        <v>이수페타시스</v>
      </c>
      <c r="O22" s="74">
        <f>VLOOKUP(N22,'TIGER 코리아테크액티브'!$B$11:$E$1000,4,0)</f>
        <v>1.4</v>
      </c>
      <c r="P22" s="74">
        <f>IFERROR(VLOOKUP(N22,'TIGER 코리아테크액티브(과거)'!$B$11:$E$1000,4,0),0)</f>
        <v>0.97</v>
      </c>
      <c r="Q22" s="26">
        <f t="shared" si="4"/>
        <v>0.42999999999999994</v>
      </c>
      <c r="R22" s="27">
        <f t="shared" si="5"/>
        <v>0.44329896907216493</v>
      </c>
    </row>
    <row r="23" spans="1:18" x14ac:dyDescent="0.4">
      <c r="A23" s="63" t="str">
        <f>VLOOKUP(B23,유니버스!$C$14:$D$2561,2,0)</f>
        <v>KS</v>
      </c>
      <c r="B23" s="65" t="str">
        <f>'TIMEFOLIO 코스피액티브'!B29</f>
        <v>HD현대중공업</v>
      </c>
      <c r="C23" s="65">
        <f>VLOOKUP(B23,'TIMEFOLIO 코스피액티브'!$B$11:$E$1000,4,0)</f>
        <v>1.38</v>
      </c>
      <c r="D23" s="65">
        <f>IFERROR(VLOOKUP(B23,'TIMEFOLIO 코스피액티브(과거)'!$B$11:$E$1000,4,0),0)</f>
        <v>1.39</v>
      </c>
      <c r="E23" s="20">
        <f t="shared" si="0"/>
        <v>-1.0000000000000009E-2</v>
      </c>
      <c r="F23" s="21">
        <f t="shared" si="1"/>
        <v>-7.194244604316502E-3</v>
      </c>
      <c r="G23" s="63" t="str">
        <f>VLOOKUP(H23,유니버스!$C$14:$D$2561,2,0)</f>
        <v>KS</v>
      </c>
      <c r="H23" s="65" t="str">
        <f>'KODEX 친환경조선해운액티브'!B29</f>
        <v>SK오션플랜트</v>
      </c>
      <c r="I23" s="65">
        <f>VLOOKUP(H23,'KODEX 친환경조선해운액티브'!$B$11:$E$1000,4,0)</f>
        <v>0.92</v>
      </c>
      <c r="J23" s="65">
        <f>IFERROR(VLOOKUP(H23,'KODEX 친환경조선해운액티브(과거)'!$B$11:$E$1000,4,0),0)</f>
        <v>0.97</v>
      </c>
      <c r="K23" s="20">
        <f t="shared" si="2"/>
        <v>-4.9999999999999933E-2</v>
      </c>
      <c r="L23" s="21">
        <f t="shared" si="3"/>
        <v>-5.1546391752577247E-2</v>
      </c>
      <c r="M23" s="62" t="str">
        <f>VLOOKUP(N23,유니버스!$C$14:$D$2561,2,0)</f>
        <v>KQ</v>
      </c>
      <c r="N23" s="26" t="str">
        <f>'TIGER 코리아테크액티브'!B29</f>
        <v>티씨케이</v>
      </c>
      <c r="O23" s="26">
        <f>VLOOKUP(N23,'TIGER 코리아테크액티브'!$B$11:$E$1000,4,0)</f>
        <v>1.1000000000000001</v>
      </c>
      <c r="P23" s="26">
        <f>IFERROR(VLOOKUP(N23,'TIGER 코리아테크액티브(과거)'!$B$11:$E$1000,4,0),0)</f>
        <v>0.95</v>
      </c>
      <c r="Q23" s="26">
        <f t="shared" si="4"/>
        <v>0.15000000000000013</v>
      </c>
      <c r="R23" s="27">
        <f t="shared" si="5"/>
        <v>0.15789473684210531</v>
      </c>
    </row>
    <row r="24" spans="1:18" x14ac:dyDescent="0.4">
      <c r="A24" s="63" t="str">
        <f>VLOOKUP(B24,유니버스!$C$14:$D$2561,2,0)</f>
        <v>KS</v>
      </c>
      <c r="B24" s="65" t="str">
        <f>'TIMEFOLIO 코스피액티브'!B30</f>
        <v>삼성증권</v>
      </c>
      <c r="C24" s="65">
        <f>VLOOKUP(B24,'TIMEFOLIO 코스피액티브'!$B$11:$E$1000,4,0)</f>
        <v>1.25</v>
      </c>
      <c r="D24" s="65">
        <f>IFERROR(VLOOKUP(B24,'TIMEFOLIO 코스피액티브(과거)'!$B$11:$E$1000,4,0),0)</f>
        <v>1.33</v>
      </c>
      <c r="E24" s="20">
        <f t="shared" si="0"/>
        <v>-8.0000000000000071E-2</v>
      </c>
      <c r="F24" s="21">
        <f t="shared" si="1"/>
        <v>-6.0150375939849621E-2</v>
      </c>
      <c r="G24" s="63" t="str">
        <f>VLOOKUP(H24,유니버스!$C$14:$D$2561,2,0)</f>
        <v>KQ</v>
      </c>
      <c r="H24" s="65" t="str">
        <f>'KODEX 친환경조선해운액티브'!B30</f>
        <v>성광벤드</v>
      </c>
      <c r="I24" s="65">
        <f>VLOOKUP(H24,'KODEX 친환경조선해운액티브'!$B$11:$E$1000,4,0)</f>
        <v>0.91</v>
      </c>
      <c r="J24" s="65">
        <f>IFERROR(VLOOKUP(H24,'KODEX 친환경조선해운액티브(과거)'!$B$11:$E$1000,4,0),0)</f>
        <v>0.92</v>
      </c>
      <c r="K24" s="20">
        <f t="shared" si="2"/>
        <v>-1.0000000000000009E-2</v>
      </c>
      <c r="L24" s="21">
        <f t="shared" si="3"/>
        <v>-1.0869565217391353E-2</v>
      </c>
      <c r="M24" s="62" t="str">
        <f>VLOOKUP(N24,유니버스!$C$14:$D$2561,2,0)</f>
        <v>KS</v>
      </c>
      <c r="N24" s="26" t="str">
        <f>'TIGER 코리아테크액티브'!B30</f>
        <v>DB하이텍</v>
      </c>
      <c r="O24" s="26">
        <f>VLOOKUP(N24,'TIGER 코리아테크액티브'!$B$11:$E$1000,4,0)</f>
        <v>1.1000000000000001</v>
      </c>
      <c r="P24" s="26">
        <f>IFERROR(VLOOKUP(N24,'TIGER 코리아테크액티브(과거)'!$B$11:$E$1000,4,0),0)</f>
        <v>1.06</v>
      </c>
      <c r="Q24" s="26">
        <f t="shared" si="4"/>
        <v>4.0000000000000036E-2</v>
      </c>
      <c r="R24" s="27">
        <f t="shared" si="5"/>
        <v>3.7735849056603765E-2</v>
      </c>
    </row>
    <row r="25" spans="1:18" x14ac:dyDescent="0.4">
      <c r="A25" s="63" t="str">
        <f>VLOOKUP(B25,유니버스!$C$14:$D$2561,2,0)</f>
        <v>KS</v>
      </c>
      <c r="B25" s="65" t="str">
        <f>'TIMEFOLIO 코스피액티브'!B31</f>
        <v>LG이노텍</v>
      </c>
      <c r="C25" s="65">
        <f>VLOOKUP(B25,'TIMEFOLIO 코스피액티브'!$B$11:$E$1000,4,0)</f>
        <v>1.22</v>
      </c>
      <c r="D25" s="65">
        <f>IFERROR(VLOOKUP(B25,'TIMEFOLIO 코스피액티브(과거)'!$B$11:$E$1000,4,0),0)</f>
        <v>0</v>
      </c>
      <c r="E25" s="20">
        <f t="shared" si="0"/>
        <v>1.22</v>
      </c>
      <c r="F25" s="21" t="str">
        <f t="shared" si="1"/>
        <v>신규편입</v>
      </c>
      <c r="G25" s="63" t="str">
        <f>VLOOKUP(H25,유니버스!$C$14:$D$2561,2,0)</f>
        <v>KS</v>
      </c>
      <c r="H25" s="65" t="str">
        <f>'KODEX 친환경조선해운액티브'!B31</f>
        <v>GS</v>
      </c>
      <c r="I25" s="65">
        <f>VLOOKUP(H25,'KODEX 친환경조선해운액티브'!$B$11:$E$1000,4,0)</f>
        <v>0.83</v>
      </c>
      <c r="J25" s="65">
        <f>IFERROR(VLOOKUP(H25,'KODEX 친환경조선해운액티브(과거)'!$B$11:$E$1000,4,0),0)</f>
        <v>0.85</v>
      </c>
      <c r="K25" s="20">
        <f t="shared" si="2"/>
        <v>-2.0000000000000018E-2</v>
      </c>
      <c r="L25" s="21">
        <f t="shared" si="3"/>
        <v>-2.352941176470591E-2</v>
      </c>
      <c r="M25" s="62" t="str">
        <f>VLOOKUP(N25,유니버스!$C$14:$D$2561,2,0)</f>
        <v>KQ</v>
      </c>
      <c r="N25" s="26" t="str">
        <f>'TIGER 코리아테크액티브'!B31</f>
        <v>네패스</v>
      </c>
      <c r="O25" s="26">
        <f>VLOOKUP(N25,'TIGER 코리아테크액티브'!$B$11:$E$1000,4,0)</f>
        <v>1.02</v>
      </c>
      <c r="P25" s="26">
        <f>IFERROR(VLOOKUP(N25,'TIGER 코리아테크액티브(과거)'!$B$11:$E$1000,4,0),0)</f>
        <v>0.96</v>
      </c>
      <c r="Q25" s="26">
        <f t="shared" si="4"/>
        <v>6.0000000000000053E-2</v>
      </c>
      <c r="R25" s="27">
        <f t="shared" si="5"/>
        <v>6.25E-2</v>
      </c>
    </row>
    <row r="26" spans="1:18" x14ac:dyDescent="0.4">
      <c r="A26" s="63" t="str">
        <f>VLOOKUP(B26,유니버스!$C$14:$D$2561,2,0)</f>
        <v>KS</v>
      </c>
      <c r="B26" s="65" t="str">
        <f>'TIMEFOLIO 코스피액티브'!B32</f>
        <v>포스코인터내셔널</v>
      </c>
      <c r="C26" s="65">
        <f>VLOOKUP(B26,'TIMEFOLIO 코스피액티브'!$B$11:$E$1000,4,0)</f>
        <v>1.1399999999999999</v>
      </c>
      <c r="D26" s="65">
        <f>IFERROR(VLOOKUP(B26,'TIMEFOLIO 코스피액티브(과거)'!$B$11:$E$1000,4,0),0)</f>
        <v>1.29</v>
      </c>
      <c r="E26" s="20">
        <f t="shared" si="0"/>
        <v>-0.15000000000000013</v>
      </c>
      <c r="F26" s="21">
        <f t="shared" si="1"/>
        <v>-0.11627906976744196</v>
      </c>
      <c r="G26" s="63" t="str">
        <f>VLOOKUP(H26,유니버스!$C$14:$D$2561,2,0)</f>
        <v>KS</v>
      </c>
      <c r="H26" s="65" t="str">
        <f>'KODEX 친환경조선해운액티브'!B32</f>
        <v>S-Oil</v>
      </c>
      <c r="I26" s="65">
        <f>VLOOKUP(H26,'KODEX 친환경조선해운액티브'!$B$11:$E$1000,4,0)</f>
        <v>0.65</v>
      </c>
      <c r="J26" s="65">
        <f>IFERROR(VLOOKUP(H26,'KODEX 친환경조선해운액티브(과거)'!$B$11:$E$1000,4,0),0)</f>
        <v>0.67</v>
      </c>
      <c r="K26" s="20">
        <f t="shared" si="2"/>
        <v>-2.0000000000000018E-2</v>
      </c>
      <c r="L26" s="21">
        <f t="shared" si="3"/>
        <v>-2.9850746268656692E-2</v>
      </c>
      <c r="M26" s="62" t="str">
        <f>VLOOKUP(N26,유니버스!$C$14:$D$2561,2,0)</f>
        <v>KQ</v>
      </c>
      <c r="N26" s="26" t="str">
        <f>'TIGER 코리아테크액티브'!B32</f>
        <v>덕산하이메탈</v>
      </c>
      <c r="O26" s="26">
        <f>VLOOKUP(N26,'TIGER 코리아테크액티브'!$B$11:$E$1000,4,0)</f>
        <v>0.99</v>
      </c>
      <c r="P26" s="26">
        <f>IFERROR(VLOOKUP(N26,'TIGER 코리아테크액티브(과거)'!$B$11:$E$1000,4,0),0)</f>
        <v>1.04</v>
      </c>
      <c r="Q26" s="26">
        <f t="shared" si="4"/>
        <v>-5.0000000000000044E-2</v>
      </c>
      <c r="R26" s="27">
        <f t="shared" si="5"/>
        <v>-4.8076923076923128E-2</v>
      </c>
    </row>
    <row r="27" spans="1:18" x14ac:dyDescent="0.4">
      <c r="A27" s="63" t="str">
        <f>VLOOKUP(B27,유니버스!$C$14:$D$2561,2,0)</f>
        <v>KS</v>
      </c>
      <c r="B27" s="65" t="str">
        <f>'TIMEFOLIO 코스피액티브'!B33</f>
        <v>삼양식품</v>
      </c>
      <c r="C27" s="65">
        <f>VLOOKUP(B27,'TIMEFOLIO 코스피액티브'!$B$11:$E$1000,4,0)</f>
        <v>1.1100000000000001</v>
      </c>
      <c r="D27" s="65">
        <f>IFERROR(VLOOKUP(B27,'TIMEFOLIO 코스피액티브(과거)'!$B$11:$E$1000,4,0),0)</f>
        <v>1.28</v>
      </c>
      <c r="E27" s="20">
        <f t="shared" si="0"/>
        <v>-0.16999999999999993</v>
      </c>
      <c r="F27" s="21">
        <f t="shared" si="1"/>
        <v>-0.13281249999999989</v>
      </c>
      <c r="G27" s="63" t="str">
        <f>VLOOKUP(H27,유니버스!$C$14:$D$2561,2,0)</f>
        <v>KS</v>
      </c>
      <c r="H27" s="65" t="str">
        <f>'KODEX 친환경조선해운액티브'!B33</f>
        <v>KSS해운</v>
      </c>
      <c r="I27" s="65">
        <f>VLOOKUP(H27,'KODEX 친환경조선해운액티브'!$B$11:$E$1000,4,0)</f>
        <v>0.34</v>
      </c>
      <c r="J27" s="65">
        <f>IFERROR(VLOOKUP(H27,'KODEX 친환경조선해운액티브(과거)'!$B$11:$E$1000,4,0),0)</f>
        <v>0.35</v>
      </c>
      <c r="K27" s="20">
        <f t="shared" ref="K27:K29" si="6">I27-J27</f>
        <v>-9.9999999999999534E-3</v>
      </c>
      <c r="L27" s="21">
        <f t="shared" ref="L27:L29" si="7">IFERROR(I27/J27-1,"신규편입")</f>
        <v>-2.857142857142847E-2</v>
      </c>
      <c r="M27" s="62" t="str">
        <f>VLOOKUP(N27,유니버스!$C$14:$D$2561,2,0)</f>
        <v>KQ</v>
      </c>
      <c r="N27" s="26" t="str">
        <f>'TIGER 코리아테크액티브'!B33</f>
        <v>나노신소재</v>
      </c>
      <c r="O27" s="26">
        <f>VLOOKUP(N27,'TIGER 코리아테크액티브'!$B$11:$E$1000,4,0)</f>
        <v>0.97</v>
      </c>
      <c r="P27" s="26">
        <f>IFERROR(VLOOKUP(N27,'TIGER 코리아테크액티브(과거)'!$B$11:$E$1000,4,0),0)</f>
        <v>1.05</v>
      </c>
      <c r="Q27" s="26">
        <f t="shared" si="4"/>
        <v>-8.0000000000000071E-2</v>
      </c>
      <c r="R27" s="27">
        <f t="shared" si="5"/>
        <v>-7.6190476190476253E-2</v>
      </c>
    </row>
    <row r="28" spans="1:18" x14ac:dyDescent="0.4">
      <c r="A28" s="63" t="str">
        <f>VLOOKUP(B28,유니버스!$C$14:$D$2561,2,0)</f>
        <v>KS</v>
      </c>
      <c r="B28" s="65" t="str">
        <f>'TIMEFOLIO 코스피액티브'!B34</f>
        <v>엘앤에프</v>
      </c>
      <c r="C28" s="65">
        <f>VLOOKUP(B28,'TIMEFOLIO 코스피액티브'!$B$11:$E$1000,4,0)</f>
        <v>1.02</v>
      </c>
      <c r="D28" s="65">
        <f>IFERROR(VLOOKUP(B28,'TIMEFOLIO 코스피액티브(과거)'!$B$11:$E$1000,4,0),0)</f>
        <v>1.1299999999999999</v>
      </c>
      <c r="E28" s="20">
        <f t="shared" si="0"/>
        <v>-0.10999999999999988</v>
      </c>
      <c r="F28" s="21">
        <f t="shared" si="1"/>
        <v>-9.7345132743362761E-2</v>
      </c>
      <c r="G28" s="63" t="str">
        <f>VLOOKUP(H28,유니버스!$C$14:$D$2561,2,0)</f>
        <v>KS</v>
      </c>
      <c r="H28" s="65" t="str">
        <f>'KODEX 친환경조선해운액티브'!B34</f>
        <v>롯데정밀화학</v>
      </c>
      <c r="I28" s="65">
        <f>VLOOKUP(H28,'KODEX 친환경조선해운액티브'!$B$11:$E$1000,4,0)</f>
        <v>0.18</v>
      </c>
      <c r="J28" s="65">
        <f>IFERROR(VLOOKUP(H28,'KODEX 친환경조선해운액티브(과거)'!$B$11:$E$1000,4,0),0)</f>
        <v>0.19</v>
      </c>
      <c r="K28" s="20">
        <f t="shared" si="6"/>
        <v>-1.0000000000000009E-2</v>
      </c>
      <c r="L28" s="21">
        <f t="shared" si="7"/>
        <v>-5.2631578947368474E-2</v>
      </c>
      <c r="M28" s="62" t="str">
        <f>VLOOKUP(N28,유니버스!$C$14:$D$2561,2,0)</f>
        <v>KQ</v>
      </c>
      <c r="N28" s="26" t="str">
        <f>'TIGER 코리아테크액티브'!B34</f>
        <v>더블유씨피</v>
      </c>
      <c r="O28" s="26">
        <f>VLOOKUP(N28,'TIGER 코리아테크액티브'!$B$11:$E$1000,4,0)</f>
        <v>0.96</v>
      </c>
      <c r="P28" s="26">
        <f>IFERROR(VLOOKUP(N28,'TIGER 코리아테크액티브(과거)'!$B$11:$E$1000,4,0),0)</f>
        <v>0.92</v>
      </c>
      <c r="Q28" s="26">
        <f t="shared" ref="Q28:Q29" si="8">O28-P28</f>
        <v>3.9999999999999925E-2</v>
      </c>
      <c r="R28" s="27">
        <f t="shared" ref="R28:R29" si="9">IFERROR(O28/P28-1,"신규편입")</f>
        <v>4.3478260869565188E-2</v>
      </c>
    </row>
    <row r="29" spans="1:18" x14ac:dyDescent="0.4">
      <c r="A29" s="63" t="str">
        <f>VLOOKUP(B29,유니버스!$C$14:$D$2561,2,0)</f>
        <v>KS</v>
      </c>
      <c r="B29" s="65" t="str">
        <f>'TIMEFOLIO 코스피액티브'!B35</f>
        <v>호텔신라</v>
      </c>
      <c r="C29" s="65">
        <f>VLOOKUP(B29,'TIMEFOLIO 코스피액티브'!$B$11:$E$1000,4,0)</f>
        <v>0.97</v>
      </c>
      <c r="D29" s="65">
        <f>IFERROR(VLOOKUP(B29,'TIMEFOLIO 코스피액티브(과거)'!$B$11:$E$1000,4,0),0)</f>
        <v>1.1100000000000001</v>
      </c>
      <c r="E29" s="20">
        <f t="shared" ref="E29:E30" si="10">C29-D29</f>
        <v>-0.14000000000000012</v>
      </c>
      <c r="F29" s="21">
        <f t="shared" ref="F29:F30" si="11">IFERROR(C29/D29-1,"신규편입")</f>
        <v>-0.12612612612612628</v>
      </c>
      <c r="G29" s="63" t="e">
        <f>VLOOKUP(H29,유니버스!$C$14:$D$2561,2,0)</f>
        <v>#N/A</v>
      </c>
      <c r="H29" s="65" t="str">
        <f>'KODEX 친환경조선해운액티브'!B35</f>
        <v>원화현금</v>
      </c>
      <c r="I29" s="65">
        <f>VLOOKUP(H29,'KODEX 친환경조선해운액티브'!$B$11:$E$1000,4,0)</f>
        <v>1.21</v>
      </c>
      <c r="J29" s="65">
        <f>IFERROR(VLOOKUP(H29,'KODEX 친환경조선해운액티브(과거)'!$B$11:$E$1000,4,0),0)</f>
        <v>1.22</v>
      </c>
      <c r="K29" s="20">
        <f t="shared" si="6"/>
        <v>-1.0000000000000009E-2</v>
      </c>
      <c r="L29" s="21">
        <f t="shared" si="7"/>
        <v>-8.1967213114754189E-3</v>
      </c>
      <c r="M29" s="62" t="str">
        <f>VLOOKUP(N29,유니버스!$C$14:$D$2561,2,0)</f>
        <v>KQ</v>
      </c>
      <c r="N29" s="26" t="str">
        <f>'TIGER 코리아테크액티브'!B35</f>
        <v>미래반도체</v>
      </c>
      <c r="O29" s="26">
        <f>VLOOKUP(N29,'TIGER 코리아테크액티브'!$B$11:$E$1000,4,0)</f>
        <v>0.87</v>
      </c>
      <c r="P29" s="26">
        <f>IFERROR(VLOOKUP(N29,'TIGER 코리아테크액티브(과거)'!$B$11:$E$1000,4,0),0)</f>
        <v>1.78</v>
      </c>
      <c r="Q29" s="26">
        <f t="shared" si="8"/>
        <v>-0.91</v>
      </c>
      <c r="R29" s="27">
        <f t="shared" si="9"/>
        <v>-0.5112359550561798</v>
      </c>
    </row>
    <row r="30" spans="1:18" x14ac:dyDescent="0.4">
      <c r="A30" s="63" t="str">
        <f>VLOOKUP(B30,유니버스!$C$14:$D$2561,2,0)</f>
        <v>KS</v>
      </c>
      <c r="B30" s="65" t="str">
        <f>'TIMEFOLIO 코스피액티브'!B36</f>
        <v>SK텔레콤</v>
      </c>
      <c r="C30" s="65">
        <f>VLOOKUP(B30,'TIMEFOLIO 코스피액티브'!$B$11:$E$1000,4,0)</f>
        <v>0.88</v>
      </c>
      <c r="D30" s="65">
        <f>IFERROR(VLOOKUP(B30,'TIMEFOLIO 코스피액티브(과거)'!$B$11:$E$1000,4,0),0)</f>
        <v>0.91</v>
      </c>
      <c r="E30" s="20">
        <f t="shared" si="10"/>
        <v>-3.0000000000000027E-2</v>
      </c>
      <c r="F30" s="21">
        <f t="shared" si="11"/>
        <v>-3.2967032967032961E-2</v>
      </c>
      <c r="H30" s="65"/>
      <c r="I30" s="65"/>
      <c r="J30" s="65"/>
      <c r="K30" s="20"/>
      <c r="L30" s="21"/>
      <c r="M30" s="62" t="e">
        <f>VLOOKUP(N30,유니버스!$C$14:$D$2561,2,0)</f>
        <v>#N/A</v>
      </c>
      <c r="N30" s="26" t="str">
        <f>'TIGER 코리아테크액티브'!B36</f>
        <v>원화현금</v>
      </c>
      <c r="O30" s="26">
        <f>VLOOKUP(N30,'TIGER 코리아테크액티브'!$B$11:$E$1000,4,0)</f>
        <v>0.86</v>
      </c>
      <c r="P30" s="26">
        <f>IFERROR(VLOOKUP(N30,'TIGER 코리아테크액티브(과거)'!$B$11:$E$1000,4,0),0)</f>
        <v>1.0900000000000001</v>
      </c>
      <c r="Q30" s="26">
        <f t="shared" ref="Q30:Q32" si="12">O30-P30</f>
        <v>-0.23000000000000009</v>
      </c>
      <c r="R30" s="27">
        <f t="shared" ref="R30:R32" si="13">IFERROR(O30/P30-1,"신규편입")</f>
        <v>-0.21100917431192667</v>
      </c>
    </row>
    <row r="31" spans="1:18" x14ac:dyDescent="0.4">
      <c r="A31" s="63" t="e">
        <f>VLOOKUP(B31,유니버스!$C$14:$D$2561,2,0)</f>
        <v>#N/A</v>
      </c>
      <c r="B31" s="65" t="str">
        <f>'TIMEFOLIO 코스피액티브'!B37</f>
        <v>원화현금</v>
      </c>
      <c r="C31" s="65">
        <f>VLOOKUP(B31,'TIMEFOLIO 코스피액티브'!$B$11:$E$1000,4,0)</f>
        <v>0.46</v>
      </c>
      <c r="D31" s="65">
        <f>IFERROR(VLOOKUP(B31,'TIMEFOLIO 코스피액티브(과거)'!$B$11:$E$1000,4,0),0)</f>
        <v>0.84</v>
      </c>
      <c r="E31" s="20">
        <f t="shared" ref="E31:E32" si="14">C31-D31</f>
        <v>-0.37999999999999995</v>
      </c>
      <c r="F31" s="21">
        <f t="shared" ref="F31:F32" si="15">IFERROR(C31/D31-1,"신규편입")</f>
        <v>-0.45238095238095233</v>
      </c>
      <c r="H31" s="65"/>
      <c r="I31" s="65"/>
      <c r="J31" s="65"/>
      <c r="K31" s="20"/>
      <c r="L31" s="21"/>
      <c r="M31" s="62" t="e">
        <f>VLOOKUP(N31,유니버스!$C$14:$D$2561,2,0)</f>
        <v>#N/A</v>
      </c>
      <c r="N31" s="26">
        <f>'TIGER 코리아테크액티브'!B37</f>
        <v>0</v>
      </c>
      <c r="O31" s="26" t="e">
        <f>VLOOKUP(N31,'TIGER 코리아테크액티브'!$B$11:$E$1000,4,0)</f>
        <v>#N/A</v>
      </c>
      <c r="P31" s="26">
        <f>IFERROR(VLOOKUP(N31,'TIGER 코리아테크액티브(과거)'!$B$11:$E$1000,4,0),0)</f>
        <v>0</v>
      </c>
      <c r="Q31" s="26" t="e">
        <f t="shared" si="12"/>
        <v>#N/A</v>
      </c>
      <c r="R31" s="27" t="str">
        <f t="shared" si="13"/>
        <v>신규편입</v>
      </c>
    </row>
    <row r="32" spans="1:18" x14ac:dyDescent="0.4">
      <c r="A32" s="63" t="e">
        <f>VLOOKUP(B32,유니버스!$C$14:$D$2561,2,0)</f>
        <v>#N/A</v>
      </c>
      <c r="B32" s="65">
        <f>'TIMEFOLIO 코스피액티브'!B38</f>
        <v>0</v>
      </c>
      <c r="C32" s="65" t="e">
        <f>VLOOKUP(B32,'TIMEFOLIO 코스피액티브'!$B$11:$E$1000,4,0)</f>
        <v>#N/A</v>
      </c>
      <c r="D32" s="65">
        <f>IFERROR(VLOOKUP(B32,'TIMEFOLIO 코스피액티브(과거)'!$B$11:$E$1000,4,0),0)</f>
        <v>0</v>
      </c>
      <c r="E32" s="20" t="e">
        <f t="shared" si="14"/>
        <v>#N/A</v>
      </c>
      <c r="F32" s="21" t="str">
        <f t="shared" si="15"/>
        <v>신규편입</v>
      </c>
      <c r="H32" s="65"/>
      <c r="I32" s="65"/>
      <c r="J32" s="65"/>
      <c r="K32" s="20"/>
      <c r="L32" s="21"/>
      <c r="M32" s="62" t="e">
        <f>VLOOKUP(N32,유니버스!$C$14:$D$2561,2,0)</f>
        <v>#N/A</v>
      </c>
      <c r="N32" s="26">
        <f>'TIGER 코리아테크액티브'!B38</f>
        <v>0</v>
      </c>
      <c r="O32" s="26" t="e">
        <f>VLOOKUP(N32,'TIGER 코리아테크액티브'!$B$11:$E$1000,4,0)</f>
        <v>#N/A</v>
      </c>
      <c r="P32" s="26">
        <f>IFERROR(VLOOKUP(N32,'TIGER 코리아테크액티브(과거)'!$B$11:$E$1000,4,0),0)</f>
        <v>0</v>
      </c>
      <c r="Q32" s="26" t="e">
        <f t="shared" si="12"/>
        <v>#N/A</v>
      </c>
      <c r="R32" s="27" t="str">
        <f t="shared" si="13"/>
        <v>신규편입</v>
      </c>
    </row>
    <row r="33" spans="2:18" x14ac:dyDescent="0.4">
      <c r="B33" s="65"/>
      <c r="C33" s="65"/>
      <c r="D33" s="65"/>
      <c r="E33" s="20"/>
      <c r="F33" s="21"/>
      <c r="H33" s="65"/>
      <c r="I33" s="65"/>
      <c r="J33" s="65"/>
      <c r="K33" s="20"/>
      <c r="L33" s="21"/>
      <c r="N33" s="26"/>
      <c r="O33" s="26"/>
      <c r="P33" s="26"/>
      <c r="Q33" s="26"/>
      <c r="R33" s="27"/>
    </row>
    <row r="34" spans="2:18" x14ac:dyDescent="0.4">
      <c r="B34" s="65"/>
      <c r="C34" s="65"/>
      <c r="D34" s="65"/>
      <c r="E34" s="20"/>
      <c r="F34" s="21"/>
      <c r="H34" s="65"/>
      <c r="I34" s="65"/>
      <c r="J34" s="65"/>
      <c r="K34" s="20"/>
      <c r="L34" s="21"/>
      <c r="N34" s="26"/>
      <c r="O34" s="26"/>
      <c r="P34" s="26"/>
      <c r="Q34" s="26"/>
      <c r="R34" s="27"/>
    </row>
    <row r="35" spans="2:18" x14ac:dyDescent="0.4">
      <c r="B35" s="65"/>
      <c r="C35" s="65"/>
      <c r="D35" s="65"/>
      <c r="E35" s="20"/>
      <c r="F35" s="21"/>
      <c r="H35" s="65"/>
      <c r="I35" s="65"/>
      <c r="J35" s="65"/>
      <c r="K35" s="20"/>
      <c r="L35" s="21"/>
      <c r="N35" s="26"/>
      <c r="O35" s="26"/>
      <c r="P35" s="26"/>
      <c r="Q35" s="26"/>
      <c r="R35" s="27"/>
    </row>
    <row r="36" spans="2:18" x14ac:dyDescent="0.4">
      <c r="B36" s="65"/>
      <c r="C36" s="65"/>
      <c r="D36" s="65"/>
      <c r="E36" s="20"/>
      <c r="F36" s="21"/>
      <c r="H36" s="65"/>
      <c r="I36" s="65"/>
      <c r="J36" s="65"/>
      <c r="K36" s="20"/>
      <c r="L36" s="21"/>
      <c r="N36" s="26"/>
      <c r="O36" s="26"/>
      <c r="P36" s="26"/>
      <c r="Q36" s="26"/>
      <c r="R36" s="27"/>
    </row>
    <row r="37" spans="2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6"/>
      <c r="P37" s="26"/>
      <c r="Q37" s="26"/>
      <c r="R37" s="27"/>
    </row>
    <row r="38" spans="2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6"/>
      <c r="P38" s="26"/>
      <c r="Q38" s="26"/>
      <c r="R38" s="27"/>
    </row>
    <row r="39" spans="2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2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2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2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2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2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2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2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2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2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4000000}">
    <sortState xmlns:xlrd2="http://schemas.microsoft.com/office/spreadsheetml/2017/richdata2" ref="B5:R34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3:R154"/>
  <sheetViews>
    <sheetView topLeftCell="C1" zoomScaleNormal="100" workbookViewId="0">
      <selection activeCell="O19" sqref="O19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K수출핵심기업TOP30액티브'!A9</f>
        <v>KoAct K수출핵심기업TOP30액티브</v>
      </c>
      <c r="H3" s="63" t="str">
        <f>'KODEX 로봇액티브'!A9</f>
        <v>KODEX 로봇액티브</v>
      </c>
      <c r="N3" s="62" t="str">
        <f>'TIMEFOLIO K컬처액티브'!A9</f>
        <v>TIME K컬처액티브</v>
      </c>
    </row>
    <row r="4" spans="1:18" x14ac:dyDescent="0.4">
      <c r="B4" s="65" t="s">
        <v>75</v>
      </c>
      <c r="C4" s="66" t="str">
        <f>'KODEX 신재생에너지액티브'!B4</f>
        <v>CPD [20260522]</v>
      </c>
      <c r="D4" s="66" t="str">
        <f>'KODEX 신재생에너지액티브(과거)'!B4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[20260522]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[20260522]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'KoAct K수출핵심기업TOP30액티브'!B11</f>
        <v>SK하이닉스</v>
      </c>
      <c r="C5" s="65">
        <f>VLOOKUP(B5,'KoAct K수출핵심기업TOP30액티브'!$B$11:$E$1000,4,0)</f>
        <v>13.58</v>
      </c>
      <c r="D5" s="65">
        <f>IFERROR(VLOOKUP(B5,'KoAct K수출핵심기업TOP30액티브(과거)'!$B$11:$E$1000,4,0),0)</f>
        <v>13.49</v>
      </c>
      <c r="E5" s="20">
        <f>C5-D5</f>
        <v>8.9999999999999858E-2</v>
      </c>
      <c r="F5" s="21">
        <f>IFERROR(C5/D5-1,"신규편입")</f>
        <v>6.6716085989622087E-3</v>
      </c>
      <c r="G5" s="63" t="str">
        <f>VLOOKUP(H5,유니버스!$C$14:$D$2561,2,0)</f>
        <v>KS</v>
      </c>
      <c r="H5" s="71" t="str">
        <f>'KODEX 로봇액티브'!B11</f>
        <v>삼성전자</v>
      </c>
      <c r="I5" s="71">
        <f>VLOOKUP(H5,'KODEX 로봇액티브'!$B$11:$E$1000,4,0)</f>
        <v>12.59</v>
      </c>
      <c r="J5" s="71">
        <f>IFERROR(VLOOKUP(H5,'KODEX 로봇액티브(과거)'!$B$11:$E$1000,4,0),0)</f>
        <v>11.23</v>
      </c>
      <c r="K5" s="26">
        <f>I5-J5</f>
        <v>1.3599999999999994</v>
      </c>
      <c r="L5" s="27">
        <f>IFERROR(I5/J5-1,"신규편입")</f>
        <v>0.12110418521816557</v>
      </c>
      <c r="M5" s="62" t="str">
        <f>VLOOKUP(N5,유니버스!$C$14:$D$2561,2,0)</f>
        <v>KS</v>
      </c>
      <c r="N5" s="26" t="str">
        <f>'TIMEFOLIO K컬처액티브'!B11</f>
        <v>신세계</v>
      </c>
      <c r="O5" s="20">
        <f>VLOOKUP(N5,'TIMEFOLIO K컬처액티브'!$B$11:$E$1000,4,0)</f>
        <v>7.93</v>
      </c>
      <c r="P5" s="20">
        <f>IFERROR(VLOOKUP(N5,'TIMEFOLIO K컬처액티브(과거)'!$B$11:$E$1000,4,0),0)</f>
        <v>6.94</v>
      </c>
      <c r="Q5" s="20">
        <f>O5-P5</f>
        <v>0.98999999999999932</v>
      </c>
      <c r="R5" s="21">
        <f>IFERROR(O5/P5-1,"신규편입")</f>
        <v>0.14265129682997113</v>
      </c>
    </row>
    <row r="6" spans="1:18" x14ac:dyDescent="0.4">
      <c r="A6" s="63" t="str">
        <f>VLOOKUP(B6,유니버스!$C$14:$D$2561,2,0)</f>
        <v>KQ</v>
      </c>
      <c r="B6" s="71" t="str">
        <f>'KoAct K수출핵심기업TOP30액티브'!B12</f>
        <v>제주반도체</v>
      </c>
      <c r="C6" s="71">
        <f>VLOOKUP(B6,'KoAct K수출핵심기업TOP30액티브'!$B$11:$E$1000,4,0)</f>
        <v>10.68</v>
      </c>
      <c r="D6" s="71">
        <f>IFERROR(VLOOKUP(B6,'KoAct K수출핵심기업TOP30액티브(과거)'!$B$11:$E$1000,4,0),0)</f>
        <v>7.9</v>
      </c>
      <c r="E6" s="20">
        <f t="shared" ref="E6:E40" si="0">C6-D6</f>
        <v>2.7799999999999994</v>
      </c>
      <c r="F6" s="21">
        <f t="shared" ref="F6:F40" si="1">IFERROR(C6/D6-1,"신규편입")</f>
        <v>0.35189873417721507</v>
      </c>
      <c r="G6" s="63" t="str">
        <f>VLOOKUP(H6,유니버스!$C$14:$D$2561,2,0)</f>
        <v>KS</v>
      </c>
      <c r="H6" s="75" t="str">
        <f>'KODEX 로봇액티브'!B12</f>
        <v>현대모비스</v>
      </c>
      <c r="I6" s="75">
        <f>VLOOKUP(H6,'KODEX 로봇액티브'!$B$11:$E$1000,4,0)</f>
        <v>7.57</v>
      </c>
      <c r="J6" s="75">
        <f>IFERROR(VLOOKUP(H6,'KODEX 로봇액티브(과거)'!$B$11:$E$1000,4,0),0)</f>
        <v>7.02</v>
      </c>
      <c r="K6" s="26">
        <f t="shared" ref="K6:K37" si="2">I6-J6</f>
        <v>0.55000000000000071</v>
      </c>
      <c r="L6" s="27">
        <f t="shared" ref="L6:L37" si="3">IFERROR(I6/J6-1,"신규편입")</f>
        <v>7.8347578347578439E-2</v>
      </c>
      <c r="M6" s="62" t="str">
        <f>VLOOKUP(N6,유니버스!$C$14:$D$2561,2,0)</f>
        <v>KS</v>
      </c>
      <c r="N6" s="26" t="str">
        <f>'TIMEFOLIO K컬처액티브'!B12</f>
        <v>삼양식품</v>
      </c>
      <c r="O6" s="20">
        <f>VLOOKUP(N6,'TIMEFOLIO K컬처액티브'!$B$11:$E$1000,4,0)</f>
        <v>7.24</v>
      </c>
      <c r="P6" s="20">
        <f>IFERROR(VLOOKUP(N6,'TIMEFOLIO K컬처액티브(과거)'!$B$11:$E$1000,4,0),0)</f>
        <v>7.41</v>
      </c>
      <c r="Q6" s="20">
        <f t="shared" ref="Q6:Q29" si="4">O6-P6</f>
        <v>-0.16999999999999993</v>
      </c>
      <c r="R6" s="21">
        <f t="shared" ref="R6:R29" si="5">IFERROR(O6/P6-1,"신규편입")</f>
        <v>-2.2941970310391357E-2</v>
      </c>
    </row>
    <row r="7" spans="1:18" x14ac:dyDescent="0.4">
      <c r="A7" s="63" t="str">
        <f>VLOOKUP(B7,유니버스!$C$14:$D$2561,2,0)</f>
        <v>KS</v>
      </c>
      <c r="B7" s="65" t="str">
        <f>'KoAct K수출핵심기업TOP30액티브'!B13</f>
        <v>삼성전자</v>
      </c>
      <c r="C7" s="65">
        <f>VLOOKUP(B7,'KoAct K수출핵심기업TOP30액티브'!$B$11:$E$1000,4,0)</f>
        <v>9.3800000000000008</v>
      </c>
      <c r="D7" s="65">
        <f>IFERROR(VLOOKUP(B7,'KoAct K수출핵심기업TOP30액티브(과거)'!$B$11:$E$1000,4,0),0)</f>
        <v>8.89</v>
      </c>
      <c r="E7" s="20">
        <f t="shared" si="0"/>
        <v>0.49000000000000021</v>
      </c>
      <c r="F7" s="21">
        <f t="shared" si="1"/>
        <v>5.5118110236220597E-2</v>
      </c>
      <c r="G7" s="63" t="str">
        <f>VLOOKUP(H7,유니버스!$C$14:$D$2561,2,0)</f>
        <v>KS</v>
      </c>
      <c r="H7" s="75" t="str">
        <f>'KODEX 로봇액티브'!B13</f>
        <v>현대오토에버</v>
      </c>
      <c r="I7" s="75">
        <f>VLOOKUP(H7,'KODEX 로봇액티브'!$B$11:$E$1000,4,0)</f>
        <v>7.35</v>
      </c>
      <c r="J7" s="75">
        <f>IFERROR(VLOOKUP(H7,'KODEX 로봇액티브(과거)'!$B$11:$E$1000,4,0),0)</f>
        <v>7.48</v>
      </c>
      <c r="K7" s="26">
        <f t="shared" si="2"/>
        <v>-0.13000000000000078</v>
      </c>
      <c r="L7" s="27">
        <f t="shared" si="3"/>
        <v>-1.7379679144385096E-2</v>
      </c>
      <c r="M7" s="62" t="str">
        <f>VLOOKUP(N7,유니버스!$C$14:$D$2561,2,0)</f>
        <v>KQ</v>
      </c>
      <c r="N7" s="26" t="str">
        <f>'TIMEFOLIO K컬처액티브'!B13</f>
        <v>펄어비스</v>
      </c>
      <c r="O7" s="20">
        <f>VLOOKUP(N7,'TIMEFOLIO K컬처액티브'!$B$11:$E$1000,4,0)</f>
        <v>6.66</v>
      </c>
      <c r="P7" s="20">
        <f>IFERROR(VLOOKUP(N7,'TIMEFOLIO K컬처액티브(과거)'!$B$11:$E$1000,4,0),0)</f>
        <v>6.46</v>
      </c>
      <c r="Q7" s="20">
        <f t="shared" si="4"/>
        <v>0.20000000000000018</v>
      </c>
      <c r="R7" s="21">
        <f t="shared" si="5"/>
        <v>3.095975232198156E-2</v>
      </c>
    </row>
    <row r="8" spans="1:18" x14ac:dyDescent="0.4">
      <c r="A8" s="63" t="str">
        <f>VLOOKUP(B8,유니버스!$C$14:$D$2561,2,0)</f>
        <v>KS</v>
      </c>
      <c r="B8" s="65" t="str">
        <f>'KoAct K수출핵심기업TOP30액티브'!B14</f>
        <v>LIG디펜스앤에어로스페이스</v>
      </c>
      <c r="C8" s="65">
        <f>VLOOKUP(B8,'KoAct K수출핵심기업TOP30액티브'!$B$11:$E$1000,4,0)</f>
        <v>5.14</v>
      </c>
      <c r="D8" s="65">
        <f>IFERROR(VLOOKUP(B8,'KoAct K수출핵심기업TOP30액티브(과거)'!$B$11:$E$1000,4,0),0)</f>
        <v>5.27</v>
      </c>
      <c r="E8" s="20">
        <f t="shared" si="0"/>
        <v>-0.12999999999999989</v>
      </c>
      <c r="F8" s="21">
        <f t="shared" si="1"/>
        <v>-2.4667931688804545E-2</v>
      </c>
      <c r="G8" s="63" t="str">
        <f>VLOOKUP(H8,유니버스!$C$14:$D$2561,2,0)</f>
        <v>KQ</v>
      </c>
      <c r="H8" s="75" t="str">
        <f>'KODEX 로봇액티브'!B14</f>
        <v>로보티즈</v>
      </c>
      <c r="I8" s="75">
        <f>VLOOKUP(H8,'KODEX 로봇액티브'!$B$11:$E$1000,4,0)</f>
        <v>7.19</v>
      </c>
      <c r="J8" s="75">
        <f>IFERROR(VLOOKUP(H8,'KODEX 로봇액티브(과거)'!$B$11:$E$1000,4,0),0)</f>
        <v>7.68</v>
      </c>
      <c r="K8" s="26">
        <f t="shared" si="2"/>
        <v>-0.48999999999999932</v>
      </c>
      <c r="L8" s="27">
        <f t="shared" si="3"/>
        <v>-6.3802083333333259E-2</v>
      </c>
      <c r="M8" s="62" t="str">
        <f>VLOOKUP(N8,유니버스!$C$14:$D$2561,2,0)</f>
        <v>KS</v>
      </c>
      <c r="N8" s="26" t="str">
        <f>'TIMEFOLIO K컬처액티브'!B14</f>
        <v>NC</v>
      </c>
      <c r="O8" s="20">
        <f>VLOOKUP(N8,'TIMEFOLIO K컬처액티브'!$B$11:$E$1000,4,0)</f>
        <v>6.01</v>
      </c>
      <c r="P8" s="20">
        <f>IFERROR(VLOOKUP(N8,'TIMEFOLIO K컬처액티브(과거)'!$B$11:$E$1000,4,0),0)</f>
        <v>5.8</v>
      </c>
      <c r="Q8" s="20">
        <f t="shared" si="4"/>
        <v>0.20999999999999996</v>
      </c>
      <c r="R8" s="21">
        <f t="shared" si="5"/>
        <v>3.6206896551724155E-2</v>
      </c>
    </row>
    <row r="9" spans="1:18" x14ac:dyDescent="0.4">
      <c r="A9" s="63" t="str">
        <f>VLOOKUP(B9,유니버스!$C$14:$D$2561,2,0)</f>
        <v>KS</v>
      </c>
      <c r="B9" s="65" t="str">
        <f>'KoAct K수출핵심기업TOP30액티브'!B15</f>
        <v>삼성전기</v>
      </c>
      <c r="C9" s="65">
        <f>VLOOKUP(B9,'KoAct K수출핵심기업TOP30액티브'!$B$11:$E$1000,4,0)</f>
        <v>4.67</v>
      </c>
      <c r="D9" s="65">
        <f>IFERROR(VLOOKUP(B9,'KoAct K수출핵심기업TOP30액티브(과거)'!$B$11:$E$1000,4,0),0)</f>
        <v>4.1500000000000004</v>
      </c>
      <c r="E9" s="20">
        <f t="shared" si="0"/>
        <v>0.51999999999999957</v>
      </c>
      <c r="F9" s="21">
        <f t="shared" si="1"/>
        <v>0.12530120481927698</v>
      </c>
      <c r="G9" s="63" t="str">
        <f>VLOOKUP(H9,유니버스!$C$14:$D$2561,2,0)</f>
        <v>KS</v>
      </c>
      <c r="H9" s="65" t="str">
        <f>'KODEX 로봇액티브'!B15</f>
        <v>LG전자</v>
      </c>
      <c r="I9" s="65">
        <f>VLOOKUP(H9,'KODEX 로봇액티브'!$B$11:$E$1000,4,0)</f>
        <v>6.62</v>
      </c>
      <c r="J9" s="65">
        <f>IFERROR(VLOOKUP(H9,'KODEX 로봇액티브(과거)'!$B$11:$E$1000,4,0),0)</f>
        <v>6.69</v>
      </c>
      <c r="K9" s="26">
        <f t="shared" si="2"/>
        <v>-7.0000000000000284E-2</v>
      </c>
      <c r="L9" s="27">
        <f t="shared" si="3"/>
        <v>-1.0463378176382654E-2</v>
      </c>
      <c r="M9" s="62" t="str">
        <f>VLOOKUP(N9,유니버스!$C$14:$D$2561,2,0)</f>
        <v>KS</v>
      </c>
      <c r="N9" s="26" t="str">
        <f>'TIMEFOLIO K컬처액티브'!B15</f>
        <v>롯데쇼핑</v>
      </c>
      <c r="O9" s="20">
        <f>VLOOKUP(N9,'TIMEFOLIO K컬처액티브'!$B$11:$E$1000,4,0)</f>
        <v>5.96</v>
      </c>
      <c r="P9" s="20">
        <f>IFERROR(VLOOKUP(N9,'TIMEFOLIO K컬처액티브(과거)'!$B$11:$E$1000,4,0),0)</f>
        <v>5.81</v>
      </c>
      <c r="Q9" s="20">
        <f t="shared" si="4"/>
        <v>0.15000000000000036</v>
      </c>
      <c r="R9" s="21">
        <f t="shared" si="5"/>
        <v>2.5817555938038028E-2</v>
      </c>
    </row>
    <row r="10" spans="1:18" x14ac:dyDescent="0.4">
      <c r="A10" s="63" t="str">
        <f>VLOOKUP(B10,유니버스!$C$14:$D$2561,2,0)</f>
        <v>KS</v>
      </c>
      <c r="B10" s="65" t="str">
        <f>'KoAct K수출핵심기업TOP30액티브'!B16</f>
        <v>산일전기</v>
      </c>
      <c r="C10" s="65">
        <f>VLOOKUP(B10,'KoAct K수출핵심기업TOP30액티브'!$B$11:$E$1000,4,0)</f>
        <v>4.07</v>
      </c>
      <c r="D10" s="65">
        <f>IFERROR(VLOOKUP(B10,'KoAct K수출핵심기업TOP30액티브(과거)'!$B$11:$E$1000,4,0),0)</f>
        <v>4.2</v>
      </c>
      <c r="E10" s="20">
        <f t="shared" si="0"/>
        <v>-0.12999999999999989</v>
      </c>
      <c r="F10" s="21">
        <f t="shared" si="1"/>
        <v>-3.0952380952380953E-2</v>
      </c>
      <c r="G10" s="63" t="str">
        <f>VLOOKUP(H10,유니버스!$C$14:$D$2561,2,0)</f>
        <v>KS</v>
      </c>
      <c r="H10" s="65" t="str">
        <f>'KODEX 로봇액티브'!B16</f>
        <v>SK하이닉스</v>
      </c>
      <c r="I10" s="65">
        <f>VLOOKUP(H10,'KODEX 로봇액티브'!$B$11:$E$1000,4,0)</f>
        <v>6.32</v>
      </c>
      <c r="J10" s="65">
        <f>IFERROR(VLOOKUP(H10,'KODEX 로봇액티브(과거)'!$B$11:$E$1000,4,0),0)</f>
        <v>5.85</v>
      </c>
      <c r="K10" s="26">
        <f t="shared" si="2"/>
        <v>0.47000000000000064</v>
      </c>
      <c r="L10" s="27">
        <f t="shared" si="3"/>
        <v>8.0341880341880501E-2</v>
      </c>
      <c r="M10" s="62" t="str">
        <f>VLOOKUP(N10,유니버스!$C$14:$D$2561,2,0)</f>
        <v>KQ</v>
      </c>
      <c r="N10" s="26" t="str">
        <f>'TIMEFOLIO K컬처액티브'!B16</f>
        <v>휴젤</v>
      </c>
      <c r="O10" s="20">
        <f>VLOOKUP(N10,'TIMEFOLIO K컬처액티브'!$B$11:$E$1000,4,0)</f>
        <v>5.92</v>
      </c>
      <c r="P10" s="20">
        <f>IFERROR(VLOOKUP(N10,'TIMEFOLIO K컬처액티브(과거)'!$B$11:$E$1000,4,0),0)</f>
        <v>6.04</v>
      </c>
      <c r="Q10" s="20">
        <f t="shared" si="4"/>
        <v>-0.12000000000000011</v>
      </c>
      <c r="R10" s="21">
        <f t="shared" si="5"/>
        <v>-1.9867549668874163E-2</v>
      </c>
    </row>
    <row r="11" spans="1:18" x14ac:dyDescent="0.4">
      <c r="A11" s="63" t="str">
        <f>VLOOKUP(B11,유니버스!$C$14:$D$2561,2,0)</f>
        <v>KS</v>
      </c>
      <c r="B11" s="65" t="str">
        <f>'KoAct K수출핵심기업TOP30액티브'!B17</f>
        <v>한화비전</v>
      </c>
      <c r="C11" s="65">
        <f>VLOOKUP(B11,'KoAct K수출핵심기업TOP30액티브'!$B$11:$E$1000,4,0)</f>
        <v>3.62</v>
      </c>
      <c r="D11" s="65">
        <f>IFERROR(VLOOKUP(B11,'KoAct K수출핵심기업TOP30액티브(과거)'!$B$11:$E$1000,4,0),0)</f>
        <v>3.72</v>
      </c>
      <c r="E11" s="20">
        <f t="shared" si="0"/>
        <v>-0.10000000000000009</v>
      </c>
      <c r="F11" s="21">
        <f t="shared" si="1"/>
        <v>-2.6881720430107503E-2</v>
      </c>
      <c r="G11" s="63" t="str">
        <f>VLOOKUP(H11,유니버스!$C$14:$D$2561,2,0)</f>
        <v>KS</v>
      </c>
      <c r="H11" s="65" t="str">
        <f>'KODEX 로봇액티브'!B17</f>
        <v>현대차</v>
      </c>
      <c r="I11" s="65">
        <f>VLOOKUP(H11,'KODEX 로봇액티브'!$B$11:$E$1000,4,0)</f>
        <v>6.24</v>
      </c>
      <c r="J11" s="65">
        <f>IFERROR(VLOOKUP(H11,'KODEX 로봇액티브(과거)'!$B$11:$E$1000,4,0),0)</f>
        <v>6.48</v>
      </c>
      <c r="K11" s="26">
        <f t="shared" si="2"/>
        <v>-0.24000000000000021</v>
      </c>
      <c r="L11" s="27">
        <f t="shared" si="3"/>
        <v>-3.703703703703709E-2</v>
      </c>
      <c r="M11" s="62" t="str">
        <f>VLOOKUP(N11,유니버스!$C$14:$D$2561,2,0)</f>
        <v>KS</v>
      </c>
      <c r="N11" s="26" t="str">
        <f>'TIMEFOLIO K컬처액티브'!B17</f>
        <v>달바글로벌</v>
      </c>
      <c r="O11" s="20">
        <f>VLOOKUP(N11,'TIMEFOLIO K컬처액티브'!$B$11:$E$1000,4,0)</f>
        <v>5.83</v>
      </c>
      <c r="P11" s="20">
        <f>IFERROR(VLOOKUP(N11,'TIMEFOLIO K컬처액티브(과거)'!$B$11:$E$1000,4,0),0)</f>
        <v>6.07</v>
      </c>
      <c r="Q11" s="20">
        <f t="shared" si="4"/>
        <v>-0.24000000000000021</v>
      </c>
      <c r="R11" s="21">
        <f t="shared" si="5"/>
        <v>-3.9538714991762758E-2</v>
      </c>
    </row>
    <row r="12" spans="1:18" x14ac:dyDescent="0.4">
      <c r="A12" s="63" t="str">
        <f>VLOOKUP(B12,유니버스!$C$14:$D$2561,2,0)</f>
        <v>KS</v>
      </c>
      <c r="B12" s="65" t="str">
        <f>'KoAct K수출핵심기업TOP30액티브'!B18</f>
        <v>LS ELECTRIC</v>
      </c>
      <c r="C12" s="65">
        <f>VLOOKUP(B12,'KoAct K수출핵심기업TOP30액티브'!$B$11:$E$1000,4,0)</f>
        <v>3.57</v>
      </c>
      <c r="D12" s="65">
        <f>IFERROR(VLOOKUP(B12,'KoAct K수출핵심기업TOP30액티브(과거)'!$B$11:$E$1000,4,0),0)</f>
        <v>3.92</v>
      </c>
      <c r="E12" s="20">
        <f t="shared" si="0"/>
        <v>-0.35000000000000009</v>
      </c>
      <c r="F12" s="21">
        <f t="shared" si="1"/>
        <v>-8.9285714285714302E-2</v>
      </c>
      <c r="G12" s="63" t="str">
        <f>VLOOKUP(H12,유니버스!$C$14:$D$2561,2,0)</f>
        <v>KQ</v>
      </c>
      <c r="H12" s="65" t="str">
        <f>'KODEX 로봇액티브'!B18</f>
        <v>레인보우로보틱스</v>
      </c>
      <c r="I12" s="65">
        <f>VLOOKUP(H12,'KODEX 로봇액티브'!$B$11:$E$1000,4,0)</f>
        <v>5.9</v>
      </c>
      <c r="J12" s="65">
        <f>IFERROR(VLOOKUP(H12,'KODEX 로봇액티브(과거)'!$B$11:$E$1000,4,0),0)</f>
        <v>6.36</v>
      </c>
      <c r="K12" s="26">
        <f t="shared" si="2"/>
        <v>-0.45999999999999996</v>
      </c>
      <c r="L12" s="27">
        <f t="shared" si="3"/>
        <v>-7.2327044025157217E-2</v>
      </c>
      <c r="M12" s="62" t="str">
        <f>VLOOKUP(N12,유니버스!$C$14:$D$2561,2,0)</f>
        <v>KS</v>
      </c>
      <c r="N12" s="26" t="str">
        <f>'TIMEFOLIO K컬처액티브'!B18</f>
        <v>에이피알</v>
      </c>
      <c r="O12" s="20">
        <f>VLOOKUP(N12,'TIMEFOLIO K컬처액티브'!$B$11:$E$1000,4,0)</f>
        <v>5.48</v>
      </c>
      <c r="P12" s="20">
        <f>IFERROR(VLOOKUP(N12,'TIMEFOLIO K컬처액티브(과거)'!$B$11:$E$1000,4,0),0)</f>
        <v>5.18</v>
      </c>
      <c r="Q12" s="20">
        <f t="shared" si="4"/>
        <v>0.30000000000000071</v>
      </c>
      <c r="R12" s="21">
        <f t="shared" si="5"/>
        <v>5.7915057915058021E-2</v>
      </c>
    </row>
    <row r="13" spans="1:18" x14ac:dyDescent="0.4">
      <c r="A13" s="63" t="str">
        <f>VLOOKUP(B13,유니버스!$C$14:$D$2561,2,0)</f>
        <v>KS</v>
      </c>
      <c r="B13" s="65" t="str">
        <f>'KoAct K수출핵심기업TOP30액티브'!B19</f>
        <v>한화시스템</v>
      </c>
      <c r="C13" s="65">
        <f>VLOOKUP(B13,'KoAct K수출핵심기업TOP30액티브'!$B$11:$E$1000,4,0)</f>
        <v>3.53</v>
      </c>
      <c r="D13" s="65">
        <f>IFERROR(VLOOKUP(B13,'KoAct K수출핵심기업TOP30액티브(과거)'!$B$11:$E$1000,4,0),0)</f>
        <v>3.75</v>
      </c>
      <c r="E13" s="20">
        <f t="shared" si="0"/>
        <v>-0.2200000000000002</v>
      </c>
      <c r="F13" s="21">
        <f t="shared" si="1"/>
        <v>-5.8666666666666756E-2</v>
      </c>
      <c r="G13" s="63" t="str">
        <f>VLOOKUP(H13,유니버스!$C$14:$D$2561,2,0)</f>
        <v>KS</v>
      </c>
      <c r="H13" s="65" t="str">
        <f>'KODEX 로봇액티브'!B19</f>
        <v>두산로보틱스</v>
      </c>
      <c r="I13" s="65">
        <f>VLOOKUP(H13,'KODEX 로봇액티브'!$B$11:$E$1000,4,0)</f>
        <v>5.14</v>
      </c>
      <c r="J13" s="65">
        <f>IFERROR(VLOOKUP(H13,'KODEX 로봇액티브(과거)'!$B$11:$E$1000,4,0),0)</f>
        <v>6.02</v>
      </c>
      <c r="K13" s="26">
        <f t="shared" si="2"/>
        <v>-0.87999999999999989</v>
      </c>
      <c r="L13" s="27">
        <f t="shared" si="3"/>
        <v>-0.14617940199335544</v>
      </c>
      <c r="M13" s="62" t="str">
        <f>VLOOKUP(N13,유니버스!$C$14:$D$2561,2,0)</f>
        <v>KS</v>
      </c>
      <c r="N13" s="26" t="str">
        <f>'TIMEFOLIO K컬처액티브'!B19</f>
        <v>CJ</v>
      </c>
      <c r="O13" s="20">
        <f>VLOOKUP(N13,'TIMEFOLIO K컬처액티브'!$B$11:$E$1000,4,0)</f>
        <v>4.67</v>
      </c>
      <c r="P13" s="20">
        <f>IFERROR(VLOOKUP(N13,'TIMEFOLIO K컬처액티브(과거)'!$B$11:$E$1000,4,0),0)</f>
        <v>5.57</v>
      </c>
      <c r="Q13" s="20">
        <f t="shared" si="4"/>
        <v>-0.90000000000000036</v>
      </c>
      <c r="R13" s="21">
        <f t="shared" si="5"/>
        <v>-0.16157989228007186</v>
      </c>
    </row>
    <row r="14" spans="1:18" x14ac:dyDescent="0.4">
      <c r="A14" s="63" t="str">
        <f>VLOOKUP(B14,유니버스!$C$14:$D$2561,2,0)</f>
        <v>KS</v>
      </c>
      <c r="B14" s="65" t="str">
        <f>'KoAct K수출핵심기업TOP30액티브'!B20</f>
        <v>HD현대중공업</v>
      </c>
      <c r="C14" s="65">
        <f>VLOOKUP(B14,'KoAct K수출핵심기업TOP30액티브'!$B$11:$E$1000,4,0)</f>
        <v>3.5</v>
      </c>
      <c r="D14" s="65">
        <f>IFERROR(VLOOKUP(B14,'KoAct K수출핵심기업TOP30액티브(과거)'!$B$11:$E$1000,4,0),0)</f>
        <v>3.34</v>
      </c>
      <c r="E14" s="20">
        <f t="shared" si="0"/>
        <v>0.16000000000000014</v>
      </c>
      <c r="F14" s="21">
        <f t="shared" si="1"/>
        <v>4.7904191616766401E-2</v>
      </c>
      <c r="G14" s="63" t="str">
        <f>VLOOKUP(H14,유니버스!$C$14:$D$2561,2,0)</f>
        <v>KQ</v>
      </c>
      <c r="H14" s="65" t="str">
        <f>'KODEX 로봇액티브'!B20</f>
        <v>에스피지</v>
      </c>
      <c r="I14" s="65">
        <f>VLOOKUP(H14,'KODEX 로봇액티브'!$B$11:$E$1000,4,0)</f>
        <v>4.1900000000000004</v>
      </c>
      <c r="J14" s="65">
        <f>IFERROR(VLOOKUP(H14,'KODEX 로봇액티브(과거)'!$B$11:$E$1000,4,0),0)</f>
        <v>4.16</v>
      </c>
      <c r="K14" s="26">
        <f t="shared" si="2"/>
        <v>3.0000000000000249E-2</v>
      </c>
      <c r="L14" s="27">
        <f t="shared" si="3"/>
        <v>7.2115384615385469E-3</v>
      </c>
      <c r="M14" s="62" t="str">
        <f>VLOOKUP(N14,유니버스!$C$14:$D$2561,2,0)</f>
        <v>KQ</v>
      </c>
      <c r="N14" s="26" t="str">
        <f>'TIMEFOLIO K컬처액티브'!B20</f>
        <v>JYP Ent.</v>
      </c>
      <c r="O14" s="20">
        <f>VLOOKUP(N14,'TIMEFOLIO K컬처액티브'!$B$11:$E$1000,4,0)</f>
        <v>4.47</v>
      </c>
      <c r="P14" s="20">
        <f>IFERROR(VLOOKUP(N14,'TIMEFOLIO K컬처액티브(과거)'!$B$11:$E$1000,4,0),0)</f>
        <v>4.3499999999999996</v>
      </c>
      <c r="Q14" s="20">
        <f t="shared" si="4"/>
        <v>0.12000000000000011</v>
      </c>
      <c r="R14" s="21">
        <f t="shared" si="5"/>
        <v>2.7586206896551779E-2</v>
      </c>
    </row>
    <row r="15" spans="1:18" x14ac:dyDescent="0.4">
      <c r="A15" s="63" t="str">
        <f>VLOOKUP(B15,유니버스!$C$14:$D$2561,2,0)</f>
        <v>KS</v>
      </c>
      <c r="B15" s="65" t="str">
        <f>'KoAct K수출핵심기업TOP30액티브'!B21</f>
        <v>현대차</v>
      </c>
      <c r="C15" s="65">
        <f>VLOOKUP(B15,'KoAct K수출핵심기업TOP30액티브'!$B$11:$E$1000,4,0)</f>
        <v>3.4</v>
      </c>
      <c r="D15" s="65">
        <f>IFERROR(VLOOKUP(B15,'KoAct K수출핵심기업TOP30액티브(과거)'!$B$11:$E$1000,4,0),0)</f>
        <v>4.28</v>
      </c>
      <c r="E15" s="20">
        <f t="shared" si="0"/>
        <v>-0.88000000000000034</v>
      </c>
      <c r="F15" s="21">
        <f t="shared" si="1"/>
        <v>-0.20560747663551404</v>
      </c>
      <c r="G15" s="63" t="str">
        <f>VLOOKUP(H15,유니버스!$C$14:$D$2561,2,0)</f>
        <v>KQ</v>
      </c>
      <c r="H15" s="65" t="str">
        <f>'KODEX 로봇액티브'!B21</f>
        <v>뉴로메카</v>
      </c>
      <c r="I15" s="65">
        <f>VLOOKUP(H15,'KODEX 로봇액티브'!$B$11:$E$1000,4,0)</f>
        <v>3.28</v>
      </c>
      <c r="J15" s="65">
        <f>IFERROR(VLOOKUP(H15,'KODEX 로봇액티브(과거)'!$B$11:$E$1000,4,0),0)</f>
        <v>3.3</v>
      </c>
      <c r="K15" s="26">
        <f t="shared" si="2"/>
        <v>-2.0000000000000018E-2</v>
      </c>
      <c r="L15" s="27">
        <f t="shared" si="3"/>
        <v>-6.0606060606060996E-3</v>
      </c>
      <c r="M15" s="62" t="str">
        <f>VLOOKUP(N15,유니버스!$C$14:$D$2561,2,0)</f>
        <v>KS</v>
      </c>
      <c r="N15" s="26" t="str">
        <f>'TIMEFOLIO K컬처액티브'!B21</f>
        <v>하이브</v>
      </c>
      <c r="O15" s="20">
        <f>VLOOKUP(N15,'TIMEFOLIO K컬처액티브'!$B$11:$E$1000,4,0)</f>
        <v>4.22</v>
      </c>
      <c r="P15" s="20">
        <f>IFERROR(VLOOKUP(N15,'TIMEFOLIO K컬처액티브(과거)'!$B$11:$E$1000,4,0),0)</f>
        <v>4.17</v>
      </c>
      <c r="Q15" s="20">
        <f t="shared" si="4"/>
        <v>4.9999999999999822E-2</v>
      </c>
      <c r="R15" s="21">
        <f t="shared" si="5"/>
        <v>1.1990407673860837E-2</v>
      </c>
    </row>
    <row r="16" spans="1:18" x14ac:dyDescent="0.4">
      <c r="A16" s="63" t="str">
        <f>VLOOKUP(B16,유니버스!$C$14:$D$2561,2,0)</f>
        <v>KS</v>
      </c>
      <c r="B16" s="65" t="str">
        <f>'KoAct K수출핵심기업TOP30액티브'!B22</f>
        <v>LG전자</v>
      </c>
      <c r="C16" s="65">
        <f>VLOOKUP(B16,'KoAct K수출핵심기업TOP30액티브'!$B$11:$E$1000,4,0)</f>
        <v>2.87</v>
      </c>
      <c r="D16" s="65">
        <f>IFERROR(VLOOKUP(B16,'KoAct K수출핵심기업TOP30액티브(과거)'!$B$11:$E$1000,4,0),0)</f>
        <v>3.42</v>
      </c>
      <c r="E16" s="20">
        <f t="shared" si="0"/>
        <v>-0.54999999999999982</v>
      </c>
      <c r="F16" s="21">
        <f t="shared" si="1"/>
        <v>-0.16081871345029231</v>
      </c>
      <c r="G16" s="63" t="str">
        <f>VLOOKUP(H16,유니버스!$C$14:$D$2561,2,0)</f>
        <v>KS</v>
      </c>
      <c r="H16" s="65" t="str">
        <f>'KODEX 로봇액티브'!B22</f>
        <v>HD현대</v>
      </c>
      <c r="I16" s="65">
        <f>VLOOKUP(H16,'KODEX 로봇액티브'!$B$11:$E$1000,4,0)</f>
        <v>2.63</v>
      </c>
      <c r="J16" s="65">
        <f>IFERROR(VLOOKUP(H16,'KODEX 로봇액티브(과거)'!$B$11:$E$1000,4,0),0)</f>
        <v>2.52</v>
      </c>
      <c r="K16" s="26">
        <f t="shared" si="2"/>
        <v>0.10999999999999988</v>
      </c>
      <c r="L16" s="27">
        <f t="shared" si="3"/>
        <v>4.3650793650793496E-2</v>
      </c>
      <c r="M16" s="62" t="str">
        <f>VLOOKUP(N16,유니버스!$C$14:$D$2561,2,0)</f>
        <v>KQ</v>
      </c>
      <c r="N16" s="26" t="str">
        <f>'TIMEFOLIO K컬처액티브'!B22</f>
        <v>올릭스</v>
      </c>
      <c r="O16" s="20">
        <f>VLOOKUP(N16,'TIMEFOLIO K컬처액티브'!$B$11:$E$1000,4,0)</f>
        <v>4.01</v>
      </c>
      <c r="P16" s="20">
        <f>IFERROR(VLOOKUP(N16,'TIMEFOLIO K컬처액티브(과거)'!$B$11:$E$1000,4,0),0)</f>
        <v>4.28</v>
      </c>
      <c r="Q16" s="20">
        <f t="shared" si="4"/>
        <v>-0.27000000000000046</v>
      </c>
      <c r="R16" s="21">
        <f t="shared" si="5"/>
        <v>-6.3084112149532801E-2</v>
      </c>
    </row>
    <row r="17" spans="1:18" x14ac:dyDescent="0.4">
      <c r="A17" s="63" t="str">
        <f>VLOOKUP(B17,유니버스!$C$14:$D$2561,2,0)</f>
        <v>KS</v>
      </c>
      <c r="B17" s="65" t="str">
        <f>'KoAct K수출핵심기업TOP30액티브'!B23</f>
        <v>에이피알</v>
      </c>
      <c r="C17" s="65">
        <f>VLOOKUP(B17,'KoAct K수출핵심기업TOP30액티브'!$B$11:$E$1000,4,0)</f>
        <v>2.61</v>
      </c>
      <c r="D17" s="65">
        <f>IFERROR(VLOOKUP(B17,'KoAct K수출핵심기업TOP30액티브(과거)'!$B$11:$E$1000,4,0),0)</f>
        <v>2.79</v>
      </c>
      <c r="E17" s="20">
        <f t="shared" si="0"/>
        <v>-0.18000000000000016</v>
      </c>
      <c r="F17" s="21">
        <f t="shared" si="1"/>
        <v>-6.4516129032258118E-2</v>
      </c>
      <c r="G17" s="63" t="str">
        <f>VLOOKUP(H17,유니버스!$C$14:$D$2561,2,0)</f>
        <v>KS</v>
      </c>
      <c r="H17" s="65" t="str">
        <f>'KODEX 로봇액티브'!B23</f>
        <v>NAVER</v>
      </c>
      <c r="I17" s="65">
        <f>VLOOKUP(H17,'KODEX 로봇액티브'!$B$11:$E$1000,4,0)</f>
        <v>2.4300000000000002</v>
      </c>
      <c r="J17" s="65">
        <f>IFERROR(VLOOKUP(H17,'KODEX 로봇액티브(과거)'!$B$11:$E$1000,4,0),0)</f>
        <v>2.4500000000000002</v>
      </c>
      <c r="K17" s="26">
        <f t="shared" si="2"/>
        <v>-2.0000000000000018E-2</v>
      </c>
      <c r="L17" s="27">
        <f t="shared" si="3"/>
        <v>-8.1632653061224358E-3</v>
      </c>
      <c r="M17" s="62" t="str">
        <f>VLOOKUP(N17,유니버스!$C$14:$D$2561,2,0)</f>
        <v>KQ</v>
      </c>
      <c r="N17" s="26" t="str">
        <f>'TIMEFOLIO K컬처액티브'!B23</f>
        <v>와이지엔터테인먼트</v>
      </c>
      <c r="O17" s="20">
        <f>VLOOKUP(N17,'TIMEFOLIO K컬처액티브'!$B$11:$E$1000,4,0)</f>
        <v>3.87</v>
      </c>
      <c r="P17" s="20">
        <f>IFERROR(VLOOKUP(N17,'TIMEFOLIO K컬처액티브(과거)'!$B$11:$E$1000,4,0),0)</f>
        <v>3.83</v>
      </c>
      <c r="Q17" s="20">
        <f t="shared" si="4"/>
        <v>4.0000000000000036E-2</v>
      </c>
      <c r="R17" s="21">
        <f t="shared" si="5"/>
        <v>1.0443864229765065E-2</v>
      </c>
    </row>
    <row r="18" spans="1:18" x14ac:dyDescent="0.4">
      <c r="A18" s="63" t="str">
        <f>VLOOKUP(B18,유니버스!$C$14:$D$2561,2,0)</f>
        <v>KS</v>
      </c>
      <c r="B18" s="65" t="str">
        <f>'KoAct K수출핵심기업TOP30액티브'!B24</f>
        <v>효성중공업</v>
      </c>
      <c r="C18" s="65">
        <f>VLOOKUP(B18,'KoAct K수출핵심기업TOP30액티브'!$B$11:$E$1000,4,0)</f>
        <v>2.6</v>
      </c>
      <c r="D18" s="65">
        <f>IFERROR(VLOOKUP(B18,'KoAct K수출핵심기업TOP30액티브(과거)'!$B$11:$E$1000,4,0),0)</f>
        <v>2.63</v>
      </c>
      <c r="E18" s="20">
        <f t="shared" si="0"/>
        <v>-2.9999999999999805E-2</v>
      </c>
      <c r="F18" s="21">
        <f t="shared" si="1"/>
        <v>-1.1406844106463754E-2</v>
      </c>
      <c r="G18" s="63" t="str">
        <f>VLOOKUP(H18,유니버스!$C$14:$D$2561,2,0)</f>
        <v>KQ</v>
      </c>
      <c r="H18" s="65" t="str">
        <f>'KODEX 로봇액티브'!B24</f>
        <v>유진로봇</v>
      </c>
      <c r="I18" s="65">
        <f>VLOOKUP(H18,'KODEX 로봇액티브'!$B$11:$E$1000,4,0)</f>
        <v>2.2999999999999998</v>
      </c>
      <c r="J18" s="65">
        <f>IFERROR(VLOOKUP(H18,'KODEX 로봇액티브(과거)'!$B$11:$E$1000,4,0),0)</f>
        <v>2.54</v>
      </c>
      <c r="K18" s="26">
        <f t="shared" si="2"/>
        <v>-0.24000000000000021</v>
      </c>
      <c r="L18" s="27">
        <f t="shared" si="3"/>
        <v>-9.4488188976378007E-2</v>
      </c>
      <c r="M18" s="62" t="str">
        <f>VLOOKUP(N18,유니버스!$C$14:$D$2561,2,0)</f>
        <v>KQ</v>
      </c>
      <c r="N18" s="26" t="str">
        <f>'TIMEFOLIO K컬처액티브'!B24</f>
        <v>실리콘투</v>
      </c>
      <c r="O18" s="20">
        <f>VLOOKUP(N18,'TIMEFOLIO K컬처액티브'!$B$11:$E$1000,4,0)</f>
        <v>3.43</v>
      </c>
      <c r="P18" s="20">
        <f>IFERROR(VLOOKUP(N18,'TIMEFOLIO K컬처액티브(과거)'!$B$11:$E$1000,4,0),0)</f>
        <v>3.3</v>
      </c>
      <c r="Q18" s="20">
        <f t="shared" si="4"/>
        <v>0.13000000000000034</v>
      </c>
      <c r="R18" s="21">
        <f t="shared" si="5"/>
        <v>3.9393939393939537E-2</v>
      </c>
    </row>
    <row r="19" spans="1:18" x14ac:dyDescent="0.4">
      <c r="A19" s="63" t="str">
        <f>VLOOKUP(B19,유니버스!$C$14:$D$2561,2,0)</f>
        <v>KS</v>
      </c>
      <c r="B19" s="65" t="str">
        <f>'KoAct K수출핵심기업TOP30액티브'!B25</f>
        <v>HD한국조선해양</v>
      </c>
      <c r="C19" s="65">
        <f>VLOOKUP(B19,'KoAct K수출핵심기업TOP30액티브'!$B$11:$E$1000,4,0)</f>
        <v>2.5499999999999998</v>
      </c>
      <c r="D19" s="65">
        <f>IFERROR(VLOOKUP(B19,'KoAct K수출핵심기업TOP30액티브(과거)'!$B$11:$E$1000,4,0),0)</f>
        <v>2.71</v>
      </c>
      <c r="E19" s="20">
        <f t="shared" si="0"/>
        <v>-0.16000000000000014</v>
      </c>
      <c r="F19" s="21">
        <f t="shared" si="1"/>
        <v>-5.9040590405904148E-2</v>
      </c>
      <c r="G19" s="63" t="str">
        <f>VLOOKUP(H19,유니버스!$C$14:$D$2561,2,0)</f>
        <v>KS</v>
      </c>
      <c r="H19" s="65" t="str">
        <f>'KODEX 로봇액티브'!B25</f>
        <v>LG이노텍</v>
      </c>
      <c r="I19" s="65">
        <f>VLOOKUP(H19,'KODEX 로봇액티브'!$B$11:$E$1000,4,0)</f>
        <v>1.86</v>
      </c>
      <c r="J19" s="65">
        <f>IFERROR(VLOOKUP(H19,'KODEX 로봇액티브(과거)'!$B$11:$E$1000,4,0),0)</f>
        <v>1.61</v>
      </c>
      <c r="K19" s="26">
        <f t="shared" si="2"/>
        <v>0.25</v>
      </c>
      <c r="L19" s="27">
        <f t="shared" si="3"/>
        <v>0.15527950310559002</v>
      </c>
      <c r="M19" s="62" t="str">
        <f>VLOOKUP(N19,유니버스!$C$14:$D$2561,2,0)</f>
        <v>KQ</v>
      </c>
      <c r="N19" s="26" t="str">
        <f>'TIMEFOLIO K컬처액티브'!B25</f>
        <v>에스엠</v>
      </c>
      <c r="O19" s="20">
        <f>VLOOKUP(N19,'TIMEFOLIO K컬처액티브'!$B$11:$E$1000,4,0)</f>
        <v>3.11</v>
      </c>
      <c r="P19" s="20">
        <f>IFERROR(VLOOKUP(N19,'TIMEFOLIO K컬처액티브(과거)'!$B$11:$E$1000,4,0),0)</f>
        <v>3.14</v>
      </c>
      <c r="Q19" s="20">
        <f t="shared" si="4"/>
        <v>-3.0000000000000249E-2</v>
      </c>
      <c r="R19" s="21">
        <f t="shared" si="5"/>
        <v>-9.5541401273886439E-3</v>
      </c>
    </row>
    <row r="20" spans="1:18" x14ac:dyDescent="0.4">
      <c r="A20" s="63" t="str">
        <f>VLOOKUP(B20,유니버스!$C$14:$D$2561,2,0)</f>
        <v>KS</v>
      </c>
      <c r="B20" s="65" t="str">
        <f>'KoAct K수출핵심기업TOP30액티브'!B26</f>
        <v>한화오션</v>
      </c>
      <c r="C20" s="65">
        <f>VLOOKUP(B20,'KoAct K수출핵심기업TOP30액티브'!$B$11:$E$1000,4,0)</f>
        <v>2.27</v>
      </c>
      <c r="D20" s="65">
        <f>IFERROR(VLOOKUP(B20,'KoAct K수출핵심기업TOP30액티브(과거)'!$B$11:$E$1000,4,0),0)</f>
        <v>2.5</v>
      </c>
      <c r="E20" s="20">
        <f t="shared" si="0"/>
        <v>-0.22999999999999998</v>
      </c>
      <c r="F20" s="21">
        <f t="shared" si="1"/>
        <v>-9.1999999999999971E-2</v>
      </c>
      <c r="G20" s="63" t="str">
        <f>VLOOKUP(H20,유니버스!$C$14:$D$2561,2,0)</f>
        <v>KS</v>
      </c>
      <c r="H20" s="65" t="str">
        <f>'KODEX 로봇액티브'!B26</f>
        <v>삼성에스디에스</v>
      </c>
      <c r="I20" s="65">
        <f>VLOOKUP(H20,'KODEX 로봇액티브'!$B$11:$E$1000,4,0)</f>
        <v>1.79</v>
      </c>
      <c r="J20" s="65">
        <f>IFERROR(VLOOKUP(H20,'KODEX 로봇액티브(과거)'!$B$11:$E$1000,4,0),0)</f>
        <v>1.81</v>
      </c>
      <c r="K20" s="26">
        <f t="shared" si="2"/>
        <v>-2.0000000000000018E-2</v>
      </c>
      <c r="L20" s="27">
        <f t="shared" si="3"/>
        <v>-1.1049723756906049E-2</v>
      </c>
      <c r="M20" s="62" t="str">
        <f>VLOOKUP(N20,유니버스!$C$14:$D$2561,2,0)</f>
        <v>KQ</v>
      </c>
      <c r="N20" s="26" t="str">
        <f>'TIMEFOLIO K컬처액티브'!B26</f>
        <v>아이티센글로벌</v>
      </c>
      <c r="O20" s="20">
        <f>VLOOKUP(N20,'TIMEFOLIO K컬처액티브'!$B$11:$E$1000,4,0)</f>
        <v>3.08</v>
      </c>
      <c r="P20" s="20">
        <f>IFERROR(VLOOKUP(N20,'TIMEFOLIO K컬처액티브(과거)'!$B$11:$E$1000,4,0),0)</f>
        <v>3.06</v>
      </c>
      <c r="Q20" s="20">
        <f t="shared" si="4"/>
        <v>2.0000000000000018E-2</v>
      </c>
      <c r="R20" s="21">
        <f t="shared" si="5"/>
        <v>6.5359477124182774E-3</v>
      </c>
    </row>
    <row r="21" spans="1:18" x14ac:dyDescent="0.4">
      <c r="A21" s="63" t="str">
        <f>VLOOKUP(B21,유니버스!$C$14:$D$2561,2,0)</f>
        <v>KS</v>
      </c>
      <c r="B21" s="65" t="str">
        <f>'KoAct K수출핵심기업TOP30액티브'!B27</f>
        <v>삼성SDI</v>
      </c>
      <c r="C21" s="65">
        <f>VLOOKUP(B21,'KoAct K수출핵심기업TOP30액티브'!$B$11:$E$1000,4,0)</f>
        <v>2.21</v>
      </c>
      <c r="D21" s="65">
        <f>IFERROR(VLOOKUP(B21,'KoAct K수출핵심기업TOP30액티브(과거)'!$B$11:$E$1000,4,0),0)</f>
        <v>2.34</v>
      </c>
      <c r="E21" s="20">
        <f t="shared" si="0"/>
        <v>-0.12999999999999989</v>
      </c>
      <c r="F21" s="21">
        <f t="shared" si="1"/>
        <v>-5.5555555555555469E-2</v>
      </c>
      <c r="G21" s="63" t="str">
        <f>VLOOKUP(H21,유니버스!$C$14:$D$2561,2,0)</f>
        <v>KQ</v>
      </c>
      <c r="H21" s="65" t="str">
        <f>'KODEX 로봇액티브'!B27</f>
        <v>유일로보틱스</v>
      </c>
      <c r="I21" s="65">
        <f>VLOOKUP(H21,'KODEX 로봇액티브'!$B$11:$E$1000,4,0)</f>
        <v>1.64</v>
      </c>
      <c r="J21" s="65">
        <f>IFERROR(VLOOKUP(H21,'KODEX 로봇액티브(과거)'!$B$11:$E$1000,4,0),0)</f>
        <v>1.63</v>
      </c>
      <c r="K21" s="26">
        <f t="shared" si="2"/>
        <v>1.0000000000000009E-2</v>
      </c>
      <c r="L21" s="27">
        <f t="shared" si="3"/>
        <v>6.1349693251533388E-3</v>
      </c>
      <c r="M21" s="62" t="str">
        <f>VLOOKUP(N21,유니버스!$C$14:$D$2561,2,0)</f>
        <v>KQ</v>
      </c>
      <c r="N21" s="26" t="str">
        <f>'TIMEFOLIO K컬처액티브'!B27</f>
        <v>엘앤씨바이오</v>
      </c>
      <c r="O21" s="20">
        <f>VLOOKUP(N21,'TIMEFOLIO K컬처액티브'!$B$11:$E$1000,4,0)</f>
        <v>2.89</v>
      </c>
      <c r="P21" s="20">
        <f>IFERROR(VLOOKUP(N21,'TIMEFOLIO K컬처액티브(과거)'!$B$11:$E$1000,4,0),0)</f>
        <v>2.73</v>
      </c>
      <c r="Q21" s="20">
        <f t="shared" si="4"/>
        <v>0.16000000000000014</v>
      </c>
      <c r="R21" s="21">
        <f t="shared" si="5"/>
        <v>5.8608058608058622E-2</v>
      </c>
    </row>
    <row r="22" spans="1:18" x14ac:dyDescent="0.4">
      <c r="A22" s="63" t="str">
        <f>VLOOKUP(B22,유니버스!$C$14:$D$2561,2,0)</f>
        <v>KS</v>
      </c>
      <c r="B22" s="65" t="str">
        <f>'KoAct K수출핵심기업TOP30액티브'!B28</f>
        <v>이수페타시스</v>
      </c>
      <c r="C22" s="65">
        <f>VLOOKUP(B22,'KoAct K수출핵심기업TOP30액티브'!$B$11:$E$1000,4,0)</f>
        <v>2.21</v>
      </c>
      <c r="D22" s="65">
        <f>IFERROR(VLOOKUP(B22,'KoAct K수출핵심기업TOP30액티브(과거)'!$B$11:$E$1000,4,0),0)</f>
        <v>1.86</v>
      </c>
      <c r="E22" s="20">
        <f t="shared" si="0"/>
        <v>0.34999999999999987</v>
      </c>
      <c r="F22" s="21">
        <f t="shared" si="1"/>
        <v>0.18817204301075252</v>
      </c>
      <c r="G22" s="63" t="str">
        <f>VLOOKUP(H22,유니버스!$C$14:$D$2561,2,0)</f>
        <v>KQ</v>
      </c>
      <c r="H22" s="65" t="str">
        <f>'KODEX 로봇액티브'!B28</f>
        <v>클로봇</v>
      </c>
      <c r="I22" s="65">
        <f>VLOOKUP(H22,'KODEX 로봇액티브'!$B$11:$E$1000,4,0)</f>
        <v>1.53</v>
      </c>
      <c r="J22" s="65">
        <f>IFERROR(VLOOKUP(H22,'KODEX 로봇액티브(과거)'!$B$11:$E$1000,4,0),0)</f>
        <v>1.62</v>
      </c>
      <c r="K22" s="26">
        <f t="shared" si="2"/>
        <v>-9.000000000000008E-2</v>
      </c>
      <c r="L22" s="27">
        <f t="shared" si="3"/>
        <v>-5.555555555555558E-2</v>
      </c>
      <c r="M22" s="62" t="str">
        <f>VLOOKUP(N22,유니버스!$C$14:$D$2561,2,0)</f>
        <v>KQ</v>
      </c>
      <c r="N22" s="26" t="str">
        <f>'TIMEFOLIO K컬처액티브'!B28</f>
        <v>코스메카코리아</v>
      </c>
      <c r="O22" s="20">
        <f>VLOOKUP(N22,'TIMEFOLIO K컬처액티브'!$B$11:$E$1000,4,0)</f>
        <v>2.67</v>
      </c>
      <c r="P22" s="20">
        <f>IFERROR(VLOOKUP(N22,'TIMEFOLIO K컬처액티브(과거)'!$B$11:$E$1000,4,0),0)</f>
        <v>2.92</v>
      </c>
      <c r="Q22" s="20">
        <f t="shared" si="4"/>
        <v>-0.25</v>
      </c>
      <c r="R22" s="21">
        <f t="shared" si="5"/>
        <v>-8.5616438356164393E-2</v>
      </c>
    </row>
    <row r="23" spans="1:18" x14ac:dyDescent="0.4">
      <c r="A23" s="63" t="str">
        <f>VLOOKUP(B23,유니버스!$C$14:$D$2561,2,0)</f>
        <v>KS</v>
      </c>
      <c r="B23" s="65" t="str">
        <f>'KoAct K수출핵심기업TOP30액티브'!B29</f>
        <v>한국항공우주</v>
      </c>
      <c r="C23" s="65">
        <f>VLOOKUP(B23,'KoAct K수출핵심기업TOP30액티브'!$B$11:$E$1000,4,0)</f>
        <v>2.16</v>
      </c>
      <c r="D23" s="65">
        <f>IFERROR(VLOOKUP(B23,'KoAct K수출핵심기업TOP30액티브(과거)'!$B$11:$E$1000,4,0),0)</f>
        <v>2.2400000000000002</v>
      </c>
      <c r="E23" s="20">
        <f t="shared" si="0"/>
        <v>-8.0000000000000071E-2</v>
      </c>
      <c r="F23" s="21">
        <f t="shared" si="1"/>
        <v>-3.5714285714285698E-2</v>
      </c>
      <c r="G23" s="63" t="str">
        <f>VLOOKUP(H23,유니버스!$C$14:$D$2561,2,0)</f>
        <v>KS</v>
      </c>
      <c r="H23" s="65" t="str">
        <f>'KODEX 로봇액티브'!B29</f>
        <v>KT</v>
      </c>
      <c r="I23" s="65">
        <f>VLOOKUP(H23,'KODEX 로봇액티브'!$B$11:$E$1000,4,0)</f>
        <v>1.48</v>
      </c>
      <c r="J23" s="65">
        <f>IFERROR(VLOOKUP(H23,'KODEX 로봇액티브(과거)'!$B$11:$E$1000,4,0),0)</f>
        <v>1.54</v>
      </c>
      <c r="K23" s="26">
        <f t="shared" si="2"/>
        <v>-6.0000000000000053E-2</v>
      </c>
      <c r="L23" s="27">
        <f t="shared" si="3"/>
        <v>-3.8961038961038974E-2</v>
      </c>
      <c r="M23" s="62" t="str">
        <f>VLOOKUP(N23,유니버스!$C$14:$D$2561,2,0)</f>
        <v>KQ</v>
      </c>
      <c r="N23" s="26" t="str">
        <f>'TIMEFOLIO K컬처액티브'!B29</f>
        <v>파마리서치</v>
      </c>
      <c r="O23" s="20">
        <f>VLOOKUP(N23,'TIMEFOLIO K컬처액티브'!$B$11:$E$1000,4,0)</f>
        <v>2.6</v>
      </c>
      <c r="P23" s="20">
        <f>IFERROR(VLOOKUP(N23,'TIMEFOLIO K컬처액티브(과거)'!$B$11:$E$1000,4,0),0)</f>
        <v>2.72</v>
      </c>
      <c r="Q23" s="20">
        <f t="shared" si="4"/>
        <v>-0.12000000000000011</v>
      </c>
      <c r="R23" s="21">
        <f t="shared" si="5"/>
        <v>-4.4117647058823595E-2</v>
      </c>
    </row>
    <row r="24" spans="1:18" x14ac:dyDescent="0.4">
      <c r="A24" s="63" t="str">
        <f>VLOOKUP(B24,유니버스!$C$14:$D$2561,2,0)</f>
        <v>KS</v>
      </c>
      <c r="B24" s="65" t="str">
        <f>'KoAct K수출핵심기업TOP30액티브'!B30</f>
        <v>엘앤에프</v>
      </c>
      <c r="C24" s="65">
        <f>VLOOKUP(B24,'KoAct K수출핵심기업TOP30액티브'!$B$11:$E$1000,4,0)</f>
        <v>2.16</v>
      </c>
      <c r="D24" s="65">
        <f>IFERROR(VLOOKUP(B24,'KoAct K수출핵심기업TOP30액티브(과거)'!$B$11:$E$1000,4,0),0)</f>
        <v>2.36</v>
      </c>
      <c r="E24" s="20">
        <f t="shared" si="0"/>
        <v>-0.19999999999999973</v>
      </c>
      <c r="F24" s="21">
        <f t="shared" si="1"/>
        <v>-8.4745762711864292E-2</v>
      </c>
      <c r="G24" s="63" t="str">
        <f>VLOOKUP(H24,유니버스!$C$14:$D$2561,2,0)</f>
        <v>KQ</v>
      </c>
      <c r="H24" s="65" t="str">
        <f>'KODEX 로봇액티브'!B30</f>
        <v>에스비비테크</v>
      </c>
      <c r="I24" s="65">
        <f>VLOOKUP(H24,'KODEX 로봇액티브'!$B$11:$E$1000,4,0)</f>
        <v>1.36</v>
      </c>
      <c r="J24" s="65">
        <f>IFERROR(VLOOKUP(H24,'KODEX 로봇액티브(과거)'!$B$11:$E$1000,4,0),0)</f>
        <v>1.35</v>
      </c>
      <c r="K24" s="26">
        <f t="shared" si="2"/>
        <v>1.0000000000000009E-2</v>
      </c>
      <c r="L24" s="27">
        <f t="shared" si="3"/>
        <v>7.4074074074073071E-3</v>
      </c>
      <c r="M24" s="62" t="str">
        <f>VLOOKUP(N24,유니버스!$C$14:$D$2561,2,0)</f>
        <v>KQ</v>
      </c>
      <c r="N24" s="26" t="str">
        <f>'TIMEFOLIO K컬처액티브'!B30</f>
        <v>제닉</v>
      </c>
      <c r="O24" s="20">
        <f>VLOOKUP(N24,'TIMEFOLIO K컬처액티브'!$B$11:$E$1000,4,0)</f>
        <v>2.41</v>
      </c>
      <c r="P24" s="20">
        <f>IFERROR(VLOOKUP(N24,'TIMEFOLIO K컬처액티브(과거)'!$B$11:$E$1000,4,0),0)</f>
        <v>2.48</v>
      </c>
      <c r="Q24" s="20">
        <f t="shared" si="4"/>
        <v>-6.999999999999984E-2</v>
      </c>
      <c r="R24" s="21">
        <f t="shared" si="5"/>
        <v>-2.8225806451612878E-2</v>
      </c>
    </row>
    <row r="25" spans="1:18" x14ac:dyDescent="0.4">
      <c r="A25" s="63" t="str">
        <f>VLOOKUP(B25,유니버스!$C$14:$D$2561,2,0)</f>
        <v>KS</v>
      </c>
      <c r="B25" s="65" t="str">
        <f>'KoAct K수출핵심기업TOP30액티브'!B31</f>
        <v>삼양식품</v>
      </c>
      <c r="C25" s="65">
        <f>VLOOKUP(B25,'KoAct K수출핵심기업TOP30액티브'!$B$11:$E$1000,4,0)</f>
        <v>2</v>
      </c>
      <c r="D25" s="65">
        <f>IFERROR(VLOOKUP(B25,'KoAct K수출핵심기업TOP30액티브(과거)'!$B$11:$E$1000,4,0),0)</f>
        <v>2.17</v>
      </c>
      <c r="E25" s="20">
        <f t="shared" si="0"/>
        <v>-0.16999999999999993</v>
      </c>
      <c r="F25" s="21">
        <f t="shared" si="1"/>
        <v>-7.8341013824884786E-2</v>
      </c>
      <c r="G25" s="63" t="str">
        <f>VLOOKUP(H25,유니버스!$C$14:$D$2561,2,0)</f>
        <v>KQ</v>
      </c>
      <c r="H25" s="65" t="str">
        <f>'KODEX 로봇액티브'!B31</f>
        <v>삼현</v>
      </c>
      <c r="I25" s="65">
        <f>VLOOKUP(H25,'KODEX 로봇액티브'!$B$11:$E$1000,4,0)</f>
        <v>1.25</v>
      </c>
      <c r="J25" s="65">
        <f>IFERROR(VLOOKUP(H25,'KODEX 로봇액티브(과거)'!$B$11:$E$1000,4,0),0)</f>
        <v>1.2</v>
      </c>
      <c r="K25" s="26">
        <f t="shared" si="2"/>
        <v>5.0000000000000044E-2</v>
      </c>
      <c r="L25" s="27">
        <f t="shared" si="3"/>
        <v>4.1666666666666741E-2</v>
      </c>
      <c r="M25" s="62" t="str">
        <f>VLOOKUP(N25,유니버스!$C$14:$D$2561,2,0)</f>
        <v>KQ</v>
      </c>
      <c r="N25" s="26" t="str">
        <f>'TIMEFOLIO K컬처액티브'!B31</f>
        <v>서부T&amp;D</v>
      </c>
      <c r="O25" s="20">
        <f>VLOOKUP(N25,'TIMEFOLIO K컬처액티브'!$B$11:$E$1000,4,0)</f>
        <v>2.17</v>
      </c>
      <c r="P25" s="20">
        <f>IFERROR(VLOOKUP(N25,'TIMEFOLIO K컬처액티브(과거)'!$B$11:$E$1000,4,0),0)</f>
        <v>2.2799999999999998</v>
      </c>
      <c r="Q25" s="20">
        <f t="shared" si="4"/>
        <v>-0.10999999999999988</v>
      </c>
      <c r="R25" s="21">
        <f t="shared" si="5"/>
        <v>-4.8245614035087647E-2</v>
      </c>
    </row>
    <row r="26" spans="1:18" x14ac:dyDescent="0.4">
      <c r="A26" s="63" t="str">
        <f>VLOOKUP(B26,유니버스!$C$14:$D$2561,2,0)</f>
        <v>KQ</v>
      </c>
      <c r="B26" s="65" t="str">
        <f>'KoAct K수출핵심기업TOP30액티브'!B32</f>
        <v>ISC</v>
      </c>
      <c r="C26" s="65">
        <f>VLOOKUP(B26,'KoAct K수출핵심기업TOP30액티브'!$B$11:$E$1000,4,0)</f>
        <v>1.77</v>
      </c>
      <c r="D26" s="65">
        <f>IFERROR(VLOOKUP(B26,'KoAct K수출핵심기업TOP30액티브(과거)'!$B$11:$E$1000,4,0),0)</f>
        <v>1.91</v>
      </c>
      <c r="E26" s="20">
        <f t="shared" si="0"/>
        <v>-0.1399999999999999</v>
      </c>
      <c r="F26" s="21">
        <f t="shared" si="1"/>
        <v>-7.3298429319371694E-2</v>
      </c>
      <c r="G26" s="63" t="str">
        <f>VLOOKUP(H26,유니버스!$C$14:$D$2561,2,0)</f>
        <v>KQ</v>
      </c>
      <c r="H26" s="65" t="str">
        <f>'KODEX 로봇액티브'!B32</f>
        <v>원익홀딩스</v>
      </c>
      <c r="I26" s="65">
        <f>VLOOKUP(H26,'KODEX 로봇액티브'!$B$11:$E$1000,4,0)</f>
        <v>1.23</v>
      </c>
      <c r="J26" s="65">
        <f>IFERROR(VLOOKUP(H26,'KODEX 로봇액티브(과거)'!$B$11:$E$1000,4,0),0)</f>
        <v>1.24</v>
      </c>
      <c r="K26" s="26">
        <f t="shared" si="2"/>
        <v>-1.0000000000000009E-2</v>
      </c>
      <c r="L26" s="27">
        <f t="shared" si="3"/>
        <v>-8.0645161290322509E-3</v>
      </c>
      <c r="M26" s="62" t="str">
        <f>VLOOKUP(N26,유니버스!$C$14:$D$2561,2,0)</f>
        <v>KQ</v>
      </c>
      <c r="N26" s="26" t="str">
        <f>'TIMEFOLIO K컬처액티브'!B32</f>
        <v>CJ ENM</v>
      </c>
      <c r="O26" s="20">
        <f>VLOOKUP(N26,'TIMEFOLIO K컬처액티브'!$B$11:$E$1000,4,0)</f>
        <v>1.85</v>
      </c>
      <c r="P26" s="20">
        <f>IFERROR(VLOOKUP(N26,'TIMEFOLIO K컬처액티브(과거)'!$B$11:$E$1000,4,0),0)</f>
        <v>1.88</v>
      </c>
      <c r="Q26" s="20">
        <f t="shared" si="4"/>
        <v>-2.9999999999999805E-2</v>
      </c>
      <c r="R26" s="21">
        <f t="shared" si="5"/>
        <v>-1.5957446808510523E-2</v>
      </c>
    </row>
    <row r="27" spans="1:18" x14ac:dyDescent="0.4">
      <c r="A27" s="63" t="str">
        <f>VLOOKUP(B27,유니버스!$C$14:$D$2561,2,0)</f>
        <v>KS</v>
      </c>
      <c r="B27" s="65" t="str">
        <f>'KoAct K수출핵심기업TOP30액티브'!B33</f>
        <v>HD현대일렉트릭</v>
      </c>
      <c r="C27" s="65">
        <f>VLOOKUP(B27,'KoAct K수출핵심기업TOP30액티브'!$B$11:$E$1000,4,0)</f>
        <v>1.72</v>
      </c>
      <c r="D27" s="65">
        <f>IFERROR(VLOOKUP(B27,'KoAct K수출핵심기업TOP30액티브(과거)'!$B$11:$E$1000,4,0),0)</f>
        <v>2.0099999999999998</v>
      </c>
      <c r="E27" s="20">
        <f t="shared" si="0"/>
        <v>-0.28999999999999981</v>
      </c>
      <c r="F27" s="21">
        <f t="shared" si="1"/>
        <v>-0.14427860696517403</v>
      </c>
      <c r="G27" s="63" t="str">
        <f>VLOOKUP(H27,유니버스!$C$14:$D$2561,2,0)</f>
        <v>KQ</v>
      </c>
      <c r="H27" s="65" t="str">
        <f>'KODEX 로봇액티브'!B33</f>
        <v>큐렉소</v>
      </c>
      <c r="I27" s="65">
        <f>VLOOKUP(H27,'KODEX 로봇액티브'!$B$11:$E$1000,4,0)</f>
        <v>1.1599999999999999</v>
      </c>
      <c r="J27" s="65">
        <f>IFERROR(VLOOKUP(H27,'KODEX 로봇액티브(과거)'!$B$11:$E$1000,4,0),0)</f>
        <v>1.19</v>
      </c>
      <c r="K27" s="26">
        <f t="shared" si="2"/>
        <v>-3.0000000000000027E-2</v>
      </c>
      <c r="L27" s="27">
        <f t="shared" si="3"/>
        <v>-2.5210084033613467E-2</v>
      </c>
      <c r="M27" s="62" t="str">
        <f>VLOOKUP(N27,유니버스!$C$14:$D$2561,2,0)</f>
        <v>KQ</v>
      </c>
      <c r="N27" s="26" t="str">
        <f>'TIMEFOLIO K컬처액티브'!B33</f>
        <v>스튜디오드래곤</v>
      </c>
      <c r="O27" s="20">
        <f>VLOOKUP(N27,'TIMEFOLIO K컬처액티브'!$B$11:$E$1000,4,0)</f>
        <v>1.25</v>
      </c>
      <c r="P27" s="20">
        <f>IFERROR(VLOOKUP(N27,'TIMEFOLIO K컬처액티브(과거)'!$B$11:$E$1000,4,0),0)</f>
        <v>1.32</v>
      </c>
      <c r="Q27" s="20">
        <f t="shared" si="4"/>
        <v>-7.0000000000000062E-2</v>
      </c>
      <c r="R27" s="21">
        <f t="shared" si="5"/>
        <v>-5.3030303030303094E-2</v>
      </c>
    </row>
    <row r="28" spans="1:18" x14ac:dyDescent="0.4">
      <c r="A28" s="63" t="str">
        <f>VLOOKUP(B28,유니버스!$C$14:$D$2561,2,0)</f>
        <v>KS</v>
      </c>
      <c r="B28" s="65" t="str">
        <f>'KoAct K수출핵심기업TOP30액티브'!B34</f>
        <v>하이브</v>
      </c>
      <c r="C28" s="65">
        <f>VLOOKUP(B28,'KoAct K수출핵심기업TOP30액티브'!$B$11:$E$1000,4,0)</f>
        <v>1.46</v>
      </c>
      <c r="D28" s="65">
        <f>IFERROR(VLOOKUP(B28,'KoAct K수출핵심기업TOP30액티브(과거)'!$B$11:$E$1000,4,0),0)</f>
        <v>0.54</v>
      </c>
      <c r="E28" s="20">
        <f t="shared" si="0"/>
        <v>0.91999999999999993</v>
      </c>
      <c r="F28" s="21">
        <f t="shared" si="1"/>
        <v>1.7037037037037033</v>
      </c>
      <c r="G28" s="63" t="str">
        <f>VLOOKUP(H28,유니버스!$C$14:$D$2561,2,0)</f>
        <v>KQ</v>
      </c>
      <c r="H28" s="65" t="str">
        <f>'KODEX 로봇액티브'!B34</f>
        <v>고영</v>
      </c>
      <c r="I28" s="65">
        <f>VLOOKUP(H28,'KODEX 로봇액티브'!$B$11:$E$1000,4,0)</f>
        <v>0.95</v>
      </c>
      <c r="J28" s="65">
        <f>IFERROR(VLOOKUP(H28,'KODEX 로봇액티브(과거)'!$B$11:$E$1000,4,0),0)</f>
        <v>0.91</v>
      </c>
      <c r="K28" s="26">
        <f t="shared" si="2"/>
        <v>3.9999999999999925E-2</v>
      </c>
      <c r="L28" s="27">
        <f t="shared" si="3"/>
        <v>4.39560439560438E-2</v>
      </c>
      <c r="M28" s="62" t="str">
        <f>VLOOKUP(N28,유니버스!$C$14:$D$2561,2,0)</f>
        <v>KQ</v>
      </c>
      <c r="N28" s="26" t="str">
        <f>'TIMEFOLIO K컬처액티브'!B34</f>
        <v>더핑크퐁컴퍼니</v>
      </c>
      <c r="O28" s="20">
        <f>VLOOKUP(N28,'TIMEFOLIO K컬처액티브'!$B$11:$E$1000,4,0)</f>
        <v>1.18</v>
      </c>
      <c r="P28" s="20">
        <f>IFERROR(VLOOKUP(N28,'TIMEFOLIO K컬처액티브(과거)'!$B$11:$E$1000,4,0),0)</f>
        <v>1.23</v>
      </c>
      <c r="Q28" s="20">
        <f t="shared" si="4"/>
        <v>-5.0000000000000044E-2</v>
      </c>
      <c r="R28" s="21">
        <f t="shared" si="5"/>
        <v>-4.065040650406504E-2</v>
      </c>
    </row>
    <row r="29" spans="1:18" x14ac:dyDescent="0.4">
      <c r="A29" s="63" t="str">
        <f>VLOOKUP(B29,유니버스!$C$14:$D$2561,2,0)</f>
        <v>KS</v>
      </c>
      <c r="B29" s="65" t="str">
        <f>'KoAct K수출핵심기업TOP30액티브'!B35</f>
        <v>현대모비스</v>
      </c>
      <c r="C29" s="65">
        <f>VLOOKUP(B29,'KoAct K수출핵심기업TOP30액티브'!$B$11:$E$1000,4,0)</f>
        <v>1.33</v>
      </c>
      <c r="D29" s="65">
        <f>IFERROR(VLOOKUP(B29,'KoAct K수출핵심기업TOP30액티브(과거)'!$B$11:$E$1000,4,0),0)</f>
        <v>2.02</v>
      </c>
      <c r="E29" s="20">
        <f t="shared" si="0"/>
        <v>-0.69</v>
      </c>
      <c r="F29" s="21">
        <f t="shared" si="1"/>
        <v>-0.34158415841584155</v>
      </c>
      <c r="G29" s="63" t="str">
        <f>VLOOKUP(H29,유니버스!$C$14:$D$2561,2,0)</f>
        <v>KS</v>
      </c>
      <c r="H29" s="65" t="str">
        <f>'KODEX 로봇액티브'!B35</f>
        <v>현대로템</v>
      </c>
      <c r="I29" s="65">
        <f>VLOOKUP(H29,'KODEX 로봇액티브'!$B$11:$E$1000,4,0)</f>
        <v>0.91</v>
      </c>
      <c r="J29" s="65">
        <f>IFERROR(VLOOKUP(H29,'KODEX 로봇액티브(과거)'!$B$11:$E$1000,4,0),0)</f>
        <v>0.92</v>
      </c>
      <c r="K29" s="26">
        <f t="shared" si="2"/>
        <v>-1.0000000000000009E-2</v>
      </c>
      <c r="L29" s="27">
        <f t="shared" si="3"/>
        <v>-1.0869565217391353E-2</v>
      </c>
      <c r="M29" s="62" t="e">
        <f>VLOOKUP(N29,유니버스!$C$14:$D$2561,2,0)</f>
        <v>#N/A</v>
      </c>
      <c r="N29" s="26" t="str">
        <f>'TIMEFOLIO K컬처액티브'!B35</f>
        <v>원화현금</v>
      </c>
      <c r="O29" s="20">
        <f>VLOOKUP(N29,'TIMEFOLIO K컬처액티브'!$B$11:$E$1000,4,0)</f>
        <v>1.1100000000000001</v>
      </c>
      <c r="P29" s="20">
        <f>IFERROR(VLOOKUP(N29,'TIMEFOLIO K컬처액티브(과거)'!$B$11:$E$1000,4,0),0)</f>
        <v>1.05</v>
      </c>
      <c r="Q29" s="20">
        <f t="shared" si="4"/>
        <v>6.0000000000000053E-2</v>
      </c>
      <c r="R29" s="21">
        <f t="shared" si="5"/>
        <v>5.7142857142857162E-2</v>
      </c>
    </row>
    <row r="30" spans="1:18" x14ac:dyDescent="0.4">
      <c r="A30" s="63" t="str">
        <f>VLOOKUP(B30,유니버스!$C$14:$D$2561,2,0)</f>
        <v>KS</v>
      </c>
      <c r="B30" s="65" t="str">
        <f>'KoAct K수출핵심기업TOP30액티브'!B36</f>
        <v>한화에어로스페이스</v>
      </c>
      <c r="C30" s="65">
        <f>VLOOKUP(B30,'KoAct K수출핵심기업TOP30액티브'!$B$11:$E$1000,4,0)</f>
        <v>1.18</v>
      </c>
      <c r="D30" s="65">
        <f>IFERROR(VLOOKUP(B30,'KoAct K수출핵심기업TOP30액티브(과거)'!$B$11:$E$1000,4,0),0)</f>
        <v>0.49</v>
      </c>
      <c r="E30" s="20">
        <f t="shared" si="0"/>
        <v>0.69</v>
      </c>
      <c r="F30" s="21">
        <f t="shared" si="1"/>
        <v>1.4081632653061225</v>
      </c>
      <c r="G30" s="63" t="str">
        <f>VLOOKUP(H30,유니버스!$C$14:$D$2561,2,0)</f>
        <v>KS</v>
      </c>
      <c r="H30" s="65" t="str">
        <f>'KODEX 로봇액티브'!B36</f>
        <v>카카오</v>
      </c>
      <c r="I30" s="65">
        <f>VLOOKUP(H30,'KODEX 로봇액티브'!$B$11:$E$1000,4,0)</f>
        <v>0.72</v>
      </c>
      <c r="J30" s="65">
        <f>IFERROR(VLOOKUP(H30,'KODEX 로봇액티브(과거)'!$B$11:$E$1000,4,0),0)</f>
        <v>0.75</v>
      </c>
      <c r="K30" s="26">
        <f t="shared" si="2"/>
        <v>-3.0000000000000027E-2</v>
      </c>
      <c r="L30" s="27">
        <f t="shared" si="3"/>
        <v>-4.0000000000000036E-2</v>
      </c>
      <c r="N30" s="26"/>
      <c r="O30" s="20"/>
      <c r="P30" s="20"/>
      <c r="Q30" s="20"/>
      <c r="R30" s="21"/>
    </row>
    <row r="31" spans="1:18" x14ac:dyDescent="0.4">
      <c r="A31" s="63" t="str">
        <f>VLOOKUP(B31,유니버스!$C$14:$D$2561,2,0)</f>
        <v>KQ</v>
      </c>
      <c r="B31" s="65" t="str">
        <f>'KoAct K수출핵심기업TOP30액티브'!B37</f>
        <v>에코프로</v>
      </c>
      <c r="C31" s="65">
        <f>VLOOKUP(B31,'KoAct K수출핵심기업TOP30액티브'!$B$11:$E$1000,4,0)</f>
        <v>1.06</v>
      </c>
      <c r="D31" s="65">
        <f>IFERROR(VLOOKUP(B31,'KoAct K수출핵심기업TOP30액티브(과거)'!$B$11:$E$1000,4,0),0)</f>
        <v>1.31</v>
      </c>
      <c r="E31" s="20">
        <f t="shared" si="0"/>
        <v>-0.25</v>
      </c>
      <c r="F31" s="21">
        <f t="shared" si="1"/>
        <v>-0.19083969465648853</v>
      </c>
      <c r="G31" s="63" t="str">
        <f>VLOOKUP(H31,유니버스!$C$14:$D$2561,2,0)</f>
        <v>KS</v>
      </c>
      <c r="H31" s="65" t="str">
        <f>'KODEX 로봇액티브'!B37</f>
        <v>LIG디펜스앤에어로스페이스</v>
      </c>
      <c r="I31" s="65">
        <f>VLOOKUP(H31,'KODEX 로봇액티브'!$B$11:$E$1000,4,0)</f>
        <v>0.68</v>
      </c>
      <c r="J31" s="65">
        <f>IFERROR(VLOOKUP(H31,'KODEX 로봇액티브(과거)'!$B$11:$E$1000,4,0),0)</f>
        <v>0.65</v>
      </c>
      <c r="K31" s="26">
        <f t="shared" si="2"/>
        <v>3.0000000000000027E-2</v>
      </c>
      <c r="L31" s="27">
        <f t="shared" si="3"/>
        <v>4.6153846153846212E-2</v>
      </c>
      <c r="N31" s="26"/>
      <c r="O31" s="20"/>
      <c r="P31" s="20"/>
      <c r="Q31" s="20"/>
      <c r="R31" s="21"/>
    </row>
    <row r="32" spans="1:18" x14ac:dyDescent="0.4">
      <c r="A32" s="63" t="str">
        <f>VLOOKUP(B32,유니버스!$C$14:$D$2561,2,0)</f>
        <v>KQ</v>
      </c>
      <c r="B32" s="65" t="str">
        <f>'KoAct K수출핵심기업TOP30액티브'!B38</f>
        <v>성호전자</v>
      </c>
      <c r="C32" s="65">
        <f>VLOOKUP(B32,'KoAct K수출핵심기업TOP30액티브'!$B$11:$E$1000,4,0)</f>
        <v>0.94</v>
      </c>
      <c r="D32" s="65">
        <f>IFERROR(VLOOKUP(B32,'KoAct K수출핵심기업TOP30액티브(과거)'!$B$11:$E$1000,4,0),0)</f>
        <v>1.03</v>
      </c>
      <c r="E32" s="20">
        <f t="shared" si="0"/>
        <v>-9.000000000000008E-2</v>
      </c>
      <c r="F32" s="21">
        <f t="shared" si="1"/>
        <v>-8.7378640776699101E-2</v>
      </c>
      <c r="G32" s="63" t="str">
        <f>VLOOKUP(H32,유니버스!$C$14:$D$2561,2,0)</f>
        <v>KQ</v>
      </c>
      <c r="H32" s="65" t="str">
        <f>'KODEX 로봇액티브'!B38</f>
        <v>제이브이엠</v>
      </c>
      <c r="I32" s="65">
        <f>VLOOKUP(H32,'KODEX 로봇액티브'!$B$11:$E$1000,4,0)</f>
        <v>0.59</v>
      </c>
      <c r="J32" s="65">
        <f>IFERROR(VLOOKUP(H32,'KODEX 로봇액티브(과거)'!$B$11:$E$1000,4,0),0)</f>
        <v>0.62</v>
      </c>
      <c r="K32" s="26">
        <f t="shared" si="2"/>
        <v>-3.0000000000000027E-2</v>
      </c>
      <c r="L32" s="27">
        <f t="shared" si="3"/>
        <v>-4.8387096774193616E-2</v>
      </c>
      <c r="N32" s="26"/>
      <c r="O32" s="20"/>
      <c r="P32" s="20"/>
      <c r="Q32" s="20"/>
      <c r="R32" s="21"/>
    </row>
    <row r="33" spans="1:18" x14ac:dyDescent="0.4">
      <c r="A33" s="63" t="str">
        <f>VLOOKUP(B33,유니버스!$C$14:$D$2561,2,0)</f>
        <v>KQ</v>
      </c>
      <c r="B33" s="65" t="str">
        <f>'KoAct K수출핵심기업TOP30액티브'!B39</f>
        <v>리노공업</v>
      </c>
      <c r="C33" s="65">
        <f>VLOOKUP(B33,'KoAct K수출핵심기업TOP30액티브'!$B$11:$E$1000,4,0)</f>
        <v>0.39</v>
      </c>
      <c r="D33" s="65">
        <f>IFERROR(VLOOKUP(B33,'KoAct K수출핵심기업TOP30액티브(과거)'!$B$11:$E$1000,4,0),0)</f>
        <v>0.4</v>
      </c>
      <c r="E33" s="20">
        <f t="shared" si="0"/>
        <v>-1.0000000000000009E-2</v>
      </c>
      <c r="F33" s="21">
        <f t="shared" si="1"/>
        <v>-2.5000000000000022E-2</v>
      </c>
      <c r="G33" s="63" t="str">
        <f>VLOOKUP(H33,유니버스!$C$14:$D$2561,2,0)</f>
        <v>KQ</v>
      </c>
      <c r="H33" s="65" t="str">
        <f>'KODEX 로봇액티브'!B39</f>
        <v>하이젠알앤엠</v>
      </c>
      <c r="I33" s="65">
        <f>VLOOKUP(H33,'KODEX 로봇액티브'!$B$11:$E$1000,4,0)</f>
        <v>0.45</v>
      </c>
      <c r="J33" s="65">
        <f>IFERROR(VLOOKUP(H33,'KODEX 로봇액티브(과거)'!$B$11:$E$1000,4,0),0)</f>
        <v>0.47</v>
      </c>
      <c r="K33" s="26">
        <f t="shared" si="2"/>
        <v>-1.9999999999999962E-2</v>
      </c>
      <c r="L33" s="27">
        <f t="shared" si="3"/>
        <v>-4.2553191489361653E-2</v>
      </c>
      <c r="N33" s="26"/>
      <c r="O33" s="20"/>
      <c r="P33" s="20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'KoAct K수출핵심기업TOP30액티브'!B40</f>
        <v>에스티팜</v>
      </c>
      <c r="C34" s="65">
        <f>VLOOKUP(B34,'KoAct K수출핵심기업TOP30액티브'!$B$11:$E$1000,4,0)</f>
        <v>0.35</v>
      </c>
      <c r="D34" s="65">
        <f>IFERROR(VLOOKUP(B34,'KoAct K수출핵심기업TOP30액티브(과거)'!$B$11:$E$1000,4,0),0)</f>
        <v>0.53</v>
      </c>
      <c r="E34" s="20">
        <f t="shared" si="0"/>
        <v>-0.18000000000000005</v>
      </c>
      <c r="F34" s="21">
        <f t="shared" si="1"/>
        <v>-0.339622641509434</v>
      </c>
      <c r="G34" s="63" t="str">
        <f>VLOOKUP(H34,유니버스!$C$14:$D$2561,2,0)</f>
        <v>KQ</v>
      </c>
      <c r="H34" s="65" t="str">
        <f>'KODEX 로봇액티브'!B40</f>
        <v>엔젤로보틱스</v>
      </c>
      <c r="I34" s="65">
        <f>VLOOKUP(H34,'KODEX 로봇액티브'!$B$11:$E$1000,4,0)</f>
        <v>0.4</v>
      </c>
      <c r="J34" s="65">
        <f>IFERROR(VLOOKUP(H34,'KODEX 로봇액티브(과거)'!$B$11:$E$1000,4,0),0)</f>
        <v>0.42</v>
      </c>
      <c r="K34" s="26">
        <f t="shared" si="2"/>
        <v>-1.9999999999999962E-2</v>
      </c>
      <c r="L34" s="27">
        <f t="shared" si="3"/>
        <v>-4.7619047619047561E-2</v>
      </c>
      <c r="N34" s="26"/>
      <c r="O34" s="20"/>
      <c r="P34" s="20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'KoAct K수출핵심기업TOP30액티브'!B41</f>
        <v>에이비엘바이오</v>
      </c>
      <c r="C35" s="65">
        <f>VLOOKUP(B35,'KoAct K수출핵심기업TOP30액티브'!$B$11:$E$1000,4,0)</f>
        <v>0.28000000000000003</v>
      </c>
      <c r="D35" s="65">
        <f>IFERROR(VLOOKUP(B35,'KoAct K수출핵심기업TOP30액티브(과거)'!$B$11:$E$1000,4,0),0)</f>
        <v>0.32</v>
      </c>
      <c r="E35" s="20">
        <f t="shared" si="0"/>
        <v>-3.999999999999998E-2</v>
      </c>
      <c r="F35" s="21">
        <f t="shared" si="1"/>
        <v>-0.12499999999999989</v>
      </c>
      <c r="G35" s="63" t="str">
        <f>VLOOKUP(H35,유니버스!$C$14:$D$2561,2,0)</f>
        <v>KQ</v>
      </c>
      <c r="H35" s="65" t="str">
        <f>'KODEX 로봇액티브'!B41</f>
        <v>나우로보틱스</v>
      </c>
      <c r="I35" s="65">
        <f>VLOOKUP(H35,'KODEX 로봇액티브'!$B$11:$E$1000,4,0)</f>
        <v>0.34</v>
      </c>
      <c r="J35" s="65">
        <f>IFERROR(VLOOKUP(H35,'KODEX 로봇액티브(과거)'!$B$11:$E$1000,4,0),0)</f>
        <v>0.36</v>
      </c>
      <c r="K35" s="26">
        <f t="shared" si="2"/>
        <v>-1.9999999999999962E-2</v>
      </c>
      <c r="L35" s="27">
        <f t="shared" si="3"/>
        <v>-5.5555555555555469E-2</v>
      </c>
      <c r="N35" s="26"/>
      <c r="O35" s="20"/>
      <c r="P35" s="20"/>
      <c r="Q35" s="20"/>
      <c r="R35" s="21"/>
    </row>
    <row r="36" spans="1:18" x14ac:dyDescent="0.4">
      <c r="A36" s="63" t="str">
        <f>VLOOKUP(B36,유니버스!$C$14:$D$2561,2,0)</f>
        <v>KS</v>
      </c>
      <c r="B36" s="65" t="str">
        <f>'KoAct K수출핵심기업TOP30액티브'!B42</f>
        <v>삼성바이오로직스</v>
      </c>
      <c r="C36" s="65">
        <f>VLOOKUP(B36,'KoAct K수출핵심기업TOP30액티브'!$B$11:$E$1000,4,0)</f>
        <v>0.26</v>
      </c>
      <c r="D36" s="65">
        <f>IFERROR(VLOOKUP(B36,'KoAct K수출핵심기업TOP30액티브(과거)'!$B$11:$E$1000,4,0),0)</f>
        <v>0.28000000000000003</v>
      </c>
      <c r="E36" s="20">
        <f t="shared" si="0"/>
        <v>-2.0000000000000018E-2</v>
      </c>
      <c r="F36" s="21">
        <f t="shared" si="1"/>
        <v>-7.1428571428571508E-2</v>
      </c>
      <c r="G36" s="63" t="str">
        <f>VLOOKUP(H36,유니버스!$C$14:$D$2561,2,0)</f>
        <v>KQ</v>
      </c>
      <c r="H36" s="65" t="str">
        <f>'KODEX 로봇액티브'!B42</f>
        <v>에스오에스랩</v>
      </c>
      <c r="I36" s="65">
        <f>VLOOKUP(H36,'KODEX 로봇액티브'!$B$11:$E$1000,4,0)</f>
        <v>0.26</v>
      </c>
      <c r="J36" s="65">
        <f>IFERROR(VLOOKUP(H36,'KODEX 로봇액티브(과거)'!$B$11:$E$1000,4,0),0)</f>
        <v>0.28999999999999998</v>
      </c>
      <c r="K36" s="26">
        <f t="shared" si="2"/>
        <v>-2.9999999999999971E-2</v>
      </c>
      <c r="L36" s="27">
        <f t="shared" si="3"/>
        <v>-0.10344827586206884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'KoAct K수출핵심기업TOP30액티브'!B43</f>
        <v>로보티즈</v>
      </c>
      <c r="C37" s="65">
        <f>VLOOKUP(B37,'KoAct K수출핵심기업TOP30액티브'!$B$11:$E$1000,4,0)</f>
        <v>0.11</v>
      </c>
      <c r="D37" s="65">
        <f>IFERROR(VLOOKUP(B37,'KoAct K수출핵심기업TOP30액티브(과거)'!$B$11:$E$1000,4,0),0)</f>
        <v>0.13</v>
      </c>
      <c r="E37" s="20">
        <f t="shared" si="0"/>
        <v>-2.0000000000000004E-2</v>
      </c>
      <c r="F37" s="21">
        <f t="shared" si="1"/>
        <v>-0.15384615384615385</v>
      </c>
      <c r="G37" s="63" t="str">
        <f>VLOOKUP(H37,유니버스!$C$14:$D$2561,2,0)</f>
        <v>KQ</v>
      </c>
      <c r="H37" s="65" t="str">
        <f>'KODEX 로봇액티브'!B43</f>
        <v>코난테크놀로지</v>
      </c>
      <c r="I37" s="65">
        <f>VLOOKUP(H37,'KODEX 로봇액티브'!$B$11:$E$1000,4,0)</f>
        <v>0.13</v>
      </c>
      <c r="J37" s="65">
        <f>IFERROR(VLOOKUP(H37,'KODEX 로봇액티브(과거)'!$B$11:$E$1000,4,0),0)</f>
        <v>0.14000000000000001</v>
      </c>
      <c r="K37" s="26">
        <f t="shared" si="2"/>
        <v>-1.0000000000000009E-2</v>
      </c>
      <c r="L37" s="27">
        <f t="shared" si="3"/>
        <v>-7.1428571428571508E-2</v>
      </c>
      <c r="N37" s="26"/>
      <c r="O37" s="20"/>
      <c r="P37" s="20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'KoAct K수출핵심기업TOP30액티브'!B44</f>
        <v>성우하이텍</v>
      </c>
      <c r="C38" s="65">
        <f>VLOOKUP(B38,'KoAct K수출핵심기업TOP30액티브'!$B$11:$E$1000,4,0)</f>
        <v>0.08</v>
      </c>
      <c r="D38" s="65">
        <f>IFERROR(VLOOKUP(B38,'KoAct K수출핵심기업TOP30액티브(과거)'!$B$11:$E$1000,4,0),0)</f>
        <v>0.09</v>
      </c>
      <c r="E38" s="20">
        <f t="shared" si="0"/>
        <v>-9.999999999999995E-3</v>
      </c>
      <c r="F38" s="21">
        <f t="shared" si="1"/>
        <v>-0.11111111111111105</v>
      </c>
      <c r="G38" s="63" t="e">
        <f>VLOOKUP(H38,유니버스!$C$14:$D$2561,2,0)</f>
        <v>#N/A</v>
      </c>
      <c r="H38" s="65" t="str">
        <f>'KODEX 로봇액티브'!B44</f>
        <v>원화현금</v>
      </c>
      <c r="I38" s="65">
        <f>VLOOKUP(H38,'KODEX 로봇액티브'!$B$11:$E$1000,4,0)</f>
        <v>1.53</v>
      </c>
      <c r="J38" s="65">
        <f>IFERROR(VLOOKUP(H38,'KODEX 로봇액티브(과거)'!$B$11:$E$1000,4,0),0)</f>
        <v>1.51</v>
      </c>
      <c r="K38" s="26">
        <f t="shared" ref="K38" si="6">I38-J38</f>
        <v>2.0000000000000018E-2</v>
      </c>
      <c r="L38" s="27">
        <f t="shared" ref="L38" si="7">IFERROR(I38/J38-1,"신규편입")</f>
        <v>1.3245033112582849E-2</v>
      </c>
      <c r="N38" s="26"/>
      <c r="O38" s="20"/>
      <c r="P38" s="20"/>
      <c r="Q38" s="20"/>
      <c r="R38" s="21"/>
    </row>
    <row r="39" spans="1:18" x14ac:dyDescent="0.4">
      <c r="A39" s="63" t="e">
        <f>VLOOKUP(B39,유니버스!$C$14:$D$2561,2,0)</f>
        <v>#N/A</v>
      </c>
      <c r="B39" s="65" t="str">
        <f>'KoAct K수출핵심기업TOP30액티브'!B45</f>
        <v>원화현금</v>
      </c>
      <c r="C39" s="65">
        <f>VLOOKUP(B39,'KoAct K수출핵심기업TOP30액티브'!$B$11:$E$1000,4,0)</f>
        <v>0.27</v>
      </c>
      <c r="D39" s="65">
        <f>IFERROR(VLOOKUP(B39,'KoAct K수출핵심기업TOP30액티브(과거)'!$B$11:$E$1000,4,0),0)</f>
        <v>0.45</v>
      </c>
      <c r="E39" s="20">
        <f t="shared" si="0"/>
        <v>-0.18</v>
      </c>
      <c r="F39" s="21">
        <f t="shared" si="1"/>
        <v>-0.4</v>
      </c>
      <c r="H39" s="65"/>
      <c r="I39" s="65"/>
      <c r="J39" s="65"/>
      <c r="K39" s="26"/>
      <c r="L39" s="27"/>
      <c r="N39" s="26"/>
      <c r="O39" s="20"/>
      <c r="P39" s="20"/>
      <c r="Q39" s="20"/>
      <c r="R39" s="21"/>
    </row>
    <row r="40" spans="1:18" x14ac:dyDescent="0.4">
      <c r="A40" s="63" t="e">
        <f>VLOOKUP(B40,유니버스!$C$14:$D$2561,2,0)</f>
        <v>#N/A</v>
      </c>
      <c r="B40" s="65">
        <f>'KoAct K수출핵심기업TOP30액티브'!B46</f>
        <v>0</v>
      </c>
      <c r="C40" s="65" t="e">
        <f>VLOOKUP(B40,'KoAct K수출핵심기업TOP30액티브'!$B$11:$E$1000,4,0)</f>
        <v>#N/A</v>
      </c>
      <c r="D40" s="65">
        <f>IFERROR(VLOOKUP(B40,'KoAct K수출핵심기업TOP30액티브(과거)'!$B$11:$E$1000,4,0),0)</f>
        <v>0</v>
      </c>
      <c r="E40" s="20" t="e">
        <f t="shared" si="0"/>
        <v>#N/A</v>
      </c>
      <c r="F40" s="21" t="str">
        <f t="shared" si="1"/>
        <v>신규편입</v>
      </c>
      <c r="H40" s="65"/>
      <c r="I40" s="65"/>
      <c r="J40" s="65"/>
      <c r="K40" s="26"/>
      <c r="L40" s="27"/>
      <c r="N40" s="26"/>
      <c r="O40" s="20"/>
      <c r="P40" s="20"/>
      <c r="Q40" s="20"/>
      <c r="R40" s="21"/>
    </row>
    <row r="41" spans="1:18" x14ac:dyDescent="0.4">
      <c r="A41" s="63" t="e">
        <f>VLOOKUP(B41,유니버스!$C$14:$D$2561,2,0)</f>
        <v>#N/A</v>
      </c>
      <c r="B41" s="65"/>
      <c r="C41" s="65"/>
      <c r="D41" s="65"/>
      <c r="E41" s="20"/>
      <c r="F41" s="21"/>
      <c r="H41" s="65"/>
      <c r="I41" s="65"/>
      <c r="J41" s="65"/>
      <c r="K41" s="26"/>
      <c r="L41" s="27"/>
      <c r="N41" s="26"/>
      <c r="O41" s="20"/>
      <c r="P41" s="20"/>
      <c r="Q41" s="20"/>
      <c r="R41" s="21"/>
    </row>
    <row r="42" spans="1:18" x14ac:dyDescent="0.4">
      <c r="A42" s="63" t="e">
        <f>VLOOKUP(B42,유니버스!$C$14:$D$2561,2,0)</f>
        <v>#N/A</v>
      </c>
      <c r="B42" s="65"/>
      <c r="C42" s="65"/>
      <c r="D42" s="65"/>
      <c r="E42" s="20"/>
      <c r="F42" s="21"/>
      <c r="H42" s="65"/>
      <c r="I42" s="65"/>
      <c r="J42" s="65"/>
      <c r="K42" s="26"/>
      <c r="L42" s="27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6"/>
      <c r="L43" s="27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6"/>
      <c r="L44" s="27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6"/>
      <c r="L45" s="27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6"/>
      <c r="L46" s="27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6"/>
      <c r="L47" s="27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6"/>
      <c r="L48" s="27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6"/>
      <c r="L49" s="27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6"/>
      <c r="L50" s="27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6"/>
      <c r="L51" s="27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6"/>
      <c r="L52" s="27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6"/>
      <c r="L53" s="27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6"/>
      <c r="L54" s="27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6"/>
      <c r="L55" s="27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6"/>
      <c r="L56" s="27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6"/>
      <c r="L57" s="27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6"/>
      <c r="L58" s="27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6"/>
      <c r="L59" s="27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6"/>
      <c r="L60" s="27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6"/>
      <c r="L61" s="27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6"/>
      <c r="L62" s="27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6"/>
      <c r="L63" s="27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6"/>
      <c r="L64" s="27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6"/>
      <c r="L65" s="27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6"/>
      <c r="L66" s="27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6"/>
      <c r="L67" s="27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6"/>
      <c r="L68" s="27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6"/>
      <c r="L69" s="27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6"/>
      <c r="L70" s="27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6"/>
      <c r="L71" s="27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6"/>
      <c r="L72" s="27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6"/>
      <c r="L73" s="27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6"/>
      <c r="L74" s="27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6"/>
      <c r="L75" s="27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6"/>
      <c r="L76" s="27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6"/>
      <c r="L77" s="27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6"/>
      <c r="L78" s="27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6"/>
      <c r="L79" s="27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6"/>
      <c r="L80" s="27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6"/>
      <c r="L81" s="27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6"/>
      <c r="L82" s="27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6"/>
      <c r="L83" s="27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6"/>
      <c r="L84" s="27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6"/>
      <c r="L85" s="27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6"/>
      <c r="L86" s="27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6"/>
      <c r="L87" s="27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6"/>
      <c r="L88" s="27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6"/>
      <c r="L89" s="27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6"/>
      <c r="L90" s="27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6"/>
      <c r="L91" s="27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6"/>
      <c r="L92" s="27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6"/>
      <c r="L93" s="27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6"/>
      <c r="L94" s="27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6"/>
      <c r="L95" s="27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6"/>
      <c r="L96" s="27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6"/>
      <c r="L97" s="27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6"/>
      <c r="L98" s="27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6"/>
      <c r="L99" s="27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6"/>
      <c r="L100" s="27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6"/>
      <c r="L101" s="27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6"/>
      <c r="L102" s="27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6"/>
      <c r="L103" s="27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6"/>
      <c r="L104" s="27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6"/>
      <c r="L105" s="27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6"/>
      <c r="L106" s="27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6"/>
      <c r="L107" s="27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6"/>
      <c r="L108" s="27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6"/>
      <c r="L109" s="27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6"/>
      <c r="L110" s="27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6"/>
      <c r="L111" s="27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6"/>
      <c r="L112" s="27"/>
      <c r="N112" s="26"/>
      <c r="O112" s="20"/>
      <c r="P112" s="20"/>
      <c r="Q112" s="20"/>
      <c r="R112" s="21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5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3:R154"/>
  <sheetViews>
    <sheetView topLeftCell="C1" zoomScaleNormal="100" workbookViewId="0">
      <selection activeCell="I18" sqref="I18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코리아밸류업액티브'!A9</f>
        <v>TIME 코리아밸류업액티브</v>
      </c>
      <c r="H3" s="63" t="str">
        <f>'PLUS K제조업핵심기업액티브'!A9</f>
        <v>PLUS K제조업핵심기업액티브</v>
      </c>
      <c r="N3" s="62" t="str">
        <f>'타이커 기술이전'!A9</f>
        <v>TIGER 기술이전바이오액티브</v>
      </c>
    </row>
    <row r="4" spans="1:18" x14ac:dyDescent="0.4">
      <c r="B4" s="65" t="s">
        <v>75</v>
      </c>
      <c r="C4" s="66" t="str">
        <f>'KODEX 신재생에너지액티브'!B4</f>
        <v>CPD [20260522]</v>
      </c>
      <c r="D4" s="66" t="str">
        <f>'KODEX 신재생에너지액티브(과거)'!B4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[20260522]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[20260522]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코리아밸류업액티브'!B11</f>
        <v>SK하이닉스</v>
      </c>
      <c r="C5" s="65">
        <f>VLOOKUP(B5,'TIMEFOLIO 코리아밸류업액티브'!$B$11:$E$1000,4,0)</f>
        <v>28.34</v>
      </c>
      <c r="D5" s="65">
        <f>IFERROR(VLOOKUP(B5,'TIMEFOLIO 코리아밸류업액티브(과거)'!$B$11:$E$1000,4,0),0)</f>
        <v>27.59</v>
      </c>
      <c r="E5" s="20">
        <f t="shared" ref="E5" si="0">C5-D5</f>
        <v>0.75</v>
      </c>
      <c r="F5" s="21">
        <f t="shared" ref="F5" si="1">IFERROR(C5/D5-1,"신규편입")</f>
        <v>2.7183762232692921E-2</v>
      </c>
      <c r="G5" s="63" t="str">
        <f>VLOOKUP(H5,유니버스!$C$14:$D$2561,2,0)</f>
        <v>KS</v>
      </c>
      <c r="H5" s="65" t="str">
        <f>'PLUS K제조업핵심기업액티브'!B11</f>
        <v>SK하이닉스</v>
      </c>
      <c r="I5" s="65">
        <f>VLOOKUP(H5,'PLUS K제조업핵심기업액티브'!$B$11:$E$1000,4,0)</f>
        <v>24.57</v>
      </c>
      <c r="J5" s="65">
        <f>IFERROR(VLOOKUP(H5,'PLUS K제조업핵심기업액티브(과거)'!$B$11:$E$1000,4,0),0)</f>
        <v>24.12</v>
      </c>
      <c r="K5" s="20">
        <f t="shared" ref="K5" si="2">I5-J5</f>
        <v>0.44999999999999929</v>
      </c>
      <c r="L5" s="21">
        <f t="shared" ref="L5" si="3">IFERROR(I5/J5-1,"신규편입")</f>
        <v>1.8656716417910335E-2</v>
      </c>
      <c r="M5" s="62" t="str">
        <f>VLOOKUP(N5,유니버스!$C$14:$D$2561,2,0)</f>
        <v>KQ</v>
      </c>
      <c r="N5" s="76" t="str">
        <f>'타이커 기술이전'!B11</f>
        <v>올릭스</v>
      </c>
      <c r="O5" s="20">
        <f>VLOOKUP(N5,'타이커 기술이전'!$B$11:$E$1000,4,0)</f>
        <v>13.37</v>
      </c>
      <c r="P5" s="20">
        <f>IFERROR(VLOOKUP(N5,'타이커 기술이전(과거)'!$B$11:$E$1000,4,0),0)</f>
        <v>13.77</v>
      </c>
      <c r="Q5" s="20">
        <f t="shared" ref="Q5" si="4">O5-P5</f>
        <v>-0.40000000000000036</v>
      </c>
      <c r="R5" s="21">
        <f t="shared" ref="R5" si="5">IFERROR(O5/P5-1,"신규편입")</f>
        <v>-2.9048656499636949E-2</v>
      </c>
    </row>
    <row r="6" spans="1:18" x14ac:dyDescent="0.4">
      <c r="A6" s="63" t="str">
        <f>VLOOKUP(B6,유니버스!$C$14:$D$2561,2,0)</f>
        <v>KS</v>
      </c>
      <c r="B6" s="65" t="str">
        <f>'TIMEFOLIO 코리아밸류업액티브'!B12</f>
        <v>삼성전자</v>
      </c>
      <c r="C6" s="65">
        <f>VLOOKUP(B6,'TIMEFOLIO 코리아밸류업액티브'!$B$11:$E$1000,4,0)</f>
        <v>18.87</v>
      </c>
      <c r="D6" s="65">
        <f>IFERROR(VLOOKUP(B6,'TIMEFOLIO 코리아밸류업액티브(과거)'!$B$11:$E$1000,4,0),0)</f>
        <v>10.77</v>
      </c>
      <c r="E6" s="20">
        <f t="shared" ref="E6:E32" si="6">C6-D6</f>
        <v>8.1000000000000014</v>
      </c>
      <c r="F6" s="21">
        <f t="shared" ref="F6:F32" si="7">IFERROR(C6/D6-1,"신규편입")</f>
        <v>0.75208913649025089</v>
      </c>
      <c r="G6" s="63" t="str">
        <f>VLOOKUP(H6,유니버스!$C$14:$D$2561,2,0)</f>
        <v>KS</v>
      </c>
      <c r="H6" s="65" t="str">
        <f>'PLUS K제조업핵심기업액티브'!B12</f>
        <v>삼성전자</v>
      </c>
      <c r="I6" s="65">
        <f>VLOOKUP(H6,'PLUS K제조업핵심기업액티브'!$B$11:$E$1000,4,0)</f>
        <v>20.97</v>
      </c>
      <c r="J6" s="65">
        <f>IFERROR(VLOOKUP(H6,'PLUS K제조업핵심기업액티브(과거)'!$B$11:$E$1000,4,0),0)</f>
        <v>21.11</v>
      </c>
      <c r="K6" s="20">
        <f t="shared" ref="K6:K37" si="8">I6-J6</f>
        <v>-0.14000000000000057</v>
      </c>
      <c r="L6" s="21">
        <f t="shared" ref="L6:L37" si="9">IFERROR(I6/J6-1,"신규편입")</f>
        <v>-6.6319279962103739E-3</v>
      </c>
      <c r="M6" s="62" t="str">
        <f>VLOOKUP(N6,유니버스!$C$14:$D$2561,2,0)</f>
        <v>KQ</v>
      </c>
      <c r="N6" s="26" t="str">
        <f>'타이커 기술이전'!B12</f>
        <v>리가켐바이오</v>
      </c>
      <c r="O6" s="20">
        <f>VLOOKUP(N6,'타이커 기술이전'!$B$11:$E$1000,4,0)</f>
        <v>10.45</v>
      </c>
      <c r="P6" s="20">
        <f>IFERROR(VLOOKUP(N6,'타이커 기술이전(과거)'!$B$11:$E$1000,4,0),0)</f>
        <v>13.39</v>
      </c>
      <c r="Q6" s="20">
        <f t="shared" ref="Q6:Q31" si="10">O6-P6</f>
        <v>-2.9400000000000013</v>
      </c>
      <c r="R6" s="21">
        <f t="shared" ref="R6:R31" si="11">IFERROR(O6/P6-1,"신규편입")</f>
        <v>-0.21956684092606427</v>
      </c>
    </row>
    <row r="7" spans="1:18" x14ac:dyDescent="0.4">
      <c r="A7" s="63" t="str">
        <f>VLOOKUP(B7,유니버스!$C$14:$D$2561,2,0)</f>
        <v>KS</v>
      </c>
      <c r="B7" s="65" t="str">
        <f>'TIMEFOLIO 코리아밸류업액티브'!B13</f>
        <v>현대차</v>
      </c>
      <c r="C7" s="65">
        <f>VLOOKUP(B7,'TIMEFOLIO 코리아밸류업액티브'!$B$11:$E$1000,4,0)</f>
        <v>5.48</v>
      </c>
      <c r="D7" s="65">
        <f>IFERROR(VLOOKUP(B7,'TIMEFOLIO 코리아밸류업액티브(과거)'!$B$11:$E$1000,4,0),0)</f>
        <v>6.64</v>
      </c>
      <c r="E7" s="20">
        <f t="shared" si="6"/>
        <v>-1.1599999999999993</v>
      </c>
      <c r="F7" s="21">
        <f t="shared" si="7"/>
        <v>-0.17469879518072273</v>
      </c>
      <c r="G7" s="63" t="str">
        <f>VLOOKUP(H7,유니버스!$C$14:$D$2561,2,0)</f>
        <v>KS</v>
      </c>
      <c r="H7" s="65" t="str">
        <f>'PLUS K제조업핵심기업액티브'!B13</f>
        <v>두산</v>
      </c>
      <c r="I7" s="65">
        <f>VLOOKUP(H7,'PLUS K제조업핵심기업액티브'!$B$11:$E$1000,4,0)</f>
        <v>3.96</v>
      </c>
      <c r="J7" s="65">
        <f>IFERROR(VLOOKUP(H7,'PLUS K제조업핵심기업액티브(과거)'!$B$11:$E$1000,4,0),0)</f>
        <v>4.13</v>
      </c>
      <c r="K7" s="20">
        <f t="shared" si="8"/>
        <v>-0.16999999999999993</v>
      </c>
      <c r="L7" s="21">
        <f t="shared" si="9"/>
        <v>-4.1162227602905554E-2</v>
      </c>
      <c r="M7" s="62" t="str">
        <f>VLOOKUP(N7,유니버스!$C$14:$D$2561,2,0)</f>
        <v>KQ</v>
      </c>
      <c r="N7" s="26" t="str">
        <f>'타이커 기술이전'!B13</f>
        <v>에이비엘바이오</v>
      </c>
      <c r="O7" s="20">
        <f>VLOOKUP(N7,'타이커 기술이전'!$B$11:$E$1000,4,0)</f>
        <v>7.68</v>
      </c>
      <c r="P7" s="20">
        <f>IFERROR(VLOOKUP(N7,'타이커 기술이전(과거)'!$B$11:$E$1000,4,0),0)</f>
        <v>7.52</v>
      </c>
      <c r="Q7" s="20">
        <f t="shared" si="10"/>
        <v>0.16000000000000014</v>
      </c>
      <c r="R7" s="21">
        <f t="shared" si="11"/>
        <v>2.1276595744680771E-2</v>
      </c>
    </row>
    <row r="8" spans="1:18" x14ac:dyDescent="0.4">
      <c r="A8" s="63" t="str">
        <f>VLOOKUP(B8,유니버스!$C$14:$D$2561,2,0)</f>
        <v>KS</v>
      </c>
      <c r="B8" s="65" t="str">
        <f>'TIMEFOLIO 코리아밸류업액티브'!B14</f>
        <v>SK스퀘어</v>
      </c>
      <c r="C8" s="65">
        <f>VLOOKUP(B8,'TIMEFOLIO 코리아밸류업액티브'!$B$11:$E$1000,4,0)</f>
        <v>3.9</v>
      </c>
      <c r="D8" s="65">
        <f>IFERROR(VLOOKUP(B8,'TIMEFOLIO 코리아밸류업액티브(과거)'!$B$11:$E$1000,4,0),0)</f>
        <v>0</v>
      </c>
      <c r="E8" s="20">
        <f t="shared" si="6"/>
        <v>3.9</v>
      </c>
      <c r="F8" s="21" t="str">
        <f t="shared" si="7"/>
        <v>신규편입</v>
      </c>
      <c r="G8" s="63" t="str">
        <f>VLOOKUP(H8,유니버스!$C$14:$D$2561,2,0)</f>
        <v>KS</v>
      </c>
      <c r="H8" s="65" t="str">
        <f>'PLUS K제조업핵심기업액티브'!B14</f>
        <v>기아</v>
      </c>
      <c r="I8" s="65">
        <f>VLOOKUP(H8,'PLUS K제조업핵심기업액티브'!$B$11:$E$1000,4,0)</f>
        <v>3.05</v>
      </c>
      <c r="J8" s="65">
        <f>IFERROR(VLOOKUP(H8,'PLUS K제조업핵심기업액티브(과거)'!$B$11:$E$1000,4,0),0)</f>
        <v>3.16</v>
      </c>
      <c r="K8" s="20">
        <f t="shared" si="8"/>
        <v>-0.11000000000000032</v>
      </c>
      <c r="L8" s="21">
        <f t="shared" si="9"/>
        <v>-3.4810126582278555E-2</v>
      </c>
      <c r="M8" s="62" t="str">
        <f>VLOOKUP(N8,유니버스!$C$14:$D$2561,2,0)</f>
        <v>KS</v>
      </c>
      <c r="N8" s="76" t="str">
        <f>'타이커 기술이전'!B14</f>
        <v>한올바이오파마</v>
      </c>
      <c r="O8" s="77">
        <f>VLOOKUP(N8,'타이커 기술이전'!$B$11:$E$1000,4,0)</f>
        <v>5.56</v>
      </c>
      <c r="P8" s="77">
        <f>IFERROR(VLOOKUP(N8,'타이커 기술이전(과거)'!$B$11:$E$1000,4,0),0)</f>
        <v>4.57</v>
      </c>
      <c r="Q8" s="20">
        <f t="shared" si="10"/>
        <v>0.98999999999999932</v>
      </c>
      <c r="R8" s="21">
        <f t="shared" si="11"/>
        <v>0.21663019693654251</v>
      </c>
    </row>
    <row r="9" spans="1:18" x14ac:dyDescent="0.4">
      <c r="A9" s="63" t="str">
        <f>VLOOKUP(B9,유니버스!$C$14:$D$2561,2,0)</f>
        <v>KS</v>
      </c>
      <c r="B9" s="65" t="str">
        <f>'TIMEFOLIO 코리아밸류업액티브'!B15</f>
        <v>삼성전기</v>
      </c>
      <c r="C9" s="65">
        <f>VLOOKUP(B9,'TIMEFOLIO 코리아밸류업액티브'!$B$11:$E$1000,4,0)</f>
        <v>3.21</v>
      </c>
      <c r="D9" s="65">
        <f>IFERROR(VLOOKUP(B9,'TIMEFOLIO 코리아밸류업액티브(과거)'!$B$11:$E$1000,4,0),0)</f>
        <v>0</v>
      </c>
      <c r="E9" s="20">
        <f t="shared" si="6"/>
        <v>3.21</v>
      </c>
      <c r="F9" s="21" t="str">
        <f t="shared" si="7"/>
        <v>신규편입</v>
      </c>
      <c r="G9" s="63" t="str">
        <f>VLOOKUP(H9,유니버스!$C$14:$D$2561,2,0)</f>
        <v>KS</v>
      </c>
      <c r="H9" s="65" t="str">
        <f>'PLUS K제조업핵심기업액티브'!B15</f>
        <v>SK스퀘어</v>
      </c>
      <c r="I9" s="65">
        <f>VLOOKUP(H9,'PLUS K제조업핵심기업액티브'!$B$11:$E$1000,4,0)</f>
        <v>2.75</v>
      </c>
      <c r="J9" s="65">
        <f>IFERROR(VLOOKUP(H9,'PLUS K제조업핵심기업액티브(과거)'!$B$11:$E$1000,4,0),0)</f>
        <v>2.48</v>
      </c>
      <c r="K9" s="20">
        <f t="shared" si="8"/>
        <v>0.27</v>
      </c>
      <c r="L9" s="21">
        <f t="shared" si="9"/>
        <v>0.1088709677419355</v>
      </c>
      <c r="M9" s="62" t="str">
        <f>VLOOKUP(N9,유니버스!$C$14:$D$2561,2,0)</f>
        <v>KS</v>
      </c>
      <c r="N9" s="26" t="str">
        <f>'타이커 기술이전'!B15</f>
        <v>셀트리온</v>
      </c>
      <c r="O9" s="20">
        <f>VLOOKUP(N9,'타이커 기술이전'!$B$11:$E$1000,4,0)</f>
        <v>4.82</v>
      </c>
      <c r="P9" s="20">
        <f>IFERROR(VLOOKUP(N9,'타이커 기술이전(과거)'!$B$11:$E$1000,4,0),0)</f>
        <v>4.33</v>
      </c>
      <c r="Q9" s="20">
        <f t="shared" si="10"/>
        <v>0.49000000000000021</v>
      </c>
      <c r="R9" s="21">
        <f t="shared" si="11"/>
        <v>0.1131639722863742</v>
      </c>
    </row>
    <row r="10" spans="1:18" x14ac:dyDescent="0.4">
      <c r="A10" s="63" t="str">
        <f>VLOOKUP(B10,유니버스!$C$14:$D$2561,2,0)</f>
        <v>KS</v>
      </c>
      <c r="B10" s="65" t="str">
        <f>'TIMEFOLIO 코리아밸류업액티브'!B16</f>
        <v>현대모비스</v>
      </c>
      <c r="C10" s="65">
        <f>VLOOKUP(B10,'TIMEFOLIO 코리아밸류업액티브'!$B$11:$E$1000,4,0)</f>
        <v>3.03</v>
      </c>
      <c r="D10" s="65">
        <f>IFERROR(VLOOKUP(B10,'TIMEFOLIO 코리아밸류업액티브(과거)'!$B$11:$E$1000,4,0),0)</f>
        <v>0</v>
      </c>
      <c r="E10" s="20">
        <f t="shared" si="6"/>
        <v>3.03</v>
      </c>
      <c r="F10" s="21" t="str">
        <f t="shared" si="7"/>
        <v>신규편입</v>
      </c>
      <c r="G10" s="63" t="str">
        <f>VLOOKUP(H10,유니버스!$C$14:$D$2561,2,0)</f>
        <v>KS</v>
      </c>
      <c r="H10" s="75" t="str">
        <f>'PLUS K제조업핵심기업액티브'!B16</f>
        <v>현대모비스</v>
      </c>
      <c r="I10" s="75">
        <f>VLOOKUP(H10,'PLUS K제조업핵심기업액티브'!$B$11:$E$1000,4,0)</f>
        <v>2.73</v>
      </c>
      <c r="J10" s="75">
        <f>IFERROR(VLOOKUP(H10,'PLUS K제조업핵심기업액티브(과거)'!$B$11:$E$1000,4,0),0)</f>
        <v>1.61</v>
      </c>
      <c r="K10" s="20">
        <f t="shared" si="8"/>
        <v>1.1199999999999999</v>
      </c>
      <c r="L10" s="21">
        <f t="shared" si="9"/>
        <v>0.69565217391304346</v>
      </c>
      <c r="M10" s="62" t="str">
        <f>VLOOKUP(N10,유니버스!$C$14:$D$2561,2,0)</f>
        <v>KQ</v>
      </c>
      <c r="N10" s="26" t="str">
        <f>'타이커 기술이전'!B16</f>
        <v>에스티팜</v>
      </c>
      <c r="O10" s="20">
        <f>VLOOKUP(N10,'타이커 기술이전'!$B$11:$E$1000,4,0)</f>
        <v>4.51</v>
      </c>
      <c r="P10" s="20">
        <f>IFERROR(VLOOKUP(N10,'타이커 기술이전(과거)'!$B$11:$E$1000,4,0),0)</f>
        <v>4.22</v>
      </c>
      <c r="Q10" s="20">
        <f t="shared" si="10"/>
        <v>0.29000000000000004</v>
      </c>
      <c r="R10" s="21">
        <f t="shared" si="11"/>
        <v>6.872037914691953E-2</v>
      </c>
    </row>
    <row r="11" spans="1:18" x14ac:dyDescent="0.4">
      <c r="A11" s="63" t="str">
        <f>VLOOKUP(B11,유니버스!$C$14:$D$2561,2,0)</f>
        <v>KS</v>
      </c>
      <c r="B11" s="65" t="str">
        <f>'TIMEFOLIO 코리아밸류업액티브'!B17</f>
        <v>LG이노텍</v>
      </c>
      <c r="C11" s="65">
        <f>VLOOKUP(B11,'TIMEFOLIO 코리아밸류업액티브'!$B$11:$E$1000,4,0)</f>
        <v>2.87</v>
      </c>
      <c r="D11" s="65">
        <f>IFERROR(VLOOKUP(B11,'TIMEFOLIO 코리아밸류업액티브(과거)'!$B$11:$E$1000,4,0),0)</f>
        <v>0</v>
      </c>
      <c r="E11" s="20">
        <f t="shared" si="6"/>
        <v>2.87</v>
      </c>
      <c r="F11" s="21" t="str">
        <f t="shared" si="7"/>
        <v>신규편입</v>
      </c>
      <c r="G11" s="63" t="str">
        <f>VLOOKUP(H11,유니버스!$C$14:$D$2561,2,0)</f>
        <v>KS</v>
      </c>
      <c r="H11" s="65" t="str">
        <f>'PLUS K제조업핵심기업액티브'!B17</f>
        <v>한화오션</v>
      </c>
      <c r="I11" s="65">
        <f>VLOOKUP(H11,'PLUS K제조업핵심기업액티브'!$B$11:$E$1000,4,0)</f>
        <v>2.5299999999999998</v>
      </c>
      <c r="J11" s="65">
        <f>IFERROR(VLOOKUP(H11,'PLUS K제조업핵심기업액티브(과거)'!$B$11:$E$1000,4,0),0)</f>
        <v>2.72</v>
      </c>
      <c r="K11" s="20">
        <f t="shared" si="8"/>
        <v>-0.19000000000000039</v>
      </c>
      <c r="L11" s="21">
        <f t="shared" si="9"/>
        <v>-6.9852941176470673E-2</v>
      </c>
      <c r="M11" s="62" t="str">
        <f>VLOOKUP(N11,유니버스!$C$14:$D$2561,2,0)</f>
        <v>KQ</v>
      </c>
      <c r="N11" s="76" t="str">
        <f>'타이커 기술이전'!B17</f>
        <v>알테오젠</v>
      </c>
      <c r="O11" s="20">
        <f>VLOOKUP(N11,'타이커 기술이전'!$B$11:$E$1000,4,0)</f>
        <v>4.46</v>
      </c>
      <c r="P11" s="20">
        <f>IFERROR(VLOOKUP(N11,'타이커 기술이전(과거)'!$B$11:$E$1000,4,0),0)</f>
        <v>5.08</v>
      </c>
      <c r="Q11" s="20">
        <f t="shared" si="10"/>
        <v>-0.62000000000000011</v>
      </c>
      <c r="R11" s="21">
        <f t="shared" si="11"/>
        <v>-0.12204724409448819</v>
      </c>
    </row>
    <row r="12" spans="1:18" x14ac:dyDescent="0.4">
      <c r="A12" s="63" t="str">
        <f>VLOOKUP(B12,유니버스!$C$14:$D$2561,2,0)</f>
        <v>KS</v>
      </c>
      <c r="B12" s="65" t="str">
        <f>'TIMEFOLIO 코리아밸류업액티브'!B18</f>
        <v>한화에어로스페이스</v>
      </c>
      <c r="C12" s="65">
        <f>VLOOKUP(B12,'TIMEFOLIO 코리아밸류업액티브'!$B$11:$E$1000,4,0)</f>
        <v>2.5299999999999998</v>
      </c>
      <c r="D12" s="65">
        <f>IFERROR(VLOOKUP(B12,'TIMEFOLIO 코리아밸류업액티브(과거)'!$B$11:$E$1000,4,0),0)</f>
        <v>0</v>
      </c>
      <c r="E12" s="20">
        <f t="shared" si="6"/>
        <v>2.5299999999999998</v>
      </c>
      <c r="F12" s="21" t="str">
        <f t="shared" si="7"/>
        <v>신규편입</v>
      </c>
      <c r="G12" s="63" t="str">
        <f>VLOOKUP(H12,유니버스!$C$14:$D$2561,2,0)</f>
        <v>KS</v>
      </c>
      <c r="H12" s="65" t="str">
        <f>'PLUS K제조업핵심기업액티브'!B18</f>
        <v>삼성SDI</v>
      </c>
      <c r="I12" s="65">
        <f>VLOOKUP(H12,'PLUS K제조업핵심기업액티브'!$B$11:$E$1000,4,0)</f>
        <v>2.2400000000000002</v>
      </c>
      <c r="J12" s="65">
        <f>IFERROR(VLOOKUP(H12,'PLUS K제조업핵심기업액티브(과거)'!$B$11:$E$1000,4,0),0)</f>
        <v>2.31</v>
      </c>
      <c r="K12" s="20">
        <f t="shared" si="8"/>
        <v>-6.999999999999984E-2</v>
      </c>
      <c r="L12" s="21">
        <f t="shared" si="9"/>
        <v>-3.0303030303030276E-2</v>
      </c>
      <c r="M12" s="62" t="str">
        <f>VLOOKUP(N12,유니버스!$C$14:$D$2561,2,0)</f>
        <v>KS</v>
      </c>
      <c r="N12" s="26" t="str">
        <f>'타이커 기술이전'!B18</f>
        <v>한미약품</v>
      </c>
      <c r="O12" s="20">
        <f>VLOOKUP(N12,'타이커 기술이전'!$B$11:$E$1000,4,0)</f>
        <v>4.4400000000000004</v>
      </c>
      <c r="P12" s="20">
        <f>IFERROR(VLOOKUP(N12,'타이커 기술이전(과거)'!$B$11:$E$1000,4,0),0)</f>
        <v>4.33</v>
      </c>
      <c r="Q12" s="20">
        <f t="shared" si="10"/>
        <v>0.11000000000000032</v>
      </c>
      <c r="R12" s="21">
        <f t="shared" si="11"/>
        <v>2.5404157043879882E-2</v>
      </c>
    </row>
    <row r="13" spans="1:18" x14ac:dyDescent="0.4">
      <c r="A13" s="63" t="str">
        <f>VLOOKUP(B13,유니버스!$C$14:$D$2561,2,0)</f>
        <v>KS</v>
      </c>
      <c r="B13" s="65" t="str">
        <f>'TIMEFOLIO 코리아밸류업액티브'!B19</f>
        <v>미래에셋증권</v>
      </c>
      <c r="C13" s="65">
        <f>VLOOKUP(B13,'TIMEFOLIO 코리아밸류업액티브'!$B$11:$E$1000,4,0)</f>
        <v>2.48</v>
      </c>
      <c r="D13" s="65">
        <f>IFERROR(VLOOKUP(B13,'TIMEFOLIO 코리아밸류업액티브(과거)'!$B$11:$E$1000,4,0),0)</f>
        <v>4.08</v>
      </c>
      <c r="E13" s="20">
        <f t="shared" si="6"/>
        <v>-1.6</v>
      </c>
      <c r="F13" s="21">
        <f t="shared" si="7"/>
        <v>-0.39215686274509809</v>
      </c>
      <c r="G13" s="63" t="str">
        <f>VLOOKUP(H13,유니버스!$C$14:$D$2561,2,0)</f>
        <v>KS</v>
      </c>
      <c r="H13" s="65" t="str">
        <f>'PLUS K제조업핵심기업액티브'!B19</f>
        <v>한화비전</v>
      </c>
      <c r="I13" s="65">
        <f>VLOOKUP(H13,'PLUS K제조업핵심기업액티브'!$B$11:$E$1000,4,0)</f>
        <v>2.21</v>
      </c>
      <c r="J13" s="65">
        <f>IFERROR(VLOOKUP(H13,'PLUS K제조업핵심기업액티브(과거)'!$B$11:$E$1000,4,0),0)</f>
        <v>2.2200000000000002</v>
      </c>
      <c r="K13" s="20">
        <f t="shared" si="8"/>
        <v>-1.0000000000000231E-2</v>
      </c>
      <c r="L13" s="21">
        <f t="shared" si="9"/>
        <v>-4.5045045045045695E-3</v>
      </c>
      <c r="M13" s="62" t="str">
        <f>VLOOKUP(N13,유니버스!$C$14:$D$2561,2,0)</f>
        <v>KQ</v>
      </c>
      <c r="N13" s="26" t="str">
        <f>'타이커 기술이전'!B19</f>
        <v>에이프릴바이오</v>
      </c>
      <c r="O13" s="20">
        <f>VLOOKUP(N13,'타이커 기술이전'!$B$11:$E$1000,4,0)</f>
        <v>4.34</v>
      </c>
      <c r="P13" s="20">
        <f>IFERROR(VLOOKUP(N13,'타이커 기술이전(과거)'!$B$11:$E$1000,4,0),0)</f>
        <v>4.6100000000000003</v>
      </c>
      <c r="Q13" s="20">
        <f t="shared" si="10"/>
        <v>-0.27000000000000046</v>
      </c>
      <c r="R13" s="21">
        <f t="shared" si="11"/>
        <v>-5.8568329718004408E-2</v>
      </c>
    </row>
    <row r="14" spans="1:18" x14ac:dyDescent="0.4">
      <c r="A14" s="63" t="str">
        <f>VLOOKUP(B14,유니버스!$C$14:$D$2561,2,0)</f>
        <v>KS</v>
      </c>
      <c r="B14" s="65" t="str">
        <f>'TIMEFOLIO 코리아밸류업액티브'!B20</f>
        <v>SK</v>
      </c>
      <c r="C14" s="65">
        <f>VLOOKUP(B14,'TIMEFOLIO 코리아밸류업액티브'!$B$11:$E$1000,4,0)</f>
        <v>2.2999999999999998</v>
      </c>
      <c r="D14" s="65">
        <f>IFERROR(VLOOKUP(B14,'TIMEFOLIO 코리아밸류업액티브(과거)'!$B$11:$E$1000,4,0),0)</f>
        <v>2.2000000000000002</v>
      </c>
      <c r="E14" s="20">
        <f t="shared" si="6"/>
        <v>9.9999999999999645E-2</v>
      </c>
      <c r="F14" s="21">
        <f t="shared" si="7"/>
        <v>4.5454545454545192E-2</v>
      </c>
      <c r="G14" s="63" t="str">
        <f>VLOOKUP(H14,유니버스!$C$14:$D$2561,2,0)</f>
        <v>KS</v>
      </c>
      <c r="H14" s="71" t="str">
        <f>'PLUS K제조업핵심기업액티브'!B20</f>
        <v>LG이노텍</v>
      </c>
      <c r="I14" s="71">
        <f>VLOOKUP(H14,'PLUS K제조업핵심기업액티브'!$B$11:$E$1000,4,0)</f>
        <v>2.2000000000000002</v>
      </c>
      <c r="J14" s="71">
        <f>IFERROR(VLOOKUP(H14,'PLUS K제조업핵심기업액티브(과거)'!$B$11:$E$1000,4,0),0)</f>
        <v>0</v>
      </c>
      <c r="K14" s="20">
        <f t="shared" si="8"/>
        <v>2.2000000000000002</v>
      </c>
      <c r="L14" s="21" t="str">
        <f t="shared" si="9"/>
        <v>신규편입</v>
      </c>
      <c r="M14" s="62" t="str">
        <f>VLOOKUP(N14,유니버스!$C$14:$D$2561,2,0)</f>
        <v>KQ</v>
      </c>
      <c r="N14" s="26" t="str">
        <f>'타이커 기술이전'!B20</f>
        <v>디앤디파마텍</v>
      </c>
      <c r="O14" s="20">
        <f>VLOOKUP(N14,'타이커 기술이전'!$B$11:$E$1000,4,0)</f>
        <v>3.86</v>
      </c>
      <c r="P14" s="20">
        <f>IFERROR(VLOOKUP(N14,'타이커 기술이전(과거)'!$B$11:$E$1000,4,0),0)</f>
        <v>3.94</v>
      </c>
      <c r="Q14" s="20">
        <f t="shared" si="10"/>
        <v>-8.0000000000000071E-2</v>
      </c>
      <c r="R14" s="21">
        <f t="shared" si="11"/>
        <v>-2.0304568527918843E-2</v>
      </c>
    </row>
    <row r="15" spans="1:18" x14ac:dyDescent="0.4">
      <c r="A15" s="63" t="str">
        <f>VLOOKUP(B15,유니버스!$C$14:$D$2561,2,0)</f>
        <v>KS</v>
      </c>
      <c r="B15" s="65" t="str">
        <f>'TIMEFOLIO 코리아밸류업액티브'!B21</f>
        <v>삼성생명</v>
      </c>
      <c r="C15" s="65">
        <f>VLOOKUP(B15,'TIMEFOLIO 코리아밸류업액티브'!$B$11:$E$1000,4,0)</f>
        <v>2.1800000000000002</v>
      </c>
      <c r="D15" s="65">
        <f>IFERROR(VLOOKUP(B15,'TIMEFOLIO 코리아밸류업액티브(과거)'!$B$11:$E$1000,4,0),0)</f>
        <v>2.2200000000000002</v>
      </c>
      <c r="E15" s="20">
        <f t="shared" si="6"/>
        <v>-4.0000000000000036E-2</v>
      </c>
      <c r="F15" s="21">
        <f t="shared" si="7"/>
        <v>-1.8018018018018056E-2</v>
      </c>
      <c r="G15" s="63" t="str">
        <f>VLOOKUP(H15,유니버스!$C$14:$D$2561,2,0)</f>
        <v>KS</v>
      </c>
      <c r="H15" s="65" t="str">
        <f>'PLUS K제조업핵심기업액티브'!B21</f>
        <v>현대차</v>
      </c>
      <c r="I15" s="65">
        <f>VLOOKUP(H15,'PLUS K제조업핵심기업액티브'!$B$11:$E$1000,4,0)</f>
        <v>2.04</v>
      </c>
      <c r="J15" s="65">
        <f>IFERROR(VLOOKUP(H15,'PLUS K제조업핵심기업액티브(과거)'!$B$11:$E$1000,4,0),0)</f>
        <v>2.2200000000000002</v>
      </c>
      <c r="K15" s="20">
        <f t="shared" si="8"/>
        <v>-0.18000000000000016</v>
      </c>
      <c r="L15" s="21">
        <f t="shared" si="9"/>
        <v>-8.1081081081081141E-2</v>
      </c>
      <c r="M15" s="62" t="str">
        <f>VLOOKUP(N15,유니버스!$C$14:$D$2561,2,0)</f>
        <v>KQ</v>
      </c>
      <c r="N15" s="26" t="str">
        <f>'타이커 기술이전'!B21</f>
        <v>알지노믹스</v>
      </c>
      <c r="O15" s="20">
        <f>VLOOKUP(N15,'타이커 기술이전'!$B$11:$E$1000,4,0)</f>
        <v>3.63</v>
      </c>
      <c r="P15" s="20">
        <f>IFERROR(VLOOKUP(N15,'타이커 기술이전(과거)'!$B$11:$E$1000,4,0),0)</f>
        <v>3.73</v>
      </c>
      <c r="Q15" s="20">
        <f t="shared" si="10"/>
        <v>-0.10000000000000009</v>
      </c>
      <c r="R15" s="21">
        <f t="shared" si="11"/>
        <v>-2.6809651474530849E-2</v>
      </c>
    </row>
    <row r="16" spans="1:18" x14ac:dyDescent="0.4">
      <c r="A16" s="63" t="str">
        <f>VLOOKUP(B16,유니버스!$C$14:$D$2561,2,0)</f>
        <v>KS</v>
      </c>
      <c r="B16" s="65" t="str">
        <f>'TIMEFOLIO 코리아밸류업액티브'!B22</f>
        <v>LS</v>
      </c>
      <c r="C16" s="65">
        <f>VLOOKUP(B16,'TIMEFOLIO 코리아밸류업액티브'!$B$11:$E$1000,4,0)</f>
        <v>2.08</v>
      </c>
      <c r="D16" s="65">
        <f>IFERROR(VLOOKUP(B16,'TIMEFOLIO 코리아밸류업액티브(과거)'!$B$11:$E$1000,4,0),0)</f>
        <v>3.79</v>
      </c>
      <c r="E16" s="20">
        <f t="shared" si="6"/>
        <v>-1.71</v>
      </c>
      <c r="F16" s="21">
        <f t="shared" si="7"/>
        <v>-0.45118733509234832</v>
      </c>
      <c r="G16" s="63" t="str">
        <f>VLOOKUP(H16,유니버스!$C$14:$D$2561,2,0)</f>
        <v>KS</v>
      </c>
      <c r="H16" s="65" t="str">
        <f>'PLUS K제조업핵심기업액티브'!B22</f>
        <v>삼성중공업</v>
      </c>
      <c r="I16" s="65">
        <f>VLOOKUP(H16,'PLUS K제조업핵심기업액티브'!$B$11:$E$1000,4,0)</f>
        <v>1.84</v>
      </c>
      <c r="J16" s="65">
        <f>IFERROR(VLOOKUP(H16,'PLUS K제조업핵심기업액티브(과거)'!$B$11:$E$1000,4,0),0)</f>
        <v>1.95</v>
      </c>
      <c r="K16" s="20">
        <f t="shared" si="8"/>
        <v>-0.10999999999999988</v>
      </c>
      <c r="L16" s="21">
        <f t="shared" si="9"/>
        <v>-5.6410256410256321E-2</v>
      </c>
      <c r="M16" s="62" t="str">
        <f>VLOOKUP(N16,유니버스!$C$14:$D$2561,2,0)</f>
        <v>KS</v>
      </c>
      <c r="N16" s="26" t="str">
        <f>'타이커 기술이전'!B22</f>
        <v>삼성바이오로직스</v>
      </c>
      <c r="O16" s="20">
        <f>VLOOKUP(N16,'타이커 기술이전'!$B$11:$E$1000,4,0)</f>
        <v>3.54</v>
      </c>
      <c r="P16" s="20">
        <f>IFERROR(VLOOKUP(N16,'타이커 기술이전(과거)'!$B$11:$E$1000,4,0),0)</f>
        <v>3.25</v>
      </c>
      <c r="Q16" s="20">
        <f t="shared" si="10"/>
        <v>0.29000000000000004</v>
      </c>
      <c r="R16" s="21">
        <f t="shared" si="11"/>
        <v>8.9230769230769225E-2</v>
      </c>
    </row>
    <row r="17" spans="1:18" x14ac:dyDescent="0.4">
      <c r="A17" s="63" t="str">
        <f>VLOOKUP(B17,유니버스!$C$14:$D$2561,2,0)</f>
        <v>KQ</v>
      </c>
      <c r="B17" s="65" t="str">
        <f>'TIMEFOLIO 코리아밸류업액티브'!B23</f>
        <v>미래에셋벤처투자</v>
      </c>
      <c r="C17" s="65">
        <f>VLOOKUP(B17,'TIMEFOLIO 코리아밸류업액티브'!$B$11:$E$1000,4,0)</f>
        <v>1.7</v>
      </c>
      <c r="D17" s="65">
        <f>IFERROR(VLOOKUP(B17,'TIMEFOLIO 코리아밸류업액티브(과거)'!$B$11:$E$1000,4,0),0)</f>
        <v>0</v>
      </c>
      <c r="E17" s="20">
        <f t="shared" si="6"/>
        <v>1.7</v>
      </c>
      <c r="F17" s="21" t="str">
        <f t="shared" si="7"/>
        <v>신규편입</v>
      </c>
      <c r="G17" s="63" t="str">
        <f>VLOOKUP(H17,유니버스!$C$14:$D$2561,2,0)</f>
        <v>KS</v>
      </c>
      <c r="H17" s="65" t="str">
        <f>'PLUS K제조업핵심기업액티브'!B23</f>
        <v>HD현대중공업</v>
      </c>
      <c r="I17" s="65">
        <f>VLOOKUP(H17,'PLUS K제조업핵심기업액티브'!$B$11:$E$1000,4,0)</f>
        <v>1.76</v>
      </c>
      <c r="J17" s="65">
        <f>IFERROR(VLOOKUP(H17,'PLUS K제조업핵심기업액티브(과거)'!$B$11:$E$1000,4,0),0)</f>
        <v>1.74</v>
      </c>
      <c r="K17" s="20">
        <f t="shared" si="8"/>
        <v>2.0000000000000018E-2</v>
      </c>
      <c r="L17" s="21">
        <f t="shared" si="9"/>
        <v>1.1494252873563315E-2</v>
      </c>
      <c r="M17" s="62" t="str">
        <f>VLOOKUP(N17,유니버스!$C$14:$D$2561,2,0)</f>
        <v>KQ</v>
      </c>
      <c r="N17" s="76" t="str">
        <f>'타이커 기술이전'!B23</f>
        <v>보로노이</v>
      </c>
      <c r="O17" s="77">
        <f>VLOOKUP(N17,'타이커 기술이전'!$B$11:$E$1000,4,0)</f>
        <v>2.92</v>
      </c>
      <c r="P17" s="77">
        <f>IFERROR(VLOOKUP(N17,'타이커 기술이전(과거)'!$B$11:$E$1000,4,0),0)</f>
        <v>2.44</v>
      </c>
      <c r="Q17" s="20">
        <f t="shared" si="10"/>
        <v>0.48</v>
      </c>
      <c r="R17" s="21">
        <f t="shared" si="11"/>
        <v>0.19672131147540983</v>
      </c>
    </row>
    <row r="18" spans="1:18" x14ac:dyDescent="0.4">
      <c r="A18" s="63" t="str">
        <f>VLOOKUP(B18,유니버스!$C$14:$D$2561,2,0)</f>
        <v>KS</v>
      </c>
      <c r="B18" s="65" t="str">
        <f>'TIMEFOLIO 코리아밸류업액티브'!B24</f>
        <v>하나금융지주</v>
      </c>
      <c r="C18" s="65">
        <f>VLOOKUP(B18,'TIMEFOLIO 코리아밸류업액티브'!$B$11:$E$1000,4,0)</f>
        <v>1.67</v>
      </c>
      <c r="D18" s="65">
        <f>IFERROR(VLOOKUP(B18,'TIMEFOLIO 코리아밸류업액티브(과거)'!$B$11:$E$1000,4,0),0)</f>
        <v>1.04</v>
      </c>
      <c r="E18" s="20">
        <f t="shared" si="6"/>
        <v>0.62999999999999989</v>
      </c>
      <c r="F18" s="21">
        <f t="shared" si="7"/>
        <v>0.60576923076923062</v>
      </c>
      <c r="G18" s="63" t="str">
        <f>VLOOKUP(H18,유니버스!$C$14:$D$2561,2,0)</f>
        <v>KS</v>
      </c>
      <c r="H18" s="65" t="str">
        <f>'PLUS K제조업핵심기업액티브'!B24</f>
        <v>DL이앤씨</v>
      </c>
      <c r="I18" s="65">
        <f>VLOOKUP(H18,'PLUS K제조업핵심기업액티브'!$B$11:$E$1000,4,0)</f>
        <v>1.59</v>
      </c>
      <c r="J18" s="65">
        <f>IFERROR(VLOOKUP(H18,'PLUS K제조업핵심기업액티브(과거)'!$B$11:$E$1000,4,0),0)</f>
        <v>1.63</v>
      </c>
      <c r="K18" s="20">
        <f t="shared" si="8"/>
        <v>-3.9999999999999813E-2</v>
      </c>
      <c r="L18" s="21">
        <f t="shared" si="9"/>
        <v>-2.4539877300613355E-2</v>
      </c>
      <c r="M18" s="62" t="str">
        <f>VLOOKUP(N18,유니버스!$C$14:$D$2561,2,0)</f>
        <v>KS</v>
      </c>
      <c r="N18" s="26" t="str">
        <f>'타이커 기술이전'!B24</f>
        <v>부광약품</v>
      </c>
      <c r="O18" s="20">
        <f>VLOOKUP(N18,'타이커 기술이전'!$B$11:$E$1000,4,0)</f>
        <v>2.2200000000000002</v>
      </c>
      <c r="P18" s="20">
        <f>IFERROR(VLOOKUP(N18,'타이커 기술이전(과거)'!$B$11:$E$1000,4,0),0)</f>
        <v>2.16</v>
      </c>
      <c r="Q18" s="20">
        <f t="shared" si="10"/>
        <v>6.0000000000000053E-2</v>
      </c>
      <c r="R18" s="21">
        <f t="shared" si="11"/>
        <v>2.7777777777777901E-2</v>
      </c>
    </row>
    <row r="19" spans="1:18" x14ac:dyDescent="0.4">
      <c r="A19" s="63" t="str">
        <f>VLOOKUP(B19,유니버스!$C$14:$D$2561,2,0)</f>
        <v>KS</v>
      </c>
      <c r="B19" s="65" t="str">
        <f>'TIMEFOLIO 코리아밸류업액티브'!B25</f>
        <v>효성중공업</v>
      </c>
      <c r="C19" s="65">
        <f>VLOOKUP(B19,'TIMEFOLIO 코리아밸류업액티브'!$B$11:$E$1000,4,0)</f>
        <v>1.59</v>
      </c>
      <c r="D19" s="65">
        <f>IFERROR(VLOOKUP(B19,'TIMEFOLIO 코리아밸류업액티브(과거)'!$B$11:$E$1000,4,0),0)</f>
        <v>0</v>
      </c>
      <c r="E19" s="20">
        <f t="shared" si="6"/>
        <v>1.59</v>
      </c>
      <c r="F19" s="21" t="str">
        <f t="shared" si="7"/>
        <v>신규편입</v>
      </c>
      <c r="G19" s="63" t="str">
        <f>VLOOKUP(H19,유니버스!$C$14:$D$2561,2,0)</f>
        <v>KS</v>
      </c>
      <c r="H19" s="65" t="str">
        <f>'PLUS K제조업핵심기업액티브'!B25</f>
        <v>LG에너지솔루션</v>
      </c>
      <c r="I19" s="65">
        <f>VLOOKUP(H19,'PLUS K제조업핵심기업액티브'!$B$11:$E$1000,4,0)</f>
        <v>1.52</v>
      </c>
      <c r="J19" s="65">
        <f>IFERROR(VLOOKUP(H19,'PLUS K제조업핵심기업액티브(과거)'!$B$11:$E$1000,4,0),0)</f>
        <v>1.63</v>
      </c>
      <c r="K19" s="20">
        <f t="shared" si="8"/>
        <v>-0.10999999999999988</v>
      </c>
      <c r="L19" s="21">
        <f t="shared" si="9"/>
        <v>-6.748466257668706E-2</v>
      </c>
      <c r="M19" s="62" t="str">
        <f>VLOOKUP(N19,유니버스!$C$14:$D$2561,2,0)</f>
        <v>KQ</v>
      </c>
      <c r="N19" s="76" t="str">
        <f>'타이커 기술이전'!B25</f>
        <v>온코닉테라퓨틱스</v>
      </c>
      <c r="O19" s="77">
        <f>VLOOKUP(N19,'타이커 기술이전'!$B$11:$E$1000,4,0)</f>
        <v>2.19</v>
      </c>
      <c r="P19" s="77">
        <f>IFERROR(VLOOKUP(N19,'타이커 기술이전(과거)'!$B$11:$E$1000,4,0),0)</f>
        <v>1.86</v>
      </c>
      <c r="Q19" s="20">
        <f t="shared" si="10"/>
        <v>0.32999999999999985</v>
      </c>
      <c r="R19" s="21">
        <f t="shared" si="11"/>
        <v>0.17741935483870952</v>
      </c>
    </row>
    <row r="20" spans="1:18" x14ac:dyDescent="0.4">
      <c r="A20" s="63" t="str">
        <f>VLOOKUP(B20,유니버스!$C$14:$D$2561,2,0)</f>
        <v>KS</v>
      </c>
      <c r="B20" s="65" t="str">
        <f>'TIMEFOLIO 코리아밸류업액티브'!B26</f>
        <v>두산</v>
      </c>
      <c r="C20" s="65">
        <f>VLOOKUP(B20,'TIMEFOLIO 코리아밸류업액티브'!$B$11:$E$1000,4,0)</f>
        <v>1.58</v>
      </c>
      <c r="D20" s="65">
        <f>IFERROR(VLOOKUP(B20,'TIMEFOLIO 코리아밸류업액티브(과거)'!$B$11:$E$1000,4,0),0)</f>
        <v>2.35</v>
      </c>
      <c r="E20" s="20">
        <f t="shared" si="6"/>
        <v>-0.77</v>
      </c>
      <c r="F20" s="21">
        <f t="shared" si="7"/>
        <v>-0.32765957446808514</v>
      </c>
      <c r="G20" s="63" t="str">
        <f>VLOOKUP(H20,유니버스!$C$14:$D$2561,2,0)</f>
        <v>KS</v>
      </c>
      <c r="H20" s="72" t="str">
        <f>'PLUS K제조업핵심기업액티브'!B26</f>
        <v>OCI홀딩스</v>
      </c>
      <c r="I20" s="72">
        <f>VLOOKUP(H20,'PLUS K제조업핵심기업액티브'!$B$11:$E$1000,4,0)</f>
        <v>1.47</v>
      </c>
      <c r="J20" s="72">
        <f>IFERROR(VLOOKUP(H20,'PLUS K제조업핵심기업액티브(과거)'!$B$11:$E$1000,4,0),0)</f>
        <v>0</v>
      </c>
      <c r="K20" s="20">
        <f t="shared" si="8"/>
        <v>1.47</v>
      </c>
      <c r="L20" s="21" t="str">
        <f t="shared" si="9"/>
        <v>신규편입</v>
      </c>
      <c r="M20" s="62" t="str">
        <f>VLOOKUP(N20,유니버스!$C$14:$D$2561,2,0)</f>
        <v>KQ</v>
      </c>
      <c r="N20" s="26" t="str">
        <f>'타이커 기술이전'!B26</f>
        <v>오스코텍</v>
      </c>
      <c r="O20" s="20">
        <f>VLOOKUP(N20,'타이커 기술이전'!$B$11:$E$1000,4,0)</f>
        <v>1.88</v>
      </c>
      <c r="P20" s="20">
        <f>IFERROR(VLOOKUP(N20,'타이커 기술이전(과거)'!$B$11:$E$1000,4,0),0)</f>
        <v>2.06</v>
      </c>
      <c r="Q20" s="20">
        <f t="shared" si="10"/>
        <v>-0.18000000000000016</v>
      </c>
      <c r="R20" s="21">
        <f t="shared" si="11"/>
        <v>-8.7378640776699101E-2</v>
      </c>
    </row>
    <row r="21" spans="1:18" x14ac:dyDescent="0.4">
      <c r="A21" s="63" t="str">
        <f>VLOOKUP(B21,유니버스!$C$14:$D$2561,2,0)</f>
        <v>KS</v>
      </c>
      <c r="B21" s="65" t="str">
        <f>'TIMEFOLIO 코리아밸류업액티브'!B27</f>
        <v>LS ELECTRIC</v>
      </c>
      <c r="C21" s="65">
        <f>VLOOKUP(B21,'TIMEFOLIO 코리아밸류업액티브'!$B$11:$E$1000,4,0)</f>
        <v>1.43</v>
      </c>
      <c r="D21" s="65">
        <f>IFERROR(VLOOKUP(B21,'TIMEFOLIO 코리아밸류업액티브(과거)'!$B$11:$E$1000,4,0),0)</f>
        <v>0</v>
      </c>
      <c r="E21" s="20">
        <f t="shared" si="6"/>
        <v>1.43</v>
      </c>
      <c r="F21" s="21" t="str">
        <f t="shared" si="7"/>
        <v>신규편입</v>
      </c>
      <c r="G21" s="63" t="str">
        <f>VLOOKUP(H21,유니버스!$C$14:$D$2561,2,0)</f>
        <v>KS</v>
      </c>
      <c r="H21" s="65" t="str">
        <f>'PLUS K제조업핵심기업액티브'!B27</f>
        <v>DI동일</v>
      </c>
      <c r="I21" s="65">
        <f>VLOOKUP(H21,'PLUS K제조업핵심기업액티브'!$B$11:$E$1000,4,0)</f>
        <v>1.47</v>
      </c>
      <c r="J21" s="65">
        <f>IFERROR(VLOOKUP(H21,'PLUS K제조업핵심기업액티브(과거)'!$B$11:$E$1000,4,0),0)</f>
        <v>0</v>
      </c>
      <c r="K21" s="20">
        <f t="shared" si="8"/>
        <v>1.47</v>
      </c>
      <c r="L21" s="21" t="str">
        <f t="shared" si="9"/>
        <v>신규편입</v>
      </c>
      <c r="M21" s="62" t="str">
        <f>VLOOKUP(N21,유니버스!$C$14:$D$2561,2,0)</f>
        <v>KQ</v>
      </c>
      <c r="N21" s="26" t="str">
        <f>'타이커 기술이전'!B27</f>
        <v>인투셀</v>
      </c>
      <c r="O21" s="20">
        <f>VLOOKUP(N21,'타이커 기술이전'!$B$11:$E$1000,4,0)</f>
        <v>1.64</v>
      </c>
      <c r="P21" s="20">
        <f>IFERROR(VLOOKUP(N21,'타이커 기술이전(과거)'!$B$11:$E$1000,4,0),0)</f>
        <v>1.61</v>
      </c>
      <c r="Q21" s="20">
        <f t="shared" si="10"/>
        <v>2.9999999999999805E-2</v>
      </c>
      <c r="R21" s="21">
        <f t="shared" si="11"/>
        <v>1.8633540372670732E-2</v>
      </c>
    </row>
    <row r="22" spans="1:18" x14ac:dyDescent="0.4">
      <c r="A22" s="63" t="str">
        <f>VLOOKUP(B22,유니버스!$C$14:$D$2561,2,0)</f>
        <v>KQ</v>
      </c>
      <c r="B22" s="65" t="str">
        <f>'TIMEFOLIO 코리아밸류업액티브'!B28</f>
        <v>피에스케이</v>
      </c>
      <c r="C22" s="65">
        <f>VLOOKUP(B22,'TIMEFOLIO 코리아밸류업액티브'!$B$11:$E$1000,4,0)</f>
        <v>1.41</v>
      </c>
      <c r="D22" s="65">
        <f>IFERROR(VLOOKUP(B22,'TIMEFOLIO 코리아밸류업액티브(과거)'!$B$11:$E$1000,4,0),0)</f>
        <v>0</v>
      </c>
      <c r="E22" s="20">
        <f t="shared" si="6"/>
        <v>1.41</v>
      </c>
      <c r="F22" s="21" t="str">
        <f t="shared" si="7"/>
        <v>신규편입</v>
      </c>
      <c r="G22" s="63" t="str">
        <f>VLOOKUP(H22,유니버스!$C$14:$D$2561,2,0)</f>
        <v>KS</v>
      </c>
      <c r="H22" s="65" t="str">
        <f>'PLUS K제조업핵심기업액티브'!B28</f>
        <v>대덕전자</v>
      </c>
      <c r="I22" s="65">
        <f>VLOOKUP(H22,'PLUS K제조업핵심기업액티브'!$B$11:$E$1000,4,0)</f>
        <v>1.43</v>
      </c>
      <c r="J22" s="65">
        <f>IFERROR(VLOOKUP(H22,'PLUS K제조업핵심기업액티브(과거)'!$B$11:$E$1000,4,0),0)</f>
        <v>1.37</v>
      </c>
      <c r="K22" s="20">
        <f t="shared" si="8"/>
        <v>5.9999999999999831E-2</v>
      </c>
      <c r="L22" s="21">
        <f t="shared" si="9"/>
        <v>4.3795620437956151E-2</v>
      </c>
      <c r="M22" s="62" t="str">
        <f>VLOOKUP(N22,유니버스!$C$14:$D$2561,2,0)</f>
        <v>KQ</v>
      </c>
      <c r="N22" s="26" t="str">
        <f>'타이커 기술이전'!B28</f>
        <v>오름테라퓨틱</v>
      </c>
      <c r="O22" s="20">
        <f>VLOOKUP(N22,'타이커 기술이전'!$B$11:$E$1000,4,0)</f>
        <v>1.5</v>
      </c>
      <c r="P22" s="20">
        <f>IFERROR(VLOOKUP(N22,'타이커 기술이전(과거)'!$B$11:$E$1000,4,0),0)</f>
        <v>1.57</v>
      </c>
      <c r="Q22" s="20">
        <f t="shared" si="10"/>
        <v>-7.0000000000000062E-2</v>
      </c>
      <c r="R22" s="21">
        <f t="shared" si="11"/>
        <v>-4.4585987261146487E-2</v>
      </c>
    </row>
    <row r="23" spans="1:18" x14ac:dyDescent="0.4">
      <c r="A23" s="63" t="str">
        <f>VLOOKUP(B23,유니버스!$C$14:$D$2561,2,0)</f>
        <v>KQ</v>
      </c>
      <c r="B23" s="65" t="str">
        <f>'TIMEFOLIO 코리아밸류업액티브'!B29</f>
        <v>주성엔지니어링</v>
      </c>
      <c r="C23" s="65">
        <f>VLOOKUP(B23,'TIMEFOLIO 코리아밸류업액티브'!$B$11:$E$1000,4,0)</f>
        <v>1.31</v>
      </c>
      <c r="D23" s="65">
        <f>IFERROR(VLOOKUP(B23,'TIMEFOLIO 코리아밸류업액티브(과거)'!$B$11:$E$1000,4,0),0)</f>
        <v>0</v>
      </c>
      <c r="E23" s="20">
        <f t="shared" si="6"/>
        <v>1.31</v>
      </c>
      <c r="F23" s="21" t="str">
        <f t="shared" si="7"/>
        <v>신규편입</v>
      </c>
      <c r="G23" s="63" t="str">
        <f>VLOOKUP(H23,유니버스!$C$14:$D$2561,2,0)</f>
        <v>KS</v>
      </c>
      <c r="H23" s="65" t="str">
        <f>'PLUS K제조업핵심기업액티브'!B29</f>
        <v>포스코인터내셔널</v>
      </c>
      <c r="I23" s="65">
        <f>VLOOKUP(H23,'PLUS K제조업핵심기업액티브'!$B$11:$E$1000,4,0)</f>
        <v>1.38</v>
      </c>
      <c r="J23" s="65">
        <f>IFERROR(VLOOKUP(H23,'PLUS K제조업핵심기업액티브(과거)'!$B$11:$E$1000,4,0),0)</f>
        <v>0</v>
      </c>
      <c r="K23" s="20">
        <f t="shared" si="8"/>
        <v>1.38</v>
      </c>
      <c r="L23" s="21" t="str">
        <f t="shared" si="9"/>
        <v>신규편입</v>
      </c>
      <c r="M23" s="62" t="str">
        <f>VLOOKUP(N23,유니버스!$C$14:$D$2561,2,0)</f>
        <v>KQ</v>
      </c>
      <c r="N23" s="26" t="str">
        <f>'타이커 기술이전'!B29</f>
        <v>지투지바이오</v>
      </c>
      <c r="O23" s="20">
        <f>VLOOKUP(N23,'타이커 기술이전'!$B$11:$E$1000,4,0)</f>
        <v>1.3</v>
      </c>
      <c r="P23" s="20">
        <f>IFERROR(VLOOKUP(N23,'타이커 기술이전(과거)'!$B$11:$E$1000,4,0),0)</f>
        <v>1.37</v>
      </c>
      <c r="Q23" s="20">
        <f t="shared" si="10"/>
        <v>-7.0000000000000062E-2</v>
      </c>
      <c r="R23" s="21">
        <f t="shared" si="11"/>
        <v>-5.1094890510948954E-2</v>
      </c>
    </row>
    <row r="24" spans="1:18" x14ac:dyDescent="0.4">
      <c r="A24" s="63" t="str">
        <f>VLOOKUP(B24,유니버스!$C$14:$D$2561,2,0)</f>
        <v>KS</v>
      </c>
      <c r="B24" s="65" t="str">
        <f>'TIMEFOLIO 코리아밸류업액티브'!B30</f>
        <v>신한지주</v>
      </c>
      <c r="C24" s="65">
        <f>VLOOKUP(B24,'TIMEFOLIO 코리아밸류업액티브'!$B$11:$E$1000,4,0)</f>
        <v>1.29</v>
      </c>
      <c r="D24" s="65">
        <f>IFERROR(VLOOKUP(B24,'TIMEFOLIO 코리아밸류업액티브(과거)'!$B$11:$E$1000,4,0),0)</f>
        <v>0.83</v>
      </c>
      <c r="E24" s="20">
        <f t="shared" si="6"/>
        <v>0.46000000000000008</v>
      </c>
      <c r="F24" s="21">
        <f t="shared" si="7"/>
        <v>0.55421686746987953</v>
      </c>
      <c r="G24" s="63" t="str">
        <f>VLOOKUP(H24,유니버스!$C$14:$D$2561,2,0)</f>
        <v>KQ</v>
      </c>
      <c r="H24" s="65" t="str">
        <f>'PLUS K제조업핵심기업액티브'!B30</f>
        <v>대주전자재료</v>
      </c>
      <c r="I24" s="65">
        <f>VLOOKUP(H24,'PLUS K제조업핵심기업액티브'!$B$11:$E$1000,4,0)</f>
        <v>1.1599999999999999</v>
      </c>
      <c r="J24" s="65">
        <f>IFERROR(VLOOKUP(H24,'PLUS K제조업핵심기업액티브(과거)'!$B$11:$E$1000,4,0),0)</f>
        <v>1.35</v>
      </c>
      <c r="K24" s="20">
        <f t="shared" si="8"/>
        <v>-0.19000000000000017</v>
      </c>
      <c r="L24" s="21">
        <f t="shared" si="9"/>
        <v>-0.14074074074074083</v>
      </c>
      <c r="M24" s="62" t="str">
        <f>VLOOKUP(N24,유니버스!$C$14:$D$2561,2,0)</f>
        <v>KQ</v>
      </c>
      <c r="N24" s="26" t="str">
        <f>'타이커 기술이전'!B30</f>
        <v>넥스트바이오메디컬</v>
      </c>
      <c r="O24" s="20">
        <f>VLOOKUP(N24,'타이커 기술이전'!$B$11:$E$1000,4,0)</f>
        <v>1.23</v>
      </c>
      <c r="P24" s="20">
        <f>IFERROR(VLOOKUP(N24,'타이커 기술이전(과거)'!$B$11:$E$1000,4,0),0)</f>
        <v>1.28</v>
      </c>
      <c r="Q24" s="20">
        <f t="shared" si="10"/>
        <v>-5.0000000000000044E-2</v>
      </c>
      <c r="R24" s="21">
        <f t="shared" si="11"/>
        <v>-3.90625E-2</v>
      </c>
    </row>
    <row r="25" spans="1:18" x14ac:dyDescent="0.4">
      <c r="A25" s="63" t="str">
        <f>VLOOKUP(B25,유니버스!$C$14:$D$2561,2,0)</f>
        <v>KS</v>
      </c>
      <c r="B25" s="65" t="str">
        <f>'TIMEFOLIO 코리아밸류업액티브'!B31</f>
        <v>한국금융지주</v>
      </c>
      <c r="C25" s="65">
        <f>VLOOKUP(B25,'TIMEFOLIO 코리아밸류업액티브'!$B$11:$E$1000,4,0)</f>
        <v>1.23</v>
      </c>
      <c r="D25" s="65">
        <f>IFERROR(VLOOKUP(B25,'TIMEFOLIO 코리아밸류업액티브(과거)'!$B$11:$E$1000,4,0),0)</f>
        <v>1.0900000000000001</v>
      </c>
      <c r="E25" s="20">
        <f t="shared" si="6"/>
        <v>0.1399999999999999</v>
      </c>
      <c r="F25" s="21">
        <f t="shared" si="7"/>
        <v>0.12844036697247696</v>
      </c>
      <c r="G25" s="63" t="str">
        <f>VLOOKUP(H25,유니버스!$C$14:$D$2561,2,0)</f>
        <v>KS</v>
      </c>
      <c r="H25" s="65" t="str">
        <f>'PLUS K제조업핵심기업액티브'!B31</f>
        <v>두산에너빌리티</v>
      </c>
      <c r="I25" s="65">
        <f>VLOOKUP(H25,'PLUS K제조업핵심기업액티브'!$B$11:$E$1000,4,0)</f>
        <v>1.1000000000000001</v>
      </c>
      <c r="J25" s="65">
        <f>IFERROR(VLOOKUP(H25,'PLUS K제조업핵심기업액티브(과거)'!$B$11:$E$1000,4,0),0)</f>
        <v>1.17</v>
      </c>
      <c r="K25" s="20">
        <f t="shared" si="8"/>
        <v>-6.999999999999984E-2</v>
      </c>
      <c r="L25" s="21">
        <f t="shared" si="9"/>
        <v>-5.9829059829059728E-2</v>
      </c>
      <c r="M25" s="62" t="str">
        <f>VLOOKUP(N25,유니버스!$C$14:$D$2561,2,0)</f>
        <v>KQ</v>
      </c>
      <c r="N25" s="26" t="str">
        <f>'타이커 기술이전'!B31</f>
        <v>펩트론</v>
      </c>
      <c r="O25" s="20">
        <f>VLOOKUP(N25,'타이커 기술이전'!$B$11:$E$1000,4,0)</f>
        <v>1.21</v>
      </c>
      <c r="P25" s="20">
        <f>IFERROR(VLOOKUP(N25,'타이커 기술이전(과거)'!$B$11:$E$1000,4,0),0)</f>
        <v>0.89</v>
      </c>
      <c r="Q25" s="20">
        <f t="shared" si="10"/>
        <v>0.31999999999999995</v>
      </c>
      <c r="R25" s="21">
        <f t="shared" si="11"/>
        <v>0.3595505617977528</v>
      </c>
    </row>
    <row r="26" spans="1:18" x14ac:dyDescent="0.4">
      <c r="A26" s="63" t="str">
        <f>VLOOKUP(B26,유니버스!$C$14:$D$2561,2,0)</f>
        <v>KS</v>
      </c>
      <c r="B26" s="65" t="str">
        <f>'TIMEFOLIO 코리아밸류업액티브'!B32</f>
        <v>삼양식품</v>
      </c>
      <c r="C26" s="65">
        <f>VLOOKUP(B26,'TIMEFOLIO 코리아밸류업액티브'!$B$11:$E$1000,4,0)</f>
        <v>1.07</v>
      </c>
      <c r="D26" s="65">
        <f>IFERROR(VLOOKUP(B26,'TIMEFOLIO 코리아밸류업액티브(과거)'!$B$11:$E$1000,4,0),0)</f>
        <v>2.74</v>
      </c>
      <c r="E26" s="20">
        <f t="shared" si="6"/>
        <v>-1.6700000000000002</v>
      </c>
      <c r="F26" s="21">
        <f t="shared" si="7"/>
        <v>-0.60948905109489049</v>
      </c>
      <c r="G26" s="63" t="str">
        <f>VLOOKUP(H26,유니버스!$C$14:$D$2561,2,0)</f>
        <v>KS</v>
      </c>
      <c r="H26" s="65" t="str">
        <f>'PLUS K제조업핵심기업액티브'!B32</f>
        <v>한화엔진</v>
      </c>
      <c r="I26" s="65">
        <f>VLOOKUP(H26,'PLUS K제조업핵심기업액티브'!$B$11:$E$1000,4,0)</f>
        <v>1.07</v>
      </c>
      <c r="J26" s="65">
        <f>IFERROR(VLOOKUP(H26,'PLUS K제조업핵심기업액티브(과거)'!$B$11:$E$1000,4,0),0)</f>
        <v>1.0900000000000001</v>
      </c>
      <c r="K26" s="20">
        <f t="shared" si="8"/>
        <v>-2.0000000000000018E-2</v>
      </c>
      <c r="L26" s="21">
        <f t="shared" si="9"/>
        <v>-1.834862385321101E-2</v>
      </c>
      <c r="M26" s="62" t="str">
        <f>VLOOKUP(N26,유니버스!$C$14:$D$2561,2,0)</f>
        <v>KQ</v>
      </c>
      <c r="N26" s="26" t="str">
        <f>'타이커 기술이전'!B32</f>
        <v>쓰리빌리언</v>
      </c>
      <c r="O26" s="20">
        <f>VLOOKUP(N26,'타이커 기술이전'!$B$11:$E$1000,4,0)</f>
        <v>1.1599999999999999</v>
      </c>
      <c r="P26" s="20">
        <f>IFERROR(VLOOKUP(N26,'타이커 기술이전(과거)'!$B$11:$E$1000,4,0),0)</f>
        <v>1.1499999999999999</v>
      </c>
      <c r="Q26" s="20">
        <f t="shared" si="10"/>
        <v>1.0000000000000009E-2</v>
      </c>
      <c r="R26" s="21">
        <f t="shared" si="11"/>
        <v>8.6956521739129933E-3</v>
      </c>
    </row>
    <row r="27" spans="1:18" x14ac:dyDescent="0.4">
      <c r="A27" s="63" t="str">
        <f>VLOOKUP(B27,유니버스!$C$14:$D$2561,2,0)</f>
        <v>KS</v>
      </c>
      <c r="B27" s="65" t="str">
        <f>'TIMEFOLIO 코리아밸류업액티브'!B33</f>
        <v>KB금융</v>
      </c>
      <c r="C27" s="65">
        <f>VLOOKUP(B27,'TIMEFOLIO 코리아밸류업액티브'!$B$11:$E$1000,4,0)</f>
        <v>1.07</v>
      </c>
      <c r="D27" s="65">
        <f>IFERROR(VLOOKUP(B27,'TIMEFOLIO 코리아밸류업액티브(과거)'!$B$11:$E$1000,4,0),0)</f>
        <v>2.5</v>
      </c>
      <c r="E27" s="20">
        <f t="shared" si="6"/>
        <v>-1.43</v>
      </c>
      <c r="F27" s="21">
        <f t="shared" si="7"/>
        <v>-0.57199999999999995</v>
      </c>
      <c r="G27" s="63" t="str">
        <f>VLOOKUP(H27,유니버스!$C$14:$D$2561,2,0)</f>
        <v>KS</v>
      </c>
      <c r="H27" s="65" t="str">
        <f>'PLUS K제조업핵심기업액티브'!B33</f>
        <v>LS</v>
      </c>
      <c r="I27" s="65">
        <f>VLOOKUP(H27,'PLUS K제조업핵심기업액티브'!$B$11:$E$1000,4,0)</f>
        <v>1.06</v>
      </c>
      <c r="J27" s="65">
        <f>IFERROR(VLOOKUP(H27,'PLUS K제조업핵심기업액티브(과거)'!$B$11:$E$1000,4,0),0)</f>
        <v>2.4900000000000002</v>
      </c>
      <c r="K27" s="20">
        <f t="shared" si="8"/>
        <v>-1.4300000000000002</v>
      </c>
      <c r="L27" s="21">
        <f t="shared" si="9"/>
        <v>-0.57429718875502012</v>
      </c>
      <c r="M27" s="62" t="str">
        <f>VLOOKUP(N27,유니버스!$C$14:$D$2561,2,0)</f>
        <v>KQ</v>
      </c>
      <c r="N27" s="26" t="str">
        <f>'타이커 기술이전'!B33</f>
        <v>앱클론</v>
      </c>
      <c r="O27" s="20">
        <f>VLOOKUP(N27,'타이커 기술이전'!$B$11:$E$1000,4,0)</f>
        <v>1.1599999999999999</v>
      </c>
      <c r="P27" s="20">
        <f>IFERROR(VLOOKUP(N27,'타이커 기술이전(과거)'!$B$11:$E$1000,4,0),0)</f>
        <v>0.81</v>
      </c>
      <c r="Q27" s="20">
        <f t="shared" si="10"/>
        <v>0.34999999999999987</v>
      </c>
      <c r="R27" s="21">
        <f t="shared" si="11"/>
        <v>0.43209876543209846</v>
      </c>
    </row>
    <row r="28" spans="1:18" x14ac:dyDescent="0.4">
      <c r="A28" s="63" t="str">
        <f>VLOOKUP(B28,유니버스!$C$14:$D$2561,2,0)</f>
        <v>KS</v>
      </c>
      <c r="B28" s="65" t="str">
        <f>'TIMEFOLIO 코리아밸류업액티브'!B34</f>
        <v>SK텔레콤</v>
      </c>
      <c r="C28" s="65">
        <f>VLOOKUP(B28,'TIMEFOLIO 코리아밸류업액티브'!$B$11:$E$1000,4,0)</f>
        <v>1</v>
      </c>
      <c r="D28" s="65">
        <f>IFERROR(VLOOKUP(B28,'TIMEFOLIO 코리아밸류업액티브(과거)'!$B$11:$E$1000,4,0),0)</f>
        <v>0.74</v>
      </c>
      <c r="E28" s="20">
        <f t="shared" si="6"/>
        <v>0.26</v>
      </c>
      <c r="F28" s="21">
        <f t="shared" si="7"/>
        <v>0.35135135135135132</v>
      </c>
      <c r="G28" s="63" t="str">
        <f>VLOOKUP(H28,유니버스!$C$14:$D$2561,2,0)</f>
        <v>KS</v>
      </c>
      <c r="H28" s="65" t="str">
        <f>'PLUS K제조업핵심기업액티브'!B34</f>
        <v>한화솔루션</v>
      </c>
      <c r="I28" s="65">
        <f>VLOOKUP(H28,'PLUS K제조업핵심기업액티브'!$B$11:$E$1000,4,0)</f>
        <v>1.05</v>
      </c>
      <c r="J28" s="65">
        <f>IFERROR(VLOOKUP(H28,'PLUS K제조업핵심기업액티브(과거)'!$B$11:$E$1000,4,0),0)</f>
        <v>1.0900000000000001</v>
      </c>
      <c r="K28" s="20">
        <f t="shared" si="8"/>
        <v>-4.0000000000000036E-2</v>
      </c>
      <c r="L28" s="21">
        <f t="shared" si="9"/>
        <v>-3.669724770642202E-2</v>
      </c>
      <c r="M28" s="62" t="str">
        <f>VLOOKUP(N28,유니버스!$C$14:$D$2561,2,0)</f>
        <v>KS</v>
      </c>
      <c r="N28" s="26" t="str">
        <f>'타이커 기술이전'!B34</f>
        <v>SK바이오팜</v>
      </c>
      <c r="O28" s="20">
        <f>VLOOKUP(N28,'타이커 기술이전'!$B$11:$E$1000,4,0)</f>
        <v>0.96</v>
      </c>
      <c r="P28" s="20">
        <f>IFERROR(VLOOKUP(N28,'타이커 기술이전(과거)'!$B$11:$E$1000,4,0),0)</f>
        <v>0.66</v>
      </c>
      <c r="Q28" s="20">
        <f t="shared" si="10"/>
        <v>0.29999999999999993</v>
      </c>
      <c r="R28" s="21">
        <f t="shared" si="11"/>
        <v>0.45454545454545436</v>
      </c>
    </row>
    <row r="29" spans="1:18" x14ac:dyDescent="0.4">
      <c r="A29" s="63" t="str">
        <f>VLOOKUP(B29,유니버스!$C$14:$D$2561,2,0)</f>
        <v>KS</v>
      </c>
      <c r="B29" s="65" t="str">
        <f>'TIMEFOLIO 코리아밸류업액티브'!B35</f>
        <v>HD현대</v>
      </c>
      <c r="C29" s="65">
        <f>VLOOKUP(B29,'TIMEFOLIO 코리아밸류업액티브'!$B$11:$E$1000,4,0)</f>
        <v>0.87</v>
      </c>
      <c r="D29" s="65">
        <f>IFERROR(VLOOKUP(B29,'TIMEFOLIO 코리아밸류업액티브(과거)'!$B$11:$E$1000,4,0),0)</f>
        <v>0</v>
      </c>
      <c r="E29" s="20">
        <f t="shared" si="6"/>
        <v>0.87</v>
      </c>
      <c r="F29" s="21" t="str">
        <f t="shared" si="7"/>
        <v>신규편입</v>
      </c>
      <c r="G29" s="63" t="str">
        <f>VLOOKUP(H29,유니버스!$C$14:$D$2561,2,0)</f>
        <v>KS</v>
      </c>
      <c r="H29" s="65" t="str">
        <f>'PLUS K제조업핵심기업액티브'!B35</f>
        <v>고려아연</v>
      </c>
      <c r="I29" s="65">
        <f>VLOOKUP(H29,'PLUS K제조업핵심기업액티브'!$B$11:$E$1000,4,0)</f>
        <v>1.02</v>
      </c>
      <c r="J29" s="65">
        <f>IFERROR(VLOOKUP(H29,'PLUS K제조업핵심기업액티브(과거)'!$B$11:$E$1000,4,0),0)</f>
        <v>1.07</v>
      </c>
      <c r="K29" s="20">
        <f t="shared" si="8"/>
        <v>-5.0000000000000044E-2</v>
      </c>
      <c r="L29" s="21">
        <f t="shared" si="9"/>
        <v>-4.6728971962616828E-2</v>
      </c>
      <c r="M29" s="62" t="str">
        <f>VLOOKUP(N29,유니버스!$C$14:$D$2561,2,0)</f>
        <v>KQ</v>
      </c>
      <c r="N29" s="26" t="str">
        <f>'타이커 기술이전'!B35</f>
        <v>티움바이오</v>
      </c>
      <c r="O29" s="20">
        <f>VLOOKUP(N29,'타이커 기술이전'!$B$11:$E$1000,4,0)</f>
        <v>0.87</v>
      </c>
      <c r="P29" s="20">
        <f>IFERROR(VLOOKUP(N29,'타이커 기술이전(과거)'!$B$11:$E$1000,4,0),0)</f>
        <v>0.84</v>
      </c>
      <c r="Q29" s="20">
        <f t="shared" si="10"/>
        <v>3.0000000000000027E-2</v>
      </c>
      <c r="R29" s="21">
        <f t="shared" si="11"/>
        <v>3.5714285714285809E-2</v>
      </c>
    </row>
    <row r="30" spans="1:18" x14ac:dyDescent="0.4">
      <c r="A30" s="63" t="str">
        <f>VLOOKUP(B30,유니버스!$C$14:$D$2561,2,0)</f>
        <v>KS</v>
      </c>
      <c r="B30" s="65" t="str">
        <f>'TIMEFOLIO 코리아밸류업액티브'!B36</f>
        <v>LIG디펜스앤에어로스페이스</v>
      </c>
      <c r="C30" s="65">
        <f>VLOOKUP(B30,'TIMEFOLIO 코리아밸류업액티브'!$B$11:$E$1000,4,0)</f>
        <v>0.85</v>
      </c>
      <c r="D30" s="65">
        <f>IFERROR(VLOOKUP(B30,'TIMEFOLIO 코리아밸류업액티브(과거)'!$B$11:$E$1000,4,0),0)</f>
        <v>0</v>
      </c>
      <c r="E30" s="20">
        <f t="shared" si="6"/>
        <v>0.85</v>
      </c>
      <c r="F30" s="21" t="str">
        <f t="shared" si="7"/>
        <v>신규편입</v>
      </c>
      <c r="G30" s="63" t="str">
        <f>VLOOKUP(H30,유니버스!$C$14:$D$2561,2,0)</f>
        <v>KS</v>
      </c>
      <c r="H30" s="65" t="str">
        <f>'PLUS K제조업핵심기업액티브'!B36</f>
        <v>산일전기</v>
      </c>
      <c r="I30" s="65">
        <f>VLOOKUP(H30,'PLUS K제조업핵심기업액티브'!$B$11:$E$1000,4,0)</f>
        <v>1</v>
      </c>
      <c r="J30" s="65">
        <f>IFERROR(VLOOKUP(H30,'PLUS K제조업핵심기업액티브(과거)'!$B$11:$E$1000,4,0),0)</f>
        <v>0</v>
      </c>
      <c r="K30" s="20">
        <f t="shared" si="8"/>
        <v>1</v>
      </c>
      <c r="L30" s="21" t="str">
        <f t="shared" si="9"/>
        <v>신규편입</v>
      </c>
      <c r="M30" s="62" t="str">
        <f>VLOOKUP(N30,유니버스!$C$14:$D$2561,2,0)</f>
        <v>KQ</v>
      </c>
      <c r="N30" s="26" t="str">
        <f>'타이커 기술이전'!B36</f>
        <v>와이바이오로직스</v>
      </c>
      <c r="O30" s="20">
        <f>VLOOKUP(N30,'타이커 기술이전'!$B$11:$E$1000,4,0)</f>
        <v>0.78</v>
      </c>
      <c r="P30" s="20">
        <f>IFERROR(VLOOKUP(N30,'타이커 기술이전(과거)'!$B$11:$E$1000,4,0),0)</f>
        <v>0.8</v>
      </c>
      <c r="Q30" s="20">
        <f t="shared" si="10"/>
        <v>-2.0000000000000018E-2</v>
      </c>
      <c r="R30" s="21">
        <f t="shared" si="11"/>
        <v>-2.5000000000000022E-2</v>
      </c>
    </row>
    <row r="31" spans="1:18" x14ac:dyDescent="0.4">
      <c r="A31" s="63" t="str">
        <f>VLOOKUP(B31,유니버스!$C$14:$D$2561,2,0)</f>
        <v>KS</v>
      </c>
      <c r="B31" s="65" t="str">
        <f>'TIMEFOLIO 코리아밸류업액티브'!B37</f>
        <v>현대로템</v>
      </c>
      <c r="C31" s="65">
        <f>VLOOKUP(B31,'TIMEFOLIO 코리아밸류업액티브'!$B$11:$E$1000,4,0)</f>
        <v>0.8</v>
      </c>
      <c r="D31" s="65">
        <f>IFERROR(VLOOKUP(B31,'TIMEFOLIO 코리아밸류업액티브(과거)'!$B$11:$E$1000,4,0),0)</f>
        <v>0</v>
      </c>
      <c r="E31" s="20">
        <f t="shared" si="6"/>
        <v>0.8</v>
      </c>
      <c r="F31" s="21" t="str">
        <f t="shared" si="7"/>
        <v>신규편입</v>
      </c>
      <c r="G31" s="63" t="str">
        <f>VLOOKUP(H31,유니버스!$C$14:$D$2561,2,0)</f>
        <v>KS</v>
      </c>
      <c r="H31" s="65" t="str">
        <f>'PLUS K제조업핵심기업액티브'!B37</f>
        <v>삼성물산</v>
      </c>
      <c r="I31" s="65">
        <f>VLOOKUP(H31,'PLUS K제조업핵심기업액티브'!$B$11:$E$1000,4,0)</f>
        <v>0.97</v>
      </c>
      <c r="J31" s="65">
        <f>IFERROR(VLOOKUP(H31,'PLUS K제조업핵심기업액티브(과거)'!$B$11:$E$1000,4,0),0)</f>
        <v>0.96</v>
      </c>
      <c r="K31" s="20">
        <f t="shared" si="8"/>
        <v>1.0000000000000009E-2</v>
      </c>
      <c r="L31" s="21">
        <f t="shared" si="9"/>
        <v>1.0416666666666741E-2</v>
      </c>
      <c r="M31" s="62" t="str">
        <f>VLOOKUP(N31,유니버스!$C$14:$D$2561,2,0)</f>
        <v>KQ</v>
      </c>
      <c r="N31" s="26" t="str">
        <f>'타이커 기술이전'!B37</f>
        <v>지아이이노베이션</v>
      </c>
      <c r="O31" s="20">
        <f>VLOOKUP(N31,'타이커 기술이전'!$B$11:$E$1000,4,0)</f>
        <v>0.75</v>
      </c>
      <c r="P31" s="20">
        <f>IFERROR(VLOOKUP(N31,'타이커 기술이전(과거)'!$B$11:$E$1000,4,0),0)</f>
        <v>0.75</v>
      </c>
      <c r="Q31" s="20">
        <f t="shared" si="10"/>
        <v>0</v>
      </c>
      <c r="R31" s="21">
        <f t="shared" si="11"/>
        <v>0</v>
      </c>
    </row>
    <row r="32" spans="1:18" x14ac:dyDescent="0.4">
      <c r="A32" s="63" t="str">
        <f>VLOOKUP(B32,유니버스!$C$14:$D$2561,2,0)</f>
        <v>KS</v>
      </c>
      <c r="B32" s="65" t="str">
        <f>'TIMEFOLIO 코리아밸류업액티브'!B38</f>
        <v>키움증권</v>
      </c>
      <c r="C32" s="65">
        <f>VLOOKUP(B32,'TIMEFOLIO 코리아밸류업액티브'!$B$11:$E$1000,4,0)</f>
        <v>0.78</v>
      </c>
      <c r="D32" s="65">
        <f>IFERROR(VLOOKUP(B32,'TIMEFOLIO 코리아밸류업액티브(과거)'!$B$11:$E$1000,4,0),0)</f>
        <v>3.18</v>
      </c>
      <c r="E32" s="20">
        <f t="shared" si="6"/>
        <v>-2.4000000000000004</v>
      </c>
      <c r="F32" s="21">
        <f t="shared" si="7"/>
        <v>-0.75471698113207553</v>
      </c>
      <c r="G32" s="63" t="str">
        <f>VLOOKUP(H32,유니버스!$C$14:$D$2561,2,0)</f>
        <v>KQ</v>
      </c>
      <c r="H32" s="65" t="str">
        <f>'PLUS K제조업핵심기업액티브'!B38</f>
        <v>테스</v>
      </c>
      <c r="I32" s="65">
        <f>VLOOKUP(H32,'PLUS K제조업핵심기업액티브'!$B$11:$E$1000,4,0)</f>
        <v>0.96</v>
      </c>
      <c r="J32" s="65">
        <f>IFERROR(VLOOKUP(H32,'PLUS K제조업핵심기업액티브(과거)'!$B$11:$E$1000,4,0),0)</f>
        <v>0</v>
      </c>
      <c r="K32" s="20">
        <f t="shared" si="8"/>
        <v>0.96</v>
      </c>
      <c r="L32" s="21" t="str">
        <f t="shared" si="9"/>
        <v>신규편입</v>
      </c>
      <c r="M32" s="62" t="str">
        <f>VLOOKUP(N32,유니버스!$C$14:$D$2561,2,0)</f>
        <v>KQ</v>
      </c>
      <c r="N32" s="26" t="str">
        <f>'타이커 기술이전'!B38</f>
        <v>메디포스트</v>
      </c>
      <c r="O32" s="20">
        <f>VLOOKUP(N32,'타이커 기술이전'!$B$11:$E$1000,4,0)</f>
        <v>0.55000000000000004</v>
      </c>
      <c r="P32" s="20">
        <f>IFERROR(VLOOKUP(N32,'타이커 기술이전(과거)'!$B$11:$E$1000,4,0),0)</f>
        <v>1.47</v>
      </c>
      <c r="Q32" s="20">
        <f t="shared" ref="Q32:Q35" si="12">O32-P32</f>
        <v>-0.91999999999999993</v>
      </c>
      <c r="R32" s="21">
        <f t="shared" ref="R32:R35" si="13">IFERROR(O32/P32-1,"신규편입")</f>
        <v>-0.62585034013605445</v>
      </c>
    </row>
    <row r="33" spans="1:18" x14ac:dyDescent="0.4">
      <c r="A33" s="63" t="str">
        <f>VLOOKUP(B33,유니버스!$C$14:$D$2561,2,0)</f>
        <v>KS</v>
      </c>
      <c r="B33" s="65" t="str">
        <f>'TIMEFOLIO 코리아밸류업액티브'!B39</f>
        <v>삼성증권</v>
      </c>
      <c r="C33" s="65">
        <f>VLOOKUP(B33,'TIMEFOLIO 코리아밸류업액티브'!$B$11:$E$1000,4,0)</f>
        <v>0.56999999999999995</v>
      </c>
      <c r="D33" s="65">
        <f>IFERROR(VLOOKUP(B33,'TIMEFOLIO 코리아밸류업액티브(과거)'!$B$11:$E$1000,4,0),0)</f>
        <v>3.63</v>
      </c>
      <c r="E33" s="20">
        <f t="shared" ref="E33:E34" si="14">C33-D33</f>
        <v>-3.06</v>
      </c>
      <c r="F33" s="21">
        <f t="shared" ref="F33:F34" si="15">IFERROR(C33/D33-1,"신규편입")</f>
        <v>-0.84297520661157022</v>
      </c>
      <c r="G33" s="63" t="str">
        <f>VLOOKUP(H33,유니버스!$C$14:$D$2561,2,0)</f>
        <v>KS</v>
      </c>
      <c r="H33" s="65" t="str">
        <f>'PLUS K제조업핵심기업액티브'!B39</f>
        <v>LS ELECTRIC</v>
      </c>
      <c r="I33" s="65">
        <f>VLOOKUP(H33,'PLUS K제조업핵심기업액티브'!$B$11:$E$1000,4,0)</f>
        <v>0.91</v>
      </c>
      <c r="J33" s="65">
        <f>IFERROR(VLOOKUP(H33,'PLUS K제조업핵심기업액티브(과거)'!$B$11:$E$1000,4,0),0)</f>
        <v>0.9</v>
      </c>
      <c r="K33" s="20">
        <f t="shared" si="8"/>
        <v>1.0000000000000009E-2</v>
      </c>
      <c r="L33" s="21">
        <f t="shared" si="9"/>
        <v>1.1111111111111072E-2</v>
      </c>
      <c r="M33" s="62" t="str">
        <f>VLOOKUP(N33,유니버스!$C$14:$D$2561,2,0)</f>
        <v>KS</v>
      </c>
      <c r="N33" s="26" t="str">
        <f>'타이커 기술이전'!B39</f>
        <v>삼양바이오팜</v>
      </c>
      <c r="O33" s="20">
        <f>VLOOKUP(N33,'타이커 기술이전'!$B$11:$E$1000,4,0)</f>
        <v>0.3</v>
      </c>
      <c r="P33" s="20">
        <f>IFERROR(VLOOKUP(N33,'타이커 기술이전(과거)'!$B$11:$E$1000,4,0),0)</f>
        <v>0.3</v>
      </c>
      <c r="Q33" s="20">
        <f t="shared" si="12"/>
        <v>0</v>
      </c>
      <c r="R33" s="21">
        <f t="shared" si="13"/>
        <v>0</v>
      </c>
    </row>
    <row r="34" spans="1:18" x14ac:dyDescent="0.4">
      <c r="A34" s="63" t="str">
        <f>VLOOKUP(B34,유니버스!$C$14:$D$2561,2,0)</f>
        <v>KS</v>
      </c>
      <c r="B34" s="65" t="str">
        <f>'TIMEFOLIO 코리아밸류업액티브'!B40</f>
        <v>삼성물산</v>
      </c>
      <c r="C34" s="65">
        <f>VLOOKUP(B34,'TIMEFOLIO 코리아밸류업액티브'!$B$11:$E$1000,4,0)</f>
        <v>0.53</v>
      </c>
      <c r="D34" s="65">
        <f>IFERROR(VLOOKUP(B34,'TIMEFOLIO 코리아밸류업액티브(과거)'!$B$11:$E$1000,4,0),0)</f>
        <v>3.41</v>
      </c>
      <c r="E34" s="20">
        <f t="shared" si="14"/>
        <v>-2.88</v>
      </c>
      <c r="F34" s="21">
        <f t="shared" si="15"/>
        <v>-0.84457478005865105</v>
      </c>
      <c r="G34" s="63" t="str">
        <f>VLOOKUP(H34,유니버스!$C$14:$D$2561,2,0)</f>
        <v>KS</v>
      </c>
      <c r="H34" s="65" t="str">
        <f>'PLUS K제조업핵심기업액티브'!B40</f>
        <v>POSCO홀딩스</v>
      </c>
      <c r="I34" s="65">
        <f>VLOOKUP(H34,'PLUS K제조업핵심기업액티브'!$B$11:$E$1000,4,0)</f>
        <v>0.9</v>
      </c>
      <c r="J34" s="65">
        <f>IFERROR(VLOOKUP(H34,'PLUS K제조업핵심기업액티브(과거)'!$B$11:$E$1000,4,0),0)</f>
        <v>0.99</v>
      </c>
      <c r="K34" s="20">
        <f t="shared" si="8"/>
        <v>-8.9999999999999969E-2</v>
      </c>
      <c r="L34" s="21">
        <f t="shared" si="9"/>
        <v>-9.0909090909090828E-2</v>
      </c>
      <c r="M34" s="62" t="str">
        <f>VLOOKUP(N34,유니버스!$C$14:$D$2561,2,0)</f>
        <v>KQ</v>
      </c>
      <c r="N34" s="26" t="str">
        <f>'타이커 기술이전'!B40</f>
        <v>지니너스</v>
      </c>
      <c r="O34" s="20">
        <f>VLOOKUP(N34,'타이커 기술이전'!$B$11:$E$1000,4,0)</f>
        <v>0.26</v>
      </c>
      <c r="P34" s="20">
        <f>IFERROR(VLOOKUP(N34,'타이커 기술이전(과거)'!$B$11:$E$1000,4,0),0)</f>
        <v>0.25</v>
      </c>
      <c r="Q34" s="20">
        <f t="shared" si="12"/>
        <v>1.0000000000000009E-2</v>
      </c>
      <c r="R34" s="21">
        <f t="shared" si="13"/>
        <v>4.0000000000000036E-2</v>
      </c>
    </row>
    <row r="35" spans="1:18" x14ac:dyDescent="0.4">
      <c r="A35" s="63" t="str">
        <f>VLOOKUP(B35,유니버스!$C$14:$D$2561,2,0)</f>
        <v>KS</v>
      </c>
      <c r="B35" s="65" t="str">
        <f>'TIMEFOLIO 코리아밸류업액티브'!B41</f>
        <v>HD현대일렉트릭</v>
      </c>
      <c r="C35" s="65">
        <f>VLOOKUP(B35,'TIMEFOLIO 코리아밸류업액티브'!$B$11:$E$1000,4,0)</f>
        <v>0.53</v>
      </c>
      <c r="D35" s="65">
        <f>IFERROR(VLOOKUP(B35,'TIMEFOLIO 코리아밸류업액티브(과거)'!$B$11:$E$1000,4,0),0)</f>
        <v>0</v>
      </c>
      <c r="E35" s="20">
        <f t="shared" ref="E35:E37" si="16">C35-D35</f>
        <v>0.53</v>
      </c>
      <c r="F35" s="21" t="str">
        <f t="shared" ref="F35:F37" si="17">IFERROR(C35/D35-1,"신규편입")</f>
        <v>신규편입</v>
      </c>
      <c r="G35" s="63" t="str">
        <f>VLOOKUP(H35,유니버스!$C$14:$D$2561,2,0)</f>
        <v>KQ</v>
      </c>
      <c r="H35" s="65" t="str">
        <f>'PLUS K제조업핵심기업액티브'!B41</f>
        <v>한양디지텍</v>
      </c>
      <c r="I35" s="65">
        <f>VLOOKUP(H35,'PLUS K제조업핵심기업액티브'!$B$11:$E$1000,4,0)</f>
        <v>0.83</v>
      </c>
      <c r="J35" s="65">
        <f>IFERROR(VLOOKUP(H35,'PLUS K제조업핵심기업액티브(과거)'!$B$11:$E$1000,4,0),0)</f>
        <v>0.78</v>
      </c>
      <c r="K35" s="20">
        <f t="shared" si="8"/>
        <v>4.9999999999999933E-2</v>
      </c>
      <c r="L35" s="21">
        <f t="shared" si="9"/>
        <v>6.4102564102564097E-2</v>
      </c>
      <c r="M35" s="62" t="e">
        <f>VLOOKUP(N35,유니버스!$C$14:$D$2561,2,0)</f>
        <v>#N/A</v>
      </c>
      <c r="N35" s="26" t="str">
        <f>'타이커 기술이전'!B41</f>
        <v>원화현금</v>
      </c>
      <c r="O35" s="20">
        <f>VLOOKUP(N35,'타이커 기술이전'!$B$11:$E$1000,4,0)</f>
        <v>6.46</v>
      </c>
      <c r="P35" s="20">
        <f>IFERROR(VLOOKUP(N35,'타이커 기술이전(과거)'!$B$11:$E$1000,4,0),0)</f>
        <v>4.9800000000000004</v>
      </c>
      <c r="Q35" s="20">
        <f t="shared" si="12"/>
        <v>1.4799999999999995</v>
      </c>
      <c r="R35" s="21">
        <f t="shared" si="13"/>
        <v>0.29718875502008024</v>
      </c>
    </row>
    <row r="36" spans="1:18" x14ac:dyDescent="0.4">
      <c r="A36" s="63" t="str">
        <f>VLOOKUP(B36,유니버스!$C$14:$D$2561,2,0)</f>
        <v>KS</v>
      </c>
      <c r="B36" s="65" t="str">
        <f>'TIMEFOLIO 코리아밸류업액티브'!B42</f>
        <v>한화투자증권</v>
      </c>
      <c r="C36" s="65">
        <f>VLOOKUP(B36,'TIMEFOLIO 코리아밸류업액티브'!$B$11:$E$1000,4,0)</f>
        <v>0.25</v>
      </c>
      <c r="D36" s="65">
        <f>IFERROR(VLOOKUP(B36,'TIMEFOLIO 코리아밸류업액티브(과거)'!$B$11:$E$1000,4,0),0)</f>
        <v>2.4300000000000002</v>
      </c>
      <c r="E36" s="20">
        <f t="shared" si="16"/>
        <v>-2.1800000000000002</v>
      </c>
      <c r="F36" s="21">
        <f t="shared" si="17"/>
        <v>-0.89711934156378603</v>
      </c>
      <c r="G36" s="63" t="str">
        <f>VLOOKUP(H36,유니버스!$C$14:$D$2561,2,0)</f>
        <v>KQ</v>
      </c>
      <c r="H36" s="65" t="str">
        <f>'PLUS K제조업핵심기업액티브'!B42</f>
        <v>인텔리안테크</v>
      </c>
      <c r="I36" s="65">
        <f>VLOOKUP(H36,'PLUS K제조업핵심기업액티브'!$B$11:$E$1000,4,0)</f>
        <v>0.8</v>
      </c>
      <c r="J36" s="65">
        <f>IFERROR(VLOOKUP(H36,'PLUS K제조업핵심기업액티브(과거)'!$B$11:$E$1000,4,0),0)</f>
        <v>0.95</v>
      </c>
      <c r="K36" s="20">
        <f t="shared" si="8"/>
        <v>-0.14999999999999991</v>
      </c>
      <c r="L36" s="21">
        <f t="shared" si="9"/>
        <v>-0.1578947368421052</v>
      </c>
      <c r="N36" s="26"/>
      <c r="O36" s="20"/>
      <c r="P36" s="20"/>
      <c r="Q36" s="20"/>
      <c r="R36" s="21"/>
    </row>
    <row r="37" spans="1:18" x14ac:dyDescent="0.4">
      <c r="A37" s="63" t="e">
        <f>VLOOKUP(B37,유니버스!$C$14:$D$2561,2,0)</f>
        <v>#N/A</v>
      </c>
      <c r="B37" s="65" t="str">
        <f>'TIMEFOLIO 코리아밸류업액티브'!B43</f>
        <v>원화현금</v>
      </c>
      <c r="C37" s="65">
        <f>VLOOKUP(B37,'TIMEFOLIO 코리아밸류업액티브'!$B$11:$E$1000,4,0)</f>
        <v>1.2</v>
      </c>
      <c r="D37" s="65">
        <f>IFERROR(VLOOKUP(B37,'TIMEFOLIO 코리아밸류업액티브(과거)'!$B$11:$E$1000,4,0),0)</f>
        <v>0.97</v>
      </c>
      <c r="E37" s="20">
        <f t="shared" si="16"/>
        <v>0.22999999999999998</v>
      </c>
      <c r="F37" s="21">
        <f t="shared" si="17"/>
        <v>0.23711340206185572</v>
      </c>
      <c r="G37" s="63" t="str">
        <f>VLOOKUP(H37,유니버스!$C$14:$D$2561,2,0)</f>
        <v>KQ</v>
      </c>
      <c r="H37" s="65" t="str">
        <f>'PLUS K제조업핵심기업액티브'!B43</f>
        <v>레인보우로보틱스</v>
      </c>
      <c r="I37" s="65">
        <f>VLOOKUP(H37,'PLUS K제조업핵심기업액티브'!$B$11:$E$1000,4,0)</f>
        <v>0.76</v>
      </c>
      <c r="J37" s="65">
        <f>IFERROR(VLOOKUP(H37,'PLUS K제조업핵심기업액티브(과거)'!$B$11:$E$1000,4,0),0)</f>
        <v>0.85</v>
      </c>
      <c r="K37" s="20">
        <f t="shared" si="8"/>
        <v>-8.9999999999999969E-2</v>
      </c>
      <c r="L37" s="21">
        <f t="shared" si="9"/>
        <v>-0.10588235294117643</v>
      </c>
      <c r="N37" s="26"/>
      <c r="O37" s="20"/>
      <c r="P37" s="20"/>
      <c r="Q37" s="20"/>
      <c r="R37" s="21"/>
    </row>
    <row r="38" spans="1:18" x14ac:dyDescent="0.4">
      <c r="B38" s="65"/>
      <c r="C38" s="65"/>
      <c r="D38" s="65"/>
      <c r="E38" s="20"/>
      <c r="F38" s="21"/>
      <c r="G38" s="63" t="str">
        <f>VLOOKUP(H38,유니버스!$C$14:$D$2561,2,0)</f>
        <v>KQ</v>
      </c>
      <c r="H38" s="65" t="str">
        <f>'PLUS K제조업핵심기업액티브'!B44</f>
        <v>한국피아이엠</v>
      </c>
      <c r="I38" s="65">
        <f>VLOOKUP(H38,'PLUS K제조업핵심기업액티브'!$B$11:$E$1000,4,0)</f>
        <v>0.76</v>
      </c>
      <c r="J38" s="65">
        <f>IFERROR(VLOOKUP(H38,'PLUS K제조업핵심기업액티브(과거)'!$B$11:$E$1000,4,0),0)</f>
        <v>0.85</v>
      </c>
      <c r="K38" s="20">
        <f t="shared" ref="K38:K39" si="18">I38-J38</f>
        <v>-8.9999999999999969E-2</v>
      </c>
      <c r="L38" s="21">
        <f t="shared" ref="L38:L39" si="19">IFERROR(I38/J38-1,"신규편입")</f>
        <v>-0.10588235294117643</v>
      </c>
      <c r="N38" s="26"/>
      <c r="O38" s="20"/>
      <c r="P38" s="20"/>
      <c r="Q38" s="20"/>
      <c r="R38" s="21"/>
    </row>
    <row r="39" spans="1:18" x14ac:dyDescent="0.4">
      <c r="B39" s="65"/>
      <c r="C39" s="65"/>
      <c r="D39" s="65"/>
      <c r="E39" s="20"/>
      <c r="F39" s="21"/>
      <c r="G39" s="63" t="str">
        <f>VLOOKUP(H39,유니버스!$C$14:$D$2561,2,0)</f>
        <v>KS</v>
      </c>
      <c r="H39" s="65" t="str">
        <f>'PLUS K제조업핵심기업액티브'!B45</f>
        <v>엘앤에프</v>
      </c>
      <c r="I39" s="65">
        <f>VLOOKUP(H39,'PLUS K제조업핵심기업액티브'!$B$11:$E$1000,4,0)</f>
        <v>0.7</v>
      </c>
      <c r="J39" s="65">
        <f>IFERROR(VLOOKUP(H39,'PLUS K제조업핵심기업액티브(과거)'!$B$11:$E$1000,4,0),0)</f>
        <v>0.75</v>
      </c>
      <c r="K39" s="20">
        <f t="shared" si="18"/>
        <v>-5.0000000000000044E-2</v>
      </c>
      <c r="L39" s="21">
        <f t="shared" si="19"/>
        <v>-6.6666666666666763E-2</v>
      </c>
      <c r="N39" s="26"/>
      <c r="O39" s="20"/>
      <c r="P39" s="20"/>
      <c r="Q39" s="20"/>
      <c r="R39" s="21"/>
    </row>
    <row r="40" spans="1:18" x14ac:dyDescent="0.4">
      <c r="B40" s="65"/>
      <c r="C40" s="65"/>
      <c r="D40" s="65"/>
      <c r="E40" s="20"/>
      <c r="F40" s="21"/>
      <c r="G40" s="63" t="str">
        <f>VLOOKUP(H40,유니버스!$C$14:$D$2561,2,0)</f>
        <v>KQ</v>
      </c>
      <c r="H40" s="65" t="str">
        <f>'PLUS K제조업핵심기업액티브'!B46</f>
        <v>나노신소재</v>
      </c>
      <c r="I40" s="65">
        <f>VLOOKUP(H40,'PLUS K제조업핵심기업액티브'!$B$11:$E$1000,4,0)</f>
        <v>0.7</v>
      </c>
      <c r="J40" s="65">
        <f>IFERROR(VLOOKUP(H40,'PLUS K제조업핵심기업액티브(과거)'!$B$11:$E$1000,4,0),0)</f>
        <v>0.74</v>
      </c>
      <c r="K40" s="20">
        <f t="shared" ref="K40:K43" si="20">I40-J40</f>
        <v>-4.0000000000000036E-2</v>
      </c>
      <c r="L40" s="21">
        <f t="shared" ref="L40:L43" si="21">IFERROR(I40/J40-1,"신규편입")</f>
        <v>-5.4054054054054057E-2</v>
      </c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G41" s="63" t="str">
        <f>VLOOKUP(H41,유니버스!$C$14:$D$2561,2,0)</f>
        <v>KS</v>
      </c>
      <c r="H41" s="65" t="str">
        <f>'PLUS K제조업핵심기업액티브'!B47</f>
        <v>현대건설</v>
      </c>
      <c r="I41" s="65">
        <f>VLOOKUP(H41,'PLUS K제조업핵심기업액티브'!$B$11:$E$1000,4,0)</f>
        <v>0.62</v>
      </c>
      <c r="J41" s="65">
        <f>IFERROR(VLOOKUP(H41,'PLUS K제조업핵심기업액티브(과거)'!$B$11:$E$1000,4,0),0)</f>
        <v>0.68</v>
      </c>
      <c r="K41" s="20">
        <f t="shared" si="20"/>
        <v>-6.0000000000000053E-2</v>
      </c>
      <c r="L41" s="21">
        <f t="shared" si="21"/>
        <v>-8.8235294117647078E-2</v>
      </c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G42" s="63" t="str">
        <f>VLOOKUP(H42,유니버스!$C$14:$D$2561,2,0)</f>
        <v>KQ</v>
      </c>
      <c r="H42" s="65" t="str">
        <f>'PLUS K제조업핵심기업액티브'!B48</f>
        <v>로보티즈</v>
      </c>
      <c r="I42" s="65">
        <f>VLOOKUP(H42,'PLUS K제조업핵심기업액티브'!$B$11:$E$1000,4,0)</f>
        <v>0.62</v>
      </c>
      <c r="J42" s="65">
        <f>IFERROR(VLOOKUP(H42,'PLUS K제조업핵심기업액티브(과거)'!$B$11:$E$1000,4,0),0)</f>
        <v>0.69</v>
      </c>
      <c r="K42" s="20">
        <f t="shared" si="20"/>
        <v>-6.9999999999999951E-2</v>
      </c>
      <c r="L42" s="21">
        <f t="shared" si="21"/>
        <v>-0.10144927536231874</v>
      </c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G43" s="63" t="str">
        <f>VLOOKUP(H43,유니버스!$C$14:$D$2561,2,0)</f>
        <v>KS</v>
      </c>
      <c r="H43" s="65" t="str">
        <f>'PLUS K제조업핵심기업액티브'!B49</f>
        <v>효성중공업</v>
      </c>
      <c r="I43" s="65">
        <f>VLOOKUP(H43,'PLUS K제조업핵심기업액티브'!$B$11:$E$1000,4,0)</f>
        <v>0.56999999999999995</v>
      </c>
      <c r="J43" s="65">
        <f>IFERROR(VLOOKUP(H43,'PLUS K제조업핵심기업액티브(과거)'!$B$11:$E$1000,4,0),0)</f>
        <v>0.56000000000000005</v>
      </c>
      <c r="K43" s="20">
        <f t="shared" si="20"/>
        <v>9.9999999999998979E-3</v>
      </c>
      <c r="L43" s="21">
        <f t="shared" si="21"/>
        <v>1.7857142857142572E-2</v>
      </c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G44" s="63" t="str">
        <f>VLOOKUP(H44,유니버스!$C$14:$D$2561,2,0)</f>
        <v>KQ</v>
      </c>
      <c r="H44" s="65" t="str">
        <f>'PLUS K제조업핵심기업액티브'!B50</f>
        <v>스피어</v>
      </c>
      <c r="I44" s="65">
        <f>VLOOKUP(H44,'PLUS K제조업핵심기업액티브'!$B$11:$E$1000,4,0)</f>
        <v>0.32</v>
      </c>
      <c r="J44" s="65">
        <f>IFERROR(VLOOKUP(H44,'PLUS K제조업핵심기업액티브(과거)'!$B$11:$E$1000,4,0),0)</f>
        <v>0.32</v>
      </c>
      <c r="K44" s="20">
        <f t="shared" ref="K44:K47" si="22">I44-J44</f>
        <v>0</v>
      </c>
      <c r="L44" s="21">
        <f t="shared" ref="L44:L47" si="23">IFERROR(I44/J44-1,"신규편입")</f>
        <v>0</v>
      </c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G45" s="63" t="str">
        <f>VLOOKUP(H45,유니버스!$C$14:$D$2561,2,0)</f>
        <v>KS</v>
      </c>
      <c r="H45" s="65" t="str">
        <f>'PLUS K제조업핵심기업액티브'!B51</f>
        <v>삼아알미늄</v>
      </c>
      <c r="I45" s="65">
        <f>VLOOKUP(H45,'PLUS K제조업핵심기업액티브'!$B$11:$E$1000,4,0)</f>
        <v>0.21</v>
      </c>
      <c r="J45" s="65">
        <f>IFERROR(VLOOKUP(H45,'PLUS K제조업핵심기업액티브(과거)'!$B$11:$E$1000,4,0),0)</f>
        <v>0.22</v>
      </c>
      <c r="K45" s="20">
        <f t="shared" si="22"/>
        <v>-1.0000000000000009E-2</v>
      </c>
      <c r="L45" s="21">
        <f t="shared" si="23"/>
        <v>-4.5454545454545525E-2</v>
      </c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G46" s="63" t="str">
        <f>VLOOKUP(H46,유니버스!$C$14:$D$2561,2,0)</f>
        <v>KS</v>
      </c>
      <c r="H46" s="65" t="str">
        <f>'PLUS K제조업핵심기업액티브'!B52</f>
        <v>이수페타시스</v>
      </c>
      <c r="I46" s="65">
        <f>VLOOKUP(H46,'PLUS K제조업핵심기업액티브'!$B$11:$E$1000,4,0)</f>
        <v>0.19</v>
      </c>
      <c r="J46" s="65">
        <f>IFERROR(VLOOKUP(H46,'PLUS K제조업핵심기업액티브(과거)'!$B$11:$E$1000,4,0),0)</f>
        <v>0.19</v>
      </c>
      <c r="K46" s="20">
        <f t="shared" si="22"/>
        <v>0</v>
      </c>
      <c r="L46" s="21">
        <f t="shared" si="23"/>
        <v>0</v>
      </c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G47" s="63" t="e">
        <f>VLOOKUP(H47,유니버스!$C$14:$D$2561,2,0)</f>
        <v>#N/A</v>
      </c>
      <c r="H47" s="65" t="str">
        <f>'PLUS K제조업핵심기업액티브'!B53</f>
        <v>원화현금</v>
      </c>
      <c r="I47" s="65">
        <f>VLOOKUP(H47,'PLUS K제조업핵심기업액티브'!$B$11:$E$1000,4,0)</f>
        <v>0.03</v>
      </c>
      <c r="J47" s="65">
        <f>IFERROR(VLOOKUP(H47,'PLUS K제조업핵심기업액티브(과거)'!$B$11:$E$1000,4,0),0)</f>
        <v>0.35</v>
      </c>
      <c r="K47" s="20">
        <f t="shared" si="22"/>
        <v>-0.31999999999999995</v>
      </c>
      <c r="L47" s="21">
        <f t="shared" si="23"/>
        <v>-0.91428571428571426</v>
      </c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  <c r="N117" s="26"/>
      <c r="O117" s="20"/>
      <c r="P117" s="20"/>
      <c r="Q117" s="20"/>
      <c r="R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  <c r="N118" s="26"/>
      <c r="O118" s="20"/>
      <c r="P118" s="20"/>
      <c r="Q118" s="20"/>
      <c r="R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N119" s="26"/>
      <c r="O119" s="20"/>
      <c r="P119" s="20"/>
      <c r="Q119" s="20"/>
      <c r="R119" s="21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N120" s="26"/>
      <c r="O120" s="20"/>
      <c r="P120" s="20"/>
      <c r="Q120" s="20"/>
      <c r="R120" s="21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N121" s="26"/>
      <c r="O121" s="20"/>
      <c r="P121" s="20"/>
      <c r="Q121" s="20"/>
      <c r="R121" s="21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  <c r="N122" s="26"/>
      <c r="O122" s="20"/>
      <c r="P122" s="20"/>
      <c r="Q122" s="20"/>
      <c r="R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  <c r="N123" s="26"/>
      <c r="O123" s="20"/>
      <c r="P123" s="20"/>
      <c r="Q123" s="20"/>
      <c r="R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  <c r="N124" s="26"/>
      <c r="O124" s="20"/>
      <c r="P124" s="20"/>
      <c r="Q124" s="20"/>
      <c r="R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  <c r="N125" s="26"/>
      <c r="O125" s="20"/>
      <c r="P125" s="20"/>
      <c r="Q125" s="20"/>
      <c r="R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  <c r="N126" s="26"/>
      <c r="O126" s="20"/>
      <c r="P126" s="20"/>
      <c r="Q126" s="20"/>
      <c r="R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6000000}">
    <sortState xmlns:xlrd2="http://schemas.microsoft.com/office/spreadsheetml/2017/richdata2" ref="B5:R36">
      <sortCondition descending="1" ref="C4"/>
    </sortState>
  </autoFilter>
  <phoneticPr fontId="2" type="noConversion"/>
  <conditionalFormatting sqref="E127:E1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54 E5:E1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7:F1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1:F154 F5:F12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R112"/>
  <sheetViews>
    <sheetView zoomScaleNormal="100" workbookViewId="0">
      <selection activeCell="N6" sqref="N6"/>
    </sheetView>
  </sheetViews>
  <sheetFormatPr defaultRowHeight="17.399999999999999" x14ac:dyDescent="0.4"/>
  <cols>
    <col min="1" max="1" width="3" style="62" customWidth="1"/>
    <col min="2" max="2" width="25.5" style="62" bestFit="1" customWidth="1"/>
    <col min="3" max="3" width="8.796875" style="62"/>
    <col min="4" max="4" width="9.796875" style="62" customWidth="1"/>
    <col min="7" max="7" width="3" style="62" customWidth="1"/>
    <col min="8" max="8" width="25.5" style="62" bestFit="1" customWidth="1"/>
    <col min="9" max="9" width="8.796875" style="62"/>
    <col min="10" max="10" width="10.59765625" style="62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2" t="s">
        <v>30</v>
      </c>
      <c r="H3" s="62" t="s">
        <v>66</v>
      </c>
      <c r="N3" s="62" t="s">
        <v>72</v>
      </c>
    </row>
    <row r="4" spans="1:18" x14ac:dyDescent="0.4">
      <c r="B4" s="26" t="s">
        <v>75</v>
      </c>
      <c r="C4" s="64" t="str">
        <f>'KODEX 신재생에너지액티브'!B4</f>
        <v>CPD [20260522]</v>
      </c>
      <c r="D4" s="64" t="str">
        <f>'KODEX 신재생에너지액티브(과거)'!B4</f>
        <v>20260515</v>
      </c>
      <c r="E4" s="22" t="s">
        <v>76</v>
      </c>
      <c r="F4" s="22" t="s">
        <v>77</v>
      </c>
      <c r="H4" s="26" t="s">
        <v>75</v>
      </c>
      <c r="I4" s="64" t="str">
        <f>C4</f>
        <v>CPD [20260522]</v>
      </c>
      <c r="J4" s="64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[20260522]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2" t="str">
        <f>VLOOKUP(B5,유니버스!$C$14:$D$2561,2,0)</f>
        <v>KS</v>
      </c>
      <c r="B5" s="26" t="str">
        <f>'TIMEFOLIO K바이오액티브'!B11</f>
        <v>셀트리온</v>
      </c>
      <c r="C5" s="26">
        <f>VLOOKUP(B5,'TIMEFOLIO K바이오액티브'!$B$11:$E$1000,4,0)</f>
        <v>14.81</v>
      </c>
      <c r="D5" s="26">
        <f>IFERROR(VLOOKUP(B5,'TIMEFOLIO K바이오액티브(과거)'!$B$11:$E$1000,4,0),0)</f>
        <v>13.61</v>
      </c>
      <c r="E5" s="20">
        <f t="shared" ref="E5" si="0">C5-D5</f>
        <v>1.2000000000000011</v>
      </c>
      <c r="F5" s="21">
        <f t="shared" ref="F5" si="1">IFERROR(C5/D5-1,"신규편입")</f>
        <v>8.8170462894930246E-2</v>
      </c>
      <c r="G5" s="62" t="str">
        <f>VLOOKUP(H5,유니버스!$C$14:$D$2561,2,0)</f>
        <v>KQ</v>
      </c>
      <c r="H5" s="76" t="str">
        <f>'KoAct 바이오헬스케어액티브'!B11</f>
        <v>알테오젠</v>
      </c>
      <c r="I5" s="26">
        <f>VLOOKUP(H5,'KoAct 바이오헬스케어액티브'!$B$11:$E$1000,4,0)</f>
        <v>9.36</v>
      </c>
      <c r="J5" s="26">
        <f>IFERROR(VLOOKUP(H5,'KoAct 바이오헬스케어액티브(과거)'!$B$11:$E$1000,4,0),0)</f>
        <v>8.92</v>
      </c>
      <c r="K5" s="26">
        <f t="shared" ref="K5" si="2">I5-J5</f>
        <v>0.4399999999999995</v>
      </c>
      <c r="L5" s="27">
        <f t="shared" ref="L5" si="3">IFERROR(I5/J5-1,"신규편입")</f>
        <v>4.9327354260089606E-2</v>
      </c>
      <c r="M5" s="62" t="str">
        <f>VLOOKUP(N5,유니버스!$C$14:$D$2561,2,0)</f>
        <v>KQ</v>
      </c>
      <c r="N5" s="76" t="str">
        <f>'RISE 바이오TOP10액티브'!B11</f>
        <v>알테오젠</v>
      </c>
      <c r="O5" s="26">
        <f>VLOOKUP(N5,'RISE 바이오TOP10액티브'!$B$11:$E$1000,4,0)</f>
        <v>14.06</v>
      </c>
      <c r="P5" s="26">
        <f>IFERROR(VLOOKUP(N5,'RISE 바이오TOP10액티브(과거)'!$B$11:$E$1000,4,0),0)</f>
        <v>12.17</v>
      </c>
      <c r="Q5" s="26">
        <f t="shared" ref="Q5" si="4">O5-P5</f>
        <v>1.8900000000000006</v>
      </c>
      <c r="R5" s="27">
        <f t="shared" ref="R5" si="5">IFERROR(O5/P5-1,"신규편입")</f>
        <v>0.15529991783073127</v>
      </c>
    </row>
    <row r="6" spans="1:18" x14ac:dyDescent="0.4">
      <c r="A6" s="62" t="str">
        <f>VLOOKUP(B6,유니버스!$C$14:$D$2561,2,0)</f>
        <v>KQ</v>
      </c>
      <c r="B6" s="76" t="str">
        <f>'TIMEFOLIO K바이오액티브'!B12</f>
        <v>알테오젠</v>
      </c>
      <c r="C6" s="26">
        <f>VLOOKUP(B6,'TIMEFOLIO K바이오액티브'!$B$11:$E$1000,4,0)</f>
        <v>10.050000000000001</v>
      </c>
      <c r="D6" s="26">
        <f>IFERROR(VLOOKUP(B6,'TIMEFOLIO K바이오액티브(과거)'!$B$11:$E$1000,4,0),0)</f>
        <v>9.74</v>
      </c>
      <c r="E6" s="20">
        <f t="shared" ref="E6:E38" si="6">C6-D6</f>
        <v>0.3100000000000005</v>
      </c>
      <c r="F6" s="21">
        <f t="shared" ref="F6:F38" si="7">IFERROR(C6/D6-1,"신규편입")</f>
        <v>3.1827515400410622E-2</v>
      </c>
      <c r="G6" s="62" t="str">
        <f>VLOOKUP(H6,유니버스!$C$14:$D$2561,2,0)</f>
        <v>KQ</v>
      </c>
      <c r="H6" s="76" t="str">
        <f>'KoAct 바이오헬스케어액티브'!B12</f>
        <v>올릭스</v>
      </c>
      <c r="I6" s="26">
        <f>VLOOKUP(H6,'KoAct 바이오헬스케어액티브'!$B$11:$E$1000,4,0)</f>
        <v>9.08</v>
      </c>
      <c r="J6" s="26">
        <f>IFERROR(VLOOKUP(H6,'KoAct 바이오헬스케어액티브(과거)'!$B$11:$E$1000,4,0),0)</f>
        <v>9.4</v>
      </c>
      <c r="K6" s="26">
        <f t="shared" ref="K6:K29" si="8">I6-J6</f>
        <v>-0.32000000000000028</v>
      </c>
      <c r="L6" s="27">
        <f t="shared" ref="L6:L29" si="9">IFERROR(I6/J6-1,"신규편입")</f>
        <v>-3.4042553191489411E-2</v>
      </c>
      <c r="M6" s="62" t="str">
        <f>VLOOKUP(N6,유니버스!$C$14:$D$2561,2,0)</f>
        <v>KQ</v>
      </c>
      <c r="N6" s="76" t="str">
        <f>'RISE 바이오TOP10액티브'!B12</f>
        <v>올릭스</v>
      </c>
      <c r="O6" s="26">
        <f>VLOOKUP(N6,'RISE 바이오TOP10액티브'!$B$11:$E$1000,4,0)</f>
        <v>12.7</v>
      </c>
      <c r="P6" s="26">
        <f>IFERROR(VLOOKUP(N6,'RISE 바이오TOP10액티브(과거)'!$B$11:$E$1000,4,0),0)</f>
        <v>13.16</v>
      </c>
      <c r="Q6" s="26">
        <f t="shared" ref="Q6:Q26" si="10">O6-P6</f>
        <v>-0.46000000000000085</v>
      </c>
      <c r="R6" s="27">
        <f t="shared" ref="R6:R26" si="11">IFERROR(O6/P6-1,"신규편입")</f>
        <v>-3.4954407294832901E-2</v>
      </c>
    </row>
    <row r="7" spans="1:18" x14ac:dyDescent="0.4">
      <c r="A7" s="62" t="str">
        <f>VLOOKUP(B7,유니버스!$C$14:$D$2561,2,0)</f>
        <v>KS</v>
      </c>
      <c r="B7" s="26" t="str">
        <f>'TIMEFOLIO K바이오액티브'!B13</f>
        <v>삼성바이오로직스</v>
      </c>
      <c r="C7" s="26">
        <f>VLOOKUP(B7,'TIMEFOLIO K바이오액티브'!$B$11:$E$1000,4,0)</f>
        <v>7.25</v>
      </c>
      <c r="D7" s="26">
        <f>IFERROR(VLOOKUP(B7,'TIMEFOLIO K바이오액티브(과거)'!$B$11:$E$1000,4,0),0)</f>
        <v>6.81</v>
      </c>
      <c r="E7" s="20">
        <f t="shared" si="6"/>
        <v>0.44000000000000039</v>
      </c>
      <c r="F7" s="21">
        <f t="shared" si="7"/>
        <v>6.4610866372980968E-2</v>
      </c>
      <c r="G7" s="62" t="str">
        <f>VLOOKUP(H7,유니버스!$C$14:$D$2561,2,0)</f>
        <v>KS</v>
      </c>
      <c r="H7" s="26" t="str">
        <f>'KoAct 바이오헬스케어액티브'!B13</f>
        <v>셀트리온</v>
      </c>
      <c r="I7" s="26">
        <f>VLOOKUP(H7,'KoAct 바이오헬스케어액티브'!$B$11:$E$1000,4,0)</f>
        <v>8.5299999999999994</v>
      </c>
      <c r="J7" s="26">
        <f>IFERROR(VLOOKUP(H7,'KoAct 바이오헬스케어액티브(과거)'!$B$11:$E$1000,4,0),0)</f>
        <v>7.71</v>
      </c>
      <c r="K7" s="26">
        <f t="shared" si="8"/>
        <v>0.8199999999999994</v>
      </c>
      <c r="L7" s="27">
        <f t="shared" si="9"/>
        <v>0.1063553826199739</v>
      </c>
      <c r="M7" s="62" t="str">
        <f>VLOOKUP(N7,유니버스!$C$14:$D$2561,2,0)</f>
        <v>KQ</v>
      </c>
      <c r="N7" s="26" t="str">
        <f>'RISE 바이오TOP10액티브'!B13</f>
        <v>리가켐바이오</v>
      </c>
      <c r="O7" s="26">
        <f>VLOOKUP(N7,'RISE 바이오TOP10액티브'!$B$11:$E$1000,4,0)</f>
        <v>9.8000000000000007</v>
      </c>
      <c r="P7" s="26">
        <f>IFERROR(VLOOKUP(N7,'RISE 바이오TOP10액티브(과거)'!$B$11:$E$1000,4,0),0)</f>
        <v>14.15</v>
      </c>
      <c r="Q7" s="26">
        <f t="shared" si="10"/>
        <v>-4.3499999999999996</v>
      </c>
      <c r="R7" s="27">
        <f t="shared" si="11"/>
        <v>-0.30742049469964661</v>
      </c>
    </row>
    <row r="8" spans="1:18" x14ac:dyDescent="0.4">
      <c r="A8" s="62" t="str">
        <f>VLOOKUP(B8,유니버스!$C$14:$D$2561,2,0)</f>
        <v>KQ</v>
      </c>
      <c r="B8" s="76" t="str">
        <f>'TIMEFOLIO K바이오액티브'!B14</f>
        <v>올릭스</v>
      </c>
      <c r="C8" s="26">
        <f>VLOOKUP(B8,'TIMEFOLIO K바이오액티브'!$B$11:$E$1000,4,0)</f>
        <v>6.61</v>
      </c>
      <c r="D8" s="26">
        <f>IFERROR(VLOOKUP(B8,'TIMEFOLIO K바이오액티브(과거)'!$B$11:$E$1000,4,0),0)</f>
        <v>6.96</v>
      </c>
      <c r="E8" s="20">
        <f t="shared" si="6"/>
        <v>-0.34999999999999964</v>
      </c>
      <c r="F8" s="21">
        <f t="shared" si="7"/>
        <v>-5.0287356321839005E-2</v>
      </c>
      <c r="G8" s="62" t="str">
        <f>VLOOKUP(H8,유니버스!$C$14:$D$2561,2,0)</f>
        <v>KQ</v>
      </c>
      <c r="H8" s="26" t="str">
        <f>'KoAct 바이오헬스케어액티브'!B14</f>
        <v>에이비엘바이오</v>
      </c>
      <c r="I8" s="26">
        <f>VLOOKUP(H8,'KoAct 바이오헬스케어액티브'!$B$11:$E$1000,4,0)</f>
        <v>8.18</v>
      </c>
      <c r="J8" s="26">
        <f>IFERROR(VLOOKUP(H8,'KoAct 바이오헬스케어액티브(과거)'!$B$11:$E$1000,4,0),0)</f>
        <v>8.06</v>
      </c>
      <c r="K8" s="26">
        <f t="shared" si="8"/>
        <v>0.11999999999999922</v>
      </c>
      <c r="L8" s="27">
        <f t="shared" si="9"/>
        <v>1.4888337468982549E-2</v>
      </c>
      <c r="M8" s="62" t="str">
        <f>VLOOKUP(N8,유니버스!$C$14:$D$2561,2,0)</f>
        <v>KQ</v>
      </c>
      <c r="N8" s="26" t="str">
        <f>'RISE 바이오TOP10액티브'!B14</f>
        <v>에이비엘바이오</v>
      </c>
      <c r="O8" s="26">
        <f>VLOOKUP(N8,'RISE 바이오TOP10액티브'!$B$11:$E$1000,4,0)</f>
        <v>8.76</v>
      </c>
      <c r="P8" s="26">
        <f>IFERROR(VLOOKUP(N8,'RISE 바이오TOP10액티브(과거)'!$B$11:$E$1000,4,0),0)</f>
        <v>8.6300000000000008</v>
      </c>
      <c r="Q8" s="26">
        <f t="shared" si="10"/>
        <v>0.12999999999999901</v>
      </c>
      <c r="R8" s="27">
        <f t="shared" si="11"/>
        <v>1.5063731170335881E-2</v>
      </c>
    </row>
    <row r="9" spans="1:18" x14ac:dyDescent="0.4">
      <c r="A9" s="62" t="str">
        <f>VLOOKUP(B9,유니버스!$C$14:$D$2561,2,0)</f>
        <v>KS</v>
      </c>
      <c r="B9" s="26" t="str">
        <f>'TIMEFOLIO K바이오액티브'!B15</f>
        <v>한미약품</v>
      </c>
      <c r="C9" s="26">
        <f>VLOOKUP(B9,'TIMEFOLIO K바이오액티브'!$B$11:$E$1000,4,0)</f>
        <v>5.67</v>
      </c>
      <c r="D9" s="26">
        <f>IFERROR(VLOOKUP(B9,'TIMEFOLIO K바이오액티브(과거)'!$B$11:$E$1000,4,0),0)</f>
        <v>5.67</v>
      </c>
      <c r="E9" s="20">
        <f t="shared" si="6"/>
        <v>0</v>
      </c>
      <c r="F9" s="21">
        <f t="shared" si="7"/>
        <v>0</v>
      </c>
      <c r="G9" s="62" t="str">
        <f>VLOOKUP(H9,유니버스!$C$14:$D$2561,2,0)</f>
        <v>KQ</v>
      </c>
      <c r="H9" s="26" t="str">
        <f>'KoAct 바이오헬스케어액티브'!B15</f>
        <v>리가켐바이오</v>
      </c>
      <c r="I9" s="26">
        <f>VLOOKUP(H9,'KoAct 바이오헬스케어액티브'!$B$11:$E$1000,4,0)</f>
        <v>7.64</v>
      </c>
      <c r="J9" s="26">
        <f>IFERROR(VLOOKUP(H9,'KoAct 바이오헬스케어액티브(과거)'!$B$11:$E$1000,4,0),0)</f>
        <v>9.51</v>
      </c>
      <c r="K9" s="26">
        <f t="shared" si="8"/>
        <v>-1.87</v>
      </c>
      <c r="L9" s="27">
        <f t="shared" si="9"/>
        <v>-0.19663512092534174</v>
      </c>
      <c r="M9" s="62" t="str">
        <f>VLOOKUP(N9,유니버스!$C$14:$D$2561,2,0)</f>
        <v>KQ</v>
      </c>
      <c r="N9" s="26" t="str">
        <f>'RISE 바이오TOP10액티브'!B15</f>
        <v>리브스메드</v>
      </c>
      <c r="O9" s="26">
        <f>VLOOKUP(N9,'RISE 바이오TOP10액티브'!$B$11:$E$1000,4,0)</f>
        <v>4.68</v>
      </c>
      <c r="P9" s="26">
        <f>IFERROR(VLOOKUP(N9,'RISE 바이오TOP10액티브(과거)'!$B$11:$E$1000,4,0),0)</f>
        <v>3.94</v>
      </c>
      <c r="Q9" s="26">
        <f t="shared" si="10"/>
        <v>0.73999999999999977</v>
      </c>
      <c r="R9" s="27">
        <f t="shared" si="11"/>
        <v>0.18781725888324874</v>
      </c>
    </row>
    <row r="10" spans="1:18" x14ac:dyDescent="0.4">
      <c r="A10" s="62" t="str">
        <f>VLOOKUP(B10,유니버스!$C$14:$D$2561,2,0)</f>
        <v>KQ</v>
      </c>
      <c r="B10" s="26" t="str">
        <f>'TIMEFOLIO K바이오액티브'!B16</f>
        <v>리가켐바이오</v>
      </c>
      <c r="C10" s="26">
        <f>VLOOKUP(B10,'TIMEFOLIO K바이오액티브'!$B$11:$E$1000,4,0)</f>
        <v>5.46</v>
      </c>
      <c r="D10" s="26">
        <f>IFERROR(VLOOKUP(B10,'TIMEFOLIO K바이오액티브(과거)'!$B$11:$E$1000,4,0),0)</f>
        <v>6.91</v>
      </c>
      <c r="E10" s="20">
        <f t="shared" si="6"/>
        <v>-1.4500000000000002</v>
      </c>
      <c r="F10" s="21">
        <f t="shared" si="7"/>
        <v>-0.20984081041968161</v>
      </c>
      <c r="G10" s="62" t="str">
        <f>VLOOKUP(H10,유니버스!$C$14:$D$2561,2,0)</f>
        <v>KQ</v>
      </c>
      <c r="H10" s="26" t="str">
        <f>'KoAct 바이오헬스케어액티브'!B16</f>
        <v>에스티팜</v>
      </c>
      <c r="I10" s="26">
        <f>VLOOKUP(H10,'KoAct 바이오헬스케어액티브'!$B$11:$E$1000,4,0)</f>
        <v>7.39</v>
      </c>
      <c r="J10" s="26">
        <f>IFERROR(VLOOKUP(H10,'KoAct 바이오헬스케어액티브(과거)'!$B$11:$E$1000,4,0),0)</f>
        <v>6.95</v>
      </c>
      <c r="K10" s="26">
        <f t="shared" si="8"/>
        <v>0.4399999999999995</v>
      </c>
      <c r="L10" s="27">
        <f t="shared" si="9"/>
        <v>6.3309352517985529E-2</v>
      </c>
      <c r="M10" s="62" t="str">
        <f>VLOOKUP(N10,유니버스!$C$14:$D$2561,2,0)</f>
        <v>KS</v>
      </c>
      <c r="N10" s="76" t="str">
        <f>'RISE 바이오TOP10액티브'!B16</f>
        <v>한올바이오파마</v>
      </c>
      <c r="O10" s="26">
        <f>VLOOKUP(N10,'RISE 바이오TOP10액티브'!$B$11:$E$1000,4,0)</f>
        <v>4.3600000000000003</v>
      </c>
      <c r="P10" s="26">
        <f>IFERROR(VLOOKUP(N10,'RISE 바이오TOP10액티브(과거)'!$B$11:$E$1000,4,0),0)</f>
        <v>3.61</v>
      </c>
      <c r="Q10" s="26">
        <f t="shared" si="10"/>
        <v>0.75000000000000044</v>
      </c>
      <c r="R10" s="27">
        <f t="shared" si="11"/>
        <v>0.20775623268698085</v>
      </c>
    </row>
    <row r="11" spans="1:18" x14ac:dyDescent="0.4">
      <c r="A11" s="62" t="str">
        <f>VLOOKUP(B11,유니버스!$C$14:$D$2561,2,0)</f>
        <v>KQ</v>
      </c>
      <c r="B11" s="26" t="str">
        <f>'TIMEFOLIO K바이오액티브'!B17</f>
        <v>에스티팜</v>
      </c>
      <c r="C11" s="26">
        <f>VLOOKUP(B11,'TIMEFOLIO K바이오액티브'!$B$11:$E$1000,4,0)</f>
        <v>4.12</v>
      </c>
      <c r="D11" s="26">
        <f>IFERROR(VLOOKUP(B11,'TIMEFOLIO K바이오액티브(과거)'!$B$11:$E$1000,4,0),0)</f>
        <v>3.94</v>
      </c>
      <c r="E11" s="20">
        <f t="shared" si="6"/>
        <v>0.18000000000000016</v>
      </c>
      <c r="F11" s="21">
        <f t="shared" si="7"/>
        <v>4.5685279187817285E-2</v>
      </c>
      <c r="G11" s="62" t="str">
        <f>VLOOKUP(H11,유니버스!$C$14:$D$2561,2,0)</f>
        <v>KQ</v>
      </c>
      <c r="H11" s="26" t="str">
        <f>'KoAct 바이오헬스케어액티브'!B17</f>
        <v>알지노믹스</v>
      </c>
      <c r="I11" s="26">
        <f>VLOOKUP(H11,'KoAct 바이오헬스케어액티브'!$B$11:$E$1000,4,0)</f>
        <v>5.86</v>
      </c>
      <c r="J11" s="26">
        <f>IFERROR(VLOOKUP(H11,'KoAct 바이오헬스케어액티브(과거)'!$B$11:$E$1000,4,0),0)</f>
        <v>6.05</v>
      </c>
      <c r="K11" s="26">
        <f t="shared" si="8"/>
        <v>-0.1899999999999995</v>
      </c>
      <c r="L11" s="27">
        <f t="shared" si="9"/>
        <v>-3.140495867768589E-2</v>
      </c>
      <c r="M11" s="62" t="str">
        <f>VLOOKUP(N11,유니버스!$C$14:$D$2561,2,0)</f>
        <v>KQ</v>
      </c>
      <c r="N11" s="26" t="str">
        <f>'RISE 바이오TOP10액티브'!B17</f>
        <v>에스티팜</v>
      </c>
      <c r="O11" s="26">
        <f>VLOOKUP(N11,'RISE 바이오TOP10액티브'!$B$11:$E$1000,4,0)</f>
        <v>3.73</v>
      </c>
      <c r="P11" s="26">
        <f>IFERROR(VLOOKUP(N11,'RISE 바이오TOP10액티브(과거)'!$B$11:$E$1000,4,0),0)</f>
        <v>3.51</v>
      </c>
      <c r="Q11" s="26">
        <f t="shared" si="10"/>
        <v>0.2200000000000002</v>
      </c>
      <c r="R11" s="27">
        <f t="shared" si="11"/>
        <v>6.2678062678062751E-2</v>
      </c>
    </row>
    <row r="12" spans="1:18" x14ac:dyDescent="0.4">
      <c r="A12" s="62" t="str">
        <f>VLOOKUP(B12,유니버스!$C$14:$D$2561,2,0)</f>
        <v>KQ</v>
      </c>
      <c r="B12" s="26" t="str">
        <f>'TIMEFOLIO K바이오액티브'!B18</f>
        <v>에이비엘바이오</v>
      </c>
      <c r="C12" s="26">
        <f>VLOOKUP(B12,'TIMEFOLIO K바이오액티브'!$B$11:$E$1000,4,0)</f>
        <v>3.57</v>
      </c>
      <c r="D12" s="26">
        <f>IFERROR(VLOOKUP(B12,'TIMEFOLIO K바이오액티브(과거)'!$B$11:$E$1000,4,0),0)</f>
        <v>3.58</v>
      </c>
      <c r="E12" s="20">
        <f t="shared" si="6"/>
        <v>-1.0000000000000231E-2</v>
      </c>
      <c r="F12" s="21">
        <f t="shared" si="7"/>
        <v>-2.7932960893854997E-3</v>
      </c>
      <c r="G12" s="62" t="str">
        <f>VLOOKUP(H12,유니버스!$C$14:$D$2561,2,0)</f>
        <v>KQ</v>
      </c>
      <c r="H12" s="26" t="str">
        <f>'KoAct 바이오헬스케어액티브'!B18</f>
        <v>에이프릴바이오</v>
      </c>
      <c r="I12" s="26">
        <f>VLOOKUP(H12,'KoAct 바이오헬스케어액티브'!$B$11:$E$1000,4,0)</f>
        <v>5.31</v>
      </c>
      <c r="J12" s="26">
        <f>IFERROR(VLOOKUP(H12,'KoAct 바이오헬스케어액티브(과거)'!$B$11:$E$1000,4,0),0)</f>
        <v>5.66</v>
      </c>
      <c r="K12" s="26">
        <f t="shared" si="8"/>
        <v>-0.35000000000000053</v>
      </c>
      <c r="L12" s="27">
        <f t="shared" si="9"/>
        <v>-6.1837455830388799E-2</v>
      </c>
      <c r="M12" s="62" t="str">
        <f>VLOOKUP(N12,유니버스!$C$14:$D$2561,2,0)</f>
        <v>KQ</v>
      </c>
      <c r="N12" s="26" t="str">
        <f>'RISE 바이오TOP10액티브'!B18</f>
        <v>티움바이오</v>
      </c>
      <c r="O12" s="26">
        <f>VLOOKUP(N12,'RISE 바이오TOP10액티브'!$B$11:$E$1000,4,0)</f>
        <v>3.29</v>
      </c>
      <c r="P12" s="26">
        <f>IFERROR(VLOOKUP(N12,'RISE 바이오TOP10액티브(과거)'!$B$11:$E$1000,4,0),0)</f>
        <v>3.1</v>
      </c>
      <c r="Q12" s="26">
        <f t="shared" si="10"/>
        <v>0.18999999999999995</v>
      </c>
      <c r="R12" s="27">
        <f t="shared" si="11"/>
        <v>6.1290322580645151E-2</v>
      </c>
    </row>
    <row r="13" spans="1:18" x14ac:dyDescent="0.4">
      <c r="A13" s="62" t="str">
        <f>VLOOKUP(B13,유니버스!$C$14:$D$2561,2,0)</f>
        <v>KQ</v>
      </c>
      <c r="B13" s="26" t="str">
        <f>'TIMEFOLIO K바이오액티브'!B19</f>
        <v>에이프릴바이오</v>
      </c>
      <c r="C13" s="26">
        <f>VLOOKUP(B13,'TIMEFOLIO K바이오액티브'!$B$11:$E$1000,4,0)</f>
        <v>3.2</v>
      </c>
      <c r="D13" s="26">
        <f>IFERROR(VLOOKUP(B13,'TIMEFOLIO K바이오액티브(과거)'!$B$11:$E$1000,4,0),0)</f>
        <v>3.47</v>
      </c>
      <c r="E13" s="20">
        <f t="shared" si="6"/>
        <v>-0.27</v>
      </c>
      <c r="F13" s="21">
        <f t="shared" si="7"/>
        <v>-7.7809798270893404E-2</v>
      </c>
      <c r="G13" s="62" t="str">
        <f>VLOOKUP(H13,유니버스!$C$14:$D$2561,2,0)</f>
        <v>KQ</v>
      </c>
      <c r="H13" s="26" t="str">
        <f>'KoAct 바이오헬스케어액티브'!B19</f>
        <v>보로노이</v>
      </c>
      <c r="I13" s="26">
        <f>VLOOKUP(H13,'KoAct 바이오헬스케어액티브'!$B$11:$E$1000,4,0)</f>
        <v>4.25</v>
      </c>
      <c r="J13" s="26">
        <f>IFERROR(VLOOKUP(H13,'KoAct 바이오헬스케어액티브(과거)'!$B$11:$E$1000,4,0),0)</f>
        <v>4.0199999999999996</v>
      </c>
      <c r="K13" s="26">
        <f t="shared" si="8"/>
        <v>0.23000000000000043</v>
      </c>
      <c r="L13" s="27">
        <f t="shared" si="9"/>
        <v>5.7213930348258835E-2</v>
      </c>
      <c r="M13" s="62" t="str">
        <f>VLOOKUP(N13,유니버스!$C$14:$D$2561,2,0)</f>
        <v>KQ</v>
      </c>
      <c r="N13" s="26" t="str">
        <f>'RISE 바이오TOP10액티브'!B19</f>
        <v>코오롱티슈진</v>
      </c>
      <c r="O13" s="26">
        <f>VLOOKUP(N13,'RISE 바이오TOP10액티브'!$B$11:$E$1000,4,0)</f>
        <v>3.25</v>
      </c>
      <c r="P13" s="26">
        <f>IFERROR(VLOOKUP(N13,'RISE 바이오TOP10액티브(과거)'!$B$11:$E$1000,4,0),0)</f>
        <v>3.19</v>
      </c>
      <c r="Q13" s="26">
        <f t="shared" si="10"/>
        <v>6.0000000000000053E-2</v>
      </c>
      <c r="R13" s="27">
        <f t="shared" si="11"/>
        <v>1.8808777429467183E-2</v>
      </c>
    </row>
    <row r="14" spans="1:18" x14ac:dyDescent="0.4">
      <c r="A14" s="62" t="str">
        <f>VLOOKUP(B14,유니버스!$C$14:$D$2561,2,0)</f>
        <v>KQ</v>
      </c>
      <c r="B14" s="26" t="str">
        <f>'TIMEFOLIO K바이오액티브'!B20</f>
        <v>알지노믹스</v>
      </c>
      <c r="C14" s="26">
        <f>VLOOKUP(B14,'TIMEFOLIO K바이오액티브'!$B$11:$E$1000,4,0)</f>
        <v>2.5499999999999998</v>
      </c>
      <c r="D14" s="26">
        <f>IFERROR(VLOOKUP(B14,'TIMEFOLIO K바이오액티브(과거)'!$B$11:$E$1000,4,0),0)</f>
        <v>2.68</v>
      </c>
      <c r="E14" s="20">
        <f t="shared" si="6"/>
        <v>-0.13000000000000034</v>
      </c>
      <c r="F14" s="21">
        <f t="shared" si="7"/>
        <v>-4.8507462686567249E-2</v>
      </c>
      <c r="G14" s="62" t="str">
        <f>VLOOKUP(H14,유니버스!$C$14:$D$2561,2,0)</f>
        <v>KS</v>
      </c>
      <c r="H14" s="26" t="str">
        <f>'KoAct 바이오헬스케어액티브'!B20</f>
        <v>한미약품</v>
      </c>
      <c r="I14" s="26">
        <f>VLOOKUP(H14,'KoAct 바이오헬스케어액티브'!$B$11:$E$1000,4,0)</f>
        <v>4.01</v>
      </c>
      <c r="J14" s="26">
        <f>IFERROR(VLOOKUP(H14,'KoAct 바이오헬스케어액티브(과거)'!$B$11:$E$1000,4,0),0)</f>
        <v>3.94</v>
      </c>
      <c r="K14" s="26">
        <f t="shared" si="8"/>
        <v>6.999999999999984E-2</v>
      </c>
      <c r="L14" s="27">
        <f t="shared" si="9"/>
        <v>1.7766497461928932E-2</v>
      </c>
      <c r="M14" s="62" t="str">
        <f>VLOOKUP(N14,유니버스!$C$14:$D$2561,2,0)</f>
        <v>KQ</v>
      </c>
      <c r="N14" s="26" t="str">
        <f>'RISE 바이오TOP10액티브'!B20</f>
        <v>보로노이</v>
      </c>
      <c r="O14" s="26">
        <f>VLOOKUP(N14,'RISE 바이오TOP10액티브'!$B$11:$E$1000,4,0)</f>
        <v>3.14</v>
      </c>
      <c r="P14" s="26">
        <f>IFERROR(VLOOKUP(N14,'RISE 바이오TOP10액티브(과거)'!$B$11:$E$1000,4,0),0)</f>
        <v>2.98</v>
      </c>
      <c r="Q14" s="26">
        <f t="shared" si="10"/>
        <v>0.16000000000000014</v>
      </c>
      <c r="R14" s="27">
        <f t="shared" si="11"/>
        <v>5.3691275167785379E-2</v>
      </c>
    </row>
    <row r="15" spans="1:18" x14ac:dyDescent="0.4">
      <c r="A15" s="62" t="str">
        <f>VLOOKUP(B15,유니버스!$C$14:$D$2561,2,0)</f>
        <v>KS</v>
      </c>
      <c r="B15" s="26" t="str">
        <f>'TIMEFOLIO K바이오액티브'!B21</f>
        <v>삼성에피스홀딩스</v>
      </c>
      <c r="C15" s="26">
        <f>VLOOKUP(B15,'TIMEFOLIO K바이오액티브'!$B$11:$E$1000,4,0)</f>
        <v>2.52</v>
      </c>
      <c r="D15" s="26">
        <f>IFERROR(VLOOKUP(B15,'TIMEFOLIO K바이오액티브(과거)'!$B$11:$E$1000,4,0),0)</f>
        <v>2.4300000000000002</v>
      </c>
      <c r="E15" s="20">
        <f t="shared" si="6"/>
        <v>8.9999999999999858E-2</v>
      </c>
      <c r="F15" s="21">
        <f t="shared" si="7"/>
        <v>3.7037037037036979E-2</v>
      </c>
      <c r="G15" s="62" t="str">
        <f>VLOOKUP(H15,유니버스!$C$14:$D$2561,2,0)</f>
        <v>KS</v>
      </c>
      <c r="H15" s="26" t="str">
        <f>'KoAct 바이오헬스케어액티브'!B21</f>
        <v>녹십자</v>
      </c>
      <c r="I15" s="26">
        <f>VLOOKUP(H15,'KoAct 바이오헬스케어액티브'!$B$11:$E$1000,4,0)</f>
        <v>3.48</v>
      </c>
      <c r="J15" s="26">
        <f>IFERROR(VLOOKUP(H15,'KoAct 바이오헬스케어액티브(과거)'!$B$11:$E$1000,4,0),0)</f>
        <v>3.61</v>
      </c>
      <c r="K15" s="26">
        <f t="shared" si="8"/>
        <v>-0.12999999999999989</v>
      </c>
      <c r="L15" s="27">
        <f t="shared" si="9"/>
        <v>-3.6011080332409962E-2</v>
      </c>
      <c r="M15" s="62" t="e">
        <f>VLOOKUP(N15,유니버스!$C$14:$D$2561,2,0)</f>
        <v>#N/A</v>
      </c>
      <c r="N15" s="26" t="str">
        <f>'RISE 바이오TOP10액티브'!B21</f>
        <v>리센스메디컬</v>
      </c>
      <c r="O15" s="26">
        <f>VLOOKUP(N15,'RISE 바이오TOP10액티브'!$B$11:$E$1000,4,0)</f>
        <v>2.94</v>
      </c>
      <c r="P15" s="26">
        <f>IFERROR(VLOOKUP(N15,'RISE 바이오TOP10액티브(과거)'!$B$11:$E$1000,4,0),0)</f>
        <v>2.65</v>
      </c>
      <c r="Q15" s="26">
        <f t="shared" si="10"/>
        <v>0.29000000000000004</v>
      </c>
      <c r="R15" s="27">
        <f t="shared" si="11"/>
        <v>0.10943396226415092</v>
      </c>
    </row>
    <row r="16" spans="1:18" x14ac:dyDescent="0.4">
      <c r="A16" s="62" t="str">
        <f>VLOOKUP(B16,유니버스!$C$14:$D$2561,2,0)</f>
        <v>KQ</v>
      </c>
      <c r="B16" s="26" t="str">
        <f>'TIMEFOLIO K바이오액티브'!B22</f>
        <v>셀트리온제약</v>
      </c>
      <c r="C16" s="26">
        <f>VLOOKUP(B16,'TIMEFOLIO K바이오액티브'!$B$11:$E$1000,4,0)</f>
        <v>2.52</v>
      </c>
      <c r="D16" s="26">
        <f>IFERROR(VLOOKUP(B16,'TIMEFOLIO K바이오액티브(과거)'!$B$11:$E$1000,4,0),0)</f>
        <v>2.44</v>
      </c>
      <c r="E16" s="20">
        <f t="shared" si="6"/>
        <v>8.0000000000000071E-2</v>
      </c>
      <c r="F16" s="21">
        <f t="shared" si="7"/>
        <v>3.2786885245901676E-2</v>
      </c>
      <c r="G16" s="62" t="str">
        <f>VLOOKUP(H16,유니버스!$C$14:$D$2561,2,0)</f>
        <v>KQ</v>
      </c>
      <c r="H16" s="26" t="str">
        <f>'KoAct 바이오헬스케어액티브'!B22</f>
        <v>디앤디파마텍</v>
      </c>
      <c r="I16" s="26">
        <f>VLOOKUP(H16,'KoAct 바이오헬스케어액티브'!$B$11:$E$1000,4,0)</f>
        <v>3.29</v>
      </c>
      <c r="J16" s="26">
        <f>IFERROR(VLOOKUP(H16,'KoAct 바이오헬스케어액티브(과거)'!$B$11:$E$1000,4,0),0)</f>
        <v>3.38</v>
      </c>
      <c r="K16" s="26">
        <f t="shared" si="8"/>
        <v>-8.9999999999999858E-2</v>
      </c>
      <c r="L16" s="27">
        <f t="shared" si="9"/>
        <v>-2.6627218934911157E-2</v>
      </c>
      <c r="M16" s="62" t="str">
        <f>VLOOKUP(N16,유니버스!$C$14:$D$2561,2,0)</f>
        <v>KQ</v>
      </c>
      <c r="N16" s="26" t="str">
        <f>'RISE 바이오TOP10액티브'!B22</f>
        <v>앱클론</v>
      </c>
      <c r="O16" s="26">
        <f>VLOOKUP(N16,'RISE 바이오TOP10액티브'!$B$11:$E$1000,4,0)</f>
        <v>2.83</v>
      </c>
      <c r="P16" s="26">
        <f>IFERROR(VLOOKUP(N16,'RISE 바이오TOP10액티브(과거)'!$B$11:$E$1000,4,0),0)</f>
        <v>2.54</v>
      </c>
      <c r="Q16" s="26">
        <f t="shared" si="10"/>
        <v>0.29000000000000004</v>
      </c>
      <c r="R16" s="27">
        <f t="shared" si="11"/>
        <v>0.11417322834645671</v>
      </c>
    </row>
    <row r="17" spans="1:18" x14ac:dyDescent="0.4">
      <c r="A17" s="62" t="str">
        <f>VLOOKUP(B17,유니버스!$C$14:$D$2561,2,0)</f>
        <v>KQ</v>
      </c>
      <c r="B17" s="26" t="str">
        <f>'TIMEFOLIO K바이오액티브'!B23</f>
        <v>HLB</v>
      </c>
      <c r="C17" s="26">
        <f>VLOOKUP(B17,'TIMEFOLIO K바이오액티브'!$B$11:$E$1000,4,0)</f>
        <v>2.42</v>
      </c>
      <c r="D17" s="26">
        <f>IFERROR(VLOOKUP(B17,'TIMEFOLIO K바이오액티브(과거)'!$B$11:$E$1000,4,0),0)</f>
        <v>2.48</v>
      </c>
      <c r="E17" s="20">
        <f t="shared" si="6"/>
        <v>-6.0000000000000053E-2</v>
      </c>
      <c r="F17" s="21">
        <f t="shared" si="7"/>
        <v>-2.4193548387096753E-2</v>
      </c>
      <c r="G17" s="62" t="str">
        <f>VLOOKUP(H17,유니버스!$C$14:$D$2561,2,0)</f>
        <v>KS</v>
      </c>
      <c r="H17" s="76" t="str">
        <f>'KoAct 바이오헬스케어액티브'!B23</f>
        <v>한올바이오파마</v>
      </c>
      <c r="I17" s="26">
        <f>VLOOKUP(H17,'KoAct 바이오헬스케어액티브'!$B$11:$E$1000,4,0)</f>
        <v>3.12</v>
      </c>
      <c r="J17" s="26">
        <f>IFERROR(VLOOKUP(H17,'KoAct 바이오헬스케어액티브(과거)'!$B$11:$E$1000,4,0),0)</f>
        <v>2.58</v>
      </c>
      <c r="K17" s="26">
        <f t="shared" si="8"/>
        <v>0.54</v>
      </c>
      <c r="L17" s="27">
        <f t="shared" si="9"/>
        <v>0.20930232558139528</v>
      </c>
      <c r="M17" s="62" t="str">
        <f>VLOOKUP(N17,유니버스!$C$14:$D$2561,2,0)</f>
        <v>KQ</v>
      </c>
      <c r="N17" s="26" t="str">
        <f>'RISE 바이오TOP10액티브'!B23</f>
        <v>알지노믹스</v>
      </c>
      <c r="O17" s="26">
        <f>VLOOKUP(N17,'RISE 바이오TOP10액티브'!$B$11:$E$1000,4,0)</f>
        <v>2.7</v>
      </c>
      <c r="P17" s="26">
        <f>IFERROR(VLOOKUP(N17,'RISE 바이오TOP10액티브(과거)'!$B$11:$E$1000,4,0),0)</f>
        <v>2.79</v>
      </c>
      <c r="Q17" s="26">
        <f t="shared" si="10"/>
        <v>-8.9999999999999858E-2</v>
      </c>
      <c r="R17" s="27">
        <f t="shared" si="11"/>
        <v>-3.2258064516129004E-2</v>
      </c>
    </row>
    <row r="18" spans="1:18" x14ac:dyDescent="0.4">
      <c r="A18" s="62" t="str">
        <f>VLOOKUP(B18,유니버스!$C$14:$D$2561,2,0)</f>
        <v>KQ</v>
      </c>
      <c r="B18" s="26" t="str">
        <f>'TIMEFOLIO K바이오액티브'!B24</f>
        <v>지투지바이오</v>
      </c>
      <c r="C18" s="26">
        <f>VLOOKUP(B18,'TIMEFOLIO K바이오액티브'!$B$11:$E$1000,4,0)</f>
        <v>2.2200000000000002</v>
      </c>
      <c r="D18" s="26">
        <f>IFERROR(VLOOKUP(B18,'TIMEFOLIO K바이오액티브(과거)'!$B$11:$E$1000,4,0),0)</f>
        <v>2.39</v>
      </c>
      <c r="E18" s="20">
        <f t="shared" si="6"/>
        <v>-0.16999999999999993</v>
      </c>
      <c r="F18" s="21">
        <f t="shared" si="7"/>
        <v>-7.112970711297073E-2</v>
      </c>
      <c r="G18" s="62" t="str">
        <f>VLOOKUP(H18,유니버스!$C$14:$D$2561,2,0)</f>
        <v>KQ</v>
      </c>
      <c r="H18" s="26" t="str">
        <f>'KoAct 바이오헬스케어액티브'!B24</f>
        <v>파마리서치</v>
      </c>
      <c r="I18" s="26">
        <f>VLOOKUP(H18,'KoAct 바이오헬스케어액티브'!$B$11:$E$1000,4,0)</f>
        <v>2.56</v>
      </c>
      <c r="J18" s="26">
        <f>IFERROR(VLOOKUP(H18,'KoAct 바이오헬스케어액티브(과거)'!$B$11:$E$1000,4,0),0)</f>
        <v>2.13</v>
      </c>
      <c r="K18" s="26">
        <f t="shared" si="8"/>
        <v>0.43000000000000016</v>
      </c>
      <c r="L18" s="27">
        <f t="shared" si="9"/>
        <v>0.2018779342723005</v>
      </c>
      <c r="M18" s="62" t="str">
        <f>VLOOKUP(N18,유니버스!$C$14:$D$2561,2,0)</f>
        <v>KQ</v>
      </c>
      <c r="N18" s="26" t="str">
        <f>'RISE 바이오TOP10액티브'!B24</f>
        <v>한스바이오메드</v>
      </c>
      <c r="O18" s="26">
        <f>VLOOKUP(N18,'RISE 바이오TOP10액티브'!$B$11:$E$1000,4,0)</f>
        <v>2.65</v>
      </c>
      <c r="P18" s="26">
        <f>IFERROR(VLOOKUP(N18,'RISE 바이오TOP10액티브(과거)'!$B$11:$E$1000,4,0),0)</f>
        <v>2.21</v>
      </c>
      <c r="Q18" s="26">
        <f t="shared" si="10"/>
        <v>0.43999999999999995</v>
      </c>
      <c r="R18" s="27">
        <f t="shared" si="11"/>
        <v>0.19909502262443435</v>
      </c>
    </row>
    <row r="19" spans="1:18" x14ac:dyDescent="0.4">
      <c r="A19" s="62" t="str">
        <f>VLOOKUP(B19,유니버스!$C$14:$D$2561,2,0)</f>
        <v>KQ</v>
      </c>
      <c r="B19" s="26" t="str">
        <f>'TIMEFOLIO K바이오액티브'!B25</f>
        <v>펩트론</v>
      </c>
      <c r="C19" s="26">
        <f>VLOOKUP(B19,'TIMEFOLIO K바이오액티브'!$B$11:$E$1000,4,0)</f>
        <v>1.86</v>
      </c>
      <c r="D19" s="26">
        <f>IFERROR(VLOOKUP(B19,'TIMEFOLIO K바이오액티브(과거)'!$B$11:$E$1000,4,0),0)</f>
        <v>1.87</v>
      </c>
      <c r="E19" s="20">
        <f t="shared" si="6"/>
        <v>-1.0000000000000009E-2</v>
      </c>
      <c r="F19" s="21">
        <f t="shared" si="7"/>
        <v>-5.3475935828877219E-3</v>
      </c>
      <c r="G19" s="62" t="str">
        <f>VLOOKUP(H19,유니버스!$C$14:$D$2561,2,0)</f>
        <v>KQ</v>
      </c>
      <c r="H19" s="26" t="str">
        <f>'KoAct 바이오헬스케어액티브'!B25</f>
        <v>휴젤</v>
      </c>
      <c r="I19" s="26">
        <f>VLOOKUP(H19,'KoAct 바이오헬스케어액티브'!$B$11:$E$1000,4,0)</f>
        <v>2.41</v>
      </c>
      <c r="J19" s="26">
        <f>IFERROR(VLOOKUP(H19,'KoAct 바이오헬스케어액티브(과거)'!$B$11:$E$1000,4,0),0)</f>
        <v>1.89</v>
      </c>
      <c r="K19" s="26">
        <f t="shared" si="8"/>
        <v>0.52000000000000024</v>
      </c>
      <c r="L19" s="27">
        <f t="shared" si="9"/>
        <v>0.27513227513227534</v>
      </c>
      <c r="M19" s="62" t="str">
        <f>VLOOKUP(N19,유니버스!$C$14:$D$2561,2,0)</f>
        <v>KQ</v>
      </c>
      <c r="N19" s="26" t="str">
        <f>'RISE 바이오TOP10액티브'!B25</f>
        <v>에이프릴바이오</v>
      </c>
      <c r="O19" s="26">
        <f>VLOOKUP(N19,'RISE 바이오TOP10액티브'!$B$11:$E$1000,4,0)</f>
        <v>2.54</v>
      </c>
      <c r="P19" s="26">
        <f>IFERROR(VLOOKUP(N19,'RISE 바이오TOP10액티브(과거)'!$B$11:$E$1000,4,0),0)</f>
        <v>2.71</v>
      </c>
      <c r="Q19" s="26">
        <f t="shared" si="10"/>
        <v>-0.16999999999999993</v>
      </c>
      <c r="R19" s="27">
        <f t="shared" si="11"/>
        <v>-6.273062730627299E-2</v>
      </c>
    </row>
    <row r="20" spans="1:18" x14ac:dyDescent="0.4">
      <c r="A20" s="62" t="str">
        <f>VLOOKUP(B20,유니버스!$C$14:$D$2561,2,0)</f>
        <v>KQ</v>
      </c>
      <c r="B20" s="26" t="str">
        <f>'TIMEFOLIO K바이오액티브'!B26</f>
        <v>씨어스</v>
      </c>
      <c r="C20" s="26">
        <f>VLOOKUP(B20,'TIMEFOLIO K바이오액티브'!$B$11:$E$1000,4,0)</f>
        <v>1.79</v>
      </c>
      <c r="D20" s="26">
        <f>IFERROR(VLOOKUP(B20,'TIMEFOLIO K바이오액티브(과거)'!$B$11:$E$1000,4,0),0)</f>
        <v>1.78</v>
      </c>
      <c r="E20" s="20">
        <f t="shared" si="6"/>
        <v>1.0000000000000009E-2</v>
      </c>
      <c r="F20" s="21">
        <f t="shared" si="7"/>
        <v>5.6179775280897903E-3</v>
      </c>
      <c r="G20" s="62" t="str">
        <f>VLOOKUP(H20,유니버스!$C$14:$D$2561,2,0)</f>
        <v>KQ</v>
      </c>
      <c r="H20" s="26" t="str">
        <f>'KoAct 바이오헬스케어액티브'!B26</f>
        <v>앱클론</v>
      </c>
      <c r="I20" s="26">
        <f>VLOOKUP(H20,'KoAct 바이오헬스케어액티브'!$B$11:$E$1000,4,0)</f>
        <v>2.2200000000000002</v>
      </c>
      <c r="J20" s="26">
        <f>IFERROR(VLOOKUP(H20,'KoAct 바이오헬스케어액티브(과거)'!$B$11:$E$1000,4,0),0)</f>
        <v>1.8</v>
      </c>
      <c r="K20" s="26">
        <f t="shared" si="8"/>
        <v>0.42000000000000015</v>
      </c>
      <c r="L20" s="27">
        <f t="shared" si="9"/>
        <v>0.23333333333333339</v>
      </c>
      <c r="M20" s="62" t="str">
        <f>VLOOKUP(N20,유니버스!$C$14:$D$2561,2,0)</f>
        <v>KS</v>
      </c>
      <c r="N20" s="26" t="str">
        <f>'RISE 바이오TOP10액티브'!B26</f>
        <v>한미약품</v>
      </c>
      <c r="O20" s="26">
        <f>VLOOKUP(N20,'RISE 바이오TOP10액티브'!$B$11:$E$1000,4,0)</f>
        <v>2.44</v>
      </c>
      <c r="P20" s="26">
        <f>IFERROR(VLOOKUP(N20,'RISE 바이오TOP10액티브(과거)'!$B$11:$E$1000,4,0),0)</f>
        <v>2.4</v>
      </c>
      <c r="Q20" s="26">
        <f t="shared" si="10"/>
        <v>4.0000000000000036E-2</v>
      </c>
      <c r="R20" s="27">
        <f t="shared" si="11"/>
        <v>1.6666666666666607E-2</v>
      </c>
    </row>
    <row r="21" spans="1:18" x14ac:dyDescent="0.4">
      <c r="A21" s="62" t="str">
        <f>VLOOKUP(B21,유니버스!$C$14:$D$2561,2,0)</f>
        <v>KQ</v>
      </c>
      <c r="B21" s="26" t="str">
        <f>'TIMEFOLIO K바이오액티브'!B27</f>
        <v>리브스메드</v>
      </c>
      <c r="C21" s="26">
        <f>VLOOKUP(B21,'TIMEFOLIO K바이오액티브'!$B$11:$E$1000,4,0)</f>
        <v>1.77</v>
      </c>
      <c r="D21" s="26">
        <f>IFERROR(VLOOKUP(B21,'TIMEFOLIO K바이오액티브(과거)'!$B$11:$E$1000,4,0),0)</f>
        <v>1.52</v>
      </c>
      <c r="E21" s="20">
        <f t="shared" si="6"/>
        <v>0.25</v>
      </c>
      <c r="F21" s="21">
        <f t="shared" si="7"/>
        <v>0.16447368421052633</v>
      </c>
      <c r="G21" s="62" t="str">
        <f>VLOOKUP(H21,유니버스!$C$14:$D$2561,2,0)</f>
        <v>KQ</v>
      </c>
      <c r="H21" s="26" t="str">
        <f>'KoAct 바이오헬스케어액티브'!B27</f>
        <v>오스코텍</v>
      </c>
      <c r="I21" s="26">
        <f>VLOOKUP(H21,'KoAct 바이오헬스케어액티브'!$B$11:$E$1000,4,0)</f>
        <v>2.17</v>
      </c>
      <c r="J21" s="26">
        <f>IFERROR(VLOOKUP(H21,'KoAct 바이오헬스케어액티브(과거)'!$B$11:$E$1000,4,0),0)</f>
        <v>2.38</v>
      </c>
      <c r="K21" s="26">
        <f t="shared" si="8"/>
        <v>-0.20999999999999996</v>
      </c>
      <c r="L21" s="27">
        <f t="shared" si="9"/>
        <v>-8.8235294117647078E-2</v>
      </c>
      <c r="M21" s="62" t="str">
        <f>VLOOKUP(N21,유니버스!$C$14:$D$2561,2,0)</f>
        <v>KQ</v>
      </c>
      <c r="N21" s="26" t="str">
        <f>'RISE 바이오TOP10액티브'!B27</f>
        <v>디앤디파마텍</v>
      </c>
      <c r="O21" s="26">
        <f>VLOOKUP(N21,'RISE 바이오TOP10액티브'!$B$11:$E$1000,4,0)</f>
        <v>2.04</v>
      </c>
      <c r="P21" s="26">
        <f>IFERROR(VLOOKUP(N21,'RISE 바이오TOP10액티브(과거)'!$B$11:$E$1000,4,0),0)</f>
        <v>2.1</v>
      </c>
      <c r="Q21" s="26">
        <f t="shared" si="10"/>
        <v>-6.0000000000000053E-2</v>
      </c>
      <c r="R21" s="27">
        <f t="shared" si="11"/>
        <v>-2.8571428571428581E-2</v>
      </c>
    </row>
    <row r="22" spans="1:18" x14ac:dyDescent="0.4">
      <c r="A22" s="62" t="str">
        <f>VLOOKUP(B22,유니버스!$C$14:$D$2561,2,0)</f>
        <v>KQ</v>
      </c>
      <c r="B22" s="26" t="str">
        <f>'TIMEFOLIO K바이오액티브'!B28</f>
        <v>인벤티지랩</v>
      </c>
      <c r="C22" s="26">
        <f>VLOOKUP(B22,'TIMEFOLIO K바이오액티브'!$B$11:$E$1000,4,0)</f>
        <v>1.73</v>
      </c>
      <c r="D22" s="26">
        <f>IFERROR(VLOOKUP(B22,'TIMEFOLIO K바이오액티브(과거)'!$B$11:$E$1000,4,0),0)</f>
        <v>1.8</v>
      </c>
      <c r="E22" s="20">
        <f t="shared" si="6"/>
        <v>-7.0000000000000062E-2</v>
      </c>
      <c r="F22" s="21">
        <f t="shared" si="7"/>
        <v>-3.8888888888888973E-2</v>
      </c>
      <c r="G22" s="62" t="str">
        <f>VLOOKUP(H22,유니버스!$C$14:$D$2561,2,0)</f>
        <v>KQ</v>
      </c>
      <c r="H22" s="26" t="str">
        <f>'KoAct 바이오헬스케어액티브'!B28</f>
        <v>넥스트바이오메디컬</v>
      </c>
      <c r="I22" s="26">
        <f>VLOOKUP(H22,'KoAct 바이오헬스케어액티브'!$B$11:$E$1000,4,0)</f>
        <v>2.06</v>
      </c>
      <c r="J22" s="26">
        <f>IFERROR(VLOOKUP(H22,'KoAct 바이오헬스케어액티브(과거)'!$B$11:$E$1000,4,0),0)</f>
        <v>2.16</v>
      </c>
      <c r="K22" s="26">
        <f t="shared" si="8"/>
        <v>-0.10000000000000009</v>
      </c>
      <c r="L22" s="27">
        <f t="shared" si="9"/>
        <v>-4.629629629629628E-2</v>
      </c>
      <c r="M22" s="62" t="str">
        <f>VLOOKUP(N22,유니버스!$C$14:$D$2561,2,0)</f>
        <v>KQ</v>
      </c>
      <c r="N22" s="26" t="str">
        <f>'RISE 바이오TOP10액티브'!B28</f>
        <v>씨어스</v>
      </c>
      <c r="O22" s="26">
        <f>VLOOKUP(N22,'RISE 바이오TOP10액티브'!$B$11:$E$1000,4,0)</f>
        <v>1.93</v>
      </c>
      <c r="P22" s="26">
        <f>IFERROR(VLOOKUP(N22,'RISE 바이오TOP10액티브(과거)'!$B$11:$E$1000,4,0),0)</f>
        <v>1.89</v>
      </c>
      <c r="Q22" s="26">
        <f t="shared" si="10"/>
        <v>4.0000000000000036E-2</v>
      </c>
      <c r="R22" s="27">
        <f t="shared" si="11"/>
        <v>2.1164021164021163E-2</v>
      </c>
    </row>
    <row r="23" spans="1:18" x14ac:dyDescent="0.4">
      <c r="A23" s="62" t="str">
        <f>VLOOKUP(B23,유니버스!$C$14:$D$2561,2,0)</f>
        <v>KQ</v>
      </c>
      <c r="B23" s="26" t="str">
        <f>'TIMEFOLIO K바이오액티브'!B29</f>
        <v>오름테라퓨틱</v>
      </c>
      <c r="C23" s="26">
        <f>VLOOKUP(B23,'TIMEFOLIO K바이오액티브'!$B$11:$E$1000,4,0)</f>
        <v>1.7</v>
      </c>
      <c r="D23" s="26">
        <f>IFERROR(VLOOKUP(B23,'TIMEFOLIO K바이오액티브(과거)'!$B$11:$E$1000,4,0),0)</f>
        <v>1.82</v>
      </c>
      <c r="E23" s="20">
        <f t="shared" si="6"/>
        <v>-0.12000000000000011</v>
      </c>
      <c r="F23" s="21">
        <f t="shared" si="7"/>
        <v>-6.5934065934066033E-2</v>
      </c>
      <c r="G23" s="62" t="str">
        <f>VLOOKUP(H23,유니버스!$C$14:$D$2561,2,0)</f>
        <v>KQ</v>
      </c>
      <c r="H23" s="26" t="str">
        <f>'KoAct 바이오헬스케어액티브'!B29</f>
        <v>씨어스</v>
      </c>
      <c r="I23" s="26">
        <f>VLOOKUP(H23,'KoAct 바이오헬스케어액티브'!$B$11:$E$1000,4,0)</f>
        <v>2.0299999999999998</v>
      </c>
      <c r="J23" s="26">
        <f>IFERROR(VLOOKUP(H23,'KoAct 바이오헬스케어액티브(과거)'!$B$11:$E$1000,4,0),0)</f>
        <v>1.79</v>
      </c>
      <c r="K23" s="26">
        <f t="shared" si="8"/>
        <v>0.23999999999999977</v>
      </c>
      <c r="L23" s="27">
        <f t="shared" si="9"/>
        <v>0.13407821229050265</v>
      </c>
      <c r="M23" s="62" t="str">
        <f>VLOOKUP(N23,유니버스!$C$14:$D$2561,2,0)</f>
        <v>KQ</v>
      </c>
      <c r="N23" s="26" t="str">
        <f>'RISE 바이오TOP10액티브'!B29</f>
        <v>에스바이오메딕스</v>
      </c>
      <c r="O23" s="26">
        <f>VLOOKUP(N23,'RISE 바이오TOP10액티브'!$B$11:$E$1000,4,0)</f>
        <v>1.86</v>
      </c>
      <c r="P23" s="26">
        <f>IFERROR(VLOOKUP(N23,'RISE 바이오TOP10액티브(과거)'!$B$11:$E$1000,4,0),0)</f>
        <v>1.74</v>
      </c>
      <c r="Q23" s="26">
        <f t="shared" si="10"/>
        <v>0.12000000000000011</v>
      </c>
      <c r="R23" s="27">
        <f t="shared" si="11"/>
        <v>6.8965517241379448E-2</v>
      </c>
    </row>
    <row r="24" spans="1:18" x14ac:dyDescent="0.4">
      <c r="A24" s="62" t="str">
        <f>VLOOKUP(B24,유니버스!$C$14:$D$2561,2,0)</f>
        <v>KQ</v>
      </c>
      <c r="B24" s="26" t="str">
        <f>'TIMEFOLIO K바이오액티브'!B30</f>
        <v>휴젤</v>
      </c>
      <c r="C24" s="26">
        <f>VLOOKUP(B24,'TIMEFOLIO K바이오액티브'!$B$11:$E$1000,4,0)</f>
        <v>1.68</v>
      </c>
      <c r="D24" s="26">
        <f>IFERROR(VLOOKUP(B24,'TIMEFOLIO K바이오액티브(과거)'!$B$11:$E$1000,4,0),0)</f>
        <v>1.69</v>
      </c>
      <c r="E24" s="20">
        <f t="shared" si="6"/>
        <v>-1.0000000000000009E-2</v>
      </c>
      <c r="F24" s="21">
        <f t="shared" si="7"/>
        <v>-5.9171597633136397E-3</v>
      </c>
      <c r="G24" s="62" t="str">
        <f>VLOOKUP(H24,유니버스!$C$14:$D$2561,2,0)</f>
        <v>KQ</v>
      </c>
      <c r="H24" s="26" t="str">
        <f>'KoAct 바이오헬스케어액티브'!B30</f>
        <v>나이벡</v>
      </c>
      <c r="I24" s="26">
        <f>VLOOKUP(H24,'KoAct 바이오헬스케어액티브'!$B$11:$E$1000,4,0)</f>
        <v>1.34</v>
      </c>
      <c r="J24" s="26">
        <f>IFERROR(VLOOKUP(H24,'KoAct 바이오헬스케어액티브(과거)'!$B$11:$E$1000,4,0),0)</f>
        <v>1.08</v>
      </c>
      <c r="K24" s="26">
        <f t="shared" si="8"/>
        <v>0.26</v>
      </c>
      <c r="L24" s="27">
        <f t="shared" si="9"/>
        <v>0.2407407407407407</v>
      </c>
      <c r="M24" s="62" t="str">
        <f>VLOOKUP(N24,유니버스!$C$14:$D$2561,2,0)</f>
        <v>KQ</v>
      </c>
      <c r="N24" s="26" t="str">
        <f>'RISE 바이오TOP10액티브'!B30</f>
        <v>HLB이노베이션</v>
      </c>
      <c r="O24" s="26">
        <f>VLOOKUP(N24,'RISE 바이오TOP10액티브'!$B$11:$E$1000,4,0)</f>
        <v>1.76</v>
      </c>
      <c r="P24" s="26">
        <f>IFERROR(VLOOKUP(N24,'RISE 바이오TOP10액티브(과거)'!$B$11:$E$1000,4,0),0)</f>
        <v>1.95</v>
      </c>
      <c r="Q24" s="26">
        <f t="shared" si="10"/>
        <v>-0.18999999999999995</v>
      </c>
      <c r="R24" s="27">
        <f t="shared" si="11"/>
        <v>-9.7435897435897423E-2</v>
      </c>
    </row>
    <row r="25" spans="1:18" x14ac:dyDescent="0.4">
      <c r="A25" s="62" t="str">
        <f>VLOOKUP(B25,유니버스!$C$14:$D$2561,2,0)</f>
        <v>KQ</v>
      </c>
      <c r="B25" s="26" t="str">
        <f>'TIMEFOLIO K바이오액티브'!B31</f>
        <v>보로노이</v>
      </c>
      <c r="C25" s="26">
        <f>VLOOKUP(B25,'TIMEFOLIO K바이오액티브'!$B$11:$E$1000,4,0)</f>
        <v>1.66</v>
      </c>
      <c r="D25" s="26">
        <f>IFERROR(VLOOKUP(B25,'TIMEFOLIO K바이오액티브(과거)'!$B$11:$E$1000,4,0),0)</f>
        <v>1.6</v>
      </c>
      <c r="E25" s="20">
        <f t="shared" si="6"/>
        <v>5.9999999999999831E-2</v>
      </c>
      <c r="F25" s="21">
        <f t="shared" si="7"/>
        <v>3.7499999999999867E-2</v>
      </c>
      <c r="G25" s="62" t="str">
        <f>VLOOKUP(H25,유니버스!$C$14:$D$2561,2,0)</f>
        <v>KQ</v>
      </c>
      <c r="H25" s="26" t="str">
        <f>'KoAct 바이오헬스케어액티브'!B31</f>
        <v>HLB이노베이션</v>
      </c>
      <c r="I25" s="26">
        <f>VLOOKUP(H25,'KoAct 바이오헬스케어액티브'!$B$11:$E$1000,4,0)</f>
        <v>1.1299999999999999</v>
      </c>
      <c r="J25" s="26">
        <f>IFERROR(VLOOKUP(H25,'KoAct 바이오헬스케어액티브(과거)'!$B$11:$E$1000,4,0),0)</f>
        <v>1.05</v>
      </c>
      <c r="K25" s="26">
        <f t="shared" si="8"/>
        <v>7.9999999999999849E-2</v>
      </c>
      <c r="L25" s="27">
        <f t="shared" si="9"/>
        <v>7.6190476190476142E-2</v>
      </c>
      <c r="M25" s="62" t="str">
        <f>VLOOKUP(N25,유니버스!$C$14:$D$2561,2,0)</f>
        <v>KQ</v>
      </c>
      <c r="N25" s="26" t="str">
        <f>'RISE 바이오TOP10액티브'!B31</f>
        <v>토모큐브</v>
      </c>
      <c r="O25" s="26">
        <f>VLOOKUP(N25,'RISE 바이오TOP10액티브'!$B$11:$E$1000,4,0)</f>
        <v>1.66</v>
      </c>
      <c r="P25" s="26">
        <f>IFERROR(VLOOKUP(N25,'RISE 바이오TOP10액티브(과거)'!$B$11:$E$1000,4,0),0)</f>
        <v>1.68</v>
      </c>
      <c r="Q25" s="26">
        <f t="shared" si="10"/>
        <v>-2.0000000000000018E-2</v>
      </c>
      <c r="R25" s="27">
        <f t="shared" si="11"/>
        <v>-1.1904761904761862E-2</v>
      </c>
    </row>
    <row r="26" spans="1:18" x14ac:dyDescent="0.4">
      <c r="A26" s="62" t="str">
        <f>VLOOKUP(B26,유니버스!$C$14:$D$2561,2,0)</f>
        <v>KQ</v>
      </c>
      <c r="B26" s="26" t="str">
        <f>'TIMEFOLIO K바이오액티브'!B32</f>
        <v>오스코텍</v>
      </c>
      <c r="C26" s="26">
        <f>VLOOKUP(B26,'TIMEFOLIO K바이오액티브'!$B$11:$E$1000,4,0)</f>
        <v>1.53</v>
      </c>
      <c r="D26" s="26">
        <f>IFERROR(VLOOKUP(B26,'TIMEFOLIO K바이오액티브(과거)'!$B$11:$E$1000,4,0),0)</f>
        <v>1.7</v>
      </c>
      <c r="E26" s="20">
        <f t="shared" si="6"/>
        <v>-0.16999999999999993</v>
      </c>
      <c r="F26" s="21">
        <f t="shared" si="7"/>
        <v>-9.9999999999999978E-2</v>
      </c>
      <c r="G26" s="62" t="str">
        <f>VLOOKUP(H26,유니버스!$C$14:$D$2561,2,0)</f>
        <v>KQ</v>
      </c>
      <c r="H26" s="26" t="str">
        <f>'KoAct 바이오헬스케어액티브'!B32</f>
        <v>인벤티지랩</v>
      </c>
      <c r="I26" s="26">
        <f>VLOOKUP(H26,'KoAct 바이오헬스케어액티브'!$B$11:$E$1000,4,0)</f>
        <v>1.1100000000000001</v>
      </c>
      <c r="J26" s="26">
        <f>IFERROR(VLOOKUP(H26,'KoAct 바이오헬스케어액티브(과거)'!$B$11:$E$1000,4,0),0)</f>
        <v>1.1399999999999999</v>
      </c>
      <c r="K26" s="26">
        <f t="shared" si="8"/>
        <v>-2.9999999999999805E-2</v>
      </c>
      <c r="L26" s="27">
        <f t="shared" si="9"/>
        <v>-2.631578947368407E-2</v>
      </c>
      <c r="M26" s="62" t="str">
        <f>VLOOKUP(N26,유니버스!$C$14:$D$2561,2,0)</f>
        <v>KQ</v>
      </c>
      <c r="N26" s="26" t="str">
        <f>'RISE 바이오TOP10액티브'!B32</f>
        <v>쓰리빌리언</v>
      </c>
      <c r="O26" s="26">
        <f>VLOOKUP(N26,'RISE 바이오TOP10액티브'!$B$11:$E$1000,4,0)</f>
        <v>1.5</v>
      </c>
      <c r="P26" s="26">
        <f>IFERROR(VLOOKUP(N26,'RISE 바이오TOP10액티브(과거)'!$B$11:$E$1000,4,0),0)</f>
        <v>1.5</v>
      </c>
      <c r="Q26" s="26">
        <f t="shared" si="10"/>
        <v>0</v>
      </c>
      <c r="R26" s="27">
        <f t="shared" si="11"/>
        <v>0</v>
      </c>
    </row>
    <row r="27" spans="1:18" x14ac:dyDescent="0.4">
      <c r="A27" s="62" t="str">
        <f>VLOOKUP(B27,유니버스!$C$14:$D$2561,2,0)</f>
        <v>KQ</v>
      </c>
      <c r="B27" s="26" t="str">
        <f>'TIMEFOLIO K바이오액티브'!B33</f>
        <v>파마리서치</v>
      </c>
      <c r="C27" s="26">
        <f>VLOOKUP(B27,'TIMEFOLIO K바이오액티브'!$B$11:$E$1000,4,0)</f>
        <v>1.1399999999999999</v>
      </c>
      <c r="D27" s="26">
        <f>IFERROR(VLOOKUP(B27,'TIMEFOLIO K바이오액티브(과거)'!$B$11:$E$1000,4,0),0)</f>
        <v>1.18</v>
      </c>
      <c r="E27" s="20">
        <f t="shared" si="6"/>
        <v>-4.0000000000000036E-2</v>
      </c>
      <c r="F27" s="21">
        <f t="shared" si="7"/>
        <v>-3.3898305084745783E-2</v>
      </c>
      <c r="G27" s="62" t="str">
        <f>VLOOKUP(H27,유니버스!$C$14:$D$2561,2,0)</f>
        <v>KQ</v>
      </c>
      <c r="H27" s="26" t="str">
        <f>'KoAct 바이오헬스케어액티브'!B33</f>
        <v>뉴로핏</v>
      </c>
      <c r="I27" s="26">
        <f>VLOOKUP(H27,'KoAct 바이오헬스케어액티브'!$B$11:$E$1000,4,0)</f>
        <v>1.07</v>
      </c>
      <c r="J27" s="26">
        <f>IFERROR(VLOOKUP(H27,'KoAct 바이오헬스케어액티브(과거)'!$B$11:$E$1000,4,0),0)</f>
        <v>0.99</v>
      </c>
      <c r="K27" s="26">
        <f t="shared" si="8"/>
        <v>8.0000000000000071E-2</v>
      </c>
      <c r="L27" s="27">
        <f t="shared" si="9"/>
        <v>8.0808080808080884E-2</v>
      </c>
      <c r="M27" s="62" t="str">
        <f>VLOOKUP(N27,유니버스!$C$14:$D$2561,2,0)</f>
        <v>KQ</v>
      </c>
      <c r="N27" s="26" t="str">
        <f>'RISE 바이오TOP10액티브'!B33</f>
        <v>휴젤</v>
      </c>
      <c r="O27" s="26">
        <f>VLOOKUP(N27,'RISE 바이오TOP10액티브'!$B$11:$E$1000,4,0)</f>
        <v>1.49</v>
      </c>
      <c r="P27" s="26">
        <f>IFERROR(VLOOKUP(N27,'RISE 바이오TOP10액티브(과거)'!$B$11:$E$1000,4,0),0)</f>
        <v>0</v>
      </c>
      <c r="Q27" s="26">
        <f t="shared" ref="Q27" si="12">O27-P27</f>
        <v>1.49</v>
      </c>
      <c r="R27" s="27" t="str">
        <f t="shared" ref="R27" si="13">IFERROR(O27/P27-1,"신규편입")</f>
        <v>신규편입</v>
      </c>
    </row>
    <row r="28" spans="1:18" x14ac:dyDescent="0.4">
      <c r="A28" s="62" t="str">
        <f>VLOOKUP(B28,유니버스!$C$14:$D$2561,2,0)</f>
        <v>KQ</v>
      </c>
      <c r="B28" s="26" t="str">
        <f>'TIMEFOLIO K바이오액티브'!B34</f>
        <v>케어젠</v>
      </c>
      <c r="C28" s="26">
        <f>VLOOKUP(B28,'TIMEFOLIO K바이오액티브'!$B$11:$E$1000,4,0)</f>
        <v>1.1100000000000001</v>
      </c>
      <c r="D28" s="26">
        <f>IFERROR(VLOOKUP(B28,'TIMEFOLIO K바이오액티브(과거)'!$B$11:$E$1000,4,0),0)</f>
        <v>1.2</v>
      </c>
      <c r="E28" s="20">
        <f t="shared" si="6"/>
        <v>-8.9999999999999858E-2</v>
      </c>
      <c r="F28" s="21">
        <f t="shared" si="7"/>
        <v>-7.4999999999999845E-2</v>
      </c>
      <c r="G28" s="62" t="str">
        <f>VLOOKUP(H28,유니버스!$C$14:$D$2561,2,0)</f>
        <v>KQ</v>
      </c>
      <c r="H28" s="26" t="str">
        <f>'KoAct 바이오헬스케어액티브'!B34</f>
        <v>한스바이오메드</v>
      </c>
      <c r="I28" s="26">
        <f>VLOOKUP(H28,'KoAct 바이오헬스케어액티브'!$B$11:$E$1000,4,0)</f>
        <v>0.57999999999999996</v>
      </c>
      <c r="J28" s="26">
        <f>IFERROR(VLOOKUP(H28,'KoAct 바이오헬스케어액티브(과거)'!$B$11:$E$1000,4,0),0)</f>
        <v>0.48</v>
      </c>
      <c r="K28" s="26">
        <f t="shared" si="8"/>
        <v>9.9999999999999978E-2</v>
      </c>
      <c r="L28" s="27">
        <f t="shared" si="9"/>
        <v>0.20833333333333326</v>
      </c>
      <c r="M28" s="62" t="str">
        <f>VLOOKUP(N28,유니버스!$C$14:$D$2561,2,0)</f>
        <v>KQ</v>
      </c>
      <c r="N28" s="26" t="str">
        <f>'RISE 바이오TOP10액티브'!B34</f>
        <v>파마리서치</v>
      </c>
      <c r="O28" s="26">
        <f>VLOOKUP(N28,'RISE 바이오TOP10액티브'!$B$11:$E$1000,4,0)</f>
        <v>1.46</v>
      </c>
      <c r="P28" s="26">
        <f>IFERROR(VLOOKUP(N28,'RISE 바이오TOP10액티브(과거)'!$B$11:$E$1000,4,0),0)</f>
        <v>0</v>
      </c>
      <c r="Q28" s="26">
        <f t="shared" ref="Q28:Q30" si="14">O28-P28</f>
        <v>1.46</v>
      </c>
      <c r="R28" s="27" t="str">
        <f t="shared" ref="R28:R30" si="15">IFERROR(O28/P28-1,"신규편입")</f>
        <v>신규편입</v>
      </c>
    </row>
    <row r="29" spans="1:18" x14ac:dyDescent="0.4">
      <c r="A29" s="62" t="str">
        <f>VLOOKUP(B29,유니버스!$C$14:$D$2561,2,0)</f>
        <v>KS</v>
      </c>
      <c r="B29" s="26" t="str">
        <f>'TIMEFOLIO K바이오액티브'!B35</f>
        <v>일동제약</v>
      </c>
      <c r="C29" s="26">
        <f>VLOOKUP(B29,'TIMEFOLIO K바이오액티브'!$B$11:$E$1000,4,0)</f>
        <v>1.1000000000000001</v>
      </c>
      <c r="D29" s="26">
        <f>IFERROR(VLOOKUP(B29,'TIMEFOLIO K바이오액티브(과거)'!$B$11:$E$1000,4,0),0)</f>
        <v>1.07</v>
      </c>
      <c r="E29" s="20">
        <f t="shared" si="6"/>
        <v>3.0000000000000027E-2</v>
      </c>
      <c r="F29" s="21">
        <f t="shared" si="7"/>
        <v>2.8037383177570208E-2</v>
      </c>
      <c r="G29" s="62" t="str">
        <f>VLOOKUP(H29,유니버스!$C$14:$D$2561,2,0)</f>
        <v>KQ</v>
      </c>
      <c r="H29" s="26" t="str">
        <f>'KoAct 바이오헬스케어액티브'!B35</f>
        <v>지투지바이오</v>
      </c>
      <c r="I29" s="26">
        <f>VLOOKUP(H29,'KoAct 바이오헬스케어액티브'!$B$11:$E$1000,4,0)</f>
        <v>0.46</v>
      </c>
      <c r="J29" s="26">
        <f>IFERROR(VLOOKUP(H29,'KoAct 바이오헬스케어액티브(과거)'!$B$11:$E$1000,4,0),0)</f>
        <v>0.7</v>
      </c>
      <c r="K29" s="26">
        <f t="shared" si="8"/>
        <v>-0.23999999999999994</v>
      </c>
      <c r="L29" s="27">
        <f t="shared" si="9"/>
        <v>-0.34285714285714275</v>
      </c>
      <c r="M29" s="62" t="str">
        <f>VLOOKUP(N29,유니버스!$C$14:$D$2561,2,0)</f>
        <v>KQ</v>
      </c>
      <c r="N29" s="26" t="str">
        <f>'RISE 바이오TOP10액티브'!B35</f>
        <v>지투지바이오</v>
      </c>
      <c r="O29" s="26">
        <f>VLOOKUP(N29,'RISE 바이오TOP10액티브'!$B$11:$E$1000,4,0)</f>
        <v>1.24</v>
      </c>
      <c r="P29" s="26">
        <f>IFERROR(VLOOKUP(N29,'RISE 바이오TOP10액티브(과거)'!$B$11:$E$1000,4,0),0)</f>
        <v>1.31</v>
      </c>
      <c r="Q29" s="26">
        <f t="shared" si="14"/>
        <v>-7.0000000000000062E-2</v>
      </c>
      <c r="R29" s="27">
        <f t="shared" si="15"/>
        <v>-5.3435114503816883E-2</v>
      </c>
    </row>
    <row r="30" spans="1:18" x14ac:dyDescent="0.4">
      <c r="A30" s="62" t="str">
        <f>VLOOKUP(B30,유니버스!$C$14:$D$2561,2,0)</f>
        <v>KS</v>
      </c>
      <c r="B30" s="26" t="str">
        <f>'TIMEFOLIO K바이오액티브'!B36</f>
        <v>유한양행</v>
      </c>
      <c r="C30" s="26">
        <f>VLOOKUP(B30,'TIMEFOLIO K바이오액티브'!$B$11:$E$1000,4,0)</f>
        <v>1.0900000000000001</v>
      </c>
      <c r="D30" s="26">
        <f>IFERROR(VLOOKUP(B30,'TIMEFOLIO K바이오액티브(과거)'!$B$11:$E$1000,4,0),0)</f>
        <v>1.03</v>
      </c>
      <c r="E30" s="20">
        <f t="shared" si="6"/>
        <v>6.0000000000000053E-2</v>
      </c>
      <c r="F30" s="21">
        <f t="shared" si="7"/>
        <v>5.8252427184465994E-2</v>
      </c>
      <c r="G30" s="62" t="str">
        <f>VLOOKUP(H30,유니버스!$C$14:$D$2561,2,0)</f>
        <v>KQ</v>
      </c>
      <c r="H30" s="26" t="str">
        <f>'KoAct 바이오헬스케어액티브'!B36</f>
        <v>로킷헬스케어</v>
      </c>
      <c r="I30" s="26">
        <f>VLOOKUP(H30,'KoAct 바이오헬스케어액티브'!$B$11:$E$1000,4,0)</f>
        <v>0.46</v>
      </c>
      <c r="J30" s="26">
        <f>IFERROR(VLOOKUP(H30,'KoAct 바이오헬스케어액티브(과거)'!$B$11:$E$1000,4,0),0)</f>
        <v>0.65</v>
      </c>
      <c r="K30" s="26">
        <f t="shared" ref="K30:K33" si="16">I30-J30</f>
        <v>-0.19</v>
      </c>
      <c r="L30" s="27">
        <f t="shared" ref="L30:L33" si="17">IFERROR(I30/J30-1,"신규편입")</f>
        <v>-0.29230769230769227</v>
      </c>
      <c r="M30" s="62" t="e">
        <f>VLOOKUP(N30,유니버스!$C$14:$D$2561,2,0)</f>
        <v>#N/A</v>
      </c>
      <c r="N30" s="26" t="str">
        <f>'RISE 바이오TOP10액티브'!B36</f>
        <v>원화현금</v>
      </c>
      <c r="O30" s="26">
        <f>VLOOKUP(N30,'RISE 바이오TOP10액티브'!$B$11:$E$1000,4,0)</f>
        <v>1.21</v>
      </c>
      <c r="P30" s="26">
        <f>IFERROR(VLOOKUP(N30,'RISE 바이오TOP10액티브(과거)'!$B$11:$E$1000,4,0),0)</f>
        <v>0.31</v>
      </c>
      <c r="Q30" s="26">
        <f t="shared" si="14"/>
        <v>0.89999999999999991</v>
      </c>
      <c r="R30" s="27">
        <f t="shared" si="15"/>
        <v>2.903225806451613</v>
      </c>
    </row>
    <row r="31" spans="1:18" x14ac:dyDescent="0.4">
      <c r="A31" s="62" t="str">
        <f>VLOOKUP(B31,유니버스!$C$14:$D$2561,2,0)</f>
        <v>KQ</v>
      </c>
      <c r="B31" s="26" t="str">
        <f>'TIMEFOLIO K바이오액티브'!B37</f>
        <v>고영</v>
      </c>
      <c r="C31" s="26">
        <f>VLOOKUP(B31,'TIMEFOLIO K바이오액티브'!$B$11:$E$1000,4,0)</f>
        <v>0.95</v>
      </c>
      <c r="D31" s="26">
        <f>IFERROR(VLOOKUP(B31,'TIMEFOLIO K바이오액티브(과거)'!$B$11:$E$1000,4,0),0)</f>
        <v>0.85</v>
      </c>
      <c r="E31" s="20">
        <f t="shared" si="6"/>
        <v>9.9999999999999978E-2</v>
      </c>
      <c r="F31" s="21">
        <f t="shared" si="7"/>
        <v>0.11764705882352944</v>
      </c>
      <c r="G31" s="62" t="str">
        <f>VLOOKUP(H31,유니버스!$C$14:$D$2561,2,0)</f>
        <v>KS</v>
      </c>
      <c r="H31" s="26" t="str">
        <f>'KoAct 바이오헬스케어액티브'!B37</f>
        <v>일동제약</v>
      </c>
      <c r="I31" s="26">
        <f>VLOOKUP(H31,'KoAct 바이오헬스케어액티브'!$B$11:$E$1000,4,0)</f>
        <v>0.38</v>
      </c>
      <c r="J31" s="26">
        <f>IFERROR(VLOOKUP(H31,'KoAct 바이오헬스케어액티브(과거)'!$B$11:$E$1000,4,0),0)</f>
        <v>0.36</v>
      </c>
      <c r="K31" s="26">
        <f t="shared" si="16"/>
        <v>2.0000000000000018E-2</v>
      </c>
      <c r="L31" s="27">
        <f t="shared" si="17"/>
        <v>5.555555555555558E-2</v>
      </c>
      <c r="N31" s="26"/>
      <c r="O31" s="26"/>
      <c r="P31" s="26"/>
      <c r="Q31" s="26"/>
      <c r="R31" s="27"/>
    </row>
    <row r="32" spans="1:18" x14ac:dyDescent="0.4">
      <c r="A32" s="62" t="str">
        <f>VLOOKUP(B32,유니버스!$C$14:$D$2561,2,0)</f>
        <v>KQ</v>
      </c>
      <c r="B32" s="26" t="str">
        <f>'TIMEFOLIO K바이오액티브'!B38</f>
        <v>에임드바이오</v>
      </c>
      <c r="C32" s="26">
        <f>VLOOKUP(B32,'TIMEFOLIO K바이오액티브'!$B$11:$E$1000,4,0)</f>
        <v>0.89</v>
      </c>
      <c r="D32" s="26">
        <f>IFERROR(VLOOKUP(B32,'TIMEFOLIO K바이오액티브(과거)'!$B$11:$E$1000,4,0),0)</f>
        <v>0.96</v>
      </c>
      <c r="E32" s="20">
        <f t="shared" si="6"/>
        <v>-6.9999999999999951E-2</v>
      </c>
      <c r="F32" s="21">
        <f t="shared" si="7"/>
        <v>-7.291666666666663E-2</v>
      </c>
      <c r="G32" s="62" t="str">
        <f>VLOOKUP(H32,유니버스!$C$14:$D$2561,2,0)</f>
        <v>KS</v>
      </c>
      <c r="H32" s="26" t="str">
        <f>'KoAct 바이오헬스케어액티브'!B38</f>
        <v>삼성바이오로직스</v>
      </c>
      <c r="I32" s="26">
        <f>VLOOKUP(H32,'KoAct 바이오헬스케어액티브'!$B$11:$E$1000,4,0)</f>
        <v>0.16</v>
      </c>
      <c r="J32" s="26">
        <f>IFERROR(VLOOKUP(H32,'KoAct 바이오헬스케어액티브(과거)'!$B$11:$E$1000,4,0),0)</f>
        <v>0.57999999999999996</v>
      </c>
      <c r="K32" s="26">
        <f t="shared" si="16"/>
        <v>-0.41999999999999993</v>
      </c>
      <c r="L32" s="27">
        <f t="shared" si="17"/>
        <v>-0.72413793103448265</v>
      </c>
      <c r="N32" s="26"/>
      <c r="O32" s="26"/>
      <c r="P32" s="26"/>
      <c r="Q32" s="26"/>
      <c r="R32" s="27"/>
    </row>
    <row r="33" spans="1:18" x14ac:dyDescent="0.4">
      <c r="A33" s="62" t="str">
        <f>VLOOKUP(B33,유니버스!$C$14:$D$2561,2,0)</f>
        <v>KS</v>
      </c>
      <c r="B33" s="26" t="str">
        <f>'TIMEFOLIO K바이오액티브'!B39</f>
        <v>한올바이오파마</v>
      </c>
      <c r="C33" s="26">
        <f>VLOOKUP(B33,'TIMEFOLIO K바이오액티브'!$B$11:$E$1000,4,0)</f>
        <v>0.8</v>
      </c>
      <c r="D33" s="26">
        <f>IFERROR(VLOOKUP(B33,'TIMEFOLIO K바이오액티브(과거)'!$B$11:$E$1000,4,0),0)</f>
        <v>0.67</v>
      </c>
      <c r="E33" s="20">
        <f t="shared" si="6"/>
        <v>0.13</v>
      </c>
      <c r="F33" s="21">
        <f t="shared" si="7"/>
        <v>0.19402985074626855</v>
      </c>
      <c r="G33" s="62" t="e">
        <f>VLOOKUP(H33,유니버스!$C$14:$D$2561,2,0)</f>
        <v>#N/A</v>
      </c>
      <c r="H33" s="26" t="str">
        <f>'KoAct 바이오헬스케어액티브'!B39</f>
        <v>원화현금</v>
      </c>
      <c r="I33" s="26">
        <f>VLOOKUP(H33,'KoAct 바이오헬스케어액티브'!$B$11:$E$1000,4,0)</f>
        <v>0.37</v>
      </c>
      <c r="J33" s="26">
        <f>IFERROR(VLOOKUP(H33,'KoAct 바이오헬스케어액티브(과거)'!$B$11:$E$1000,4,0),0)</f>
        <v>1.03</v>
      </c>
      <c r="K33" s="26">
        <f t="shared" si="16"/>
        <v>-0.66</v>
      </c>
      <c r="L33" s="27">
        <f t="shared" si="17"/>
        <v>-0.64077669902912615</v>
      </c>
      <c r="N33" s="26"/>
      <c r="O33" s="26"/>
      <c r="P33" s="26"/>
      <c r="Q33" s="26"/>
      <c r="R33" s="27"/>
    </row>
    <row r="34" spans="1:18" x14ac:dyDescent="0.4">
      <c r="A34" s="62" t="str">
        <f>VLOOKUP(B34,유니버스!$C$14:$D$2561,2,0)</f>
        <v>KQ</v>
      </c>
      <c r="B34" s="26" t="str">
        <f>'TIMEFOLIO K바이오액티브'!B40</f>
        <v>디앤디파마텍</v>
      </c>
      <c r="C34" s="26">
        <f>VLOOKUP(B34,'TIMEFOLIO K바이오액티브'!$B$11:$E$1000,4,0)</f>
        <v>0.78</v>
      </c>
      <c r="D34" s="26">
        <f>IFERROR(VLOOKUP(B34,'TIMEFOLIO K바이오액티브(과거)'!$B$11:$E$1000,4,0),0)</f>
        <v>0.82</v>
      </c>
      <c r="E34" s="20">
        <f t="shared" si="6"/>
        <v>-3.9999999999999925E-2</v>
      </c>
      <c r="F34" s="21">
        <f t="shared" si="7"/>
        <v>-4.8780487804877981E-2</v>
      </c>
      <c r="H34" s="26"/>
      <c r="I34" s="26"/>
      <c r="J34" s="26"/>
      <c r="K34" s="26"/>
      <c r="L34" s="27"/>
      <c r="N34" s="26"/>
      <c r="O34" s="26"/>
      <c r="P34" s="26"/>
      <c r="Q34" s="26"/>
      <c r="R34" s="27"/>
    </row>
    <row r="35" spans="1:18" x14ac:dyDescent="0.4">
      <c r="A35" s="62" t="str">
        <f>VLOOKUP(B35,유니버스!$C$14:$D$2561,2,0)</f>
        <v>KQ</v>
      </c>
      <c r="B35" s="26" t="str">
        <f>'TIMEFOLIO K바이오액티브'!B41</f>
        <v>앱클론</v>
      </c>
      <c r="C35" s="26">
        <f>VLOOKUP(B35,'TIMEFOLIO K바이오액티브'!$B$11:$E$1000,4,0)</f>
        <v>0.77</v>
      </c>
      <c r="D35" s="26">
        <f>IFERROR(VLOOKUP(B35,'TIMEFOLIO K바이오액티브(과거)'!$B$11:$E$1000,4,0),0)</f>
        <v>0.71</v>
      </c>
      <c r="E35" s="20">
        <f t="shared" si="6"/>
        <v>6.0000000000000053E-2</v>
      </c>
      <c r="F35" s="21">
        <f t="shared" si="7"/>
        <v>8.4507042253521236E-2</v>
      </c>
      <c r="H35" s="26"/>
      <c r="I35" s="26"/>
      <c r="J35" s="26"/>
      <c r="K35" s="26"/>
      <c r="L35" s="27"/>
      <c r="N35" s="26"/>
      <c r="O35" s="26"/>
      <c r="P35" s="26"/>
      <c r="Q35" s="26"/>
      <c r="R35" s="27"/>
    </row>
    <row r="36" spans="1:18" x14ac:dyDescent="0.4">
      <c r="A36" s="62" t="e">
        <f>VLOOKUP(B36,유니버스!$C$14:$D$2561,2,0)</f>
        <v>#N/A</v>
      </c>
      <c r="B36" s="26" t="str">
        <f>'TIMEFOLIO K바이오액티브'!B42</f>
        <v>메쥬</v>
      </c>
      <c r="C36" s="26">
        <f>VLOOKUP(B36,'TIMEFOLIO K바이오액티브'!$B$11:$E$1000,4,0)</f>
        <v>0.67</v>
      </c>
      <c r="D36" s="26">
        <f>IFERROR(VLOOKUP(B36,'TIMEFOLIO K바이오액티브(과거)'!$B$11:$E$1000,4,0),0)</f>
        <v>0.66</v>
      </c>
      <c r="E36" s="20">
        <f t="shared" si="6"/>
        <v>1.0000000000000009E-2</v>
      </c>
      <c r="F36" s="21">
        <f t="shared" si="7"/>
        <v>1.5151515151515138E-2</v>
      </c>
      <c r="H36" s="26"/>
      <c r="I36" s="26"/>
      <c r="J36" s="26"/>
      <c r="K36" s="26"/>
      <c r="L36" s="27"/>
      <c r="N36" s="26"/>
      <c r="O36" s="26"/>
      <c r="P36" s="26"/>
      <c r="Q36" s="26"/>
      <c r="R36" s="27"/>
    </row>
    <row r="37" spans="1:18" x14ac:dyDescent="0.4">
      <c r="A37" s="62" t="str">
        <f>VLOOKUP(B37,유니버스!$C$14:$D$2561,2,0)</f>
        <v>KQ</v>
      </c>
      <c r="B37" s="26" t="str">
        <f>'TIMEFOLIO K바이오액티브'!B43</f>
        <v>HK이노엔</v>
      </c>
      <c r="C37" s="26">
        <f>VLOOKUP(B37,'TIMEFOLIO K바이오액티브'!$B$11:$E$1000,4,0)</f>
        <v>0.59</v>
      </c>
      <c r="D37" s="26">
        <f>IFERROR(VLOOKUP(B37,'TIMEFOLIO K바이오액티브(과거)'!$B$11:$E$1000,4,0),0)</f>
        <v>0.6</v>
      </c>
      <c r="E37" s="20">
        <f t="shared" si="6"/>
        <v>-1.0000000000000009E-2</v>
      </c>
      <c r="F37" s="21">
        <f t="shared" si="7"/>
        <v>-1.6666666666666718E-2</v>
      </c>
      <c r="H37" s="26"/>
      <c r="I37" s="26"/>
      <c r="J37" s="26"/>
      <c r="K37" s="26"/>
      <c r="L37" s="27"/>
      <c r="N37" s="26"/>
      <c r="O37" s="26"/>
      <c r="P37" s="26"/>
      <c r="Q37" s="26"/>
      <c r="R37" s="27"/>
    </row>
    <row r="38" spans="1:18" x14ac:dyDescent="0.4">
      <c r="A38" s="62" t="str">
        <f>VLOOKUP(B38,유니버스!$C$14:$D$2561,2,0)</f>
        <v>KQ</v>
      </c>
      <c r="B38" s="26" t="str">
        <f>'TIMEFOLIO K바이오액티브'!B44</f>
        <v>토모큐브</v>
      </c>
      <c r="C38" s="26">
        <f>VLOOKUP(B38,'TIMEFOLIO K바이오액티브'!$B$11:$E$1000,4,0)</f>
        <v>0.56999999999999995</v>
      </c>
      <c r="D38" s="26">
        <f>IFERROR(VLOOKUP(B38,'TIMEFOLIO K바이오액티브(과거)'!$B$11:$E$1000,4,0),0)</f>
        <v>0.59</v>
      </c>
      <c r="E38" s="20">
        <f t="shared" si="6"/>
        <v>-2.0000000000000018E-2</v>
      </c>
      <c r="F38" s="21">
        <f t="shared" si="7"/>
        <v>-3.3898305084745783E-2</v>
      </c>
      <c r="H38" s="26"/>
      <c r="I38" s="26"/>
      <c r="J38" s="26"/>
      <c r="K38" s="26"/>
      <c r="L38" s="27"/>
      <c r="N38" s="26"/>
      <c r="O38" s="26"/>
      <c r="P38" s="26"/>
      <c r="Q38" s="26"/>
      <c r="R38" s="27"/>
    </row>
    <row r="39" spans="1:18" x14ac:dyDescent="0.4">
      <c r="A39" s="62" t="str">
        <f>VLOOKUP(B39,유니버스!$C$14:$D$2561,2,0)</f>
        <v>KQ</v>
      </c>
      <c r="B39" s="26" t="str">
        <f>'TIMEFOLIO K바이오액티브'!B45</f>
        <v>프로티나</v>
      </c>
      <c r="C39" s="26">
        <f>VLOOKUP(B39,'TIMEFOLIO K바이오액티브'!$B$11:$E$1000,4,0)</f>
        <v>0.55000000000000004</v>
      </c>
      <c r="D39" s="26">
        <f>IFERROR(VLOOKUP(B39,'TIMEFOLIO K바이오액티브(과거)'!$B$11:$E$1000,4,0),0)</f>
        <v>0.59</v>
      </c>
      <c r="E39" s="20">
        <f t="shared" ref="E39:E41" si="18">C39-D39</f>
        <v>-3.9999999999999925E-2</v>
      </c>
      <c r="F39" s="21">
        <f t="shared" ref="F39:F41" si="19">IFERROR(C39/D39-1,"신규편입")</f>
        <v>-6.7796610169491456E-2</v>
      </c>
      <c r="H39" s="26"/>
      <c r="I39" s="26"/>
      <c r="J39" s="26"/>
      <c r="K39" s="26"/>
      <c r="L39" s="27"/>
      <c r="N39" s="26"/>
      <c r="O39" s="26"/>
      <c r="P39" s="26"/>
      <c r="Q39" s="26"/>
      <c r="R39" s="27"/>
    </row>
    <row r="40" spans="1:18" x14ac:dyDescent="0.4">
      <c r="A40" s="62" t="str">
        <f>VLOOKUP(B40,유니버스!$C$14:$D$2561,2,0)</f>
        <v>KQ</v>
      </c>
      <c r="B40" s="26" t="str">
        <f>'TIMEFOLIO K바이오액티브'!B46</f>
        <v>지아이이노베이션</v>
      </c>
      <c r="C40" s="26">
        <f>VLOOKUP(B40,'TIMEFOLIO K바이오액티브'!$B$11:$E$1000,4,0)</f>
        <v>0.3</v>
      </c>
      <c r="D40" s="26">
        <f>IFERROR(VLOOKUP(B40,'TIMEFOLIO K바이오액티브(과거)'!$B$11:$E$1000,4,0),0)</f>
        <v>0.31</v>
      </c>
      <c r="E40" s="20">
        <f t="shared" si="18"/>
        <v>-1.0000000000000009E-2</v>
      </c>
      <c r="F40" s="21">
        <f t="shared" si="19"/>
        <v>-3.2258064516129115E-2</v>
      </c>
      <c r="H40" s="26"/>
      <c r="I40" s="26"/>
      <c r="J40" s="26"/>
      <c r="K40" s="26"/>
      <c r="L40" s="27"/>
      <c r="N40" s="26"/>
      <c r="O40" s="26"/>
      <c r="P40" s="26"/>
      <c r="Q40" s="26"/>
      <c r="R40" s="27"/>
    </row>
    <row r="41" spans="1:18" x14ac:dyDescent="0.4">
      <c r="A41" s="62" t="e">
        <f>VLOOKUP(B41,유니버스!$C$14:$D$2561,2,0)</f>
        <v>#N/A</v>
      </c>
      <c r="B41" s="26" t="str">
        <f>'TIMEFOLIO K바이오액티브'!B47</f>
        <v>원화현금</v>
      </c>
      <c r="C41" s="26">
        <f>VLOOKUP(B41,'TIMEFOLIO K바이오액티브'!$B$11:$E$1000,4,0)</f>
        <v>1.97</v>
      </c>
      <c r="D41" s="26">
        <f>IFERROR(VLOOKUP(B41,'TIMEFOLIO K바이오액티브(과거)'!$B$11:$E$1000,4,0),0)</f>
        <v>1.87</v>
      </c>
      <c r="E41" s="20">
        <f t="shared" si="18"/>
        <v>9.9999999999999867E-2</v>
      </c>
      <c r="F41" s="21">
        <f t="shared" si="19"/>
        <v>5.3475935828876997E-2</v>
      </c>
      <c r="H41" s="26"/>
      <c r="I41" s="26"/>
      <c r="J41" s="26"/>
      <c r="K41" s="26"/>
      <c r="L41" s="27"/>
      <c r="N41" s="26"/>
      <c r="O41" s="26"/>
      <c r="P41" s="26"/>
      <c r="Q41" s="26"/>
      <c r="R41" s="27"/>
    </row>
    <row r="42" spans="1:18" x14ac:dyDescent="0.4">
      <c r="B42" s="26"/>
      <c r="C42" s="26"/>
      <c r="D42" s="26"/>
      <c r="E42" s="20"/>
      <c r="F42" s="21"/>
      <c r="H42" s="26"/>
      <c r="I42" s="26"/>
      <c r="J42" s="26"/>
      <c r="K42" s="26"/>
      <c r="L42" s="27"/>
      <c r="N42" s="26"/>
      <c r="O42" s="26"/>
      <c r="P42" s="26"/>
      <c r="Q42" s="26"/>
      <c r="R42" s="27"/>
    </row>
    <row r="43" spans="1:18" x14ac:dyDescent="0.4">
      <c r="B43" s="26"/>
      <c r="C43" s="26"/>
      <c r="D43" s="26"/>
      <c r="E43" s="20"/>
      <c r="F43" s="21"/>
      <c r="H43" s="26"/>
      <c r="I43" s="26"/>
      <c r="J43" s="26"/>
      <c r="K43" s="26"/>
      <c r="L43" s="27"/>
      <c r="N43" s="26"/>
      <c r="O43" s="26"/>
      <c r="P43" s="26"/>
      <c r="Q43" s="26"/>
      <c r="R43" s="27"/>
    </row>
    <row r="44" spans="1:18" x14ac:dyDescent="0.4">
      <c r="B44" s="26"/>
      <c r="C44" s="26"/>
      <c r="D44" s="26"/>
      <c r="E44" s="20"/>
      <c r="F44" s="21"/>
      <c r="H44" s="26"/>
      <c r="I44" s="26"/>
      <c r="J44" s="26"/>
      <c r="K44" s="26"/>
      <c r="L44" s="27"/>
      <c r="N44" s="26"/>
      <c r="O44" s="26"/>
      <c r="P44" s="26"/>
      <c r="Q44" s="26"/>
      <c r="R44" s="27"/>
    </row>
    <row r="45" spans="1:18" x14ac:dyDescent="0.4">
      <c r="B45" s="26"/>
      <c r="C45" s="26"/>
      <c r="D45" s="26"/>
      <c r="E45" s="20"/>
      <c r="F45" s="21"/>
      <c r="H45" s="26"/>
      <c r="I45" s="26"/>
      <c r="J45" s="26"/>
      <c r="K45" s="26"/>
      <c r="L45" s="27"/>
      <c r="N45" s="26"/>
      <c r="O45" s="26"/>
      <c r="P45" s="26"/>
      <c r="Q45" s="26"/>
      <c r="R45" s="27"/>
    </row>
    <row r="46" spans="1:18" x14ac:dyDescent="0.4">
      <c r="B46" s="26"/>
      <c r="C46" s="26"/>
      <c r="D46" s="26"/>
      <c r="E46" s="20"/>
      <c r="F46" s="21"/>
      <c r="H46" s="26"/>
      <c r="I46" s="26"/>
      <c r="J46" s="26"/>
      <c r="K46" s="26"/>
      <c r="L46" s="27"/>
      <c r="N46" s="26"/>
      <c r="O46" s="26"/>
      <c r="P46" s="26"/>
      <c r="Q46" s="26"/>
      <c r="R46" s="27"/>
    </row>
    <row r="47" spans="1:18" x14ac:dyDescent="0.4">
      <c r="B47" s="26"/>
      <c r="C47" s="26"/>
      <c r="D47" s="26"/>
      <c r="E47" s="20"/>
      <c r="F47" s="21"/>
      <c r="H47" s="26"/>
      <c r="I47" s="26"/>
      <c r="J47" s="26"/>
      <c r="K47" s="26"/>
      <c r="L47" s="27"/>
      <c r="N47" s="26"/>
      <c r="O47" s="26"/>
      <c r="P47" s="26"/>
      <c r="Q47" s="26"/>
      <c r="R47" s="27"/>
    </row>
    <row r="48" spans="1:18" x14ac:dyDescent="0.4">
      <c r="B48" s="26"/>
      <c r="C48" s="26"/>
      <c r="D48" s="26"/>
      <c r="E48" s="20"/>
      <c r="F48" s="21"/>
      <c r="H48" s="26"/>
      <c r="I48" s="26"/>
      <c r="J48" s="26"/>
      <c r="K48" s="26"/>
      <c r="L48" s="27"/>
      <c r="N48" s="26"/>
      <c r="O48" s="26"/>
      <c r="P48" s="26"/>
      <c r="Q48" s="26"/>
      <c r="R48" s="27"/>
    </row>
    <row r="49" spans="2:18" x14ac:dyDescent="0.4">
      <c r="B49" s="26"/>
      <c r="C49" s="26"/>
      <c r="D49" s="26"/>
      <c r="E49" s="20"/>
      <c r="F49" s="21"/>
      <c r="H49" s="26"/>
      <c r="I49" s="26"/>
      <c r="J49" s="26"/>
      <c r="K49" s="26"/>
      <c r="L49" s="27"/>
      <c r="N49" s="26"/>
      <c r="O49" s="26"/>
      <c r="P49" s="26"/>
      <c r="Q49" s="26"/>
      <c r="R49" s="27"/>
    </row>
    <row r="50" spans="2:18" x14ac:dyDescent="0.4">
      <c r="B50" s="26"/>
      <c r="C50" s="26"/>
      <c r="D50" s="26"/>
      <c r="E50" s="20"/>
      <c r="F50" s="21"/>
      <c r="H50" s="26"/>
      <c r="I50" s="26"/>
      <c r="J50" s="26"/>
      <c r="K50" s="26"/>
      <c r="L50" s="27"/>
      <c r="N50" s="26"/>
      <c r="O50" s="26"/>
      <c r="P50" s="26"/>
      <c r="Q50" s="26"/>
      <c r="R50" s="27"/>
    </row>
    <row r="51" spans="2:18" x14ac:dyDescent="0.4">
      <c r="B51" s="26"/>
      <c r="C51" s="26"/>
      <c r="D51" s="26"/>
      <c r="E51" s="20"/>
      <c r="F51" s="21"/>
      <c r="H51" s="26"/>
      <c r="I51" s="26"/>
      <c r="J51" s="26"/>
      <c r="K51" s="26"/>
      <c r="L51" s="27"/>
      <c r="N51" s="26"/>
      <c r="O51" s="26"/>
      <c r="P51" s="26"/>
      <c r="Q51" s="26"/>
      <c r="R51" s="27"/>
    </row>
    <row r="52" spans="2:18" x14ac:dyDescent="0.4">
      <c r="B52" s="26"/>
      <c r="C52" s="26"/>
      <c r="D52" s="26"/>
      <c r="E52" s="20"/>
      <c r="F52" s="21"/>
      <c r="H52" s="26"/>
      <c r="I52" s="26"/>
      <c r="J52" s="26"/>
      <c r="K52" s="26"/>
      <c r="L52" s="27"/>
      <c r="N52" s="26"/>
      <c r="O52" s="26"/>
      <c r="P52" s="26"/>
      <c r="Q52" s="26"/>
      <c r="R52" s="27"/>
    </row>
    <row r="53" spans="2:18" x14ac:dyDescent="0.4">
      <c r="B53" s="26"/>
      <c r="C53" s="26"/>
      <c r="D53" s="26"/>
      <c r="E53" s="20"/>
      <c r="F53" s="21"/>
      <c r="H53" s="26"/>
      <c r="I53" s="26"/>
      <c r="J53" s="26"/>
      <c r="K53" s="26"/>
      <c r="L53" s="27"/>
      <c r="N53" s="26"/>
      <c r="O53" s="26"/>
      <c r="P53" s="26"/>
      <c r="Q53" s="26"/>
      <c r="R53" s="27"/>
    </row>
    <row r="54" spans="2:18" x14ac:dyDescent="0.4">
      <c r="B54" s="26"/>
      <c r="C54" s="26"/>
      <c r="D54" s="26"/>
      <c r="E54" s="20"/>
      <c r="F54" s="21"/>
      <c r="H54" s="26"/>
      <c r="I54" s="26"/>
      <c r="J54" s="26"/>
      <c r="K54" s="26"/>
      <c r="L54" s="27"/>
      <c r="N54" s="26"/>
      <c r="O54" s="26"/>
      <c r="P54" s="26"/>
      <c r="Q54" s="26"/>
      <c r="R54" s="27"/>
    </row>
    <row r="55" spans="2:18" x14ac:dyDescent="0.4">
      <c r="B55" s="26"/>
      <c r="C55" s="26"/>
      <c r="D55" s="26"/>
      <c r="E55" s="20"/>
      <c r="F55" s="21"/>
      <c r="H55" s="26"/>
      <c r="I55" s="26"/>
      <c r="J55" s="26"/>
      <c r="K55" s="26"/>
      <c r="L55" s="27"/>
      <c r="N55" s="26"/>
      <c r="O55" s="26"/>
      <c r="P55" s="26"/>
      <c r="Q55" s="26"/>
      <c r="R55" s="27"/>
    </row>
    <row r="56" spans="2:18" x14ac:dyDescent="0.4">
      <c r="B56" s="26"/>
      <c r="C56" s="26"/>
      <c r="D56" s="26"/>
      <c r="E56" s="20"/>
      <c r="F56" s="21"/>
      <c r="H56" s="26"/>
      <c r="I56" s="26"/>
      <c r="J56" s="26"/>
      <c r="K56" s="26"/>
      <c r="L56" s="27"/>
      <c r="N56" s="26"/>
      <c r="O56" s="26"/>
      <c r="P56" s="26"/>
      <c r="Q56" s="26"/>
      <c r="R56" s="27"/>
    </row>
    <row r="57" spans="2:18" x14ac:dyDescent="0.4">
      <c r="B57" s="26"/>
      <c r="C57" s="26"/>
      <c r="D57" s="26"/>
      <c r="E57" s="20"/>
      <c r="F57" s="21"/>
      <c r="H57" s="26"/>
      <c r="I57" s="26"/>
      <c r="J57" s="26"/>
      <c r="K57" s="26"/>
      <c r="L57" s="27"/>
      <c r="N57" s="26"/>
      <c r="O57" s="26"/>
      <c r="P57" s="26"/>
      <c r="Q57" s="26"/>
      <c r="R57" s="27"/>
    </row>
    <row r="58" spans="2:18" x14ac:dyDescent="0.4">
      <c r="B58" s="26"/>
      <c r="C58" s="26"/>
      <c r="D58" s="26"/>
      <c r="E58" s="20"/>
      <c r="F58" s="21"/>
      <c r="H58" s="26"/>
      <c r="I58" s="26"/>
      <c r="J58" s="26"/>
      <c r="K58" s="26"/>
      <c r="L58" s="27"/>
      <c r="N58" s="26"/>
      <c r="O58" s="26"/>
      <c r="P58" s="26"/>
      <c r="Q58" s="26"/>
      <c r="R58" s="27"/>
    </row>
    <row r="59" spans="2:18" x14ac:dyDescent="0.4">
      <c r="B59" s="26"/>
      <c r="C59" s="26"/>
      <c r="D59" s="26"/>
      <c r="E59" s="20"/>
      <c r="F59" s="21"/>
      <c r="H59" s="26"/>
      <c r="I59" s="26"/>
      <c r="J59" s="26"/>
      <c r="K59" s="26"/>
      <c r="L59" s="27"/>
      <c r="N59" s="26"/>
      <c r="O59" s="26"/>
      <c r="P59" s="26"/>
      <c r="Q59" s="26"/>
      <c r="R59" s="27"/>
    </row>
    <row r="60" spans="2:18" x14ac:dyDescent="0.4">
      <c r="B60" s="26"/>
      <c r="C60" s="26"/>
      <c r="D60" s="26"/>
      <c r="E60" s="20"/>
      <c r="F60" s="21"/>
      <c r="H60" s="26"/>
      <c r="I60" s="26"/>
      <c r="J60" s="26"/>
      <c r="K60" s="26"/>
      <c r="L60" s="27"/>
      <c r="N60" s="26"/>
      <c r="O60" s="26"/>
      <c r="P60" s="26"/>
      <c r="Q60" s="26"/>
      <c r="R60" s="27"/>
    </row>
    <row r="61" spans="2:18" x14ac:dyDescent="0.4">
      <c r="B61" s="26"/>
      <c r="C61" s="26"/>
      <c r="D61" s="26"/>
      <c r="E61" s="20"/>
      <c r="F61" s="21"/>
      <c r="H61" s="26"/>
      <c r="I61" s="26"/>
      <c r="J61" s="26"/>
      <c r="K61" s="26"/>
      <c r="L61" s="27"/>
      <c r="N61" s="26"/>
      <c r="O61" s="26"/>
      <c r="P61" s="26"/>
      <c r="Q61" s="26"/>
      <c r="R61" s="27"/>
    </row>
    <row r="62" spans="2:18" x14ac:dyDescent="0.4">
      <c r="B62" s="26"/>
      <c r="C62" s="26"/>
      <c r="D62" s="26"/>
      <c r="E62" s="20"/>
      <c r="F62" s="21"/>
      <c r="H62" s="26"/>
      <c r="I62" s="26"/>
      <c r="J62" s="26"/>
      <c r="K62" s="26"/>
      <c r="L62" s="27"/>
      <c r="N62" s="26"/>
      <c r="O62" s="26"/>
      <c r="P62" s="26"/>
      <c r="Q62" s="26"/>
      <c r="R62" s="27"/>
    </row>
    <row r="63" spans="2:18" x14ac:dyDescent="0.4">
      <c r="B63" s="26"/>
      <c r="C63" s="26"/>
      <c r="D63" s="26"/>
      <c r="E63" s="20"/>
      <c r="F63" s="21"/>
      <c r="H63" s="26"/>
      <c r="I63" s="26"/>
      <c r="J63" s="26"/>
      <c r="K63" s="26"/>
      <c r="L63" s="27"/>
      <c r="N63" s="26"/>
      <c r="O63" s="26"/>
      <c r="P63" s="26"/>
      <c r="Q63" s="26"/>
      <c r="R63" s="27"/>
    </row>
    <row r="64" spans="2:18" x14ac:dyDescent="0.4">
      <c r="B64" s="26"/>
      <c r="C64" s="26"/>
      <c r="D64" s="26"/>
      <c r="E64" s="20"/>
      <c r="F64" s="21"/>
      <c r="H64" s="26"/>
      <c r="I64" s="26"/>
      <c r="J64" s="26"/>
      <c r="K64" s="26"/>
      <c r="L64" s="27"/>
      <c r="N64" s="26"/>
      <c r="O64" s="26"/>
      <c r="P64" s="26"/>
      <c r="Q64" s="26"/>
      <c r="R64" s="27"/>
    </row>
    <row r="65" spans="2:18" x14ac:dyDescent="0.4">
      <c r="B65" s="26"/>
      <c r="C65" s="26"/>
      <c r="D65" s="26"/>
      <c r="E65" s="20"/>
      <c r="F65" s="21"/>
      <c r="H65" s="26"/>
      <c r="I65" s="26"/>
      <c r="J65" s="26"/>
      <c r="K65" s="26"/>
      <c r="L65" s="27"/>
      <c r="N65" s="26"/>
      <c r="O65" s="26"/>
      <c r="P65" s="26"/>
      <c r="Q65" s="26"/>
      <c r="R65" s="27"/>
    </row>
    <row r="66" spans="2:18" x14ac:dyDescent="0.4">
      <c r="B66" s="26"/>
      <c r="C66" s="26"/>
      <c r="D66" s="26"/>
      <c r="E66" s="20"/>
      <c r="F66" s="21"/>
      <c r="H66" s="26"/>
      <c r="I66" s="26"/>
      <c r="J66" s="26"/>
      <c r="K66" s="26"/>
      <c r="L66" s="27"/>
      <c r="N66" s="26"/>
      <c r="O66" s="26"/>
      <c r="P66" s="26"/>
      <c r="Q66" s="26"/>
      <c r="R66" s="27"/>
    </row>
    <row r="67" spans="2:18" x14ac:dyDescent="0.4">
      <c r="B67" s="26"/>
      <c r="C67" s="26"/>
      <c r="D67" s="26"/>
      <c r="E67" s="20"/>
      <c r="F67" s="21"/>
      <c r="H67" s="26"/>
      <c r="I67" s="26"/>
      <c r="J67" s="26"/>
      <c r="K67" s="26"/>
      <c r="L67" s="27"/>
      <c r="N67" s="26"/>
      <c r="O67" s="26"/>
      <c r="P67" s="26"/>
      <c r="Q67" s="26"/>
      <c r="R67" s="27"/>
    </row>
    <row r="68" spans="2:18" x14ac:dyDescent="0.4">
      <c r="B68" s="26"/>
      <c r="C68" s="26"/>
      <c r="D68" s="26"/>
      <c r="E68" s="20"/>
      <c r="F68" s="21"/>
      <c r="H68" s="26"/>
      <c r="I68" s="26"/>
      <c r="J68" s="26"/>
      <c r="K68" s="26"/>
      <c r="L68" s="27"/>
      <c r="N68" s="26"/>
      <c r="O68" s="26"/>
      <c r="P68" s="26"/>
      <c r="Q68" s="26"/>
      <c r="R68" s="27"/>
    </row>
    <row r="69" spans="2:18" x14ac:dyDescent="0.4">
      <c r="B69" s="26"/>
      <c r="C69" s="26"/>
      <c r="D69" s="26"/>
      <c r="E69" s="20"/>
      <c r="F69" s="21"/>
      <c r="H69" s="26"/>
      <c r="I69" s="26"/>
      <c r="J69" s="26"/>
      <c r="K69" s="26"/>
      <c r="L69" s="27"/>
      <c r="N69" s="26"/>
      <c r="O69" s="26"/>
      <c r="P69" s="26"/>
      <c r="Q69" s="26"/>
      <c r="R69" s="27"/>
    </row>
    <row r="70" spans="2:18" x14ac:dyDescent="0.4">
      <c r="B70" s="26"/>
      <c r="C70" s="26"/>
      <c r="D70" s="26"/>
      <c r="E70" s="20"/>
      <c r="F70" s="21"/>
      <c r="H70" s="26"/>
      <c r="I70" s="26"/>
      <c r="J70" s="26"/>
      <c r="K70" s="26"/>
      <c r="L70" s="27"/>
      <c r="N70" s="26"/>
      <c r="O70" s="26"/>
      <c r="P70" s="26"/>
      <c r="Q70" s="26"/>
      <c r="R70" s="27"/>
    </row>
    <row r="71" spans="2:18" x14ac:dyDescent="0.4">
      <c r="B71" s="26"/>
      <c r="C71" s="26"/>
      <c r="D71" s="26"/>
      <c r="E71" s="20"/>
      <c r="F71" s="21"/>
      <c r="H71" s="26"/>
      <c r="I71" s="26"/>
      <c r="J71" s="26"/>
      <c r="K71" s="26"/>
      <c r="L71" s="27"/>
      <c r="N71" s="26"/>
      <c r="O71" s="26"/>
      <c r="P71" s="26"/>
      <c r="Q71" s="26"/>
      <c r="R71" s="27"/>
    </row>
    <row r="72" spans="2:18" x14ac:dyDescent="0.4">
      <c r="B72" s="26"/>
      <c r="C72" s="26"/>
      <c r="D72" s="26"/>
      <c r="E72" s="20"/>
      <c r="F72" s="21"/>
      <c r="H72" s="26"/>
      <c r="I72" s="26"/>
      <c r="J72" s="26"/>
      <c r="K72" s="26"/>
      <c r="L72" s="27"/>
      <c r="N72" s="26"/>
      <c r="O72" s="26"/>
      <c r="P72" s="26"/>
      <c r="Q72" s="26"/>
      <c r="R72" s="27"/>
    </row>
    <row r="73" spans="2:18" x14ac:dyDescent="0.4">
      <c r="B73" s="26"/>
      <c r="C73" s="26"/>
      <c r="D73" s="26"/>
      <c r="E73" s="20"/>
      <c r="F73" s="21"/>
      <c r="H73" s="26"/>
      <c r="I73" s="26"/>
      <c r="J73" s="26"/>
      <c r="K73" s="26"/>
      <c r="L73" s="27"/>
      <c r="N73" s="26"/>
      <c r="O73" s="26"/>
      <c r="P73" s="26"/>
      <c r="Q73" s="26"/>
      <c r="R73" s="27"/>
    </row>
    <row r="74" spans="2:18" x14ac:dyDescent="0.4">
      <c r="B74" s="26"/>
      <c r="C74" s="26"/>
      <c r="D74" s="26"/>
      <c r="E74" s="20"/>
      <c r="F74" s="21"/>
      <c r="H74" s="26"/>
      <c r="I74" s="26"/>
      <c r="J74" s="26"/>
      <c r="K74" s="26"/>
      <c r="L74" s="27"/>
      <c r="N74" s="26"/>
      <c r="O74" s="26"/>
      <c r="P74" s="26"/>
      <c r="Q74" s="26"/>
      <c r="R74" s="27"/>
    </row>
    <row r="75" spans="2:18" x14ac:dyDescent="0.4">
      <c r="B75" s="26"/>
      <c r="C75" s="26"/>
      <c r="D75" s="26"/>
      <c r="E75" s="20"/>
      <c r="F75" s="21"/>
      <c r="H75" s="26"/>
      <c r="I75" s="26"/>
      <c r="J75" s="26"/>
      <c r="K75" s="26"/>
      <c r="L75" s="27"/>
      <c r="N75" s="26"/>
      <c r="O75" s="26"/>
      <c r="P75" s="26"/>
      <c r="Q75" s="26"/>
      <c r="R75" s="27"/>
    </row>
    <row r="76" spans="2:18" x14ac:dyDescent="0.4">
      <c r="B76" s="26"/>
      <c r="C76" s="26"/>
      <c r="D76" s="26"/>
      <c r="E76" s="20"/>
      <c r="F76" s="21"/>
      <c r="H76" s="26"/>
      <c r="I76" s="26"/>
      <c r="J76" s="26"/>
      <c r="K76" s="26"/>
      <c r="L76" s="27"/>
      <c r="N76" s="26"/>
      <c r="O76" s="26"/>
      <c r="P76" s="26"/>
      <c r="Q76" s="26"/>
      <c r="R76" s="27"/>
    </row>
    <row r="77" spans="2:18" x14ac:dyDescent="0.4">
      <c r="B77" s="26"/>
      <c r="C77" s="26"/>
      <c r="D77" s="26"/>
      <c r="E77" s="20"/>
      <c r="F77" s="21"/>
      <c r="H77" s="26"/>
      <c r="I77" s="26"/>
      <c r="J77" s="26"/>
      <c r="K77" s="26"/>
      <c r="L77" s="27"/>
      <c r="N77" s="26"/>
      <c r="O77" s="26"/>
      <c r="P77" s="26"/>
      <c r="Q77" s="26"/>
      <c r="R77" s="27"/>
    </row>
    <row r="78" spans="2:18" x14ac:dyDescent="0.4">
      <c r="B78" s="26"/>
      <c r="C78" s="26"/>
      <c r="D78" s="26"/>
      <c r="E78" s="20"/>
      <c r="F78" s="21"/>
      <c r="H78" s="26"/>
      <c r="I78" s="26"/>
      <c r="J78" s="26"/>
      <c r="K78" s="26"/>
      <c r="L78" s="27"/>
      <c r="N78" s="26"/>
      <c r="O78" s="26"/>
      <c r="P78" s="26"/>
      <c r="Q78" s="26"/>
      <c r="R78" s="27"/>
    </row>
    <row r="79" spans="2:18" x14ac:dyDescent="0.4">
      <c r="B79" s="26"/>
      <c r="C79" s="26"/>
      <c r="D79" s="26"/>
      <c r="E79" s="20"/>
      <c r="F79" s="21"/>
      <c r="H79" s="26"/>
      <c r="I79" s="26"/>
      <c r="J79" s="26"/>
      <c r="K79" s="26"/>
      <c r="L79" s="27"/>
      <c r="N79" s="26"/>
      <c r="O79" s="26"/>
      <c r="P79" s="26"/>
      <c r="Q79" s="26"/>
      <c r="R79" s="27"/>
    </row>
    <row r="80" spans="2:18" x14ac:dyDescent="0.4">
      <c r="B80" s="26"/>
      <c r="C80" s="26"/>
      <c r="D80" s="26"/>
      <c r="E80" s="20"/>
      <c r="F80" s="21"/>
      <c r="H80" s="26"/>
      <c r="I80" s="26"/>
      <c r="J80" s="26"/>
      <c r="K80" s="26"/>
      <c r="L80" s="27"/>
      <c r="N80" s="26"/>
      <c r="O80" s="26"/>
      <c r="P80" s="26"/>
      <c r="Q80" s="26"/>
      <c r="R80" s="27"/>
    </row>
    <row r="81" spans="2:18" x14ac:dyDescent="0.4">
      <c r="B81" s="26"/>
      <c r="C81" s="26"/>
      <c r="D81" s="26"/>
      <c r="E81" s="20"/>
      <c r="F81" s="21"/>
      <c r="H81" s="26"/>
      <c r="I81" s="26"/>
      <c r="J81" s="26"/>
      <c r="K81" s="26"/>
      <c r="L81" s="27"/>
      <c r="N81" s="26"/>
      <c r="O81" s="26"/>
      <c r="P81" s="26"/>
      <c r="Q81" s="26"/>
      <c r="R81" s="27"/>
    </row>
    <row r="82" spans="2:18" x14ac:dyDescent="0.4">
      <c r="B82" s="26"/>
      <c r="C82" s="26"/>
      <c r="D82" s="26"/>
      <c r="E82" s="20"/>
      <c r="F82" s="21"/>
      <c r="H82" s="26"/>
      <c r="I82" s="26"/>
      <c r="J82" s="26"/>
      <c r="K82" s="26"/>
      <c r="L82" s="27"/>
      <c r="N82" s="26"/>
      <c r="O82" s="26"/>
      <c r="P82" s="26"/>
      <c r="Q82" s="26"/>
      <c r="R82" s="27"/>
    </row>
    <row r="83" spans="2:18" x14ac:dyDescent="0.4">
      <c r="B83" s="26"/>
      <c r="C83" s="26"/>
      <c r="D83" s="26"/>
      <c r="E83" s="20"/>
      <c r="F83" s="21"/>
      <c r="H83" s="26"/>
      <c r="I83" s="26"/>
      <c r="J83" s="26"/>
      <c r="K83" s="26"/>
      <c r="L83" s="27"/>
      <c r="N83" s="26"/>
      <c r="O83" s="26"/>
      <c r="P83" s="26"/>
      <c r="Q83" s="26"/>
      <c r="R83" s="27"/>
    </row>
    <row r="84" spans="2:18" x14ac:dyDescent="0.4">
      <c r="B84" s="26"/>
      <c r="C84" s="26"/>
      <c r="D84" s="26"/>
      <c r="E84" s="20"/>
      <c r="F84" s="21"/>
      <c r="H84" s="26"/>
      <c r="I84" s="26"/>
      <c r="J84" s="26"/>
      <c r="K84" s="26"/>
      <c r="L84" s="27"/>
      <c r="N84" s="26"/>
      <c r="O84" s="26"/>
      <c r="P84" s="26"/>
      <c r="Q84" s="26"/>
      <c r="R84" s="27"/>
    </row>
    <row r="85" spans="2:18" x14ac:dyDescent="0.4">
      <c r="B85" s="26"/>
      <c r="C85" s="26"/>
      <c r="D85" s="26"/>
      <c r="E85" s="20"/>
      <c r="F85" s="21"/>
      <c r="H85" s="26"/>
      <c r="I85" s="26"/>
      <c r="J85" s="26"/>
      <c r="K85" s="26"/>
      <c r="L85" s="27"/>
      <c r="N85" s="26"/>
      <c r="O85" s="26"/>
      <c r="P85" s="26"/>
      <c r="Q85" s="26"/>
      <c r="R85" s="27"/>
    </row>
    <row r="86" spans="2:18" x14ac:dyDescent="0.4">
      <c r="B86" s="26"/>
      <c r="C86" s="26"/>
      <c r="D86" s="26"/>
      <c r="E86" s="20"/>
      <c r="F86" s="21"/>
      <c r="H86" s="26"/>
      <c r="I86" s="26"/>
      <c r="J86" s="26"/>
      <c r="K86" s="26"/>
      <c r="L86" s="27"/>
      <c r="N86" s="26"/>
      <c r="O86" s="26"/>
      <c r="P86" s="26"/>
      <c r="Q86" s="26"/>
      <c r="R86" s="27"/>
    </row>
    <row r="87" spans="2:18" x14ac:dyDescent="0.4">
      <c r="B87" s="26"/>
      <c r="C87" s="26"/>
      <c r="D87" s="26"/>
      <c r="E87" s="20"/>
      <c r="F87" s="21"/>
      <c r="H87" s="26"/>
      <c r="I87" s="26"/>
      <c r="J87" s="26"/>
      <c r="K87" s="26"/>
      <c r="L87" s="27"/>
      <c r="N87" s="26"/>
      <c r="O87" s="26"/>
      <c r="P87" s="26"/>
      <c r="Q87" s="26"/>
      <c r="R87" s="27"/>
    </row>
    <row r="88" spans="2:18" x14ac:dyDescent="0.4">
      <c r="B88" s="26"/>
      <c r="C88" s="26"/>
      <c r="D88" s="26"/>
      <c r="E88" s="20"/>
      <c r="F88" s="21"/>
      <c r="H88" s="26"/>
      <c r="I88" s="26"/>
      <c r="J88" s="26"/>
      <c r="K88" s="26"/>
      <c r="L88" s="27"/>
      <c r="N88" s="26"/>
      <c r="O88" s="26"/>
      <c r="P88" s="26"/>
      <c r="Q88" s="26"/>
      <c r="R88" s="27"/>
    </row>
    <row r="89" spans="2:18" x14ac:dyDescent="0.4">
      <c r="B89" s="26"/>
      <c r="C89" s="26"/>
      <c r="D89" s="26"/>
      <c r="E89" s="20"/>
      <c r="F89" s="21"/>
      <c r="H89" s="26"/>
      <c r="I89" s="26"/>
      <c r="J89" s="26"/>
      <c r="K89" s="26"/>
      <c r="L89" s="27"/>
      <c r="N89" s="26"/>
      <c r="O89" s="26"/>
      <c r="P89" s="26"/>
      <c r="Q89" s="26"/>
      <c r="R89" s="27"/>
    </row>
    <row r="90" spans="2:18" x14ac:dyDescent="0.4">
      <c r="B90" s="26"/>
      <c r="C90" s="26"/>
      <c r="D90" s="26"/>
      <c r="E90" s="20"/>
      <c r="F90" s="21"/>
      <c r="H90" s="26"/>
      <c r="I90" s="26"/>
      <c r="J90" s="26"/>
      <c r="K90" s="26"/>
      <c r="L90" s="27"/>
      <c r="N90" s="26"/>
      <c r="O90" s="26"/>
      <c r="P90" s="26"/>
      <c r="Q90" s="26"/>
      <c r="R90" s="27"/>
    </row>
    <row r="91" spans="2:18" x14ac:dyDescent="0.4">
      <c r="B91" s="26"/>
      <c r="C91" s="26"/>
      <c r="D91" s="26"/>
      <c r="E91" s="20"/>
      <c r="F91" s="21"/>
      <c r="H91" s="26"/>
      <c r="I91" s="26"/>
      <c r="J91" s="26"/>
      <c r="K91" s="26"/>
      <c r="L91" s="27"/>
      <c r="N91" s="26"/>
      <c r="O91" s="26"/>
      <c r="P91" s="26"/>
      <c r="Q91" s="26"/>
      <c r="R91" s="27"/>
    </row>
    <row r="92" spans="2:18" x14ac:dyDescent="0.4">
      <c r="B92" s="26"/>
      <c r="C92" s="26"/>
      <c r="D92" s="26"/>
      <c r="E92" s="20"/>
      <c r="F92" s="21"/>
      <c r="H92" s="26"/>
      <c r="I92" s="26"/>
      <c r="J92" s="26"/>
      <c r="K92" s="26"/>
      <c r="L92" s="27"/>
      <c r="N92" s="26"/>
      <c r="O92" s="26"/>
      <c r="P92" s="26"/>
      <c r="Q92" s="26"/>
      <c r="R92" s="27"/>
    </row>
    <row r="93" spans="2:18" x14ac:dyDescent="0.4">
      <c r="B93" s="26"/>
      <c r="C93" s="26"/>
      <c r="D93" s="26"/>
      <c r="E93" s="20"/>
      <c r="F93" s="21"/>
      <c r="H93" s="26"/>
      <c r="I93" s="26"/>
      <c r="J93" s="26"/>
      <c r="K93" s="26"/>
      <c r="L93" s="27"/>
      <c r="N93" s="26"/>
      <c r="O93" s="26"/>
      <c r="P93" s="26"/>
      <c r="Q93" s="26"/>
      <c r="R93" s="27"/>
    </row>
    <row r="94" spans="2:18" x14ac:dyDescent="0.4">
      <c r="B94" s="26"/>
      <c r="C94" s="26"/>
      <c r="D94" s="26"/>
      <c r="E94" s="20"/>
      <c r="F94" s="21"/>
      <c r="H94" s="26"/>
      <c r="I94" s="26"/>
      <c r="J94" s="26"/>
      <c r="K94" s="26"/>
      <c r="L94" s="27"/>
      <c r="N94" s="26"/>
      <c r="O94" s="26"/>
      <c r="P94" s="26"/>
      <c r="Q94" s="26"/>
      <c r="R94" s="27"/>
    </row>
    <row r="95" spans="2:18" x14ac:dyDescent="0.4">
      <c r="B95" s="26"/>
      <c r="C95" s="26"/>
      <c r="D95" s="26"/>
      <c r="E95" s="20"/>
      <c r="F95" s="21"/>
      <c r="H95" s="26"/>
      <c r="I95" s="26"/>
      <c r="J95" s="26"/>
      <c r="K95" s="26"/>
      <c r="L95" s="27"/>
      <c r="N95" s="26"/>
      <c r="O95" s="26"/>
      <c r="P95" s="26"/>
      <c r="Q95" s="26"/>
      <c r="R95" s="27"/>
    </row>
    <row r="96" spans="2:18" x14ac:dyDescent="0.4">
      <c r="B96" s="26"/>
      <c r="C96" s="26"/>
      <c r="D96" s="26"/>
      <c r="E96" s="20"/>
      <c r="F96" s="21"/>
      <c r="H96" s="26"/>
      <c r="I96" s="26"/>
      <c r="J96" s="26"/>
      <c r="K96" s="26"/>
      <c r="L96" s="27"/>
      <c r="N96" s="26"/>
      <c r="O96" s="26"/>
      <c r="P96" s="26"/>
      <c r="Q96" s="26"/>
      <c r="R96" s="27"/>
    </row>
    <row r="97" spans="2:18" x14ac:dyDescent="0.4">
      <c r="B97" s="26"/>
      <c r="C97" s="26"/>
      <c r="D97" s="26"/>
      <c r="E97" s="20"/>
      <c r="F97" s="21"/>
      <c r="H97" s="26"/>
      <c r="I97" s="26"/>
      <c r="J97" s="26"/>
      <c r="K97" s="26"/>
      <c r="L97" s="27"/>
      <c r="N97" s="26"/>
      <c r="O97" s="26"/>
      <c r="P97" s="26"/>
      <c r="Q97" s="26"/>
      <c r="R97" s="27"/>
    </row>
    <row r="98" spans="2:18" x14ac:dyDescent="0.4">
      <c r="B98" s="26"/>
      <c r="C98" s="26"/>
      <c r="D98" s="26"/>
      <c r="E98" s="20"/>
      <c r="F98" s="21"/>
      <c r="H98" s="26"/>
      <c r="I98" s="26"/>
      <c r="J98" s="26"/>
      <c r="K98" s="26"/>
      <c r="L98" s="27"/>
      <c r="N98" s="26"/>
      <c r="O98" s="26"/>
      <c r="P98" s="26"/>
      <c r="Q98" s="26"/>
      <c r="R98" s="27"/>
    </row>
    <row r="99" spans="2:18" x14ac:dyDescent="0.4">
      <c r="B99" s="26"/>
      <c r="C99" s="26"/>
      <c r="D99" s="26"/>
      <c r="E99" s="20"/>
      <c r="F99" s="21"/>
      <c r="H99" s="26"/>
      <c r="I99" s="26"/>
      <c r="J99" s="26"/>
      <c r="K99" s="26"/>
      <c r="L99" s="27"/>
      <c r="N99" s="26"/>
      <c r="O99" s="26"/>
      <c r="P99" s="26"/>
      <c r="Q99" s="26"/>
      <c r="R99" s="27"/>
    </row>
    <row r="100" spans="2:18" x14ac:dyDescent="0.4">
      <c r="B100" s="26"/>
      <c r="C100" s="26"/>
      <c r="D100" s="26"/>
      <c r="E100" s="20"/>
      <c r="F100" s="21"/>
      <c r="H100" s="26"/>
      <c r="I100" s="26"/>
      <c r="J100" s="26"/>
      <c r="K100" s="26"/>
      <c r="L100" s="27"/>
      <c r="N100" s="26"/>
      <c r="O100" s="26"/>
      <c r="P100" s="26"/>
      <c r="Q100" s="26"/>
      <c r="R100" s="27"/>
    </row>
    <row r="101" spans="2:18" x14ac:dyDescent="0.4">
      <c r="B101" s="26"/>
      <c r="C101" s="26"/>
      <c r="D101" s="26"/>
      <c r="E101" s="20"/>
      <c r="F101" s="21"/>
      <c r="H101" s="26"/>
      <c r="I101" s="26"/>
      <c r="J101" s="26"/>
      <c r="K101" s="26"/>
      <c r="L101" s="27"/>
      <c r="N101" s="26"/>
      <c r="O101" s="26"/>
      <c r="P101" s="26"/>
      <c r="Q101" s="26"/>
      <c r="R101" s="27"/>
    </row>
    <row r="102" spans="2:18" x14ac:dyDescent="0.4">
      <c r="B102" s="26"/>
      <c r="C102" s="26"/>
      <c r="D102" s="26"/>
      <c r="E102" s="20"/>
      <c r="F102" s="21"/>
      <c r="H102" s="26"/>
      <c r="I102" s="26"/>
      <c r="J102" s="26"/>
      <c r="K102" s="26"/>
      <c r="L102" s="27"/>
      <c r="N102" s="26"/>
      <c r="O102" s="26"/>
      <c r="P102" s="26"/>
      <c r="Q102" s="26"/>
      <c r="R102" s="27"/>
    </row>
    <row r="103" spans="2:18" x14ac:dyDescent="0.4">
      <c r="B103" s="26"/>
      <c r="C103" s="26"/>
      <c r="D103" s="26"/>
      <c r="E103" s="20"/>
      <c r="F103" s="21"/>
      <c r="H103" s="26"/>
      <c r="I103" s="26"/>
      <c r="J103" s="26"/>
      <c r="K103" s="26"/>
      <c r="L103" s="27"/>
      <c r="N103" s="26"/>
      <c r="O103" s="26"/>
      <c r="P103" s="26"/>
      <c r="Q103" s="26"/>
      <c r="R103" s="27"/>
    </row>
    <row r="104" spans="2:18" x14ac:dyDescent="0.4">
      <c r="B104" s="26"/>
      <c r="C104" s="26"/>
      <c r="D104" s="26"/>
      <c r="E104" s="20"/>
      <c r="F104" s="21"/>
      <c r="H104" s="26"/>
      <c r="I104" s="26"/>
      <c r="J104" s="26"/>
      <c r="K104" s="26"/>
      <c r="L104" s="27"/>
      <c r="N104" s="26"/>
      <c r="O104" s="26"/>
      <c r="P104" s="26"/>
      <c r="Q104" s="26"/>
      <c r="R104" s="27"/>
    </row>
    <row r="105" spans="2:18" x14ac:dyDescent="0.4">
      <c r="B105" s="26"/>
      <c r="C105" s="26"/>
      <c r="D105" s="26"/>
      <c r="E105" s="20"/>
      <c r="F105" s="21"/>
      <c r="H105" s="26"/>
      <c r="I105" s="26"/>
      <c r="J105" s="26"/>
      <c r="K105" s="26"/>
      <c r="L105" s="27"/>
      <c r="N105" s="26"/>
      <c r="O105" s="26"/>
      <c r="P105" s="26"/>
      <c r="Q105" s="26"/>
      <c r="R105" s="27"/>
    </row>
    <row r="106" spans="2:18" x14ac:dyDescent="0.4">
      <c r="B106" s="26"/>
      <c r="C106" s="26"/>
      <c r="D106" s="26"/>
      <c r="E106" s="20"/>
      <c r="F106" s="21"/>
      <c r="H106" s="26"/>
      <c r="I106" s="26"/>
      <c r="J106" s="26"/>
      <c r="K106" s="26"/>
      <c r="L106" s="27"/>
      <c r="N106" s="26"/>
      <c r="O106" s="26"/>
      <c r="P106" s="26"/>
      <c r="Q106" s="26"/>
      <c r="R106" s="27"/>
    </row>
    <row r="107" spans="2:18" x14ac:dyDescent="0.4">
      <c r="B107" s="26"/>
      <c r="C107" s="26"/>
      <c r="D107" s="26"/>
      <c r="E107" s="20"/>
      <c r="F107" s="21"/>
      <c r="H107" s="26"/>
      <c r="I107" s="26"/>
      <c r="J107" s="26"/>
      <c r="K107" s="26"/>
      <c r="L107" s="27"/>
      <c r="N107" s="26"/>
      <c r="O107" s="26"/>
      <c r="P107" s="26"/>
      <c r="Q107" s="26"/>
      <c r="R107" s="27"/>
    </row>
    <row r="108" spans="2:18" x14ac:dyDescent="0.4">
      <c r="B108" s="26"/>
      <c r="C108" s="26"/>
      <c r="D108" s="26"/>
      <c r="E108" s="20"/>
      <c r="F108" s="21"/>
      <c r="H108" s="26"/>
      <c r="I108" s="26"/>
      <c r="J108" s="26"/>
      <c r="K108" s="26"/>
      <c r="L108" s="27"/>
      <c r="N108" s="26"/>
      <c r="O108" s="26"/>
      <c r="P108" s="26"/>
      <c r="Q108" s="26"/>
      <c r="R108" s="27"/>
    </row>
    <row r="109" spans="2:18" x14ac:dyDescent="0.4">
      <c r="B109" s="26"/>
      <c r="C109" s="26"/>
      <c r="D109" s="26"/>
      <c r="E109" s="20"/>
      <c r="F109" s="21"/>
      <c r="H109" s="26"/>
      <c r="I109" s="26"/>
      <c r="J109" s="26"/>
      <c r="K109" s="26"/>
      <c r="L109" s="27"/>
      <c r="N109" s="26"/>
      <c r="O109" s="26"/>
      <c r="P109" s="26"/>
      <c r="Q109" s="26"/>
      <c r="R109" s="27"/>
    </row>
    <row r="110" spans="2:18" x14ac:dyDescent="0.4">
      <c r="B110" s="26"/>
      <c r="C110" s="26"/>
      <c r="D110" s="26"/>
      <c r="E110" s="20"/>
      <c r="F110" s="21"/>
      <c r="H110" s="26"/>
      <c r="I110" s="26"/>
      <c r="J110" s="26"/>
      <c r="K110" s="26"/>
      <c r="L110" s="27"/>
      <c r="N110" s="26"/>
      <c r="O110" s="26"/>
      <c r="P110" s="26"/>
      <c r="Q110" s="26"/>
      <c r="R110" s="27"/>
    </row>
    <row r="111" spans="2:18" x14ac:dyDescent="0.4">
      <c r="B111" s="26"/>
      <c r="C111" s="26"/>
      <c r="D111" s="26"/>
      <c r="E111" s="20"/>
      <c r="F111" s="21"/>
      <c r="H111" s="26"/>
      <c r="I111" s="26"/>
      <c r="J111" s="26"/>
      <c r="K111" s="26"/>
      <c r="L111" s="27"/>
      <c r="N111" s="26"/>
      <c r="O111" s="26"/>
      <c r="P111" s="26"/>
      <c r="Q111" s="26"/>
      <c r="R111" s="27"/>
    </row>
    <row r="112" spans="2:18" x14ac:dyDescent="0.4">
      <c r="B112" s="26"/>
      <c r="C112" s="26"/>
      <c r="D112" s="26"/>
      <c r="E112" s="20"/>
      <c r="F112" s="21"/>
      <c r="H112" s="26"/>
      <c r="I112" s="26"/>
      <c r="J112" s="26"/>
      <c r="K112" s="26"/>
      <c r="L112" s="27"/>
      <c r="N112" s="26"/>
      <c r="O112" s="26"/>
      <c r="P112" s="26"/>
      <c r="Q112" s="26"/>
      <c r="R112" s="27"/>
    </row>
  </sheetData>
  <autoFilter ref="B4:R4" xr:uid="{00000000-0009-0000-0000-000007000000}">
    <sortState xmlns:xlrd2="http://schemas.microsoft.com/office/spreadsheetml/2017/richdata2" ref="B5:R35">
      <sortCondition descending="1" ref="O4"/>
    </sortState>
  </autoFilter>
  <phoneticPr fontId="2" type="noConversion"/>
  <conditionalFormatting sqref="E5:E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FFB-3488-4085-B71A-DC803FA495F1}">
  <sheetPr codeName="Sheet221">
    <tabColor rgb="FFFF0000"/>
  </sheetPr>
  <dimension ref="A1:L3205"/>
  <sheetViews>
    <sheetView showGridLines="0" zoomScaleNormal="100" workbookViewId="0">
      <pane xSplit="4" ySplit="13" topLeftCell="H30" activePane="bottomRight" state="frozen"/>
      <selection activeCell="N44" sqref="N44"/>
      <selection pane="topRight" activeCell="N44" sqref="N44"/>
      <selection pane="bottomLeft" activeCell="N44" sqref="N44"/>
      <selection pane="bottomRight" activeCell="N44" sqref="N44"/>
    </sheetView>
  </sheetViews>
  <sheetFormatPr defaultRowHeight="11.4" x14ac:dyDescent="0.4"/>
  <cols>
    <col min="1" max="1" width="8.796875" style="37"/>
    <col min="2" max="7" width="11.796875" style="37" customWidth="1"/>
    <col min="8" max="8" width="3.796875" style="37" customWidth="1"/>
    <col min="9" max="9" width="10.5" style="37" bestFit="1" customWidth="1"/>
    <col min="10" max="253" width="8.796875" style="37"/>
    <col min="254" max="263" width="11.796875" style="37" customWidth="1"/>
    <col min="264" max="264" width="3.796875" style="37" customWidth="1"/>
    <col min="265" max="265" width="10.5" style="37" bestFit="1" customWidth="1"/>
    <col min="266" max="509" width="8.796875" style="37"/>
    <col min="510" max="519" width="11.796875" style="37" customWidth="1"/>
    <col min="520" max="520" width="3.796875" style="37" customWidth="1"/>
    <col min="521" max="521" width="10.5" style="37" bestFit="1" customWidth="1"/>
    <col min="522" max="765" width="8.796875" style="37"/>
    <col min="766" max="775" width="11.796875" style="37" customWidth="1"/>
    <col min="776" max="776" width="3.796875" style="37" customWidth="1"/>
    <col min="777" max="777" width="10.5" style="37" bestFit="1" customWidth="1"/>
    <col min="778" max="1021" width="8.796875" style="37"/>
    <col min="1022" max="1031" width="11.796875" style="37" customWidth="1"/>
    <col min="1032" max="1032" width="3.796875" style="37" customWidth="1"/>
    <col min="1033" max="1033" width="10.5" style="37" bestFit="1" customWidth="1"/>
    <col min="1034" max="1277" width="8.796875" style="37"/>
    <col min="1278" max="1287" width="11.796875" style="37" customWidth="1"/>
    <col min="1288" max="1288" width="3.796875" style="37" customWidth="1"/>
    <col min="1289" max="1289" width="10.5" style="37" bestFit="1" customWidth="1"/>
    <col min="1290" max="1533" width="8.796875" style="37"/>
    <col min="1534" max="1543" width="11.796875" style="37" customWidth="1"/>
    <col min="1544" max="1544" width="3.796875" style="37" customWidth="1"/>
    <col min="1545" max="1545" width="10.5" style="37" bestFit="1" customWidth="1"/>
    <col min="1546" max="1789" width="8.796875" style="37"/>
    <col min="1790" max="1799" width="11.796875" style="37" customWidth="1"/>
    <col min="1800" max="1800" width="3.796875" style="37" customWidth="1"/>
    <col min="1801" max="1801" width="10.5" style="37" bestFit="1" customWidth="1"/>
    <col min="1802" max="2045" width="8.796875" style="37"/>
    <col min="2046" max="2055" width="11.796875" style="37" customWidth="1"/>
    <col min="2056" max="2056" width="3.796875" style="37" customWidth="1"/>
    <col min="2057" max="2057" width="10.5" style="37" bestFit="1" customWidth="1"/>
    <col min="2058" max="2301" width="8.796875" style="37"/>
    <col min="2302" max="2311" width="11.796875" style="37" customWidth="1"/>
    <col min="2312" max="2312" width="3.796875" style="37" customWidth="1"/>
    <col min="2313" max="2313" width="10.5" style="37" bestFit="1" customWidth="1"/>
    <col min="2314" max="2557" width="8.796875" style="37"/>
    <col min="2558" max="2567" width="11.796875" style="37" customWidth="1"/>
    <col min="2568" max="2568" width="3.796875" style="37" customWidth="1"/>
    <col min="2569" max="2569" width="10.5" style="37" bestFit="1" customWidth="1"/>
    <col min="2570" max="2813" width="8.796875" style="37"/>
    <col min="2814" max="2823" width="11.796875" style="37" customWidth="1"/>
    <col min="2824" max="2824" width="3.796875" style="37" customWidth="1"/>
    <col min="2825" max="2825" width="10.5" style="37" bestFit="1" customWidth="1"/>
    <col min="2826" max="3069" width="8.796875" style="37"/>
    <col min="3070" max="3079" width="11.796875" style="37" customWidth="1"/>
    <col min="3080" max="3080" width="3.796875" style="37" customWidth="1"/>
    <col min="3081" max="3081" width="10.5" style="37" bestFit="1" customWidth="1"/>
    <col min="3082" max="3325" width="8.796875" style="37"/>
    <col min="3326" max="3335" width="11.796875" style="37" customWidth="1"/>
    <col min="3336" max="3336" width="3.796875" style="37" customWidth="1"/>
    <col min="3337" max="3337" width="10.5" style="37" bestFit="1" customWidth="1"/>
    <col min="3338" max="3581" width="8.796875" style="37"/>
    <col min="3582" max="3591" width="11.796875" style="37" customWidth="1"/>
    <col min="3592" max="3592" width="3.796875" style="37" customWidth="1"/>
    <col min="3593" max="3593" width="10.5" style="37" bestFit="1" customWidth="1"/>
    <col min="3594" max="3837" width="8.796875" style="37"/>
    <col min="3838" max="3847" width="11.796875" style="37" customWidth="1"/>
    <col min="3848" max="3848" width="3.796875" style="37" customWidth="1"/>
    <col min="3849" max="3849" width="10.5" style="37" bestFit="1" customWidth="1"/>
    <col min="3850" max="4093" width="8.796875" style="37"/>
    <col min="4094" max="4103" width="11.796875" style="37" customWidth="1"/>
    <col min="4104" max="4104" width="3.796875" style="37" customWidth="1"/>
    <col min="4105" max="4105" width="10.5" style="37" bestFit="1" customWidth="1"/>
    <col min="4106" max="4349" width="8.796875" style="37"/>
    <col min="4350" max="4359" width="11.796875" style="37" customWidth="1"/>
    <col min="4360" max="4360" width="3.796875" style="37" customWidth="1"/>
    <col min="4361" max="4361" width="10.5" style="37" bestFit="1" customWidth="1"/>
    <col min="4362" max="4605" width="8.796875" style="37"/>
    <col min="4606" max="4615" width="11.796875" style="37" customWidth="1"/>
    <col min="4616" max="4616" width="3.796875" style="37" customWidth="1"/>
    <col min="4617" max="4617" width="10.5" style="37" bestFit="1" customWidth="1"/>
    <col min="4618" max="4861" width="8.796875" style="37"/>
    <col min="4862" max="4871" width="11.796875" style="37" customWidth="1"/>
    <col min="4872" max="4872" width="3.796875" style="37" customWidth="1"/>
    <col min="4873" max="4873" width="10.5" style="37" bestFit="1" customWidth="1"/>
    <col min="4874" max="5117" width="8.796875" style="37"/>
    <col min="5118" max="5127" width="11.796875" style="37" customWidth="1"/>
    <col min="5128" max="5128" width="3.796875" style="37" customWidth="1"/>
    <col min="5129" max="5129" width="10.5" style="37" bestFit="1" customWidth="1"/>
    <col min="5130" max="5373" width="8.796875" style="37"/>
    <col min="5374" max="5383" width="11.796875" style="37" customWidth="1"/>
    <col min="5384" max="5384" width="3.796875" style="37" customWidth="1"/>
    <col min="5385" max="5385" width="10.5" style="37" bestFit="1" customWidth="1"/>
    <col min="5386" max="5629" width="8.796875" style="37"/>
    <col min="5630" max="5639" width="11.796875" style="37" customWidth="1"/>
    <col min="5640" max="5640" width="3.796875" style="37" customWidth="1"/>
    <col min="5641" max="5641" width="10.5" style="37" bestFit="1" customWidth="1"/>
    <col min="5642" max="5885" width="8.796875" style="37"/>
    <col min="5886" max="5895" width="11.796875" style="37" customWidth="1"/>
    <col min="5896" max="5896" width="3.796875" style="37" customWidth="1"/>
    <col min="5897" max="5897" width="10.5" style="37" bestFit="1" customWidth="1"/>
    <col min="5898" max="6141" width="8.796875" style="37"/>
    <col min="6142" max="6151" width="11.796875" style="37" customWidth="1"/>
    <col min="6152" max="6152" width="3.796875" style="37" customWidth="1"/>
    <col min="6153" max="6153" width="10.5" style="37" bestFit="1" customWidth="1"/>
    <col min="6154" max="6397" width="8.796875" style="37"/>
    <col min="6398" max="6407" width="11.796875" style="37" customWidth="1"/>
    <col min="6408" max="6408" width="3.796875" style="37" customWidth="1"/>
    <col min="6409" max="6409" width="10.5" style="37" bestFit="1" customWidth="1"/>
    <col min="6410" max="6653" width="8.796875" style="37"/>
    <col min="6654" max="6663" width="11.796875" style="37" customWidth="1"/>
    <col min="6664" max="6664" width="3.796875" style="37" customWidth="1"/>
    <col min="6665" max="6665" width="10.5" style="37" bestFit="1" customWidth="1"/>
    <col min="6666" max="6909" width="8.796875" style="37"/>
    <col min="6910" max="6919" width="11.796875" style="37" customWidth="1"/>
    <col min="6920" max="6920" width="3.796875" style="37" customWidth="1"/>
    <col min="6921" max="6921" width="10.5" style="37" bestFit="1" customWidth="1"/>
    <col min="6922" max="7165" width="8.796875" style="37"/>
    <col min="7166" max="7175" width="11.796875" style="37" customWidth="1"/>
    <col min="7176" max="7176" width="3.796875" style="37" customWidth="1"/>
    <col min="7177" max="7177" width="10.5" style="37" bestFit="1" customWidth="1"/>
    <col min="7178" max="7421" width="8.796875" style="37"/>
    <col min="7422" max="7431" width="11.796875" style="37" customWidth="1"/>
    <col min="7432" max="7432" width="3.796875" style="37" customWidth="1"/>
    <col min="7433" max="7433" width="10.5" style="37" bestFit="1" customWidth="1"/>
    <col min="7434" max="7677" width="8.796875" style="37"/>
    <col min="7678" max="7687" width="11.796875" style="37" customWidth="1"/>
    <col min="7688" max="7688" width="3.796875" style="37" customWidth="1"/>
    <col min="7689" max="7689" width="10.5" style="37" bestFit="1" customWidth="1"/>
    <col min="7690" max="7933" width="8.796875" style="37"/>
    <col min="7934" max="7943" width="11.796875" style="37" customWidth="1"/>
    <col min="7944" max="7944" width="3.796875" style="37" customWidth="1"/>
    <col min="7945" max="7945" width="10.5" style="37" bestFit="1" customWidth="1"/>
    <col min="7946" max="8189" width="8.796875" style="37"/>
    <col min="8190" max="8199" width="11.796875" style="37" customWidth="1"/>
    <col min="8200" max="8200" width="3.796875" style="37" customWidth="1"/>
    <col min="8201" max="8201" width="10.5" style="37" bestFit="1" customWidth="1"/>
    <col min="8202" max="8445" width="8.796875" style="37"/>
    <col min="8446" max="8455" width="11.796875" style="37" customWidth="1"/>
    <col min="8456" max="8456" width="3.796875" style="37" customWidth="1"/>
    <col min="8457" max="8457" width="10.5" style="37" bestFit="1" customWidth="1"/>
    <col min="8458" max="8701" width="8.796875" style="37"/>
    <col min="8702" max="8711" width="11.796875" style="37" customWidth="1"/>
    <col min="8712" max="8712" width="3.796875" style="37" customWidth="1"/>
    <col min="8713" max="8713" width="10.5" style="37" bestFit="1" customWidth="1"/>
    <col min="8714" max="8957" width="8.796875" style="37"/>
    <col min="8958" max="8967" width="11.796875" style="37" customWidth="1"/>
    <col min="8968" max="8968" width="3.796875" style="37" customWidth="1"/>
    <col min="8969" max="8969" width="10.5" style="37" bestFit="1" customWidth="1"/>
    <col min="8970" max="9213" width="8.796875" style="37"/>
    <col min="9214" max="9223" width="11.796875" style="37" customWidth="1"/>
    <col min="9224" max="9224" width="3.796875" style="37" customWidth="1"/>
    <col min="9225" max="9225" width="10.5" style="37" bestFit="1" customWidth="1"/>
    <col min="9226" max="9469" width="8.796875" style="37"/>
    <col min="9470" max="9479" width="11.796875" style="37" customWidth="1"/>
    <col min="9480" max="9480" width="3.796875" style="37" customWidth="1"/>
    <col min="9481" max="9481" width="10.5" style="37" bestFit="1" customWidth="1"/>
    <col min="9482" max="9725" width="8.796875" style="37"/>
    <col min="9726" max="9735" width="11.796875" style="37" customWidth="1"/>
    <col min="9736" max="9736" width="3.796875" style="37" customWidth="1"/>
    <col min="9737" max="9737" width="10.5" style="37" bestFit="1" customWidth="1"/>
    <col min="9738" max="9981" width="8.796875" style="37"/>
    <col min="9982" max="9991" width="11.796875" style="37" customWidth="1"/>
    <col min="9992" max="9992" width="3.796875" style="37" customWidth="1"/>
    <col min="9993" max="9993" width="10.5" style="37" bestFit="1" customWidth="1"/>
    <col min="9994" max="10237" width="8.796875" style="37"/>
    <col min="10238" max="10247" width="11.796875" style="37" customWidth="1"/>
    <col min="10248" max="10248" width="3.796875" style="37" customWidth="1"/>
    <col min="10249" max="10249" width="10.5" style="37" bestFit="1" customWidth="1"/>
    <col min="10250" max="10493" width="8.796875" style="37"/>
    <col min="10494" max="10503" width="11.796875" style="37" customWidth="1"/>
    <col min="10504" max="10504" width="3.796875" style="37" customWidth="1"/>
    <col min="10505" max="10505" width="10.5" style="37" bestFit="1" customWidth="1"/>
    <col min="10506" max="10749" width="8.796875" style="37"/>
    <col min="10750" max="10759" width="11.796875" style="37" customWidth="1"/>
    <col min="10760" max="10760" width="3.796875" style="37" customWidth="1"/>
    <col min="10761" max="10761" width="10.5" style="37" bestFit="1" customWidth="1"/>
    <col min="10762" max="11005" width="8.796875" style="37"/>
    <col min="11006" max="11015" width="11.796875" style="37" customWidth="1"/>
    <col min="11016" max="11016" width="3.796875" style="37" customWidth="1"/>
    <col min="11017" max="11017" width="10.5" style="37" bestFit="1" customWidth="1"/>
    <col min="11018" max="11261" width="8.796875" style="37"/>
    <col min="11262" max="11271" width="11.796875" style="37" customWidth="1"/>
    <col min="11272" max="11272" width="3.796875" style="37" customWidth="1"/>
    <col min="11273" max="11273" width="10.5" style="37" bestFit="1" customWidth="1"/>
    <col min="11274" max="11517" width="8.796875" style="37"/>
    <col min="11518" max="11527" width="11.796875" style="37" customWidth="1"/>
    <col min="11528" max="11528" width="3.796875" style="37" customWidth="1"/>
    <col min="11529" max="11529" width="10.5" style="37" bestFit="1" customWidth="1"/>
    <col min="11530" max="11773" width="8.796875" style="37"/>
    <col min="11774" max="11783" width="11.796875" style="37" customWidth="1"/>
    <col min="11784" max="11784" width="3.796875" style="37" customWidth="1"/>
    <col min="11785" max="11785" width="10.5" style="37" bestFit="1" customWidth="1"/>
    <col min="11786" max="12029" width="8.796875" style="37"/>
    <col min="12030" max="12039" width="11.796875" style="37" customWidth="1"/>
    <col min="12040" max="12040" width="3.796875" style="37" customWidth="1"/>
    <col min="12041" max="12041" width="10.5" style="37" bestFit="1" customWidth="1"/>
    <col min="12042" max="12285" width="8.796875" style="37"/>
    <col min="12286" max="12295" width="11.796875" style="37" customWidth="1"/>
    <col min="12296" max="12296" width="3.796875" style="37" customWidth="1"/>
    <col min="12297" max="12297" width="10.5" style="37" bestFit="1" customWidth="1"/>
    <col min="12298" max="12541" width="8.796875" style="37"/>
    <col min="12542" max="12551" width="11.796875" style="37" customWidth="1"/>
    <col min="12552" max="12552" width="3.796875" style="37" customWidth="1"/>
    <col min="12553" max="12553" width="10.5" style="37" bestFit="1" customWidth="1"/>
    <col min="12554" max="12797" width="8.796875" style="37"/>
    <col min="12798" max="12807" width="11.796875" style="37" customWidth="1"/>
    <col min="12808" max="12808" width="3.796875" style="37" customWidth="1"/>
    <col min="12809" max="12809" width="10.5" style="37" bestFit="1" customWidth="1"/>
    <col min="12810" max="13053" width="8.796875" style="37"/>
    <col min="13054" max="13063" width="11.796875" style="37" customWidth="1"/>
    <col min="13064" max="13064" width="3.796875" style="37" customWidth="1"/>
    <col min="13065" max="13065" width="10.5" style="37" bestFit="1" customWidth="1"/>
    <col min="13066" max="13309" width="8.796875" style="37"/>
    <col min="13310" max="13319" width="11.796875" style="37" customWidth="1"/>
    <col min="13320" max="13320" width="3.796875" style="37" customWidth="1"/>
    <col min="13321" max="13321" width="10.5" style="37" bestFit="1" customWidth="1"/>
    <col min="13322" max="13565" width="8.796875" style="37"/>
    <col min="13566" max="13575" width="11.796875" style="37" customWidth="1"/>
    <col min="13576" max="13576" width="3.796875" style="37" customWidth="1"/>
    <col min="13577" max="13577" width="10.5" style="37" bestFit="1" customWidth="1"/>
    <col min="13578" max="13821" width="8.796875" style="37"/>
    <col min="13822" max="13831" width="11.796875" style="37" customWidth="1"/>
    <col min="13832" max="13832" width="3.796875" style="37" customWidth="1"/>
    <col min="13833" max="13833" width="10.5" style="37" bestFit="1" customWidth="1"/>
    <col min="13834" max="14077" width="8.796875" style="37"/>
    <col min="14078" max="14087" width="11.796875" style="37" customWidth="1"/>
    <col min="14088" max="14088" width="3.796875" style="37" customWidth="1"/>
    <col min="14089" max="14089" width="10.5" style="37" bestFit="1" customWidth="1"/>
    <col min="14090" max="14333" width="8.796875" style="37"/>
    <col min="14334" max="14343" width="11.796875" style="37" customWidth="1"/>
    <col min="14344" max="14344" width="3.796875" style="37" customWidth="1"/>
    <col min="14345" max="14345" width="10.5" style="37" bestFit="1" customWidth="1"/>
    <col min="14346" max="14589" width="8.796875" style="37"/>
    <col min="14590" max="14599" width="11.796875" style="37" customWidth="1"/>
    <col min="14600" max="14600" width="3.796875" style="37" customWidth="1"/>
    <col min="14601" max="14601" width="10.5" style="37" bestFit="1" customWidth="1"/>
    <col min="14602" max="14845" width="8.796875" style="37"/>
    <col min="14846" max="14855" width="11.796875" style="37" customWidth="1"/>
    <col min="14856" max="14856" width="3.796875" style="37" customWidth="1"/>
    <col min="14857" max="14857" width="10.5" style="37" bestFit="1" customWidth="1"/>
    <col min="14858" max="15101" width="8.796875" style="37"/>
    <col min="15102" max="15111" width="11.796875" style="37" customWidth="1"/>
    <col min="15112" max="15112" width="3.796875" style="37" customWidth="1"/>
    <col min="15113" max="15113" width="10.5" style="37" bestFit="1" customWidth="1"/>
    <col min="15114" max="15357" width="8.796875" style="37"/>
    <col min="15358" max="15367" width="11.796875" style="37" customWidth="1"/>
    <col min="15368" max="15368" width="3.796875" style="37" customWidth="1"/>
    <col min="15369" max="15369" width="10.5" style="37" bestFit="1" customWidth="1"/>
    <col min="15370" max="15613" width="8.796875" style="37"/>
    <col min="15614" max="15623" width="11.796875" style="37" customWidth="1"/>
    <col min="15624" max="15624" width="3.796875" style="37" customWidth="1"/>
    <col min="15625" max="15625" width="10.5" style="37" bestFit="1" customWidth="1"/>
    <col min="15626" max="15869" width="8.796875" style="37"/>
    <col min="15870" max="15879" width="11.796875" style="37" customWidth="1"/>
    <col min="15880" max="15880" width="3.796875" style="37" customWidth="1"/>
    <col min="15881" max="15881" width="10.5" style="37" bestFit="1" customWidth="1"/>
    <col min="15882" max="16125" width="8.796875" style="37"/>
    <col min="16126" max="16135" width="11.796875" style="37" customWidth="1"/>
    <col min="16136" max="16136" width="3.796875" style="37" customWidth="1"/>
    <col min="16137" max="16137" width="10.5" style="37" bestFit="1" customWidth="1"/>
    <col min="16138" max="16384" width="8.796875" style="37"/>
  </cols>
  <sheetData>
    <row r="1" spans="1:11" ht="15" customHeight="1" x14ac:dyDescent="0.4">
      <c r="A1" s="34"/>
      <c r="B1" s="35" t="s">
        <v>0</v>
      </c>
      <c r="C1" s="36" t="s">
        <v>5219</v>
      </c>
      <c r="E1" s="37">
        <f>COLUMN()-1</f>
        <v>4</v>
      </c>
      <c r="F1" s="37">
        <f>COLUMN()-1</f>
        <v>5</v>
      </c>
      <c r="G1" s="37">
        <f>COLUMN()-1</f>
        <v>6</v>
      </c>
    </row>
    <row r="2" spans="1:11" x14ac:dyDescent="0.4">
      <c r="C2" s="38"/>
    </row>
    <row r="3" spans="1:11" ht="12" x14ac:dyDescent="0.4">
      <c r="B3" s="39" t="s">
        <v>777</v>
      </c>
      <c r="C3" s="40"/>
      <c r="D3" s="40"/>
    </row>
    <row r="4" spans="1:11" x14ac:dyDescent="0.4">
      <c r="B4" s="41" t="s">
        <v>778</v>
      </c>
      <c r="C4" s="41" t="s">
        <v>779</v>
      </c>
      <c r="D4" s="41" t="s">
        <v>1</v>
      </c>
      <c r="E4" s="42"/>
      <c r="F4" s="42"/>
      <c r="G4" s="42"/>
      <c r="H4" s="42"/>
    </row>
    <row r="5" spans="1:11" ht="12" thickBot="1" x14ac:dyDescent="0.45">
      <c r="B5" s="43" t="s">
        <v>780</v>
      </c>
      <c r="C5" s="43" t="s">
        <v>781</v>
      </c>
      <c r="D5" s="43" t="s">
        <v>782</v>
      </c>
      <c r="F5" s="44"/>
      <c r="G5" s="44"/>
      <c r="H5" s="44"/>
    </row>
    <row r="6" spans="1:11" ht="12" thickBot="1" x14ac:dyDescent="0.45">
      <c r="B6" s="45" t="s">
        <v>783</v>
      </c>
      <c r="C6" s="46">
        <v>20260227</v>
      </c>
      <c r="D6" s="45" t="s">
        <v>784</v>
      </c>
    </row>
    <row r="7" spans="1:11" x14ac:dyDescent="0.4">
      <c r="B7" s="47"/>
      <c r="C7" s="47"/>
      <c r="D7" s="47">
        <v>0</v>
      </c>
    </row>
    <row r="8" spans="1:11" x14ac:dyDescent="0.4">
      <c r="F8" s="37">
        <v>0</v>
      </c>
      <c r="G8" s="37">
        <v>0.5</v>
      </c>
    </row>
    <row r="9" spans="1:11" ht="12" thickBot="1" x14ac:dyDescent="0.45">
      <c r="B9" s="48"/>
      <c r="C9" s="48" t="s">
        <v>785</v>
      </c>
      <c r="D9" s="48" t="s">
        <v>786</v>
      </c>
      <c r="E9" s="48" t="s">
        <v>787</v>
      </c>
      <c r="F9" s="48" t="s">
        <v>788</v>
      </c>
      <c r="G9" s="48" t="s">
        <v>789</v>
      </c>
      <c r="H9" s="45"/>
    </row>
    <row r="10" spans="1:11" ht="12" thickBot="1" x14ac:dyDescent="0.45">
      <c r="B10" s="45"/>
      <c r="C10" s="45" t="s">
        <v>790</v>
      </c>
      <c r="D10" s="45"/>
      <c r="E10" s="46">
        <f>C6</f>
        <v>20260227</v>
      </c>
      <c r="F10" s="46">
        <f>C6</f>
        <v>20260227</v>
      </c>
      <c r="G10" s="45"/>
      <c r="H10" s="45"/>
    </row>
    <row r="11" spans="1:11" ht="12" thickBot="1" x14ac:dyDescent="0.45">
      <c r="A11" s="49"/>
      <c r="B11" s="45"/>
      <c r="C11" s="45" t="s">
        <v>791</v>
      </c>
      <c r="D11" s="45" t="s">
        <v>792</v>
      </c>
      <c r="E11" s="45" t="s">
        <v>793</v>
      </c>
      <c r="F11" s="45" t="s">
        <v>794</v>
      </c>
      <c r="G11" s="45" t="s">
        <v>795</v>
      </c>
      <c r="H11" s="45"/>
    </row>
    <row r="12" spans="1:11" x14ac:dyDescent="0.4">
      <c r="C12" s="37" t="s">
        <v>796</v>
      </c>
      <c r="D12" s="45"/>
      <c r="E12" s="45"/>
      <c r="F12" s="45"/>
      <c r="G12" s="50">
        <f>C6</f>
        <v>20260227</v>
      </c>
      <c r="H12" s="45"/>
    </row>
    <row r="13" spans="1:11" x14ac:dyDescent="0.4">
      <c r="B13" s="51" t="s">
        <v>797</v>
      </c>
      <c r="C13" s="52" t="s">
        <v>798</v>
      </c>
      <c r="D13" s="52" t="s">
        <v>799</v>
      </c>
      <c r="E13" s="52" t="s">
        <v>800</v>
      </c>
      <c r="F13" s="52" t="s">
        <v>801</v>
      </c>
      <c r="G13" s="52" t="s">
        <v>802</v>
      </c>
      <c r="H13" s="53"/>
    </row>
    <row r="14" spans="1:11" x14ac:dyDescent="0.4">
      <c r="A14" s="49"/>
      <c r="B14" s="54" t="s">
        <v>803</v>
      </c>
      <c r="C14" s="37" t="s">
        <v>804</v>
      </c>
      <c r="D14" s="55" t="s">
        <v>805</v>
      </c>
      <c r="E14" s="56">
        <v>175.97</v>
      </c>
      <c r="F14" s="55">
        <v>0.45</v>
      </c>
      <c r="G14" s="55"/>
      <c r="I14" s="49" t="str">
        <f>IF((G14&gt;$G$8),E14+ROW()/100000,"")</f>
        <v/>
      </c>
      <c r="J14" s="37" t="str">
        <f t="shared" ref="J14:J77" si="0">C14</f>
        <v>동화약품</v>
      </c>
      <c r="K14" s="37" t="str">
        <f t="shared" ref="K14:K77" si="1">B14</f>
        <v>A000020</v>
      </c>
    </row>
    <row r="15" spans="1:11" x14ac:dyDescent="0.4">
      <c r="A15" s="49"/>
      <c r="B15" s="54" t="s">
        <v>806</v>
      </c>
      <c r="C15" s="37" t="s">
        <v>807</v>
      </c>
      <c r="D15" s="55" t="s">
        <v>805</v>
      </c>
      <c r="E15" s="56">
        <v>34.200000000000003</v>
      </c>
      <c r="F15" s="57">
        <v>0.14000000000000001</v>
      </c>
      <c r="G15" s="57"/>
      <c r="H15" s="49"/>
      <c r="I15" s="49" t="str">
        <f>IF((G15&gt;$G$8),E15+ROW()/100000,"")</f>
        <v/>
      </c>
      <c r="J15" s="37" t="str">
        <f t="shared" si="0"/>
        <v>KR모터스</v>
      </c>
      <c r="K15" s="37" t="str">
        <f t="shared" si="1"/>
        <v>A000040</v>
      </c>
    </row>
    <row r="16" spans="1:11" x14ac:dyDescent="0.4">
      <c r="A16" s="49"/>
      <c r="B16" s="54" t="s">
        <v>808</v>
      </c>
      <c r="C16" s="37" t="s">
        <v>809</v>
      </c>
      <c r="D16" s="55" t="s">
        <v>805</v>
      </c>
      <c r="E16" s="58">
        <v>279.64</v>
      </c>
      <c r="F16" s="57">
        <v>4.57</v>
      </c>
      <c r="G16" s="57"/>
      <c r="H16" s="49"/>
      <c r="I16" s="49" t="str">
        <f>IF((G16&gt;$G$8),E16+ROW()/100000,"")</f>
        <v/>
      </c>
      <c r="J16" s="37" t="str">
        <f t="shared" si="0"/>
        <v>경방</v>
      </c>
      <c r="K16" s="37" t="str">
        <f t="shared" si="1"/>
        <v>A000050</v>
      </c>
    </row>
    <row r="17" spans="1:12" x14ac:dyDescent="0.4">
      <c r="A17" s="49"/>
      <c r="B17" s="54" t="s">
        <v>810</v>
      </c>
      <c r="C17" s="37" t="s">
        <v>811</v>
      </c>
      <c r="D17" s="55" t="s">
        <v>805</v>
      </c>
      <c r="E17" s="59">
        <v>578.36</v>
      </c>
      <c r="F17" s="57">
        <v>2.19</v>
      </c>
      <c r="G17" s="57"/>
      <c r="H17" s="49"/>
      <c r="I17" s="49" t="str">
        <f>IF((G17&gt;$G$8),E17+ROW()/100000,"")</f>
        <v/>
      </c>
      <c r="J17" s="37" t="str">
        <f t="shared" si="0"/>
        <v>삼양홀딩스</v>
      </c>
      <c r="K17" s="37" t="str">
        <f t="shared" si="1"/>
        <v>A000070</v>
      </c>
    </row>
    <row r="18" spans="1:12" x14ac:dyDescent="0.4">
      <c r="A18" s="49"/>
      <c r="B18" s="54" t="s">
        <v>812</v>
      </c>
      <c r="C18" s="37" t="s">
        <v>813</v>
      </c>
      <c r="D18" s="55" t="s">
        <v>805</v>
      </c>
      <c r="E18" s="56">
        <v>1246.27</v>
      </c>
      <c r="F18" s="55">
        <v>3.05</v>
      </c>
      <c r="G18" s="55">
        <v>7</v>
      </c>
      <c r="I18" s="49">
        <f>IF((G18&gt;$G$8),E18+ROW()/100000,"")</f>
        <v>1246.27018</v>
      </c>
      <c r="J18" s="37" t="str">
        <f t="shared" si="0"/>
        <v>하이트진로</v>
      </c>
      <c r="K18" s="37" t="str">
        <f t="shared" si="1"/>
        <v>A000080</v>
      </c>
    </row>
    <row r="19" spans="1:12" x14ac:dyDescent="0.4">
      <c r="B19" s="54" t="s">
        <v>751</v>
      </c>
      <c r="C19" s="37" t="s">
        <v>752</v>
      </c>
      <c r="D19" s="55" t="s">
        <v>805</v>
      </c>
      <c r="E19" s="56">
        <v>8777.17</v>
      </c>
      <c r="F19" s="55">
        <v>45.58</v>
      </c>
      <c r="G19" s="55">
        <v>17</v>
      </c>
      <c r="J19" s="37" t="str">
        <f t="shared" si="0"/>
        <v>유한양행</v>
      </c>
      <c r="K19" s="37" t="str">
        <f t="shared" si="1"/>
        <v>A000100</v>
      </c>
    </row>
    <row r="20" spans="1:12" x14ac:dyDescent="0.4">
      <c r="A20" s="49"/>
      <c r="B20" s="54" t="s">
        <v>204</v>
      </c>
      <c r="C20" s="37" t="s">
        <v>205</v>
      </c>
      <c r="D20" s="55" t="s">
        <v>805</v>
      </c>
      <c r="E20" s="58">
        <v>3011.23</v>
      </c>
      <c r="F20" s="57">
        <v>8.93</v>
      </c>
      <c r="G20" s="57">
        <v>12</v>
      </c>
      <c r="H20" s="49"/>
      <c r="I20" s="49">
        <f t="shared" ref="I20:I25" si="2">IF((G20&gt;$G$8),E20+ROW()/100000,"")</f>
        <v>3011.2302</v>
      </c>
      <c r="J20" s="37" t="str">
        <f t="shared" si="0"/>
        <v>CJ대한통운</v>
      </c>
      <c r="K20" s="37" t="str">
        <f t="shared" si="1"/>
        <v>A000120</v>
      </c>
    </row>
    <row r="21" spans="1:12" x14ac:dyDescent="0.4">
      <c r="A21" s="49"/>
      <c r="B21" s="54" t="s">
        <v>814</v>
      </c>
      <c r="C21" s="37" t="s">
        <v>815</v>
      </c>
      <c r="D21" s="55" t="s">
        <v>805</v>
      </c>
      <c r="E21" s="58">
        <v>226.03</v>
      </c>
      <c r="F21" s="57">
        <v>0.28999999999999998</v>
      </c>
      <c r="G21" s="57"/>
      <c r="H21" s="49"/>
      <c r="I21" s="49" t="str">
        <f t="shared" si="2"/>
        <v/>
      </c>
      <c r="J21" s="37" t="str">
        <f t="shared" si="0"/>
        <v>하이트진로홀딩스</v>
      </c>
      <c r="K21" s="37" t="str">
        <f t="shared" si="1"/>
        <v>A000140</v>
      </c>
    </row>
    <row r="22" spans="1:12" x14ac:dyDescent="0.4">
      <c r="A22" s="49"/>
      <c r="B22" s="54" t="s">
        <v>92</v>
      </c>
      <c r="C22" s="37" t="s">
        <v>93</v>
      </c>
      <c r="D22" s="55" t="s">
        <v>805</v>
      </c>
      <c r="E22" s="56">
        <v>20695.72</v>
      </c>
      <c r="F22" s="55">
        <v>118.13</v>
      </c>
      <c r="G22" s="55">
        <v>9</v>
      </c>
      <c r="I22" s="49">
        <f t="shared" si="2"/>
        <v>20695.720220000003</v>
      </c>
      <c r="J22" s="37" t="str">
        <f t="shared" si="0"/>
        <v>두산</v>
      </c>
      <c r="K22" s="37" t="str">
        <f t="shared" si="1"/>
        <v>A000150</v>
      </c>
    </row>
    <row r="23" spans="1:12" x14ac:dyDescent="0.4">
      <c r="A23" s="49"/>
      <c r="B23" s="54" t="s">
        <v>816</v>
      </c>
      <c r="C23" s="37" t="s">
        <v>817</v>
      </c>
      <c r="D23" s="55" t="s">
        <v>805</v>
      </c>
      <c r="E23" s="58">
        <v>116.28</v>
      </c>
      <c r="F23" s="57">
        <v>0.2</v>
      </c>
      <c r="G23" s="57"/>
      <c r="H23" s="49"/>
      <c r="I23" s="49" t="str">
        <f t="shared" si="2"/>
        <v/>
      </c>
      <c r="J23" s="37" t="str">
        <f t="shared" si="0"/>
        <v>성창기업지주</v>
      </c>
      <c r="K23" s="37" t="str">
        <f t="shared" si="1"/>
        <v>A000180</v>
      </c>
    </row>
    <row r="24" spans="1:12" x14ac:dyDescent="0.4">
      <c r="A24" s="49"/>
      <c r="B24" s="54" t="s">
        <v>818</v>
      </c>
      <c r="C24" s="37" t="s">
        <v>819</v>
      </c>
      <c r="D24" s="55" t="s">
        <v>820</v>
      </c>
      <c r="E24" s="58">
        <v>536.73</v>
      </c>
      <c r="F24" s="57">
        <v>289.79000000000002</v>
      </c>
      <c r="G24" s="57"/>
      <c r="H24" s="49"/>
      <c r="I24" s="49" t="str">
        <f t="shared" si="2"/>
        <v/>
      </c>
      <c r="J24" s="37" t="str">
        <f t="shared" si="0"/>
        <v>덕양에너젠</v>
      </c>
      <c r="K24" s="37" t="str">
        <f t="shared" si="1"/>
        <v>A0001A0</v>
      </c>
      <c r="L24" s="60"/>
    </row>
    <row r="25" spans="1:12" x14ac:dyDescent="0.4">
      <c r="A25" s="49"/>
      <c r="B25" s="54" t="s">
        <v>821</v>
      </c>
      <c r="C25" s="37" t="s">
        <v>822</v>
      </c>
      <c r="D25" s="55" t="s">
        <v>805</v>
      </c>
      <c r="E25" s="58">
        <v>1083.42</v>
      </c>
      <c r="F25" s="57">
        <v>3.81</v>
      </c>
      <c r="G25" s="57">
        <v>1</v>
      </c>
      <c r="H25" s="49"/>
      <c r="I25" s="49">
        <f t="shared" si="2"/>
        <v>1083.4202500000001</v>
      </c>
      <c r="J25" s="37" t="str">
        <f t="shared" si="0"/>
        <v>DL</v>
      </c>
      <c r="K25" s="37" t="str">
        <f t="shared" si="1"/>
        <v>A000210</v>
      </c>
    </row>
    <row r="26" spans="1:12" x14ac:dyDescent="0.4">
      <c r="B26" s="54" t="s">
        <v>823</v>
      </c>
      <c r="C26" s="37" t="s">
        <v>824</v>
      </c>
      <c r="D26" s="55" t="s">
        <v>805</v>
      </c>
      <c r="E26" s="56">
        <v>78.599999999999994</v>
      </c>
      <c r="F26" s="55">
        <v>0.59</v>
      </c>
      <c r="G26" s="55"/>
      <c r="J26" s="37" t="str">
        <f t="shared" si="0"/>
        <v>유유제약</v>
      </c>
      <c r="K26" s="37" t="str">
        <f t="shared" si="1"/>
        <v>A000220</v>
      </c>
    </row>
    <row r="27" spans="1:12" x14ac:dyDescent="0.4">
      <c r="A27" s="49"/>
      <c r="B27" s="54" t="s">
        <v>825</v>
      </c>
      <c r="C27" s="37" t="s">
        <v>826</v>
      </c>
      <c r="D27" s="55" t="s">
        <v>805</v>
      </c>
      <c r="E27" s="58">
        <v>133.18</v>
      </c>
      <c r="F27" s="57">
        <v>6.02</v>
      </c>
      <c r="G27" s="57"/>
      <c r="H27" s="49"/>
      <c r="I27" s="49" t="str">
        <f t="shared" ref="I27:I41" si="3">IF((G27&gt;$G$8),E27+ROW()/100000,"")</f>
        <v/>
      </c>
      <c r="J27" s="37" t="str">
        <f t="shared" si="0"/>
        <v>일동홀딩스</v>
      </c>
      <c r="K27" s="37" t="str">
        <f t="shared" si="1"/>
        <v>A000230</v>
      </c>
    </row>
    <row r="28" spans="1:12" x14ac:dyDescent="0.4">
      <c r="A28" s="49"/>
      <c r="B28" s="54" t="s">
        <v>827</v>
      </c>
      <c r="C28" s="37" t="s">
        <v>828</v>
      </c>
      <c r="D28" s="55" t="s">
        <v>805</v>
      </c>
      <c r="E28" s="58">
        <v>2971.47</v>
      </c>
      <c r="F28" s="57">
        <v>3</v>
      </c>
      <c r="G28" s="57">
        <v>1</v>
      </c>
      <c r="H28" s="49"/>
      <c r="I28" s="49">
        <f t="shared" si="3"/>
        <v>2971.47028</v>
      </c>
      <c r="J28" s="37" t="str">
        <f t="shared" si="0"/>
        <v>한국앤컴퍼니</v>
      </c>
      <c r="K28" s="37" t="str">
        <f t="shared" si="1"/>
        <v>A000240</v>
      </c>
    </row>
    <row r="29" spans="1:12" x14ac:dyDescent="0.4">
      <c r="A29" s="49"/>
      <c r="B29" s="54" t="s">
        <v>69</v>
      </c>
      <c r="C29" s="37" t="s">
        <v>70</v>
      </c>
      <c r="D29" s="55" t="s">
        <v>820</v>
      </c>
      <c r="E29" s="58">
        <v>19352.41</v>
      </c>
      <c r="F29" s="57">
        <v>78.16</v>
      </c>
      <c r="G29" s="57">
        <v>1</v>
      </c>
      <c r="H29" s="49"/>
      <c r="I29" s="49">
        <f t="shared" si="3"/>
        <v>19352.41029</v>
      </c>
      <c r="J29" s="37" t="str">
        <f t="shared" si="0"/>
        <v>삼천당제약</v>
      </c>
      <c r="K29" s="37" t="str">
        <f t="shared" si="1"/>
        <v>A000250</v>
      </c>
    </row>
    <row r="30" spans="1:12" x14ac:dyDescent="0.4">
      <c r="A30" s="49"/>
      <c r="B30" s="54" t="s">
        <v>127</v>
      </c>
      <c r="C30" s="37" t="s">
        <v>128</v>
      </c>
      <c r="D30" s="55" t="s">
        <v>805</v>
      </c>
      <c r="E30" s="56">
        <v>80229.87</v>
      </c>
      <c r="F30" s="55">
        <v>174.2</v>
      </c>
      <c r="G30" s="55">
        <v>26</v>
      </c>
      <c r="I30" s="49">
        <f t="shared" si="3"/>
        <v>80229.870299999995</v>
      </c>
      <c r="J30" s="37" t="str">
        <f t="shared" si="0"/>
        <v>기아</v>
      </c>
      <c r="K30" s="37" t="str">
        <f t="shared" si="1"/>
        <v>A000270</v>
      </c>
    </row>
    <row r="31" spans="1:12" x14ac:dyDescent="0.4">
      <c r="A31" s="49"/>
      <c r="B31" s="54" t="s">
        <v>829</v>
      </c>
      <c r="C31" s="37" t="s">
        <v>830</v>
      </c>
      <c r="D31" s="55" t="s">
        <v>805</v>
      </c>
      <c r="E31" s="58">
        <v>174.04</v>
      </c>
      <c r="F31" s="57">
        <v>0</v>
      </c>
      <c r="G31" s="57"/>
      <c r="H31" s="49"/>
      <c r="I31" s="49" t="str">
        <f t="shared" si="3"/>
        <v/>
      </c>
      <c r="J31" s="37" t="str">
        <f t="shared" si="0"/>
        <v>DH오토넥스</v>
      </c>
      <c r="K31" s="37" t="str">
        <f t="shared" si="1"/>
        <v>A000300</v>
      </c>
    </row>
    <row r="32" spans="1:12" x14ac:dyDescent="0.4">
      <c r="A32" s="49"/>
      <c r="B32" s="54" t="s">
        <v>831</v>
      </c>
      <c r="C32" s="37" t="s">
        <v>832</v>
      </c>
      <c r="D32" s="55" t="s">
        <v>805</v>
      </c>
      <c r="E32" s="58">
        <v>357.53</v>
      </c>
      <c r="F32" s="57">
        <v>1.1499999999999999</v>
      </c>
      <c r="G32" s="57"/>
      <c r="H32" s="49"/>
      <c r="I32" s="49" t="str">
        <f t="shared" si="3"/>
        <v/>
      </c>
      <c r="J32" s="37" t="str">
        <f t="shared" si="0"/>
        <v>노루홀딩스</v>
      </c>
      <c r="K32" s="37" t="str">
        <f t="shared" si="1"/>
        <v>A000320</v>
      </c>
    </row>
    <row r="33" spans="1:11" x14ac:dyDescent="0.4">
      <c r="A33" s="49"/>
      <c r="B33" s="54" t="s">
        <v>833</v>
      </c>
      <c r="C33" s="37" t="s">
        <v>834</v>
      </c>
      <c r="D33" s="55" t="s">
        <v>805</v>
      </c>
      <c r="E33" s="58">
        <v>888.38</v>
      </c>
      <c r="F33" s="57">
        <v>8.16</v>
      </c>
      <c r="G33" s="57">
        <v>4</v>
      </c>
      <c r="H33" s="49"/>
      <c r="I33" s="49">
        <f t="shared" si="3"/>
        <v>888.38032999999996</v>
      </c>
      <c r="J33" s="37" t="str">
        <f t="shared" si="0"/>
        <v>한화손해보험</v>
      </c>
      <c r="K33" s="37" t="str">
        <f t="shared" si="1"/>
        <v>A000370</v>
      </c>
    </row>
    <row r="34" spans="1:11" x14ac:dyDescent="0.4">
      <c r="A34" s="49"/>
      <c r="B34" s="54" t="s">
        <v>835</v>
      </c>
      <c r="C34" s="37" t="s">
        <v>5208</v>
      </c>
      <c r="D34" s="55" t="s">
        <v>805</v>
      </c>
      <c r="E34" s="56">
        <v>235.85</v>
      </c>
      <c r="F34" s="55">
        <v>11.29</v>
      </c>
      <c r="G34" s="55"/>
      <c r="I34" s="49" t="str">
        <f t="shared" si="3"/>
        <v/>
      </c>
      <c r="J34" s="37" t="str">
        <f t="shared" si="0"/>
        <v>SP삼화</v>
      </c>
      <c r="K34" s="37" t="str">
        <f t="shared" si="1"/>
        <v>A000390</v>
      </c>
    </row>
    <row r="35" spans="1:11" x14ac:dyDescent="0.4">
      <c r="A35" s="49"/>
      <c r="B35" s="54" t="s">
        <v>836</v>
      </c>
      <c r="C35" s="37" t="s">
        <v>837</v>
      </c>
      <c r="D35" s="55" t="s">
        <v>805</v>
      </c>
      <c r="E35" s="58">
        <v>713.77</v>
      </c>
      <c r="F35" s="57">
        <v>4.72</v>
      </c>
      <c r="G35" s="57"/>
      <c r="H35" s="49"/>
      <c r="I35" s="49" t="str">
        <f t="shared" si="3"/>
        <v/>
      </c>
      <c r="J35" s="37" t="str">
        <f t="shared" si="0"/>
        <v>롯데손해보험</v>
      </c>
      <c r="K35" s="37" t="str">
        <f t="shared" si="1"/>
        <v>A000400</v>
      </c>
    </row>
    <row r="36" spans="1:11" x14ac:dyDescent="0.4">
      <c r="A36" s="49"/>
      <c r="B36" s="54" t="s">
        <v>838</v>
      </c>
      <c r="C36" s="37" t="s">
        <v>839</v>
      </c>
      <c r="D36" s="55" t="s">
        <v>805</v>
      </c>
      <c r="E36" s="58">
        <v>274.04000000000002</v>
      </c>
      <c r="F36" s="57">
        <v>0.59</v>
      </c>
      <c r="G36" s="57"/>
      <c r="H36" s="49"/>
      <c r="I36" s="49" t="str">
        <f t="shared" si="3"/>
        <v/>
      </c>
      <c r="J36" s="37" t="str">
        <f t="shared" si="0"/>
        <v>대원강업</v>
      </c>
      <c r="K36" s="37" t="str">
        <f t="shared" si="1"/>
        <v>A000430</v>
      </c>
    </row>
    <row r="37" spans="1:11" x14ac:dyDescent="0.4">
      <c r="A37" s="49"/>
      <c r="B37" s="54" t="s">
        <v>840</v>
      </c>
      <c r="C37" s="37" t="s">
        <v>841</v>
      </c>
      <c r="D37" s="55" t="s">
        <v>820</v>
      </c>
      <c r="E37" s="58">
        <v>121.06</v>
      </c>
      <c r="F37" s="57">
        <v>2.0499999999999998</v>
      </c>
      <c r="G37" s="57"/>
      <c r="H37" s="49"/>
      <c r="I37" s="49" t="str">
        <f t="shared" si="3"/>
        <v/>
      </c>
      <c r="J37" s="37" t="str">
        <f t="shared" si="0"/>
        <v>중앙에너비스</v>
      </c>
      <c r="K37" s="37" t="str">
        <f t="shared" si="1"/>
        <v>A000440</v>
      </c>
    </row>
    <row r="38" spans="1:11" x14ac:dyDescent="0.4">
      <c r="A38" s="49"/>
      <c r="B38" s="54" t="s">
        <v>842</v>
      </c>
      <c r="C38" s="37" t="s">
        <v>843</v>
      </c>
      <c r="D38" s="55" t="s">
        <v>805</v>
      </c>
      <c r="E38" s="58">
        <v>237.27</v>
      </c>
      <c r="F38" s="57">
        <v>0.28000000000000003</v>
      </c>
      <c r="G38" s="57"/>
      <c r="H38" s="49"/>
      <c r="I38" s="49" t="str">
        <f t="shared" si="3"/>
        <v/>
      </c>
      <c r="J38" s="37" t="str">
        <f t="shared" si="0"/>
        <v>CR홀딩스</v>
      </c>
      <c r="K38" s="37" t="str">
        <f t="shared" si="1"/>
        <v>A000480</v>
      </c>
    </row>
    <row r="39" spans="1:11" x14ac:dyDescent="0.4">
      <c r="A39" s="49"/>
      <c r="B39" s="54" t="s">
        <v>844</v>
      </c>
      <c r="C39" s="37" t="s">
        <v>845</v>
      </c>
      <c r="D39" s="55" t="s">
        <v>805</v>
      </c>
      <c r="E39" s="56">
        <v>325.74</v>
      </c>
      <c r="F39" s="55">
        <v>4.8499999999999996</v>
      </c>
      <c r="G39" s="55"/>
      <c r="I39" s="49" t="str">
        <f t="shared" si="3"/>
        <v/>
      </c>
      <c r="J39" s="37" t="str">
        <f t="shared" si="0"/>
        <v>대동</v>
      </c>
      <c r="K39" s="37" t="str">
        <f t="shared" si="1"/>
        <v>A000490</v>
      </c>
    </row>
    <row r="40" spans="1:11" x14ac:dyDescent="0.4">
      <c r="A40" s="49"/>
      <c r="B40" s="54" t="s">
        <v>846</v>
      </c>
      <c r="C40" s="37" t="s">
        <v>847</v>
      </c>
      <c r="D40" s="55" t="s">
        <v>820</v>
      </c>
      <c r="E40" s="58">
        <v>229.94</v>
      </c>
      <c r="F40" s="57">
        <v>69.540000000000006</v>
      </c>
      <c r="G40" s="57"/>
      <c r="H40" s="49"/>
      <c r="I40" s="49" t="str">
        <f t="shared" si="3"/>
        <v/>
      </c>
      <c r="J40" s="37" t="str">
        <f t="shared" si="0"/>
        <v>엔비알모션</v>
      </c>
      <c r="K40" s="37" t="str">
        <f t="shared" si="1"/>
        <v>A0004V0</v>
      </c>
    </row>
    <row r="41" spans="1:11" x14ac:dyDescent="0.4">
      <c r="A41" s="49"/>
      <c r="B41" s="54" t="s">
        <v>848</v>
      </c>
      <c r="C41" s="37" t="s">
        <v>849</v>
      </c>
      <c r="D41" s="55" t="s">
        <v>805</v>
      </c>
      <c r="E41" s="56">
        <v>1960.36</v>
      </c>
      <c r="F41" s="55">
        <v>6.73</v>
      </c>
      <c r="G41" s="55"/>
      <c r="I41" s="49" t="str">
        <f t="shared" si="3"/>
        <v/>
      </c>
      <c r="J41" s="37" t="str">
        <f t="shared" si="0"/>
        <v>가온전선</v>
      </c>
      <c r="K41" s="37" t="str">
        <f t="shared" si="1"/>
        <v>A000500</v>
      </c>
    </row>
    <row r="42" spans="1:11" x14ac:dyDescent="0.4">
      <c r="B42" s="54" t="s">
        <v>850</v>
      </c>
      <c r="C42" s="37" t="s">
        <v>851</v>
      </c>
      <c r="D42" s="55" t="s">
        <v>805</v>
      </c>
      <c r="E42" s="56">
        <v>242.51</v>
      </c>
      <c r="F42" s="55">
        <v>3.99</v>
      </c>
      <c r="G42" s="55">
        <v>1</v>
      </c>
      <c r="J42" s="37" t="str">
        <f t="shared" si="0"/>
        <v>삼일제약</v>
      </c>
      <c r="K42" s="37" t="str">
        <f t="shared" si="1"/>
        <v>A000520</v>
      </c>
    </row>
    <row r="43" spans="1:11" x14ac:dyDescent="0.4">
      <c r="A43" s="49"/>
      <c r="B43" s="54" t="s">
        <v>852</v>
      </c>
      <c r="C43" s="37" t="s">
        <v>853</v>
      </c>
      <c r="D43" s="55" t="s">
        <v>805</v>
      </c>
      <c r="E43" s="56">
        <v>337.27</v>
      </c>
      <c r="F43" s="55">
        <v>2.2999999999999998</v>
      </c>
      <c r="G43" s="55"/>
      <c r="I43" s="49" t="str">
        <f t="shared" ref="I43:I53" si="4">IF((G43&gt;$G$8),E43+ROW()/100000,"")</f>
        <v/>
      </c>
      <c r="J43" s="37" t="str">
        <f t="shared" si="0"/>
        <v>흥국화재</v>
      </c>
      <c r="K43" s="37" t="str">
        <f t="shared" si="1"/>
        <v>A000540</v>
      </c>
    </row>
    <row r="44" spans="1:11" x14ac:dyDescent="0.4">
      <c r="A44" s="49"/>
      <c r="B44" s="54" t="s">
        <v>854</v>
      </c>
      <c r="C44" s="37" t="s">
        <v>855</v>
      </c>
      <c r="D44" s="55" t="s">
        <v>805</v>
      </c>
      <c r="E44" s="58">
        <v>101.36</v>
      </c>
      <c r="F44" s="57">
        <v>0.1</v>
      </c>
      <c r="G44" s="57"/>
      <c r="H44" s="49"/>
      <c r="I44" s="49" t="str">
        <f t="shared" si="4"/>
        <v/>
      </c>
      <c r="J44" s="37" t="str">
        <f t="shared" si="0"/>
        <v>CS홀딩스</v>
      </c>
      <c r="K44" s="37" t="str">
        <f t="shared" si="1"/>
        <v>A000590</v>
      </c>
    </row>
    <row r="45" spans="1:11" x14ac:dyDescent="0.4">
      <c r="A45" s="49"/>
      <c r="B45" s="54" t="s">
        <v>856</v>
      </c>
      <c r="C45" s="37" t="s">
        <v>857</v>
      </c>
      <c r="D45" s="55" t="s">
        <v>805</v>
      </c>
      <c r="E45" s="58">
        <v>764.11</v>
      </c>
      <c r="F45" s="57">
        <v>1.66</v>
      </c>
      <c r="G45" s="57"/>
      <c r="H45" s="49"/>
      <c r="I45" s="49" t="str">
        <f t="shared" si="4"/>
        <v/>
      </c>
      <c r="J45" s="37" t="str">
        <f t="shared" si="0"/>
        <v>동아쏘시오홀딩스</v>
      </c>
      <c r="K45" s="37" t="str">
        <f t="shared" si="1"/>
        <v>A000640</v>
      </c>
    </row>
    <row r="46" spans="1:11" x14ac:dyDescent="0.4">
      <c r="A46" s="49"/>
      <c r="B46" s="54" t="s">
        <v>858</v>
      </c>
      <c r="C46" s="37" t="s">
        <v>859</v>
      </c>
      <c r="D46" s="55" t="s">
        <v>805</v>
      </c>
      <c r="E46" s="58">
        <v>386.6</v>
      </c>
      <c r="F46" s="57">
        <v>22.31</v>
      </c>
      <c r="G46" s="57"/>
      <c r="H46" s="49"/>
      <c r="I46" s="49" t="str">
        <f t="shared" si="4"/>
        <v/>
      </c>
      <c r="J46" s="37" t="str">
        <f t="shared" si="0"/>
        <v>천일고속</v>
      </c>
      <c r="K46" s="37" t="str">
        <f t="shared" si="1"/>
        <v>A000650</v>
      </c>
    </row>
    <row r="47" spans="1:11" x14ac:dyDescent="0.4">
      <c r="A47" s="49"/>
      <c r="B47" s="54" t="s">
        <v>13</v>
      </c>
      <c r="C47" s="37" t="s">
        <v>14</v>
      </c>
      <c r="D47" s="55" t="s">
        <v>805</v>
      </c>
      <c r="E47" s="58">
        <v>756177.21</v>
      </c>
      <c r="F47" s="57">
        <v>2520.34</v>
      </c>
      <c r="G47" s="57">
        <v>25</v>
      </c>
      <c r="H47" s="49"/>
      <c r="I47" s="49">
        <f t="shared" si="4"/>
        <v>756177.21046999993</v>
      </c>
      <c r="J47" s="37" t="str">
        <f t="shared" si="0"/>
        <v>SK하이닉스</v>
      </c>
      <c r="K47" s="37" t="str">
        <f t="shared" si="1"/>
        <v>A000660</v>
      </c>
    </row>
    <row r="48" spans="1:11" x14ac:dyDescent="0.4">
      <c r="A48" s="49"/>
      <c r="B48" s="54" t="s">
        <v>860</v>
      </c>
      <c r="C48" s="37" t="s">
        <v>861</v>
      </c>
      <c r="D48" s="55" t="s">
        <v>805</v>
      </c>
      <c r="E48" s="58">
        <v>1167.8399999999999</v>
      </c>
      <c r="F48" s="57">
        <v>3.04</v>
      </c>
      <c r="G48" s="57"/>
      <c r="H48" s="49"/>
      <c r="I48" s="49" t="str">
        <f t="shared" si="4"/>
        <v/>
      </c>
      <c r="J48" s="37" t="str">
        <f t="shared" si="0"/>
        <v>영풍</v>
      </c>
      <c r="K48" s="37" t="str">
        <f t="shared" si="1"/>
        <v>A000670</v>
      </c>
    </row>
    <row r="49" spans="1:11" x14ac:dyDescent="0.4">
      <c r="A49" s="49"/>
      <c r="B49" s="54" t="s">
        <v>862</v>
      </c>
      <c r="C49" s="37" t="s">
        <v>863</v>
      </c>
      <c r="D49" s="55" t="s">
        <v>805</v>
      </c>
      <c r="E49" s="58">
        <v>270.69</v>
      </c>
      <c r="F49" s="57">
        <v>0.95</v>
      </c>
      <c r="G49" s="57"/>
      <c r="H49" s="49"/>
      <c r="I49" s="49" t="str">
        <f t="shared" si="4"/>
        <v/>
      </c>
      <c r="J49" s="37" t="str">
        <f t="shared" si="0"/>
        <v>LS네트웍스</v>
      </c>
      <c r="K49" s="37" t="str">
        <f t="shared" si="1"/>
        <v>A000680</v>
      </c>
    </row>
    <row r="50" spans="1:11" x14ac:dyDescent="0.4">
      <c r="A50" s="49"/>
      <c r="B50" s="54" t="s">
        <v>864</v>
      </c>
      <c r="C50" s="37" t="s">
        <v>865</v>
      </c>
      <c r="D50" s="55" t="s">
        <v>805</v>
      </c>
      <c r="E50" s="58">
        <v>161.46</v>
      </c>
      <c r="F50" s="57">
        <v>0.14000000000000001</v>
      </c>
      <c r="G50" s="57"/>
      <c r="H50" s="49"/>
      <c r="I50" s="49" t="str">
        <f t="shared" si="4"/>
        <v/>
      </c>
      <c r="J50" s="37" t="str">
        <f t="shared" si="0"/>
        <v>유수홀딩스</v>
      </c>
      <c r="K50" s="37" t="str">
        <f t="shared" si="1"/>
        <v>A000700</v>
      </c>
    </row>
    <row r="51" spans="1:11" x14ac:dyDescent="0.4">
      <c r="A51" s="49"/>
      <c r="B51" s="54" t="s">
        <v>21</v>
      </c>
      <c r="C51" s="37" t="s">
        <v>22</v>
      </c>
      <c r="D51" s="55" t="s">
        <v>805</v>
      </c>
      <c r="E51" s="58">
        <v>18340.29</v>
      </c>
      <c r="F51" s="57">
        <v>151.66</v>
      </c>
      <c r="G51" s="57">
        <v>21</v>
      </c>
      <c r="H51" s="49"/>
      <c r="I51" s="49">
        <f t="shared" si="4"/>
        <v>18340.290510000003</v>
      </c>
      <c r="J51" s="37" t="str">
        <f t="shared" si="0"/>
        <v>현대건설</v>
      </c>
      <c r="K51" s="37" t="str">
        <f t="shared" si="1"/>
        <v>A000720</v>
      </c>
    </row>
    <row r="52" spans="1:11" x14ac:dyDescent="0.4">
      <c r="A52" s="49"/>
      <c r="B52" s="54" t="s">
        <v>866</v>
      </c>
      <c r="C52" s="37" t="s">
        <v>867</v>
      </c>
      <c r="D52" s="55" t="s">
        <v>805</v>
      </c>
      <c r="E52" s="58">
        <v>47.6</v>
      </c>
      <c r="F52" s="57">
        <v>0.66</v>
      </c>
      <c r="G52" s="57"/>
      <c r="H52" s="49"/>
      <c r="I52" s="49" t="str">
        <f t="shared" si="4"/>
        <v/>
      </c>
      <c r="J52" s="37" t="str">
        <f t="shared" si="0"/>
        <v>이화산업</v>
      </c>
      <c r="K52" s="37" t="str">
        <f t="shared" si="1"/>
        <v>A000760</v>
      </c>
    </row>
    <row r="53" spans="1:11" x14ac:dyDescent="0.4">
      <c r="A53" s="49"/>
      <c r="B53" s="54" t="s">
        <v>868</v>
      </c>
      <c r="C53" s="37" t="s">
        <v>869</v>
      </c>
      <c r="D53" s="55" t="s">
        <v>820</v>
      </c>
      <c r="E53" s="58">
        <v>328.44</v>
      </c>
      <c r="F53" s="57">
        <v>94.8</v>
      </c>
      <c r="G53" s="57"/>
      <c r="H53" s="49"/>
      <c r="I53" s="49" t="str">
        <f t="shared" si="4"/>
        <v/>
      </c>
      <c r="J53" s="37" t="str">
        <f t="shared" si="0"/>
        <v>아크릴</v>
      </c>
      <c r="K53" s="37" t="str">
        <f t="shared" si="1"/>
        <v>A0007C0</v>
      </c>
    </row>
    <row r="54" spans="1:11" x14ac:dyDescent="0.4">
      <c r="B54" s="54" t="s">
        <v>104</v>
      </c>
      <c r="C54" s="37" t="s">
        <v>105</v>
      </c>
      <c r="D54" s="55" t="s">
        <v>805</v>
      </c>
      <c r="E54" s="56">
        <v>24385.91</v>
      </c>
      <c r="F54" s="55">
        <v>47.82</v>
      </c>
      <c r="G54" s="55">
        <v>14</v>
      </c>
      <c r="J54" s="37" t="str">
        <f t="shared" si="0"/>
        <v>삼성화재</v>
      </c>
      <c r="K54" s="37" t="str">
        <f t="shared" si="1"/>
        <v>A000810</v>
      </c>
    </row>
    <row r="55" spans="1:11" x14ac:dyDescent="0.4">
      <c r="A55" s="49"/>
      <c r="B55" s="54" t="s">
        <v>870</v>
      </c>
      <c r="C55" s="37" t="s">
        <v>871</v>
      </c>
      <c r="D55" s="55" t="s">
        <v>805</v>
      </c>
      <c r="E55" s="56">
        <v>87.89</v>
      </c>
      <c r="F55" s="55">
        <v>1.0900000000000001</v>
      </c>
      <c r="G55" s="55"/>
      <c r="I55" s="49" t="str">
        <f t="shared" ref="I55:I61" si="5">IF((G55&gt;$G$8),E55+ROW()/100000,"")</f>
        <v/>
      </c>
      <c r="J55" s="37" t="str">
        <f t="shared" si="0"/>
        <v>화천기공</v>
      </c>
      <c r="K55" s="37" t="str">
        <f t="shared" si="1"/>
        <v>A000850</v>
      </c>
    </row>
    <row r="56" spans="1:11" x14ac:dyDescent="0.4">
      <c r="A56" s="49"/>
      <c r="B56" s="54" t="s">
        <v>872</v>
      </c>
      <c r="C56" s="37" t="s">
        <v>873</v>
      </c>
      <c r="D56" s="55" t="s">
        <v>805</v>
      </c>
      <c r="E56" s="58">
        <v>230.75</v>
      </c>
      <c r="F56" s="57">
        <v>0.93</v>
      </c>
      <c r="G56" s="57"/>
      <c r="H56" s="49"/>
      <c r="I56" s="49" t="str">
        <f t="shared" si="5"/>
        <v/>
      </c>
      <c r="J56" s="37" t="str">
        <f t="shared" si="0"/>
        <v>강남제비스코</v>
      </c>
      <c r="K56" s="37" t="str">
        <f t="shared" si="1"/>
        <v>A000860</v>
      </c>
    </row>
    <row r="57" spans="1:11" x14ac:dyDescent="0.4">
      <c r="A57" s="49"/>
      <c r="B57" s="54" t="s">
        <v>311</v>
      </c>
      <c r="C57" s="37" t="s">
        <v>312</v>
      </c>
      <c r="D57" s="55" t="s">
        <v>805</v>
      </c>
      <c r="E57" s="58">
        <v>10239.36</v>
      </c>
      <c r="F57" s="57">
        <v>47.82</v>
      </c>
      <c r="G57" s="57">
        <v>10</v>
      </c>
      <c r="H57" s="49"/>
      <c r="I57" s="49">
        <f t="shared" si="5"/>
        <v>10239.360570000001</v>
      </c>
      <c r="J57" s="37" t="str">
        <f t="shared" si="0"/>
        <v>한화</v>
      </c>
      <c r="K57" s="37" t="str">
        <f t="shared" si="1"/>
        <v>A000880</v>
      </c>
    </row>
    <row r="58" spans="1:11" x14ac:dyDescent="0.4">
      <c r="A58" s="49"/>
      <c r="B58" s="54" t="s">
        <v>874</v>
      </c>
      <c r="C58" s="37" t="s">
        <v>875</v>
      </c>
      <c r="D58" s="55" t="s">
        <v>805</v>
      </c>
      <c r="E58" s="58">
        <v>68.23</v>
      </c>
      <c r="F58" s="57">
        <v>0.35</v>
      </c>
      <c r="G58" s="57"/>
      <c r="H58" s="49"/>
      <c r="I58" s="49" t="str">
        <f t="shared" si="5"/>
        <v/>
      </c>
      <c r="J58" s="37" t="str">
        <f t="shared" si="0"/>
        <v>보해양조</v>
      </c>
      <c r="K58" s="37" t="str">
        <f t="shared" si="1"/>
        <v>A000890</v>
      </c>
    </row>
    <row r="59" spans="1:11" x14ac:dyDescent="0.4">
      <c r="A59" s="49"/>
      <c r="B59" s="54" t="s">
        <v>876</v>
      </c>
      <c r="C59" s="37" t="s">
        <v>877</v>
      </c>
      <c r="D59" s="55" t="s">
        <v>820</v>
      </c>
      <c r="E59" s="56">
        <v>307.16000000000003</v>
      </c>
      <c r="F59" s="55">
        <v>7.46</v>
      </c>
      <c r="G59" s="55">
        <v>1</v>
      </c>
      <c r="I59" s="49">
        <f t="shared" si="5"/>
        <v>307.16059000000001</v>
      </c>
      <c r="J59" s="37" t="str">
        <f t="shared" si="0"/>
        <v>에스엔시스</v>
      </c>
      <c r="K59" s="37" t="str">
        <f t="shared" si="1"/>
        <v>A0008Z0</v>
      </c>
    </row>
    <row r="60" spans="1:11" x14ac:dyDescent="0.4">
      <c r="A60" s="49"/>
      <c r="B60" s="54" t="s">
        <v>878</v>
      </c>
      <c r="C60" s="37" t="s">
        <v>879</v>
      </c>
      <c r="D60" s="55" t="s">
        <v>805</v>
      </c>
      <c r="E60" s="58">
        <v>67.36</v>
      </c>
      <c r="F60" s="57">
        <v>2.78</v>
      </c>
      <c r="G60" s="57"/>
      <c r="H60" s="49"/>
      <c r="I60" s="49" t="str">
        <f t="shared" si="5"/>
        <v/>
      </c>
      <c r="J60" s="37" t="str">
        <f t="shared" si="0"/>
        <v>유니온</v>
      </c>
      <c r="K60" s="37" t="str">
        <f t="shared" si="1"/>
        <v>A000910</v>
      </c>
    </row>
    <row r="61" spans="1:11" x14ac:dyDescent="0.4">
      <c r="A61" s="49"/>
      <c r="B61" s="54" t="s">
        <v>880</v>
      </c>
      <c r="C61" s="37" t="s">
        <v>881</v>
      </c>
      <c r="D61" s="55" t="s">
        <v>805</v>
      </c>
      <c r="E61" s="58">
        <v>67.37</v>
      </c>
      <c r="F61" s="57">
        <v>0.19</v>
      </c>
      <c r="G61" s="57"/>
      <c r="H61" s="49"/>
      <c r="I61" s="49" t="str">
        <f t="shared" si="5"/>
        <v/>
      </c>
      <c r="J61" s="37" t="str">
        <f t="shared" si="0"/>
        <v>전방</v>
      </c>
      <c r="K61" s="37" t="str">
        <f t="shared" si="1"/>
        <v>A000950</v>
      </c>
    </row>
    <row r="62" spans="1:11" x14ac:dyDescent="0.4">
      <c r="B62" s="54" t="s">
        <v>882</v>
      </c>
      <c r="C62" s="37" t="s">
        <v>883</v>
      </c>
      <c r="D62" s="55" t="s">
        <v>805</v>
      </c>
      <c r="E62" s="56">
        <v>158.91999999999999</v>
      </c>
      <c r="F62" s="55">
        <v>0.25</v>
      </c>
      <c r="G62" s="55"/>
      <c r="J62" s="37" t="str">
        <f t="shared" si="0"/>
        <v>한국주철관</v>
      </c>
      <c r="K62" s="37" t="str">
        <f t="shared" si="1"/>
        <v>A000970</v>
      </c>
    </row>
    <row r="63" spans="1:11" x14ac:dyDescent="0.4">
      <c r="A63" s="49"/>
      <c r="B63" s="54" t="s">
        <v>212</v>
      </c>
      <c r="C63" s="37" t="s">
        <v>213</v>
      </c>
      <c r="D63" s="55" t="s">
        <v>805</v>
      </c>
      <c r="E63" s="56">
        <v>4163.3900000000003</v>
      </c>
      <c r="F63" s="55">
        <v>39.29</v>
      </c>
      <c r="G63" s="55">
        <v>2</v>
      </c>
      <c r="I63" s="49">
        <f t="shared" ref="I63:I71" si="6">IF((G63&gt;$G$8),E63+ROW()/100000,"")</f>
        <v>4163.3906299999999</v>
      </c>
      <c r="J63" s="37" t="str">
        <f t="shared" si="0"/>
        <v>DB하이텍</v>
      </c>
      <c r="K63" s="37" t="str">
        <f t="shared" si="1"/>
        <v>A000990</v>
      </c>
    </row>
    <row r="64" spans="1:11" x14ac:dyDescent="0.4">
      <c r="A64" s="49"/>
      <c r="B64" s="54" t="s">
        <v>689</v>
      </c>
      <c r="C64" s="37" t="s">
        <v>690</v>
      </c>
      <c r="D64" s="55" t="s">
        <v>820</v>
      </c>
      <c r="E64" s="58">
        <v>3977.28</v>
      </c>
      <c r="F64" s="57">
        <v>108.5</v>
      </c>
      <c r="G64" s="57"/>
      <c r="H64" s="49"/>
      <c r="I64" s="49" t="str">
        <f t="shared" si="6"/>
        <v/>
      </c>
      <c r="J64" s="37" t="str">
        <f t="shared" si="0"/>
        <v>에임드바이오</v>
      </c>
      <c r="K64" s="37" t="str">
        <f t="shared" si="1"/>
        <v>A0009K0</v>
      </c>
    </row>
    <row r="65" spans="1:11" x14ac:dyDescent="0.4">
      <c r="A65" s="49"/>
      <c r="B65" s="54" t="s">
        <v>884</v>
      </c>
      <c r="C65" s="37" t="s">
        <v>885</v>
      </c>
      <c r="D65" s="55" t="s">
        <v>820</v>
      </c>
      <c r="E65" s="56">
        <v>54.75</v>
      </c>
      <c r="F65" s="55">
        <v>0.76</v>
      </c>
      <c r="G65" s="55"/>
      <c r="I65" s="49" t="str">
        <f t="shared" si="6"/>
        <v/>
      </c>
      <c r="J65" s="37" t="str">
        <f t="shared" si="0"/>
        <v>신라섬유</v>
      </c>
      <c r="K65" s="37" t="str">
        <f t="shared" si="1"/>
        <v>A001000</v>
      </c>
    </row>
    <row r="66" spans="1:11" x14ac:dyDescent="0.4">
      <c r="A66" s="49"/>
      <c r="B66" s="54" t="s">
        <v>886</v>
      </c>
      <c r="C66" s="37" t="s">
        <v>887</v>
      </c>
      <c r="D66" s="55" t="s">
        <v>805</v>
      </c>
      <c r="E66" s="58">
        <v>151.11000000000001</v>
      </c>
      <c r="F66" s="57">
        <v>0.2</v>
      </c>
      <c r="G66" s="57"/>
      <c r="H66" s="49"/>
      <c r="I66" s="49" t="str">
        <f t="shared" si="6"/>
        <v/>
      </c>
      <c r="J66" s="37" t="str">
        <f t="shared" si="0"/>
        <v>페이퍼코리아</v>
      </c>
      <c r="K66" s="37" t="str">
        <f t="shared" si="1"/>
        <v>A001020</v>
      </c>
    </row>
    <row r="67" spans="1:11" x14ac:dyDescent="0.4">
      <c r="A67" s="49"/>
      <c r="B67" s="54" t="s">
        <v>142</v>
      </c>
      <c r="C67" s="37" t="s">
        <v>143</v>
      </c>
      <c r="D67" s="55" t="s">
        <v>805</v>
      </c>
      <c r="E67" s="58">
        <v>6375.17</v>
      </c>
      <c r="F67" s="57">
        <v>28.65</v>
      </c>
      <c r="G67" s="57">
        <v>6</v>
      </c>
      <c r="H67" s="49"/>
      <c r="I67" s="49">
        <f t="shared" si="6"/>
        <v>6375.1706700000004</v>
      </c>
      <c r="J67" s="37" t="str">
        <f t="shared" si="0"/>
        <v>CJ</v>
      </c>
      <c r="K67" s="37" t="str">
        <f t="shared" si="1"/>
        <v>A001040</v>
      </c>
    </row>
    <row r="68" spans="1:11" x14ac:dyDescent="0.4">
      <c r="A68" s="49"/>
      <c r="B68" s="54" t="s">
        <v>725</v>
      </c>
      <c r="C68" s="37" t="s">
        <v>726</v>
      </c>
      <c r="D68" s="55" t="s">
        <v>805</v>
      </c>
      <c r="E68" s="58">
        <v>842.95</v>
      </c>
      <c r="F68" s="57">
        <v>3.28</v>
      </c>
      <c r="G68" s="57"/>
      <c r="H68" s="49"/>
      <c r="I68" s="49" t="str">
        <f t="shared" si="6"/>
        <v/>
      </c>
      <c r="J68" s="37" t="str">
        <f t="shared" si="0"/>
        <v>JW중외제약</v>
      </c>
      <c r="K68" s="37" t="str">
        <f t="shared" si="1"/>
        <v>A001060</v>
      </c>
    </row>
    <row r="69" spans="1:11" x14ac:dyDescent="0.4">
      <c r="A69" s="49"/>
      <c r="B69" s="54" t="s">
        <v>888</v>
      </c>
      <c r="C69" s="37" t="s">
        <v>889</v>
      </c>
      <c r="D69" s="55" t="s">
        <v>805</v>
      </c>
      <c r="E69" s="58">
        <v>39.590000000000003</v>
      </c>
      <c r="F69" s="57">
        <v>0.15</v>
      </c>
      <c r="G69" s="57"/>
      <c r="H69" s="49"/>
      <c r="I69" s="49" t="str">
        <f t="shared" si="6"/>
        <v/>
      </c>
      <c r="J69" s="37" t="str">
        <f t="shared" si="0"/>
        <v>대한방직</v>
      </c>
      <c r="K69" s="37" t="str">
        <f t="shared" si="1"/>
        <v>A001070</v>
      </c>
    </row>
    <row r="70" spans="1:11" x14ac:dyDescent="0.4">
      <c r="A70" s="49"/>
      <c r="B70" s="54" t="s">
        <v>890</v>
      </c>
      <c r="C70" s="37" t="s">
        <v>891</v>
      </c>
      <c r="D70" s="55" t="s">
        <v>805</v>
      </c>
      <c r="E70" s="58">
        <v>225.76</v>
      </c>
      <c r="F70" s="57">
        <v>0.95</v>
      </c>
      <c r="G70" s="57"/>
      <c r="H70" s="49"/>
      <c r="I70" s="49" t="str">
        <f t="shared" si="6"/>
        <v/>
      </c>
      <c r="J70" s="37" t="str">
        <f t="shared" si="0"/>
        <v>만호제강</v>
      </c>
      <c r="K70" s="37" t="str">
        <f t="shared" si="1"/>
        <v>A001080</v>
      </c>
    </row>
    <row r="71" spans="1:11" x14ac:dyDescent="0.4">
      <c r="A71" s="49"/>
      <c r="B71" s="54" t="s">
        <v>892</v>
      </c>
      <c r="C71" s="37" t="s">
        <v>893</v>
      </c>
      <c r="D71" s="55" t="s">
        <v>820</v>
      </c>
      <c r="E71" s="58">
        <v>67.900000000000006</v>
      </c>
      <c r="F71" s="57">
        <v>6.47</v>
      </c>
      <c r="G71" s="57"/>
      <c r="H71" s="49"/>
      <c r="I71" s="49" t="str">
        <f t="shared" si="6"/>
        <v/>
      </c>
      <c r="J71" s="37" t="str">
        <f t="shared" si="0"/>
        <v>제이피아이헬스케어</v>
      </c>
      <c r="K71" s="37" t="str">
        <f t="shared" si="1"/>
        <v>A0010V0</v>
      </c>
    </row>
    <row r="72" spans="1:11" x14ac:dyDescent="0.4">
      <c r="A72" s="49"/>
      <c r="B72" s="54" t="s">
        <v>894</v>
      </c>
      <c r="C72" s="37" t="s">
        <v>895</v>
      </c>
      <c r="D72" s="55" t="s">
        <v>805</v>
      </c>
      <c r="E72" s="56">
        <v>1651.18</v>
      </c>
      <c r="F72" s="55">
        <v>4.84</v>
      </c>
      <c r="G72" s="55">
        <v>7</v>
      </c>
      <c r="J72" s="37" t="str">
        <f t="shared" si="0"/>
        <v>LX인터내셔널</v>
      </c>
      <c r="K72" s="37" t="str">
        <f t="shared" si="1"/>
        <v>A001120</v>
      </c>
    </row>
    <row r="73" spans="1:11" x14ac:dyDescent="0.4">
      <c r="A73" s="49"/>
      <c r="B73" s="54" t="s">
        <v>896</v>
      </c>
      <c r="C73" s="37" t="s">
        <v>897</v>
      </c>
      <c r="D73" s="55" t="s">
        <v>805</v>
      </c>
      <c r="E73" s="56">
        <v>262.95999999999998</v>
      </c>
      <c r="F73" s="55">
        <v>0.45</v>
      </c>
      <c r="G73" s="55"/>
      <c r="I73" s="49" t="str">
        <f t="shared" ref="I73:I79" si="7">IF((G73&gt;$G$8),E73+ROW()/100000,"")</f>
        <v/>
      </c>
      <c r="J73" s="37" t="str">
        <f t="shared" si="0"/>
        <v>대한제분</v>
      </c>
      <c r="K73" s="37" t="str">
        <f t="shared" si="1"/>
        <v>A001130</v>
      </c>
    </row>
    <row r="74" spans="1:11" x14ac:dyDescent="0.4">
      <c r="A74" s="49"/>
      <c r="B74" s="54" t="s">
        <v>898</v>
      </c>
      <c r="C74" s="37" t="s">
        <v>899</v>
      </c>
      <c r="D74" s="55" t="s">
        <v>805</v>
      </c>
      <c r="E74" s="58">
        <v>513.39</v>
      </c>
      <c r="F74" s="57">
        <v>8.3000000000000007</v>
      </c>
      <c r="G74" s="57"/>
      <c r="H74" s="49"/>
      <c r="I74" s="49" t="str">
        <f t="shared" si="7"/>
        <v/>
      </c>
      <c r="J74" s="37" t="str">
        <f t="shared" si="0"/>
        <v>유진투자증권</v>
      </c>
      <c r="K74" s="37" t="str">
        <f t="shared" si="1"/>
        <v>A001200</v>
      </c>
    </row>
    <row r="75" spans="1:11" x14ac:dyDescent="0.4">
      <c r="A75" s="49"/>
      <c r="B75" s="54" t="s">
        <v>900</v>
      </c>
      <c r="C75" s="37" t="s">
        <v>901</v>
      </c>
      <c r="D75" s="55" t="s">
        <v>805</v>
      </c>
      <c r="E75" s="56">
        <v>57.74</v>
      </c>
      <c r="F75" s="55">
        <v>2.79</v>
      </c>
      <c r="G75" s="55"/>
      <c r="H75" s="49"/>
      <c r="I75" s="49" t="str">
        <f t="shared" si="7"/>
        <v/>
      </c>
      <c r="J75" s="37" t="str">
        <f t="shared" si="0"/>
        <v>금호전기</v>
      </c>
      <c r="K75" s="37" t="str">
        <f t="shared" si="1"/>
        <v>A001210</v>
      </c>
    </row>
    <row r="76" spans="1:11" x14ac:dyDescent="0.4">
      <c r="A76" s="49"/>
      <c r="B76" s="54" t="s">
        <v>902</v>
      </c>
      <c r="C76" s="37" t="s">
        <v>903</v>
      </c>
      <c r="D76" s="55" t="s">
        <v>805</v>
      </c>
      <c r="E76" s="58">
        <v>313.55</v>
      </c>
      <c r="F76" s="57">
        <v>0.6</v>
      </c>
      <c r="G76" s="57"/>
      <c r="H76" s="49"/>
      <c r="I76" s="49" t="str">
        <f t="shared" si="7"/>
        <v/>
      </c>
      <c r="J76" s="37" t="str">
        <f t="shared" si="0"/>
        <v>동국홀딩스</v>
      </c>
      <c r="K76" s="37" t="str">
        <f t="shared" si="1"/>
        <v>A001230</v>
      </c>
    </row>
    <row r="77" spans="1:11" x14ac:dyDescent="0.4">
      <c r="A77" s="49"/>
      <c r="B77" s="54" t="s">
        <v>904</v>
      </c>
      <c r="C77" s="37" t="s">
        <v>905</v>
      </c>
      <c r="D77" s="55" t="s">
        <v>805</v>
      </c>
      <c r="E77" s="58">
        <v>214.59</v>
      </c>
      <c r="F77" s="57">
        <v>1.1599999999999999</v>
      </c>
      <c r="G77" s="57"/>
      <c r="H77" s="49"/>
      <c r="I77" s="49" t="str">
        <f t="shared" si="7"/>
        <v/>
      </c>
      <c r="J77" s="37" t="str">
        <f t="shared" si="0"/>
        <v>GS글로벌</v>
      </c>
      <c r="K77" s="37" t="str">
        <f t="shared" si="1"/>
        <v>A001250</v>
      </c>
    </row>
    <row r="78" spans="1:11" x14ac:dyDescent="0.4">
      <c r="A78" s="49"/>
      <c r="B78" s="54" t="s">
        <v>906</v>
      </c>
      <c r="C78" s="37" t="s">
        <v>907</v>
      </c>
      <c r="D78" s="55" t="s">
        <v>805</v>
      </c>
      <c r="E78" s="58">
        <v>86.43</v>
      </c>
      <c r="F78" s="57">
        <v>0.78</v>
      </c>
      <c r="G78" s="57"/>
      <c r="H78" s="49"/>
      <c r="I78" s="49" t="str">
        <f t="shared" si="7"/>
        <v/>
      </c>
      <c r="J78" s="37" t="str">
        <f t="shared" ref="J78:J141" si="8">C78</f>
        <v>남광토건</v>
      </c>
      <c r="K78" s="37" t="str">
        <f t="shared" ref="K78:K141" si="9">B78</f>
        <v>A001260</v>
      </c>
    </row>
    <row r="79" spans="1:11" x14ac:dyDescent="0.4">
      <c r="A79" s="49"/>
      <c r="B79" s="54" t="s">
        <v>908</v>
      </c>
      <c r="C79" s="37" t="s">
        <v>909</v>
      </c>
      <c r="D79" s="55" t="s">
        <v>805</v>
      </c>
      <c r="E79" s="58">
        <v>936.4</v>
      </c>
      <c r="F79" s="57">
        <v>6.59</v>
      </c>
      <c r="G79" s="57"/>
      <c r="H79" s="49"/>
      <c r="I79" s="49" t="str">
        <f t="shared" si="7"/>
        <v/>
      </c>
      <c r="J79" s="37" t="str">
        <f t="shared" si="8"/>
        <v>부국증권</v>
      </c>
      <c r="K79" s="37" t="str">
        <f t="shared" si="9"/>
        <v>A001270</v>
      </c>
    </row>
    <row r="80" spans="1:11" x14ac:dyDescent="0.4">
      <c r="B80" s="54" t="s">
        <v>910</v>
      </c>
      <c r="C80" s="37" t="s">
        <v>911</v>
      </c>
      <c r="D80" s="55" t="s">
        <v>805</v>
      </c>
      <c r="E80" s="56">
        <v>162.51</v>
      </c>
      <c r="F80" s="55">
        <v>2.86</v>
      </c>
      <c r="G80" s="55"/>
      <c r="J80" s="37" t="str">
        <f t="shared" si="8"/>
        <v>상상인증권</v>
      </c>
      <c r="K80" s="37" t="str">
        <f t="shared" si="9"/>
        <v>A001290</v>
      </c>
    </row>
    <row r="81" spans="1:11" x14ac:dyDescent="0.4">
      <c r="B81" s="54" t="s">
        <v>912</v>
      </c>
      <c r="C81" s="37" t="s">
        <v>913</v>
      </c>
      <c r="D81" s="55" t="s">
        <v>805</v>
      </c>
      <c r="E81" s="56">
        <v>309.49</v>
      </c>
      <c r="F81" s="55">
        <v>1.18</v>
      </c>
      <c r="G81" s="55">
        <v>1</v>
      </c>
      <c r="J81" s="37" t="str">
        <f t="shared" si="8"/>
        <v>PKC</v>
      </c>
      <c r="K81" s="37" t="str">
        <f t="shared" si="9"/>
        <v>A001340</v>
      </c>
    </row>
    <row r="82" spans="1:11" x14ac:dyDescent="0.4">
      <c r="A82" s="49"/>
      <c r="B82" s="54" t="s">
        <v>914</v>
      </c>
      <c r="C82" s="37" t="s">
        <v>915</v>
      </c>
      <c r="D82" s="55" t="s">
        <v>805</v>
      </c>
      <c r="E82" s="56">
        <v>187.48</v>
      </c>
      <c r="F82" s="55">
        <v>3.77</v>
      </c>
      <c r="G82" s="55"/>
      <c r="I82" s="49" t="str">
        <f>IF((G82&gt;$G$8),E82+ROW()/100000,"")</f>
        <v/>
      </c>
      <c r="J82" s="37" t="str">
        <f t="shared" si="8"/>
        <v>삼성제약</v>
      </c>
      <c r="K82" s="37" t="str">
        <f t="shared" si="9"/>
        <v>A001360</v>
      </c>
    </row>
    <row r="83" spans="1:11" x14ac:dyDescent="0.4">
      <c r="A83" s="49"/>
      <c r="B83" s="54" t="s">
        <v>916</v>
      </c>
      <c r="C83" s="37" t="s">
        <v>917</v>
      </c>
      <c r="D83" s="55" t="s">
        <v>805</v>
      </c>
      <c r="E83" s="56">
        <v>70.95</v>
      </c>
      <c r="F83" s="55">
        <v>0.5</v>
      </c>
      <c r="G83" s="55"/>
      <c r="I83" s="49" t="str">
        <f>IF((G83&gt;$G$8),E83+ROW()/100000,"")</f>
        <v/>
      </c>
      <c r="J83" s="37" t="str">
        <f t="shared" si="8"/>
        <v>SG글로벌</v>
      </c>
      <c r="K83" s="37" t="str">
        <f t="shared" si="9"/>
        <v>A001380</v>
      </c>
    </row>
    <row r="84" spans="1:11" x14ac:dyDescent="0.4">
      <c r="A84" s="49"/>
      <c r="B84" s="54" t="s">
        <v>918</v>
      </c>
      <c r="C84" s="37" t="s">
        <v>919</v>
      </c>
      <c r="D84" s="55" t="s">
        <v>805</v>
      </c>
      <c r="E84" s="58">
        <v>365.75</v>
      </c>
      <c r="F84" s="57">
        <v>2.58</v>
      </c>
      <c r="G84" s="57"/>
      <c r="H84" s="49"/>
      <c r="I84" s="49" t="str">
        <f>IF((G84&gt;$G$8),E84+ROW()/100000,"")</f>
        <v/>
      </c>
      <c r="J84" s="37" t="str">
        <f t="shared" si="8"/>
        <v>KG케미칼</v>
      </c>
      <c r="K84" s="37" t="str">
        <f t="shared" si="9"/>
        <v>A001390</v>
      </c>
    </row>
    <row r="85" spans="1:11" x14ac:dyDescent="0.4">
      <c r="A85" s="49"/>
      <c r="B85" s="54" t="s">
        <v>920</v>
      </c>
      <c r="C85" s="37" t="s">
        <v>921</v>
      </c>
      <c r="D85" s="55" t="s">
        <v>820</v>
      </c>
      <c r="E85" s="58">
        <v>107.02</v>
      </c>
      <c r="F85" s="57">
        <v>35.43</v>
      </c>
      <c r="G85" s="57">
        <v>1</v>
      </c>
      <c r="H85" s="49"/>
      <c r="I85" s="49">
        <f>IF((G85&gt;$G$8),E85+ROW()/100000,"")</f>
        <v>107.02085</v>
      </c>
      <c r="J85" s="37" t="str">
        <f t="shared" si="8"/>
        <v>삼진식품</v>
      </c>
      <c r="K85" s="37" t="str">
        <f t="shared" si="9"/>
        <v>A0013V0</v>
      </c>
    </row>
    <row r="86" spans="1:11" x14ac:dyDescent="0.4">
      <c r="A86" s="49"/>
      <c r="B86" s="54" t="s">
        <v>922</v>
      </c>
      <c r="C86" s="37" t="s">
        <v>923</v>
      </c>
      <c r="D86" s="55" t="s">
        <v>805</v>
      </c>
      <c r="E86" s="58">
        <v>22.31</v>
      </c>
      <c r="F86" s="57">
        <v>0.04</v>
      </c>
      <c r="G86" s="57"/>
      <c r="H86" s="49"/>
      <c r="I86" s="49" t="str">
        <f>IF((G86&gt;$G$8),E86+ROW()/100000,"")</f>
        <v/>
      </c>
      <c r="J86" s="37" t="str">
        <f t="shared" si="8"/>
        <v>태원물산</v>
      </c>
      <c r="K86" s="37" t="str">
        <f t="shared" si="9"/>
        <v>A001420</v>
      </c>
    </row>
    <row r="87" spans="1:11" x14ac:dyDescent="0.4">
      <c r="A87" s="49"/>
      <c r="B87" s="54" t="s">
        <v>591</v>
      </c>
      <c r="C87" s="37" t="s">
        <v>592</v>
      </c>
      <c r="D87" s="55" t="s">
        <v>805</v>
      </c>
      <c r="E87" s="56">
        <v>2478.0700000000002</v>
      </c>
      <c r="F87" s="55">
        <v>17.829999999999998</v>
      </c>
      <c r="G87" s="55">
        <v>9</v>
      </c>
      <c r="J87" s="37" t="str">
        <f t="shared" si="8"/>
        <v>세아베스틸지주</v>
      </c>
      <c r="K87" s="37" t="str">
        <f t="shared" si="9"/>
        <v>A001430</v>
      </c>
    </row>
    <row r="88" spans="1:11" x14ac:dyDescent="0.4">
      <c r="A88" s="49"/>
      <c r="B88" s="54" t="s">
        <v>320</v>
      </c>
      <c r="C88" s="37" t="s">
        <v>321</v>
      </c>
      <c r="D88" s="55" t="s">
        <v>805</v>
      </c>
      <c r="E88" s="57">
        <v>6712.1</v>
      </c>
      <c r="F88" s="55">
        <v>112.8</v>
      </c>
      <c r="G88" s="55">
        <v>5</v>
      </c>
      <c r="I88" s="49">
        <f t="shared" ref="I88:I95" si="10">IF((G88&gt;$G$8),E88+ROW()/100000,"")</f>
        <v>6712.10088</v>
      </c>
      <c r="J88" s="37" t="str">
        <f t="shared" si="8"/>
        <v>대한전선</v>
      </c>
      <c r="K88" s="37" t="str">
        <f t="shared" si="9"/>
        <v>A001440</v>
      </c>
    </row>
    <row r="89" spans="1:11" x14ac:dyDescent="0.4">
      <c r="A89" s="49"/>
      <c r="B89" s="54" t="s">
        <v>924</v>
      </c>
      <c r="C89" s="37" t="s">
        <v>925</v>
      </c>
      <c r="D89" s="55" t="s">
        <v>805</v>
      </c>
      <c r="E89" s="56">
        <v>3070.89</v>
      </c>
      <c r="F89" s="55">
        <v>16.579999999999998</v>
      </c>
      <c r="G89" s="55">
        <v>12</v>
      </c>
      <c r="I89" s="49">
        <f t="shared" si="10"/>
        <v>3070.8908899999997</v>
      </c>
      <c r="J89" s="37" t="str">
        <f t="shared" si="8"/>
        <v>현대해상</v>
      </c>
      <c r="K89" s="37" t="str">
        <f t="shared" si="9"/>
        <v>A001450</v>
      </c>
    </row>
    <row r="90" spans="1:11" x14ac:dyDescent="0.4">
      <c r="A90" s="49"/>
      <c r="B90" s="54" t="s">
        <v>926</v>
      </c>
      <c r="C90" s="37" t="s">
        <v>927</v>
      </c>
      <c r="D90" s="55" t="s">
        <v>805</v>
      </c>
      <c r="E90" s="58">
        <v>327.92</v>
      </c>
      <c r="F90" s="57">
        <v>0.52</v>
      </c>
      <c r="G90" s="57"/>
      <c r="H90" s="49"/>
      <c r="I90" s="49" t="str">
        <f t="shared" si="10"/>
        <v/>
      </c>
      <c r="J90" s="37" t="str">
        <f t="shared" si="8"/>
        <v>BYC</v>
      </c>
      <c r="K90" s="37" t="str">
        <f t="shared" si="9"/>
        <v>A001460</v>
      </c>
    </row>
    <row r="91" spans="1:11" x14ac:dyDescent="0.4">
      <c r="A91" s="49"/>
      <c r="B91" s="54" t="s">
        <v>928</v>
      </c>
      <c r="C91" s="37" t="s">
        <v>929</v>
      </c>
      <c r="D91" s="55" t="s">
        <v>805</v>
      </c>
      <c r="E91" s="58">
        <v>79.7</v>
      </c>
      <c r="F91" s="57">
        <v>0</v>
      </c>
      <c r="G91" s="57"/>
      <c r="H91" s="49"/>
      <c r="I91" s="49" t="str">
        <f t="shared" si="10"/>
        <v/>
      </c>
      <c r="J91" s="37" t="str">
        <f t="shared" si="8"/>
        <v>삼부토건</v>
      </c>
      <c r="K91" s="37" t="str">
        <f t="shared" si="9"/>
        <v>A001470</v>
      </c>
    </row>
    <row r="92" spans="1:11" x14ac:dyDescent="0.4">
      <c r="A92" s="49"/>
      <c r="B92" s="54" t="s">
        <v>930</v>
      </c>
      <c r="C92" s="37" t="s">
        <v>931</v>
      </c>
      <c r="D92" s="55" t="s">
        <v>805</v>
      </c>
      <c r="E92" s="58">
        <v>806.92</v>
      </c>
      <c r="F92" s="57">
        <v>4.6900000000000004</v>
      </c>
      <c r="G92" s="57"/>
      <c r="H92" s="49"/>
      <c r="I92" s="49" t="str">
        <f t="shared" si="10"/>
        <v/>
      </c>
      <c r="J92" s="37" t="str">
        <f t="shared" si="8"/>
        <v>현대차증권</v>
      </c>
      <c r="K92" s="37" t="str">
        <f t="shared" si="9"/>
        <v>A001500</v>
      </c>
    </row>
    <row r="93" spans="1:11" x14ac:dyDescent="0.4">
      <c r="A93" s="49"/>
      <c r="B93" s="54" t="s">
        <v>932</v>
      </c>
      <c r="C93" s="37" t="s">
        <v>933</v>
      </c>
      <c r="D93" s="55" t="s">
        <v>805</v>
      </c>
      <c r="E93" s="58">
        <v>1004.25</v>
      </c>
      <c r="F93" s="57">
        <v>25.9</v>
      </c>
      <c r="G93" s="57"/>
      <c r="H93" s="49"/>
      <c r="I93" s="49" t="str">
        <f t="shared" si="10"/>
        <v/>
      </c>
      <c r="J93" s="37" t="str">
        <f t="shared" si="8"/>
        <v>SK증권</v>
      </c>
      <c r="K93" s="37" t="str">
        <f t="shared" si="9"/>
        <v>A001510</v>
      </c>
    </row>
    <row r="94" spans="1:11" x14ac:dyDescent="0.4">
      <c r="A94" s="49"/>
      <c r="B94" s="54" t="s">
        <v>934</v>
      </c>
      <c r="C94" s="37" t="s">
        <v>935</v>
      </c>
      <c r="D94" s="55" t="s">
        <v>805</v>
      </c>
      <c r="E94" s="58">
        <v>230.57</v>
      </c>
      <c r="F94" s="57">
        <v>15.36</v>
      </c>
      <c r="G94" s="57"/>
      <c r="H94" s="49"/>
      <c r="I94" s="49" t="str">
        <f t="shared" si="10"/>
        <v/>
      </c>
      <c r="J94" s="37" t="str">
        <f t="shared" si="8"/>
        <v>동양</v>
      </c>
      <c r="K94" s="37" t="str">
        <f t="shared" si="9"/>
        <v>A001520</v>
      </c>
    </row>
    <row r="95" spans="1:11" x14ac:dyDescent="0.4">
      <c r="A95" s="49"/>
      <c r="B95" s="54" t="s">
        <v>936</v>
      </c>
      <c r="C95" s="37" t="s">
        <v>937</v>
      </c>
      <c r="D95" s="55" t="s">
        <v>805</v>
      </c>
      <c r="E95" s="58">
        <v>474.49</v>
      </c>
      <c r="F95" s="57">
        <v>2.76</v>
      </c>
      <c r="G95" s="57">
        <v>1</v>
      </c>
      <c r="H95" s="49"/>
      <c r="I95" s="49">
        <f t="shared" si="10"/>
        <v>474.49095</v>
      </c>
      <c r="J95" s="37" t="str">
        <f t="shared" si="8"/>
        <v>DI동일</v>
      </c>
      <c r="K95" s="37" t="str">
        <f t="shared" si="9"/>
        <v>A001530</v>
      </c>
    </row>
    <row r="96" spans="1:11" x14ac:dyDescent="0.4">
      <c r="B96" s="54" t="s">
        <v>938</v>
      </c>
      <c r="C96" s="37" t="s">
        <v>939</v>
      </c>
      <c r="D96" s="55" t="s">
        <v>820</v>
      </c>
      <c r="E96" s="56">
        <v>105.25</v>
      </c>
      <c r="F96" s="55">
        <v>0.36</v>
      </c>
      <c r="G96" s="55"/>
      <c r="J96" s="37" t="str">
        <f t="shared" si="8"/>
        <v>안국약품</v>
      </c>
      <c r="K96" s="37" t="str">
        <f t="shared" si="9"/>
        <v>A001540</v>
      </c>
    </row>
    <row r="97" spans="1:11" x14ac:dyDescent="0.4">
      <c r="A97" s="49"/>
      <c r="B97" s="54" t="s">
        <v>940</v>
      </c>
      <c r="C97" s="37" t="s">
        <v>941</v>
      </c>
      <c r="D97" s="55" t="s">
        <v>805</v>
      </c>
      <c r="E97" s="56">
        <v>75.75</v>
      </c>
      <c r="F97" s="55">
        <v>1.87</v>
      </c>
      <c r="G97" s="55"/>
      <c r="I97" s="49" t="str">
        <f>IF((G97&gt;$G$8),E97+ROW()/100000,"")</f>
        <v/>
      </c>
      <c r="J97" s="37" t="str">
        <f t="shared" si="8"/>
        <v>조비</v>
      </c>
      <c r="K97" s="37" t="str">
        <f t="shared" si="9"/>
        <v>A001550</v>
      </c>
    </row>
    <row r="98" spans="1:11" x14ac:dyDescent="0.4">
      <c r="A98" s="49"/>
      <c r="B98" s="54" t="s">
        <v>942</v>
      </c>
      <c r="C98" s="37" t="s">
        <v>943</v>
      </c>
      <c r="D98" s="55" t="s">
        <v>805</v>
      </c>
      <c r="E98" s="58">
        <v>97.8</v>
      </c>
      <c r="F98" s="57">
        <v>0.08</v>
      </c>
      <c r="G98" s="57"/>
      <c r="H98" s="49"/>
      <c r="I98" s="49" t="str">
        <f>IF((G98&gt;$G$8),E98+ROW()/100000,"")</f>
        <v/>
      </c>
      <c r="J98" s="37" t="str">
        <f t="shared" si="8"/>
        <v>제일연마</v>
      </c>
      <c r="K98" s="37" t="str">
        <f t="shared" si="9"/>
        <v>A001560</v>
      </c>
    </row>
    <row r="99" spans="1:11" x14ac:dyDescent="0.4">
      <c r="B99" s="54" t="s">
        <v>944</v>
      </c>
      <c r="C99" s="37" t="s">
        <v>945</v>
      </c>
      <c r="D99" s="55" t="s">
        <v>805</v>
      </c>
      <c r="E99" s="56">
        <v>633.28</v>
      </c>
      <c r="F99" s="55">
        <v>0</v>
      </c>
      <c r="G99" s="55"/>
      <c r="J99" s="37" t="str">
        <f t="shared" si="8"/>
        <v>금양</v>
      </c>
      <c r="K99" s="37" t="str">
        <f t="shared" si="9"/>
        <v>A001570</v>
      </c>
    </row>
    <row r="100" spans="1:11" x14ac:dyDescent="0.4">
      <c r="A100" s="49"/>
      <c r="B100" s="54" t="s">
        <v>946</v>
      </c>
      <c r="C100" s="37" t="s">
        <v>947</v>
      </c>
      <c r="D100" s="55" t="s">
        <v>820</v>
      </c>
      <c r="E100" s="58">
        <v>488</v>
      </c>
      <c r="F100" s="57">
        <v>81.760000000000005</v>
      </c>
      <c r="G100" s="57">
        <v>1</v>
      </c>
      <c r="H100" s="49"/>
      <c r="I100" s="49">
        <f t="shared" ref="I100:I106" si="11">IF((G100&gt;$G$8),E100+ROW()/100000,"")</f>
        <v>488.00099999999998</v>
      </c>
      <c r="J100" s="37" t="str">
        <f t="shared" si="8"/>
        <v>그린광학</v>
      </c>
      <c r="K100" s="37" t="str">
        <f t="shared" si="9"/>
        <v>A0015G0</v>
      </c>
    </row>
    <row r="101" spans="1:11" x14ac:dyDescent="0.4">
      <c r="A101" s="49"/>
      <c r="B101" s="54" t="s">
        <v>948</v>
      </c>
      <c r="C101" s="37" t="s">
        <v>949</v>
      </c>
      <c r="D101" s="55" t="s">
        <v>820</v>
      </c>
      <c r="E101" s="58">
        <v>165.3</v>
      </c>
      <c r="F101" s="57">
        <v>32.08</v>
      </c>
      <c r="G101" s="57"/>
      <c r="H101" s="49"/>
      <c r="I101" s="49" t="str">
        <f t="shared" si="11"/>
        <v/>
      </c>
      <c r="J101" s="37" t="str">
        <f t="shared" si="8"/>
        <v>아로마티카</v>
      </c>
      <c r="K101" s="37" t="str">
        <f t="shared" si="9"/>
        <v>A0015N0</v>
      </c>
    </row>
    <row r="102" spans="1:11" x14ac:dyDescent="0.4">
      <c r="A102" s="49"/>
      <c r="B102" s="54" t="s">
        <v>950</v>
      </c>
      <c r="C102" s="37" t="s">
        <v>951</v>
      </c>
      <c r="D102" s="55" t="s">
        <v>820</v>
      </c>
      <c r="E102" s="58">
        <v>193.74</v>
      </c>
      <c r="F102" s="57">
        <v>49.76</v>
      </c>
      <c r="G102" s="57"/>
      <c r="H102" s="49"/>
      <c r="I102" s="49" t="str">
        <f t="shared" si="11"/>
        <v/>
      </c>
      <c r="J102" s="37" t="str">
        <f t="shared" si="8"/>
        <v>페스카로</v>
      </c>
      <c r="K102" s="37" t="str">
        <f t="shared" si="9"/>
        <v>A0015S0</v>
      </c>
    </row>
    <row r="103" spans="1:11" x14ac:dyDescent="0.4">
      <c r="A103" s="49"/>
      <c r="B103" s="54" t="s">
        <v>952</v>
      </c>
      <c r="C103" s="37" t="s">
        <v>953</v>
      </c>
      <c r="D103" s="55" t="s">
        <v>805</v>
      </c>
      <c r="E103" s="58">
        <v>98.72</v>
      </c>
      <c r="F103" s="57">
        <v>0.35</v>
      </c>
      <c r="G103" s="57"/>
      <c r="H103" s="49"/>
      <c r="I103" s="49" t="str">
        <f t="shared" si="11"/>
        <v/>
      </c>
      <c r="J103" s="37" t="str">
        <f t="shared" si="8"/>
        <v>케이비아이동국실업</v>
      </c>
      <c r="K103" s="37" t="str">
        <f t="shared" si="9"/>
        <v>A001620</v>
      </c>
    </row>
    <row r="104" spans="1:11" x14ac:dyDescent="0.4">
      <c r="A104" s="49"/>
      <c r="B104" s="54" t="s">
        <v>954</v>
      </c>
      <c r="C104" s="37" t="s">
        <v>955</v>
      </c>
      <c r="D104" s="55" t="s">
        <v>805</v>
      </c>
      <c r="E104" s="57">
        <v>261.01</v>
      </c>
      <c r="F104" s="55">
        <v>0.44</v>
      </c>
      <c r="G104" s="55"/>
      <c r="I104" s="49" t="str">
        <f t="shared" si="11"/>
        <v/>
      </c>
      <c r="J104" s="37" t="str">
        <f t="shared" si="8"/>
        <v>종근당홀딩스</v>
      </c>
      <c r="K104" s="37" t="str">
        <f t="shared" si="9"/>
        <v>A001630</v>
      </c>
    </row>
    <row r="105" spans="1:11" x14ac:dyDescent="0.4">
      <c r="A105" s="49"/>
      <c r="B105" s="54" t="s">
        <v>956</v>
      </c>
      <c r="C105" s="37" t="s">
        <v>957</v>
      </c>
      <c r="D105" s="55" t="s">
        <v>805</v>
      </c>
      <c r="E105" s="58">
        <v>783.05</v>
      </c>
      <c r="F105" s="57">
        <v>2.4700000000000002</v>
      </c>
      <c r="G105" s="57">
        <v>2</v>
      </c>
      <c r="H105" s="49"/>
      <c r="I105" s="49">
        <f t="shared" si="11"/>
        <v>783.05104999999992</v>
      </c>
      <c r="J105" s="37" t="str">
        <f t="shared" si="8"/>
        <v>대상</v>
      </c>
      <c r="K105" s="37" t="str">
        <f t="shared" si="9"/>
        <v>A001680</v>
      </c>
    </row>
    <row r="106" spans="1:11" x14ac:dyDescent="0.4">
      <c r="A106" s="49"/>
      <c r="B106" s="54" t="s">
        <v>958</v>
      </c>
      <c r="C106" s="37" t="s">
        <v>959</v>
      </c>
      <c r="D106" s="55" t="s">
        <v>805</v>
      </c>
      <c r="E106" s="58">
        <v>3707.22</v>
      </c>
      <c r="F106" s="57">
        <v>6.76</v>
      </c>
      <c r="G106" s="57"/>
      <c r="H106" s="49"/>
      <c r="I106" s="49" t="str">
        <f t="shared" si="11"/>
        <v/>
      </c>
      <c r="J106" s="37" t="str">
        <f t="shared" si="8"/>
        <v>신영증권</v>
      </c>
      <c r="K106" s="37" t="str">
        <f t="shared" si="9"/>
        <v>A001720</v>
      </c>
    </row>
    <row r="107" spans="1:11" x14ac:dyDescent="0.4">
      <c r="B107" s="54" t="s">
        <v>960</v>
      </c>
      <c r="C107" s="37" t="s">
        <v>961</v>
      </c>
      <c r="D107" s="55" t="s">
        <v>805</v>
      </c>
      <c r="E107" s="56">
        <v>1272.3499999999999</v>
      </c>
      <c r="F107" s="55">
        <v>3.2</v>
      </c>
      <c r="G107" s="55">
        <v>4</v>
      </c>
      <c r="J107" s="37" t="str">
        <f t="shared" si="8"/>
        <v>SK네트웍스</v>
      </c>
      <c r="K107" s="37" t="str">
        <f t="shared" si="9"/>
        <v>A001740</v>
      </c>
    </row>
    <row r="108" spans="1:11" x14ac:dyDescent="0.4">
      <c r="A108" s="49"/>
      <c r="B108" s="54" t="s">
        <v>962</v>
      </c>
      <c r="C108" s="37" t="s">
        <v>963</v>
      </c>
      <c r="D108" s="55" t="s">
        <v>805</v>
      </c>
      <c r="E108" s="58">
        <v>334.76</v>
      </c>
      <c r="F108" s="57">
        <v>0.93</v>
      </c>
      <c r="G108" s="57"/>
      <c r="H108" s="49"/>
      <c r="I108" s="49" t="str">
        <f t="shared" ref="I108:I116" si="12">IF((G108&gt;$G$8),E108+ROW()/100000,"")</f>
        <v/>
      </c>
      <c r="J108" s="37" t="str">
        <f t="shared" si="8"/>
        <v>한양증권</v>
      </c>
      <c r="K108" s="37" t="str">
        <f t="shared" si="9"/>
        <v>A001750</v>
      </c>
    </row>
    <row r="109" spans="1:11" x14ac:dyDescent="0.4">
      <c r="A109" s="49"/>
      <c r="B109" s="54" t="s">
        <v>964</v>
      </c>
      <c r="C109" s="37" t="s">
        <v>965</v>
      </c>
      <c r="D109" s="55" t="s">
        <v>805</v>
      </c>
      <c r="E109" s="58">
        <v>21.42</v>
      </c>
      <c r="F109" s="57">
        <v>0.04</v>
      </c>
      <c r="G109" s="57"/>
      <c r="H109" s="49"/>
      <c r="I109" s="49" t="str">
        <f t="shared" si="12"/>
        <v/>
      </c>
      <c r="J109" s="37" t="str">
        <f t="shared" si="8"/>
        <v>SHD</v>
      </c>
      <c r="K109" s="37" t="str">
        <f t="shared" si="9"/>
        <v>A001770</v>
      </c>
    </row>
    <row r="110" spans="1:11" x14ac:dyDescent="0.4">
      <c r="A110" s="49"/>
      <c r="B110" s="54" t="s">
        <v>966</v>
      </c>
      <c r="C110" s="37" t="s">
        <v>967</v>
      </c>
      <c r="D110" s="55" t="s">
        <v>805</v>
      </c>
      <c r="E110" s="58">
        <v>216.9</v>
      </c>
      <c r="F110" s="57">
        <v>1.75</v>
      </c>
      <c r="G110" s="57"/>
      <c r="H110" s="49"/>
      <c r="I110" s="49" t="str">
        <f t="shared" si="12"/>
        <v/>
      </c>
      <c r="J110" s="37" t="str">
        <f t="shared" si="8"/>
        <v>알루코</v>
      </c>
      <c r="K110" s="37" t="str">
        <f t="shared" si="9"/>
        <v>A001780</v>
      </c>
    </row>
    <row r="111" spans="1:11" x14ac:dyDescent="0.4">
      <c r="A111" s="49"/>
      <c r="B111" s="54" t="s">
        <v>968</v>
      </c>
      <c r="C111" s="37" t="s">
        <v>969</v>
      </c>
      <c r="D111" s="55" t="s">
        <v>805</v>
      </c>
      <c r="E111" s="58">
        <v>254.29</v>
      </c>
      <c r="F111" s="57">
        <v>0.88</v>
      </c>
      <c r="G111" s="57"/>
      <c r="H111" s="49"/>
      <c r="I111" s="49" t="str">
        <f t="shared" si="12"/>
        <v/>
      </c>
      <c r="J111" s="37" t="str">
        <f t="shared" si="8"/>
        <v>대한제당</v>
      </c>
      <c r="K111" s="37" t="str">
        <f t="shared" si="9"/>
        <v>A001790</v>
      </c>
    </row>
    <row r="112" spans="1:11" x14ac:dyDescent="0.4">
      <c r="A112" s="49"/>
      <c r="B112" s="54" t="s">
        <v>641</v>
      </c>
      <c r="C112" s="37" t="s">
        <v>642</v>
      </c>
      <c r="D112" s="55" t="s">
        <v>805</v>
      </c>
      <c r="E112" s="59">
        <v>1494.09</v>
      </c>
      <c r="F112" s="57">
        <v>2.67</v>
      </c>
      <c r="G112" s="57"/>
      <c r="H112" s="49"/>
      <c r="I112" s="49" t="str">
        <f t="shared" si="12"/>
        <v/>
      </c>
      <c r="J112" s="37" t="str">
        <f t="shared" si="8"/>
        <v>오리온홀딩스</v>
      </c>
      <c r="K112" s="37" t="str">
        <f t="shared" si="9"/>
        <v>A001800</v>
      </c>
    </row>
    <row r="113" spans="1:11" x14ac:dyDescent="0.4">
      <c r="A113" s="49"/>
      <c r="B113" s="54" t="s">
        <v>970</v>
      </c>
      <c r="C113" s="37" t="s">
        <v>971</v>
      </c>
      <c r="D113" s="55" t="s">
        <v>820</v>
      </c>
      <c r="E113" s="58">
        <v>32.61</v>
      </c>
      <c r="F113" s="57">
        <v>7.0000000000000007E-2</v>
      </c>
      <c r="G113" s="57"/>
      <c r="H113" s="49"/>
      <c r="I113" s="49" t="str">
        <f t="shared" si="12"/>
        <v/>
      </c>
      <c r="J113" s="37" t="str">
        <f t="shared" si="8"/>
        <v>무림SP</v>
      </c>
      <c r="K113" s="37" t="str">
        <f t="shared" si="9"/>
        <v>A001810</v>
      </c>
    </row>
    <row r="114" spans="1:11" x14ac:dyDescent="0.4">
      <c r="A114" s="49"/>
      <c r="B114" s="54" t="s">
        <v>972</v>
      </c>
      <c r="C114" s="37" t="s">
        <v>973</v>
      </c>
      <c r="D114" s="55" t="s">
        <v>805</v>
      </c>
      <c r="E114" s="56">
        <v>560.29</v>
      </c>
      <c r="F114" s="55">
        <v>7.51</v>
      </c>
      <c r="G114" s="55">
        <v>2</v>
      </c>
      <c r="I114" s="49">
        <f t="shared" si="12"/>
        <v>560.29113999999993</v>
      </c>
      <c r="J114" s="37" t="str">
        <f t="shared" si="8"/>
        <v>삼화콘덴서</v>
      </c>
      <c r="K114" s="37" t="str">
        <f t="shared" si="9"/>
        <v>A001820</v>
      </c>
    </row>
    <row r="115" spans="1:11" x14ac:dyDescent="0.4">
      <c r="A115" s="49"/>
      <c r="B115" s="54" t="s">
        <v>974</v>
      </c>
      <c r="C115" s="37" t="s">
        <v>975</v>
      </c>
      <c r="D115" s="55" t="s">
        <v>820</v>
      </c>
      <c r="E115" s="58">
        <v>36.03</v>
      </c>
      <c r="F115" s="57">
        <v>0</v>
      </c>
      <c r="G115" s="57"/>
      <c r="H115" s="49"/>
      <c r="I115" s="49" t="str">
        <f t="shared" si="12"/>
        <v/>
      </c>
      <c r="J115" s="37" t="str">
        <f t="shared" si="8"/>
        <v>이화공영</v>
      </c>
      <c r="K115" s="37" t="str">
        <f t="shared" si="9"/>
        <v>A001840</v>
      </c>
    </row>
    <row r="116" spans="1:11" x14ac:dyDescent="0.4">
      <c r="A116" s="49"/>
      <c r="B116" s="54" t="s">
        <v>976</v>
      </c>
      <c r="C116" s="37" t="s">
        <v>977</v>
      </c>
      <c r="D116" s="55" t="s">
        <v>805</v>
      </c>
      <c r="E116" s="58">
        <v>371.42</v>
      </c>
      <c r="F116" s="57">
        <v>0.36</v>
      </c>
      <c r="G116" s="57"/>
      <c r="H116" s="49"/>
      <c r="I116" s="49" t="str">
        <f t="shared" si="12"/>
        <v/>
      </c>
      <c r="J116" s="37" t="str">
        <f t="shared" si="8"/>
        <v>KISCO홀딩스</v>
      </c>
      <c r="K116" s="37" t="str">
        <f t="shared" si="9"/>
        <v>A001940</v>
      </c>
    </row>
    <row r="117" spans="1:11" x14ac:dyDescent="0.4">
      <c r="B117" s="54" t="s">
        <v>978</v>
      </c>
      <c r="C117" s="37" t="s">
        <v>979</v>
      </c>
      <c r="D117" s="55" t="s">
        <v>805</v>
      </c>
      <c r="E117" s="56">
        <v>889.34</v>
      </c>
      <c r="F117" s="55">
        <v>7.15</v>
      </c>
      <c r="G117" s="55"/>
      <c r="J117" s="37" t="str">
        <f t="shared" si="8"/>
        <v>코오롱</v>
      </c>
      <c r="K117" s="37" t="str">
        <f t="shared" si="9"/>
        <v>A002020</v>
      </c>
    </row>
    <row r="118" spans="1:11" x14ac:dyDescent="0.4">
      <c r="A118" s="49"/>
      <c r="B118" s="54" t="s">
        <v>980</v>
      </c>
      <c r="C118" s="37" t="s">
        <v>981</v>
      </c>
      <c r="D118" s="55" t="s">
        <v>805</v>
      </c>
      <c r="E118" s="56">
        <v>604.17999999999995</v>
      </c>
      <c r="F118" s="55">
        <v>0.87</v>
      </c>
      <c r="G118" s="55"/>
      <c r="J118" s="37" t="str">
        <f t="shared" si="8"/>
        <v>아세아</v>
      </c>
      <c r="K118" s="37" t="str">
        <f t="shared" si="9"/>
        <v>A002030</v>
      </c>
    </row>
    <row r="119" spans="1:11" x14ac:dyDescent="0.4">
      <c r="A119" s="49"/>
      <c r="B119" s="54" t="s">
        <v>982</v>
      </c>
      <c r="C119" s="37" t="s">
        <v>983</v>
      </c>
      <c r="D119" s="55" t="s">
        <v>805</v>
      </c>
      <c r="E119" s="56">
        <v>24.63</v>
      </c>
      <c r="F119" s="55">
        <v>0.2</v>
      </c>
      <c r="G119" s="55"/>
      <c r="J119" s="37" t="str">
        <f t="shared" si="8"/>
        <v>비비안</v>
      </c>
      <c r="K119" s="37" t="str">
        <f t="shared" si="9"/>
        <v>A002070</v>
      </c>
    </row>
    <row r="120" spans="1:11" x14ac:dyDescent="0.4">
      <c r="A120" s="49"/>
      <c r="B120" s="54" t="s">
        <v>984</v>
      </c>
      <c r="C120" s="37" t="s">
        <v>985</v>
      </c>
      <c r="D120" s="55" t="s">
        <v>805</v>
      </c>
      <c r="E120" s="58">
        <v>188</v>
      </c>
      <c r="F120" s="57">
        <v>0.63</v>
      </c>
      <c r="G120" s="57"/>
      <c r="H120" s="49"/>
      <c r="I120" s="49" t="str">
        <f t="shared" ref="I120:I138" si="13">IF((G120&gt;$G$8),E120+ROW()/100000,"")</f>
        <v/>
      </c>
      <c r="J120" s="37" t="str">
        <f t="shared" si="8"/>
        <v>경농</v>
      </c>
      <c r="K120" s="37" t="str">
        <f t="shared" si="9"/>
        <v>A002100</v>
      </c>
    </row>
    <row r="121" spans="1:11" x14ac:dyDescent="0.4">
      <c r="A121" s="49"/>
      <c r="B121" s="54" t="s">
        <v>986</v>
      </c>
      <c r="C121" s="37" t="s">
        <v>987</v>
      </c>
      <c r="D121" s="55" t="s">
        <v>805</v>
      </c>
      <c r="E121" s="58">
        <v>65.09</v>
      </c>
      <c r="F121" s="57">
        <v>0.28000000000000003</v>
      </c>
      <c r="G121" s="57"/>
      <c r="H121" s="49"/>
      <c r="I121" s="49" t="str">
        <f t="shared" si="13"/>
        <v/>
      </c>
      <c r="J121" s="37" t="str">
        <f t="shared" si="8"/>
        <v>고려산업</v>
      </c>
      <c r="K121" s="37" t="str">
        <f t="shared" si="9"/>
        <v>A002140</v>
      </c>
    </row>
    <row r="122" spans="1:11" x14ac:dyDescent="0.4">
      <c r="A122" s="49"/>
      <c r="B122" s="54" t="s">
        <v>988</v>
      </c>
      <c r="C122" s="37" t="s">
        <v>989</v>
      </c>
      <c r="D122" s="55" t="s">
        <v>805</v>
      </c>
      <c r="E122" s="58">
        <v>223.9</v>
      </c>
      <c r="F122" s="57">
        <v>0.34</v>
      </c>
      <c r="G122" s="57"/>
      <c r="H122" s="49"/>
      <c r="I122" s="49" t="str">
        <f t="shared" si="13"/>
        <v/>
      </c>
      <c r="J122" s="37" t="str">
        <f t="shared" si="8"/>
        <v>도화엔지니어링</v>
      </c>
      <c r="K122" s="37" t="str">
        <f t="shared" si="9"/>
        <v>A002150</v>
      </c>
    </row>
    <row r="123" spans="1:11" x14ac:dyDescent="0.4">
      <c r="A123" s="49"/>
      <c r="B123" s="54" t="s">
        <v>990</v>
      </c>
      <c r="C123" s="37" t="s">
        <v>5186</v>
      </c>
      <c r="D123" s="55" t="s">
        <v>805</v>
      </c>
      <c r="E123" s="56">
        <v>182.1</v>
      </c>
      <c r="F123" s="55">
        <v>0.11</v>
      </c>
      <c r="G123" s="55"/>
      <c r="I123" s="49" t="str">
        <f t="shared" si="13"/>
        <v/>
      </c>
      <c r="J123" s="37" t="str">
        <f t="shared" si="8"/>
        <v>SYTS</v>
      </c>
      <c r="K123" s="37" t="str">
        <f t="shared" si="9"/>
        <v>A002170</v>
      </c>
    </row>
    <row r="124" spans="1:11" x14ac:dyDescent="0.4">
      <c r="A124" s="49"/>
      <c r="B124" s="54" t="s">
        <v>991</v>
      </c>
      <c r="C124" s="37" t="s">
        <v>992</v>
      </c>
      <c r="D124" s="55" t="s">
        <v>805</v>
      </c>
      <c r="E124" s="59">
        <v>126.8</v>
      </c>
      <c r="F124" s="57">
        <v>0.35</v>
      </c>
      <c r="G124" s="57"/>
      <c r="H124" s="49"/>
      <c r="I124" s="49" t="str">
        <f t="shared" si="13"/>
        <v/>
      </c>
      <c r="J124" s="37" t="str">
        <f t="shared" si="8"/>
        <v>한국수출포장</v>
      </c>
      <c r="K124" s="37" t="str">
        <f t="shared" si="9"/>
        <v>A002200</v>
      </c>
    </row>
    <row r="125" spans="1:11" x14ac:dyDescent="0.4">
      <c r="A125" s="49"/>
      <c r="B125" s="54" t="s">
        <v>993</v>
      </c>
      <c r="C125" s="37" t="s">
        <v>994</v>
      </c>
      <c r="D125" s="55" t="s">
        <v>805</v>
      </c>
      <c r="E125" s="58">
        <v>25.9</v>
      </c>
      <c r="F125" s="57">
        <v>0</v>
      </c>
      <c r="G125" s="57"/>
      <c r="H125" s="49"/>
      <c r="I125" s="49" t="str">
        <f t="shared" si="13"/>
        <v/>
      </c>
      <c r="J125" s="37" t="str">
        <f t="shared" si="8"/>
        <v>동성제약</v>
      </c>
      <c r="K125" s="37" t="str">
        <f t="shared" si="9"/>
        <v>A002210</v>
      </c>
    </row>
    <row r="126" spans="1:11" x14ac:dyDescent="0.4">
      <c r="A126" s="49"/>
      <c r="B126" s="54" t="s">
        <v>995</v>
      </c>
      <c r="C126" s="37" t="s">
        <v>996</v>
      </c>
      <c r="D126" s="55" t="s">
        <v>805</v>
      </c>
      <c r="E126" s="58">
        <v>113.33</v>
      </c>
      <c r="F126" s="57">
        <v>0.6</v>
      </c>
      <c r="G126" s="57"/>
      <c r="H126" s="49"/>
      <c r="I126" s="49" t="str">
        <f t="shared" si="13"/>
        <v/>
      </c>
      <c r="J126" s="37" t="str">
        <f t="shared" si="8"/>
        <v>한일철강</v>
      </c>
      <c r="K126" s="37" t="str">
        <f t="shared" si="9"/>
        <v>A002220</v>
      </c>
    </row>
    <row r="127" spans="1:11" x14ac:dyDescent="0.4">
      <c r="A127" s="49"/>
      <c r="B127" s="54" t="s">
        <v>997</v>
      </c>
      <c r="C127" s="37" t="s">
        <v>998</v>
      </c>
      <c r="D127" s="55" t="s">
        <v>820</v>
      </c>
      <c r="E127" s="57">
        <v>224.35</v>
      </c>
      <c r="F127" s="55">
        <v>4.53</v>
      </c>
      <c r="G127" s="55"/>
      <c r="I127" s="49" t="str">
        <f t="shared" si="13"/>
        <v/>
      </c>
      <c r="J127" s="37" t="str">
        <f t="shared" si="8"/>
        <v>피에스텍</v>
      </c>
      <c r="K127" s="37" t="str">
        <f t="shared" si="9"/>
        <v>A002230</v>
      </c>
    </row>
    <row r="128" spans="1:11" x14ac:dyDescent="0.4">
      <c r="A128" s="49"/>
      <c r="B128" s="54" t="s">
        <v>999</v>
      </c>
      <c r="C128" s="37" t="s">
        <v>1000</v>
      </c>
      <c r="D128" s="55" t="s">
        <v>805</v>
      </c>
      <c r="E128" s="56">
        <v>634.5</v>
      </c>
      <c r="F128" s="55">
        <v>0.65</v>
      </c>
      <c r="G128" s="55"/>
      <c r="I128" s="49" t="str">
        <f t="shared" si="13"/>
        <v/>
      </c>
      <c r="J128" s="37" t="str">
        <f t="shared" si="8"/>
        <v>고려제강</v>
      </c>
      <c r="K128" s="37" t="str">
        <f t="shared" si="9"/>
        <v>A002240</v>
      </c>
    </row>
    <row r="129" spans="1:11" x14ac:dyDescent="0.4">
      <c r="A129" s="49"/>
      <c r="B129" s="54" t="s">
        <v>1001</v>
      </c>
      <c r="C129" s="37" t="s">
        <v>1002</v>
      </c>
      <c r="D129" s="55" t="s">
        <v>820</v>
      </c>
      <c r="E129" s="58">
        <v>47</v>
      </c>
      <c r="F129" s="57">
        <v>0.35</v>
      </c>
      <c r="G129" s="57"/>
      <c r="H129" s="49"/>
      <c r="I129" s="49" t="str">
        <f t="shared" si="13"/>
        <v/>
      </c>
      <c r="J129" s="37" t="str">
        <f t="shared" si="8"/>
        <v>삼일기업공사</v>
      </c>
      <c r="K129" s="37" t="str">
        <f t="shared" si="9"/>
        <v>A002290</v>
      </c>
    </row>
    <row r="130" spans="1:11" x14ac:dyDescent="0.4">
      <c r="A130" s="49"/>
      <c r="B130" s="54" t="s">
        <v>1003</v>
      </c>
      <c r="C130" s="37" t="s">
        <v>1004</v>
      </c>
      <c r="D130" s="55" t="s">
        <v>805</v>
      </c>
      <c r="E130" s="58">
        <v>434.38</v>
      </c>
      <c r="F130" s="57">
        <v>1.81</v>
      </c>
      <c r="G130" s="57"/>
      <c r="H130" s="49"/>
      <c r="I130" s="49" t="str">
        <f t="shared" si="13"/>
        <v/>
      </c>
      <c r="J130" s="37" t="str">
        <f t="shared" si="8"/>
        <v>아세아제지</v>
      </c>
      <c r="K130" s="37" t="str">
        <f t="shared" si="9"/>
        <v>A002310</v>
      </c>
    </row>
    <row r="131" spans="1:11" x14ac:dyDescent="0.4">
      <c r="A131" s="49"/>
      <c r="B131" s="54" t="s">
        <v>1005</v>
      </c>
      <c r="C131" s="37" t="s">
        <v>1006</v>
      </c>
      <c r="D131" s="55" t="s">
        <v>805</v>
      </c>
      <c r="E131" s="58">
        <v>322.98</v>
      </c>
      <c r="F131" s="57">
        <v>0.77</v>
      </c>
      <c r="G131" s="57">
        <v>2</v>
      </c>
      <c r="H131" s="49"/>
      <c r="I131" s="49">
        <f t="shared" si="13"/>
        <v>322.98131000000001</v>
      </c>
      <c r="J131" s="37" t="str">
        <f t="shared" si="8"/>
        <v>한진</v>
      </c>
      <c r="K131" s="37" t="str">
        <f t="shared" si="9"/>
        <v>A002320</v>
      </c>
    </row>
    <row r="132" spans="1:11" x14ac:dyDescent="0.4">
      <c r="A132" s="49"/>
      <c r="B132" s="54" t="s">
        <v>1007</v>
      </c>
      <c r="C132" s="37" t="s">
        <v>1008</v>
      </c>
      <c r="D132" s="55" t="s">
        <v>805</v>
      </c>
      <c r="E132" s="58">
        <v>877.06</v>
      </c>
      <c r="F132" s="57">
        <v>1.52</v>
      </c>
      <c r="G132" s="57">
        <v>13</v>
      </c>
      <c r="H132" s="49"/>
      <c r="I132" s="49">
        <f t="shared" si="13"/>
        <v>877.06131999999991</v>
      </c>
      <c r="J132" s="37" t="str">
        <f t="shared" si="8"/>
        <v>넥센타이어</v>
      </c>
      <c r="K132" s="37" t="str">
        <f t="shared" si="9"/>
        <v>A002350</v>
      </c>
    </row>
    <row r="133" spans="1:11" x14ac:dyDescent="0.4">
      <c r="A133" s="49"/>
      <c r="B133" s="54" t="s">
        <v>1009</v>
      </c>
      <c r="C133" s="37" t="s">
        <v>1010</v>
      </c>
      <c r="D133" s="55" t="s">
        <v>805</v>
      </c>
      <c r="E133" s="58">
        <v>41.34</v>
      </c>
      <c r="F133" s="57">
        <v>0.24</v>
      </c>
      <c r="G133" s="57"/>
      <c r="H133" s="49"/>
      <c r="I133" s="49" t="str">
        <f t="shared" si="13"/>
        <v/>
      </c>
      <c r="J133" s="37" t="str">
        <f t="shared" si="8"/>
        <v>SH에너지화학</v>
      </c>
      <c r="K133" s="37" t="str">
        <f t="shared" si="9"/>
        <v>A002360</v>
      </c>
    </row>
    <row r="134" spans="1:11" x14ac:dyDescent="0.4">
      <c r="A134" s="49"/>
      <c r="B134" s="54" t="s">
        <v>184</v>
      </c>
      <c r="C134" s="37" t="s">
        <v>185</v>
      </c>
      <c r="D134" s="55" t="s">
        <v>805</v>
      </c>
      <c r="E134" s="56">
        <v>5785.09</v>
      </c>
      <c r="F134" s="55">
        <v>14.9</v>
      </c>
      <c r="G134" s="55">
        <v>4</v>
      </c>
      <c r="I134" s="49">
        <f t="shared" si="13"/>
        <v>5785.0913399999999</v>
      </c>
      <c r="J134" s="37" t="str">
        <f t="shared" si="8"/>
        <v>KCC</v>
      </c>
      <c r="K134" s="37" t="str">
        <f t="shared" si="9"/>
        <v>A002380</v>
      </c>
    </row>
    <row r="135" spans="1:11" x14ac:dyDescent="0.4">
      <c r="A135" s="49"/>
      <c r="B135" s="54" t="s">
        <v>1011</v>
      </c>
      <c r="C135" s="37" t="s">
        <v>1012</v>
      </c>
      <c r="D135" s="55" t="s">
        <v>805</v>
      </c>
      <c r="E135" s="58">
        <v>153.46</v>
      </c>
      <c r="F135" s="57">
        <v>0.22</v>
      </c>
      <c r="G135" s="57"/>
      <c r="H135" s="49"/>
      <c r="I135" s="49" t="str">
        <f t="shared" si="13"/>
        <v/>
      </c>
      <c r="J135" s="37" t="str">
        <f t="shared" si="8"/>
        <v>한독</v>
      </c>
      <c r="K135" s="37" t="str">
        <f t="shared" si="9"/>
        <v>A002390</v>
      </c>
    </row>
    <row r="136" spans="1:11" x14ac:dyDescent="0.4">
      <c r="A136" s="49"/>
      <c r="B136" s="54" t="s">
        <v>1013</v>
      </c>
      <c r="C136" s="37" t="s">
        <v>1014</v>
      </c>
      <c r="D136" s="55" t="s">
        <v>805</v>
      </c>
      <c r="E136" s="58">
        <v>53.17</v>
      </c>
      <c r="F136" s="57">
        <v>0</v>
      </c>
      <c r="G136" s="57"/>
      <c r="H136" s="49"/>
      <c r="I136" s="49" t="str">
        <f t="shared" si="13"/>
        <v/>
      </c>
      <c r="J136" s="37" t="str">
        <f t="shared" si="8"/>
        <v>범양건영</v>
      </c>
      <c r="K136" s="37" t="str">
        <f t="shared" si="9"/>
        <v>A002410</v>
      </c>
    </row>
    <row r="137" spans="1:11" x14ac:dyDescent="0.4">
      <c r="A137" s="49"/>
      <c r="B137" s="54" t="s">
        <v>1015</v>
      </c>
      <c r="C137" s="37" t="s">
        <v>1016</v>
      </c>
      <c r="D137" s="55" t="s">
        <v>805</v>
      </c>
      <c r="E137" s="56">
        <v>29.67</v>
      </c>
      <c r="F137" s="55">
        <v>0.57999999999999996</v>
      </c>
      <c r="G137" s="55"/>
      <c r="I137" s="49" t="str">
        <f t="shared" si="13"/>
        <v/>
      </c>
      <c r="J137" s="37" t="str">
        <f t="shared" si="8"/>
        <v>세기상사</v>
      </c>
      <c r="K137" s="37" t="str">
        <f t="shared" si="9"/>
        <v>A002420</v>
      </c>
    </row>
    <row r="138" spans="1:11" x14ac:dyDescent="0.4">
      <c r="A138" s="49"/>
      <c r="B138" s="54" t="s">
        <v>1017</v>
      </c>
      <c r="C138" s="37" t="s">
        <v>1018</v>
      </c>
      <c r="D138" s="55" t="s">
        <v>805</v>
      </c>
      <c r="E138" s="58">
        <v>109.27</v>
      </c>
      <c r="F138" s="57">
        <v>0.16</v>
      </c>
      <c r="G138" s="57"/>
      <c r="H138" s="49"/>
      <c r="I138" s="49" t="str">
        <f t="shared" si="13"/>
        <v/>
      </c>
      <c r="J138" s="37" t="str">
        <f t="shared" si="8"/>
        <v>삼익악기</v>
      </c>
      <c r="K138" s="37" t="str">
        <f t="shared" si="9"/>
        <v>A002450</v>
      </c>
    </row>
    <row r="139" spans="1:11" x14ac:dyDescent="0.4">
      <c r="B139" s="54" t="s">
        <v>1019</v>
      </c>
      <c r="C139" s="37" t="s">
        <v>1020</v>
      </c>
      <c r="D139" s="55" t="s">
        <v>805</v>
      </c>
      <c r="E139" s="56">
        <v>139.46</v>
      </c>
      <c r="F139" s="55">
        <v>0.27</v>
      </c>
      <c r="G139" s="55"/>
      <c r="J139" s="37" t="str">
        <f t="shared" si="8"/>
        <v>HS화성</v>
      </c>
      <c r="K139" s="37" t="str">
        <f t="shared" si="9"/>
        <v>A002460</v>
      </c>
    </row>
    <row r="140" spans="1:11" x14ac:dyDescent="0.4">
      <c r="A140" s="49"/>
      <c r="B140" s="54" t="s">
        <v>1021</v>
      </c>
      <c r="C140" s="37" t="s">
        <v>1022</v>
      </c>
      <c r="D140" s="55" t="s">
        <v>805</v>
      </c>
      <c r="E140" s="58">
        <v>96.36</v>
      </c>
      <c r="F140" s="57">
        <v>0.02</v>
      </c>
      <c r="G140" s="57"/>
      <c r="H140" s="49"/>
      <c r="I140" s="49" t="str">
        <f>IF((G140&gt;$G$8),E140+ROW()/100000,"")</f>
        <v/>
      </c>
      <c r="J140" s="37" t="str">
        <f t="shared" si="8"/>
        <v>조흥</v>
      </c>
      <c r="K140" s="37" t="str">
        <f t="shared" si="9"/>
        <v>A002600</v>
      </c>
    </row>
    <row r="141" spans="1:11" x14ac:dyDescent="0.4">
      <c r="A141" s="49"/>
      <c r="B141" s="54" t="s">
        <v>1023</v>
      </c>
      <c r="C141" s="37" t="s">
        <v>1024</v>
      </c>
      <c r="D141" s="55" t="s">
        <v>805</v>
      </c>
      <c r="E141" s="58">
        <v>143.44</v>
      </c>
      <c r="F141" s="57">
        <v>0.18</v>
      </c>
      <c r="G141" s="57"/>
      <c r="H141" s="49"/>
      <c r="I141" s="49" t="str">
        <f>IF((G141&gt;$G$8),E141+ROW()/100000,"")</f>
        <v/>
      </c>
      <c r="J141" s="37" t="str">
        <f t="shared" si="8"/>
        <v>제일파마홀딩스</v>
      </c>
      <c r="K141" s="37" t="str">
        <f t="shared" si="9"/>
        <v>A002620</v>
      </c>
    </row>
    <row r="142" spans="1:11" x14ac:dyDescent="0.4">
      <c r="B142" s="54" t="s">
        <v>1025</v>
      </c>
      <c r="C142" s="37" t="s">
        <v>1026</v>
      </c>
      <c r="D142" s="55" t="s">
        <v>805</v>
      </c>
      <c r="E142" s="56">
        <v>72.099999999999994</v>
      </c>
      <c r="F142" s="55">
        <v>1.61</v>
      </c>
      <c r="G142" s="55"/>
      <c r="J142" s="37" t="str">
        <f t="shared" ref="J142:J205" si="14">C142</f>
        <v>오리엔트바이오</v>
      </c>
      <c r="K142" s="37" t="str">
        <f t="shared" ref="K142:K205" si="15">B142</f>
        <v>A002630</v>
      </c>
    </row>
    <row r="143" spans="1:11" x14ac:dyDescent="0.4">
      <c r="A143" s="49"/>
      <c r="B143" s="54" t="s">
        <v>1027</v>
      </c>
      <c r="C143" s="37" t="s">
        <v>1028</v>
      </c>
      <c r="D143" s="55" t="s">
        <v>820</v>
      </c>
      <c r="E143" s="58">
        <v>20.52</v>
      </c>
      <c r="F143" s="57">
        <v>0.33</v>
      </c>
      <c r="G143" s="57"/>
      <c r="H143" s="49"/>
      <c r="I143" s="49" t="str">
        <f>IF((G143&gt;$G$8),E143+ROW()/100000,"")</f>
        <v/>
      </c>
      <c r="J143" s="37" t="str">
        <f t="shared" si="14"/>
        <v>한탑</v>
      </c>
      <c r="K143" s="37" t="str">
        <f t="shared" si="15"/>
        <v>A002680</v>
      </c>
    </row>
    <row r="144" spans="1:11" x14ac:dyDescent="0.4">
      <c r="A144" s="49"/>
      <c r="B144" s="54" t="s">
        <v>1029</v>
      </c>
      <c r="C144" s="37" t="s">
        <v>1030</v>
      </c>
      <c r="D144" s="55" t="s">
        <v>805</v>
      </c>
      <c r="E144" s="58">
        <v>33.11</v>
      </c>
      <c r="F144" s="57">
        <v>7.0000000000000007E-2</v>
      </c>
      <c r="G144" s="57"/>
      <c r="H144" s="49"/>
      <c r="I144" s="49" t="str">
        <f>IF((G144&gt;$G$8),E144+ROW()/100000,"")</f>
        <v/>
      </c>
      <c r="J144" s="37" t="str">
        <f t="shared" si="14"/>
        <v>동일제강</v>
      </c>
      <c r="K144" s="37" t="str">
        <f t="shared" si="15"/>
        <v>A002690</v>
      </c>
    </row>
    <row r="145" spans="1:11" x14ac:dyDescent="0.4">
      <c r="A145" s="49"/>
      <c r="B145" s="54" t="s">
        <v>1031</v>
      </c>
      <c r="C145" s="37" t="s">
        <v>1032</v>
      </c>
      <c r="D145" s="55" t="s">
        <v>805</v>
      </c>
      <c r="E145" s="56">
        <v>97.83</v>
      </c>
      <c r="F145" s="55">
        <v>0.5</v>
      </c>
      <c r="G145" s="55"/>
      <c r="I145" s="49" t="str">
        <f>IF((G145&gt;$G$8),E145+ROW()/100000,"")</f>
        <v/>
      </c>
      <c r="J145" s="37" t="str">
        <f t="shared" si="14"/>
        <v>신일전자</v>
      </c>
      <c r="K145" s="37" t="str">
        <f t="shared" si="15"/>
        <v>A002700</v>
      </c>
    </row>
    <row r="146" spans="1:11" x14ac:dyDescent="0.4">
      <c r="A146" s="49"/>
      <c r="B146" s="54" t="s">
        <v>1033</v>
      </c>
      <c r="C146" s="37" t="s">
        <v>1034</v>
      </c>
      <c r="D146" s="55" t="s">
        <v>805</v>
      </c>
      <c r="E146" s="58">
        <v>407.1</v>
      </c>
      <c r="F146" s="57">
        <v>3.08</v>
      </c>
      <c r="G146" s="57"/>
      <c r="H146" s="49"/>
      <c r="I146" s="49" t="str">
        <f>IF((G146&gt;$G$8),E146+ROW()/100000,"")</f>
        <v/>
      </c>
      <c r="J146" s="37" t="str">
        <f t="shared" si="14"/>
        <v>TCC스틸</v>
      </c>
      <c r="K146" s="37" t="str">
        <f t="shared" si="15"/>
        <v>A002710</v>
      </c>
    </row>
    <row r="147" spans="1:11" x14ac:dyDescent="0.4">
      <c r="A147" s="49"/>
      <c r="B147" s="54" t="s">
        <v>1035</v>
      </c>
      <c r="C147" s="37" t="s">
        <v>1036</v>
      </c>
      <c r="D147" s="55" t="s">
        <v>805</v>
      </c>
      <c r="E147" s="58">
        <v>101.04</v>
      </c>
      <c r="F147" s="57">
        <v>0.89</v>
      </c>
      <c r="G147" s="57"/>
      <c r="H147" s="49"/>
      <c r="I147" s="49" t="str">
        <f>IF((G147&gt;$G$8),E147+ROW()/100000,"")</f>
        <v/>
      </c>
      <c r="J147" s="37" t="str">
        <f t="shared" si="14"/>
        <v>국제약품</v>
      </c>
      <c r="K147" s="37" t="str">
        <f t="shared" si="15"/>
        <v>A002720</v>
      </c>
    </row>
    <row r="148" spans="1:11" x14ac:dyDescent="0.4">
      <c r="B148" s="54" t="s">
        <v>1037</v>
      </c>
      <c r="C148" s="37" t="s">
        <v>1038</v>
      </c>
      <c r="D148" s="55" t="s">
        <v>805</v>
      </c>
      <c r="E148" s="57">
        <v>72.78</v>
      </c>
      <c r="F148" s="55">
        <v>1.65</v>
      </c>
      <c r="G148" s="55"/>
      <c r="J148" s="37" t="str">
        <f t="shared" si="14"/>
        <v>보락</v>
      </c>
      <c r="K148" s="37" t="str">
        <f t="shared" si="15"/>
        <v>A002760</v>
      </c>
    </row>
    <row r="149" spans="1:11" x14ac:dyDescent="0.4">
      <c r="A149" s="49"/>
      <c r="B149" s="54" t="s">
        <v>1039</v>
      </c>
      <c r="C149" s="37" t="s">
        <v>1040</v>
      </c>
      <c r="D149" s="55" t="s">
        <v>805</v>
      </c>
      <c r="E149" s="56">
        <v>113.76</v>
      </c>
      <c r="F149" s="55">
        <v>0.66</v>
      </c>
      <c r="G149" s="55"/>
      <c r="I149" s="49" t="str">
        <f t="shared" ref="I149:I157" si="16">IF((G149&gt;$G$8),E149+ROW()/100000,"")</f>
        <v/>
      </c>
      <c r="J149" s="37" t="str">
        <f t="shared" si="14"/>
        <v>진흥기업</v>
      </c>
      <c r="K149" s="37" t="str">
        <f t="shared" si="15"/>
        <v>A002780</v>
      </c>
    </row>
    <row r="150" spans="1:11" x14ac:dyDescent="0.4">
      <c r="A150" s="49"/>
      <c r="B150" s="54" t="s">
        <v>1041</v>
      </c>
      <c r="C150" s="37" t="s">
        <v>1042</v>
      </c>
      <c r="D150" s="55" t="s">
        <v>805</v>
      </c>
      <c r="E150" s="56">
        <v>2491.0100000000002</v>
      </c>
      <c r="F150" s="55">
        <v>4.59</v>
      </c>
      <c r="G150" s="55"/>
      <c r="I150" s="49" t="str">
        <f t="shared" si="16"/>
        <v/>
      </c>
      <c r="J150" s="37" t="str">
        <f t="shared" si="14"/>
        <v>아모레퍼시픽홀딩스</v>
      </c>
      <c r="K150" s="37" t="str">
        <f t="shared" si="15"/>
        <v>A002790</v>
      </c>
    </row>
    <row r="151" spans="1:11" x14ac:dyDescent="0.4">
      <c r="A151" s="49"/>
      <c r="B151" s="54" t="s">
        <v>1043</v>
      </c>
      <c r="C151" s="37" t="s">
        <v>1044</v>
      </c>
      <c r="D151" s="55" t="s">
        <v>820</v>
      </c>
      <c r="E151" s="58">
        <v>88.6</v>
      </c>
      <c r="F151" s="57">
        <v>1.97</v>
      </c>
      <c r="G151" s="57"/>
      <c r="H151" s="49"/>
      <c r="I151" s="49" t="str">
        <f t="shared" si="16"/>
        <v/>
      </c>
      <c r="J151" s="37" t="str">
        <f t="shared" si="14"/>
        <v>신신제약</v>
      </c>
      <c r="K151" s="37" t="str">
        <f t="shared" si="15"/>
        <v>A002800</v>
      </c>
    </row>
    <row r="152" spans="1:11" x14ac:dyDescent="0.4">
      <c r="A152" s="49"/>
      <c r="B152" s="54" t="s">
        <v>1045</v>
      </c>
      <c r="C152" s="37" t="s">
        <v>1046</v>
      </c>
      <c r="D152" s="55" t="s">
        <v>805</v>
      </c>
      <c r="E152" s="56">
        <v>385.96</v>
      </c>
      <c r="F152" s="55">
        <v>0.5</v>
      </c>
      <c r="G152" s="55"/>
      <c r="I152" s="49" t="str">
        <f t="shared" si="16"/>
        <v/>
      </c>
      <c r="J152" s="37" t="str">
        <f t="shared" si="14"/>
        <v>삼영무역</v>
      </c>
      <c r="K152" s="37" t="str">
        <f t="shared" si="15"/>
        <v>A002810</v>
      </c>
    </row>
    <row r="153" spans="1:11" x14ac:dyDescent="0.4">
      <c r="A153" s="49"/>
      <c r="B153" s="54" t="s">
        <v>1047</v>
      </c>
      <c r="C153" s="37" t="s">
        <v>1048</v>
      </c>
      <c r="D153" s="55" t="s">
        <v>805</v>
      </c>
      <c r="E153" s="56">
        <v>29.31</v>
      </c>
      <c r="F153" s="55">
        <v>0.08</v>
      </c>
      <c r="G153" s="55"/>
      <c r="I153" s="49" t="str">
        <f t="shared" si="16"/>
        <v/>
      </c>
      <c r="J153" s="37" t="str">
        <f t="shared" si="14"/>
        <v>SUN&amp;L</v>
      </c>
      <c r="K153" s="37" t="str">
        <f t="shared" si="15"/>
        <v>A002820</v>
      </c>
    </row>
    <row r="154" spans="1:11" x14ac:dyDescent="0.4">
      <c r="A154" s="49"/>
      <c r="B154" s="54" t="s">
        <v>1049</v>
      </c>
      <c r="C154" s="37" t="s">
        <v>1050</v>
      </c>
      <c r="D154" s="55" t="s">
        <v>805</v>
      </c>
      <c r="E154" s="58">
        <v>673.08</v>
      </c>
      <c r="F154" s="57">
        <v>0.45</v>
      </c>
      <c r="G154" s="57"/>
      <c r="H154" s="49"/>
      <c r="I154" s="49" t="str">
        <f t="shared" si="16"/>
        <v/>
      </c>
      <c r="J154" s="37" t="str">
        <f t="shared" si="14"/>
        <v>미원상사</v>
      </c>
      <c r="K154" s="37" t="str">
        <f t="shared" si="15"/>
        <v>A002840</v>
      </c>
    </row>
    <row r="155" spans="1:11" x14ac:dyDescent="0.4">
      <c r="A155" s="49"/>
      <c r="B155" s="54" t="s">
        <v>1051</v>
      </c>
      <c r="C155" s="37" t="s">
        <v>1052</v>
      </c>
      <c r="D155" s="55" t="s">
        <v>805</v>
      </c>
      <c r="E155" s="58">
        <v>41.46</v>
      </c>
      <c r="F155" s="57">
        <v>0.26</v>
      </c>
      <c r="G155" s="57"/>
      <c r="H155" s="49"/>
      <c r="I155" s="49" t="str">
        <f t="shared" si="16"/>
        <v/>
      </c>
      <c r="J155" s="37" t="str">
        <f t="shared" si="14"/>
        <v>신풍</v>
      </c>
      <c r="K155" s="37" t="str">
        <f t="shared" si="15"/>
        <v>A002870</v>
      </c>
    </row>
    <row r="156" spans="1:11" x14ac:dyDescent="0.4">
      <c r="A156" s="49"/>
      <c r="B156" s="54" t="s">
        <v>1053</v>
      </c>
      <c r="C156" s="37" t="s">
        <v>5176</v>
      </c>
      <c r="D156" s="55" t="s">
        <v>805</v>
      </c>
      <c r="E156" s="58">
        <v>47.19</v>
      </c>
      <c r="F156" s="57">
        <v>0.27</v>
      </c>
      <c r="G156" s="57"/>
      <c r="H156" s="49"/>
      <c r="I156" s="49" t="str">
        <f t="shared" si="16"/>
        <v/>
      </c>
      <c r="J156" s="37" t="str">
        <f t="shared" si="14"/>
        <v>디와이에이</v>
      </c>
      <c r="K156" s="37" t="str">
        <f t="shared" si="15"/>
        <v>A002880</v>
      </c>
    </row>
    <row r="157" spans="1:11" x14ac:dyDescent="0.4">
      <c r="A157" s="49"/>
      <c r="B157" s="54" t="s">
        <v>1054</v>
      </c>
      <c r="C157" s="37" t="s">
        <v>1055</v>
      </c>
      <c r="D157" s="55" t="s">
        <v>805</v>
      </c>
      <c r="E157" s="58">
        <v>304.29000000000002</v>
      </c>
      <c r="F157" s="57">
        <v>3.26</v>
      </c>
      <c r="G157" s="57"/>
      <c r="H157" s="49"/>
      <c r="I157" s="49" t="str">
        <f t="shared" si="16"/>
        <v/>
      </c>
      <c r="J157" s="37" t="str">
        <f t="shared" si="14"/>
        <v>TYM</v>
      </c>
      <c r="K157" s="37" t="str">
        <f t="shared" si="15"/>
        <v>A002900</v>
      </c>
    </row>
    <row r="158" spans="1:11" x14ac:dyDescent="0.4">
      <c r="B158" s="54" t="s">
        <v>1056</v>
      </c>
      <c r="C158" s="37" t="s">
        <v>1057</v>
      </c>
      <c r="D158" s="55" t="s">
        <v>805</v>
      </c>
      <c r="E158" s="56">
        <v>58.9</v>
      </c>
      <c r="F158" s="55">
        <v>0.12</v>
      </c>
      <c r="G158" s="55"/>
      <c r="J158" s="37" t="str">
        <f t="shared" si="14"/>
        <v>유성기업</v>
      </c>
      <c r="K158" s="37" t="str">
        <f t="shared" si="15"/>
        <v>A002920</v>
      </c>
    </row>
    <row r="159" spans="1:11" x14ac:dyDescent="0.4">
      <c r="A159" s="49"/>
      <c r="B159" s="54" t="s">
        <v>1058</v>
      </c>
      <c r="C159" s="37" t="s">
        <v>1059</v>
      </c>
      <c r="D159" s="55" t="s">
        <v>805</v>
      </c>
      <c r="E159" s="59">
        <v>660.4</v>
      </c>
      <c r="F159" s="57">
        <v>1.03</v>
      </c>
      <c r="G159" s="57"/>
      <c r="H159" s="49"/>
      <c r="I159" s="49" t="str">
        <f t="shared" ref="I159:I209" si="17">IF((G159&gt;$G$8),E159+ROW()/100000,"")</f>
        <v/>
      </c>
      <c r="J159" s="37" t="str">
        <f t="shared" si="14"/>
        <v>한국쉘석유</v>
      </c>
      <c r="K159" s="37" t="str">
        <f t="shared" si="15"/>
        <v>A002960</v>
      </c>
    </row>
    <row r="160" spans="1:11" x14ac:dyDescent="0.4">
      <c r="A160" s="49"/>
      <c r="B160" s="54" t="s">
        <v>1060</v>
      </c>
      <c r="C160" s="37" t="s">
        <v>1061</v>
      </c>
      <c r="D160" s="55" t="s">
        <v>805</v>
      </c>
      <c r="E160" s="58">
        <v>183.5</v>
      </c>
      <c r="F160" s="57">
        <v>0.66</v>
      </c>
      <c r="G160" s="57">
        <v>3</v>
      </c>
      <c r="H160" s="49"/>
      <c r="I160" s="49">
        <f t="shared" si="17"/>
        <v>183.5016</v>
      </c>
      <c r="J160" s="37" t="str">
        <f t="shared" si="14"/>
        <v>금호건설</v>
      </c>
      <c r="K160" s="37" t="str">
        <f t="shared" si="15"/>
        <v>A002990</v>
      </c>
    </row>
    <row r="161" spans="1:11" x14ac:dyDescent="0.4">
      <c r="A161" s="49"/>
      <c r="B161" s="54" t="s">
        <v>1062</v>
      </c>
      <c r="C161" s="37" t="s">
        <v>1063</v>
      </c>
      <c r="D161" s="55" t="s">
        <v>805</v>
      </c>
      <c r="E161" s="58">
        <v>553.51</v>
      </c>
      <c r="F161" s="57">
        <v>4</v>
      </c>
      <c r="G161" s="57"/>
      <c r="H161" s="49"/>
      <c r="I161" s="49" t="str">
        <f t="shared" si="17"/>
        <v/>
      </c>
      <c r="J161" s="37" t="str">
        <f t="shared" si="14"/>
        <v>부광약품</v>
      </c>
      <c r="K161" s="37" t="str">
        <f t="shared" si="15"/>
        <v>A003000</v>
      </c>
    </row>
    <row r="162" spans="1:11" x14ac:dyDescent="0.4">
      <c r="A162" s="49"/>
      <c r="B162" s="54" t="s">
        <v>1064</v>
      </c>
      <c r="C162" s="37" t="s">
        <v>1065</v>
      </c>
      <c r="D162" s="55" t="s">
        <v>805</v>
      </c>
      <c r="E162" s="58">
        <v>70.56</v>
      </c>
      <c r="F162" s="57">
        <v>0.63</v>
      </c>
      <c r="G162" s="57"/>
      <c r="H162" s="49"/>
      <c r="I162" s="49" t="str">
        <f t="shared" si="17"/>
        <v/>
      </c>
      <c r="J162" s="37" t="str">
        <f t="shared" si="14"/>
        <v>혜인</v>
      </c>
      <c r="K162" s="37" t="str">
        <f t="shared" si="15"/>
        <v>A003010</v>
      </c>
    </row>
    <row r="163" spans="1:11" x14ac:dyDescent="0.4">
      <c r="A163" s="49"/>
      <c r="B163" s="54" t="s">
        <v>344</v>
      </c>
      <c r="C163" s="37" t="s">
        <v>345</v>
      </c>
      <c r="D163" s="55" t="s">
        <v>805</v>
      </c>
      <c r="E163" s="59">
        <v>588.12</v>
      </c>
      <c r="F163" s="57">
        <v>2.25</v>
      </c>
      <c r="G163" s="57"/>
      <c r="H163" s="49"/>
      <c r="I163" s="49" t="str">
        <f t="shared" si="17"/>
        <v/>
      </c>
      <c r="J163" s="37" t="str">
        <f t="shared" si="14"/>
        <v>세아제강지주</v>
      </c>
      <c r="K163" s="37" t="str">
        <f t="shared" si="15"/>
        <v>A003030</v>
      </c>
    </row>
    <row r="164" spans="1:11" x14ac:dyDescent="0.4">
      <c r="A164" s="49"/>
      <c r="B164" s="54" t="s">
        <v>1066</v>
      </c>
      <c r="C164" s="37" t="s">
        <v>1067</v>
      </c>
      <c r="D164" s="55" t="s">
        <v>805</v>
      </c>
      <c r="E164" s="58">
        <v>65.08</v>
      </c>
      <c r="F164" s="57">
        <v>0.6</v>
      </c>
      <c r="G164" s="57"/>
      <c r="H164" s="49"/>
      <c r="I164" s="49" t="str">
        <f t="shared" si="17"/>
        <v/>
      </c>
      <c r="J164" s="37" t="str">
        <f t="shared" si="14"/>
        <v>에이프로젠바이오로직스</v>
      </c>
      <c r="K164" s="37" t="str">
        <f t="shared" si="15"/>
        <v>A003060</v>
      </c>
    </row>
    <row r="165" spans="1:11" x14ac:dyDescent="0.4">
      <c r="A165" s="49"/>
      <c r="B165" s="54" t="s">
        <v>1068</v>
      </c>
      <c r="C165" s="37" t="s">
        <v>1069</v>
      </c>
      <c r="D165" s="55" t="s">
        <v>805</v>
      </c>
      <c r="E165" s="56">
        <v>262.38</v>
      </c>
      <c r="F165" s="55">
        <v>0.23</v>
      </c>
      <c r="G165" s="55">
        <v>1</v>
      </c>
      <c r="H165" s="49"/>
      <c r="I165" s="49">
        <f t="shared" si="17"/>
        <v>262.38164999999998</v>
      </c>
      <c r="J165" s="37" t="str">
        <f t="shared" si="14"/>
        <v>코오롱글로벌</v>
      </c>
      <c r="K165" s="37" t="str">
        <f t="shared" si="15"/>
        <v>A003070</v>
      </c>
    </row>
    <row r="166" spans="1:11" x14ac:dyDescent="0.4">
      <c r="A166" s="49"/>
      <c r="B166" s="54" t="s">
        <v>1070</v>
      </c>
      <c r="C166" s="37" t="s">
        <v>1071</v>
      </c>
      <c r="D166" s="55" t="s">
        <v>805</v>
      </c>
      <c r="E166" s="58">
        <v>54.15</v>
      </c>
      <c r="F166" s="57">
        <v>0.12</v>
      </c>
      <c r="G166" s="57"/>
      <c r="H166" s="49"/>
      <c r="I166" s="49" t="str">
        <f t="shared" si="17"/>
        <v/>
      </c>
      <c r="J166" s="37" t="str">
        <f t="shared" si="14"/>
        <v>SB성보</v>
      </c>
      <c r="K166" s="37" t="str">
        <f t="shared" si="15"/>
        <v>A003080</v>
      </c>
    </row>
    <row r="167" spans="1:11" x14ac:dyDescent="0.4">
      <c r="A167" s="49"/>
      <c r="B167" s="54" t="s">
        <v>1072</v>
      </c>
      <c r="C167" s="37" t="s">
        <v>1073</v>
      </c>
      <c r="D167" s="55" t="s">
        <v>805</v>
      </c>
      <c r="E167" s="58">
        <v>1566.93</v>
      </c>
      <c r="F167" s="57">
        <v>3.14</v>
      </c>
      <c r="G167" s="57"/>
      <c r="H167" s="49"/>
      <c r="I167" s="49" t="str">
        <f t="shared" si="17"/>
        <v/>
      </c>
      <c r="J167" s="37" t="str">
        <f t="shared" si="14"/>
        <v>대웅</v>
      </c>
      <c r="K167" s="37" t="str">
        <f t="shared" si="15"/>
        <v>A003090</v>
      </c>
    </row>
    <row r="168" spans="1:11" x14ac:dyDescent="0.4">
      <c r="A168" s="49"/>
      <c r="B168" s="54" t="s">
        <v>1074</v>
      </c>
      <c r="C168" s="37" t="s">
        <v>1075</v>
      </c>
      <c r="D168" s="55" t="s">
        <v>820</v>
      </c>
      <c r="E168" s="58">
        <v>147.84</v>
      </c>
      <c r="F168" s="57">
        <v>0.37</v>
      </c>
      <c r="G168" s="57"/>
      <c r="H168" s="49"/>
      <c r="I168" s="49" t="str">
        <f t="shared" si="17"/>
        <v/>
      </c>
      <c r="J168" s="37" t="str">
        <f t="shared" si="14"/>
        <v>선광</v>
      </c>
      <c r="K168" s="37" t="str">
        <f t="shared" si="15"/>
        <v>A003100</v>
      </c>
    </row>
    <row r="169" spans="1:11" x14ac:dyDescent="0.4">
      <c r="A169" s="49"/>
      <c r="B169" s="54" t="s">
        <v>1076</v>
      </c>
      <c r="C169" s="37" t="s">
        <v>1077</v>
      </c>
      <c r="D169" s="55" t="s">
        <v>805</v>
      </c>
      <c r="E169" s="56">
        <v>332.5</v>
      </c>
      <c r="F169" s="56">
        <v>0.37</v>
      </c>
      <c r="G169" s="55"/>
      <c r="I169" s="49" t="str">
        <f t="shared" si="17"/>
        <v/>
      </c>
      <c r="J169" s="37" t="str">
        <f t="shared" si="14"/>
        <v>일성아이에스</v>
      </c>
      <c r="K169" s="37" t="str">
        <f t="shared" si="15"/>
        <v>A003120</v>
      </c>
    </row>
    <row r="170" spans="1:11" x14ac:dyDescent="0.4">
      <c r="A170" s="49"/>
      <c r="B170" s="54" t="s">
        <v>549</v>
      </c>
      <c r="C170" s="37" t="s">
        <v>550</v>
      </c>
      <c r="D170" s="55" t="s">
        <v>805</v>
      </c>
      <c r="E170" s="56">
        <v>1018.8</v>
      </c>
      <c r="F170" s="55">
        <v>31.89</v>
      </c>
      <c r="G170" s="55">
        <v>2</v>
      </c>
      <c r="I170" s="49">
        <f t="shared" si="17"/>
        <v>1018.8017</v>
      </c>
      <c r="J170" s="37" t="str">
        <f t="shared" si="14"/>
        <v>디아이</v>
      </c>
      <c r="K170" s="37" t="str">
        <f t="shared" si="15"/>
        <v>A003160</v>
      </c>
    </row>
    <row r="171" spans="1:11" x14ac:dyDescent="0.4">
      <c r="A171" s="49"/>
      <c r="B171" s="54" t="s">
        <v>1078</v>
      </c>
      <c r="C171" s="37" t="s">
        <v>1079</v>
      </c>
      <c r="D171" s="55" t="s">
        <v>805</v>
      </c>
      <c r="E171" s="58">
        <v>331.77</v>
      </c>
      <c r="F171" s="57">
        <v>0.82</v>
      </c>
      <c r="G171" s="57"/>
      <c r="H171" s="49"/>
      <c r="I171" s="49" t="str">
        <f t="shared" si="17"/>
        <v/>
      </c>
      <c r="J171" s="37" t="str">
        <f t="shared" si="14"/>
        <v>일신방직</v>
      </c>
      <c r="K171" s="37" t="str">
        <f t="shared" si="15"/>
        <v>A003200</v>
      </c>
    </row>
    <row r="172" spans="1:11" x14ac:dyDescent="0.4">
      <c r="A172" s="49"/>
      <c r="B172" s="54" t="s">
        <v>1080</v>
      </c>
      <c r="C172" s="37" t="s">
        <v>1081</v>
      </c>
      <c r="D172" s="55" t="s">
        <v>805</v>
      </c>
      <c r="E172" s="58">
        <v>256.35000000000002</v>
      </c>
      <c r="F172" s="57">
        <v>0.43</v>
      </c>
      <c r="G172" s="57">
        <v>2</v>
      </c>
      <c r="H172" s="49"/>
      <c r="I172" s="49">
        <f t="shared" si="17"/>
        <v>256.35172</v>
      </c>
      <c r="J172" s="37" t="str">
        <f t="shared" si="14"/>
        <v>대원제약</v>
      </c>
      <c r="K172" s="37" t="str">
        <f t="shared" si="15"/>
        <v>A003220</v>
      </c>
    </row>
    <row r="173" spans="1:11" x14ac:dyDescent="0.4">
      <c r="A173" s="49"/>
      <c r="B173" s="54" t="s">
        <v>78</v>
      </c>
      <c r="C173" s="37" t="s">
        <v>79</v>
      </c>
      <c r="D173" s="55" t="s">
        <v>805</v>
      </c>
      <c r="E173" s="58">
        <v>9197.81</v>
      </c>
      <c r="F173" s="57">
        <v>74.59</v>
      </c>
      <c r="G173" s="57">
        <v>18</v>
      </c>
      <c r="H173" s="49"/>
      <c r="I173" s="49">
        <f t="shared" si="17"/>
        <v>9197.8117299999994</v>
      </c>
      <c r="J173" s="37" t="str">
        <f t="shared" si="14"/>
        <v>삼양식품</v>
      </c>
      <c r="K173" s="37" t="str">
        <f t="shared" si="15"/>
        <v>A003230</v>
      </c>
    </row>
    <row r="174" spans="1:11" x14ac:dyDescent="0.4">
      <c r="A174" s="49"/>
      <c r="B174" s="54" t="s">
        <v>206</v>
      </c>
      <c r="C174" s="37" t="s">
        <v>207</v>
      </c>
      <c r="D174" s="55" t="s">
        <v>805</v>
      </c>
      <c r="E174" s="58">
        <v>1613.32</v>
      </c>
      <c r="F174" s="57">
        <v>2.2599999999999998</v>
      </c>
      <c r="G174" s="57"/>
      <c r="H174" s="49"/>
      <c r="I174" s="49" t="str">
        <f t="shared" si="17"/>
        <v/>
      </c>
      <c r="J174" s="37" t="str">
        <f t="shared" si="14"/>
        <v>태광산업</v>
      </c>
      <c r="K174" s="37" t="str">
        <f t="shared" si="15"/>
        <v>A003240</v>
      </c>
    </row>
    <row r="175" spans="1:11" x14ac:dyDescent="0.4">
      <c r="A175" s="49"/>
      <c r="B175" s="54" t="s">
        <v>1082</v>
      </c>
      <c r="C175" s="37" t="s">
        <v>1083</v>
      </c>
      <c r="D175" s="55" t="s">
        <v>805</v>
      </c>
      <c r="E175" s="58">
        <v>431.8</v>
      </c>
      <c r="F175" s="57">
        <v>10.82</v>
      </c>
      <c r="G175" s="57"/>
      <c r="H175" s="49"/>
      <c r="I175" s="49" t="str">
        <f t="shared" si="17"/>
        <v/>
      </c>
      <c r="J175" s="37" t="str">
        <f t="shared" si="14"/>
        <v>흥아해운</v>
      </c>
      <c r="K175" s="37" t="str">
        <f t="shared" si="15"/>
        <v>A003280</v>
      </c>
    </row>
    <row r="176" spans="1:11" x14ac:dyDescent="0.4">
      <c r="A176" s="49"/>
      <c r="B176" s="54" t="s">
        <v>1084</v>
      </c>
      <c r="C176" s="37" t="s">
        <v>1085</v>
      </c>
      <c r="D176" s="55" t="s">
        <v>805</v>
      </c>
      <c r="E176" s="59">
        <v>524.16</v>
      </c>
      <c r="F176" s="57">
        <v>0.36</v>
      </c>
      <c r="G176" s="57"/>
      <c r="H176" s="49"/>
      <c r="I176" s="49" t="str">
        <f t="shared" si="17"/>
        <v/>
      </c>
      <c r="J176" s="37" t="str">
        <f t="shared" si="14"/>
        <v>한일홀딩스</v>
      </c>
      <c r="K176" s="37" t="str">
        <f t="shared" si="15"/>
        <v>A003300</v>
      </c>
    </row>
    <row r="177" spans="1:11" x14ac:dyDescent="0.4">
      <c r="A177" s="49"/>
      <c r="B177" s="54" t="s">
        <v>1086</v>
      </c>
      <c r="C177" s="37" t="s">
        <v>1087</v>
      </c>
      <c r="D177" s="55" t="s">
        <v>820</v>
      </c>
      <c r="E177" s="58">
        <v>147.94</v>
      </c>
      <c r="F177" s="57">
        <v>16.2</v>
      </c>
      <c r="G177" s="57"/>
      <c r="H177" s="49"/>
      <c r="I177" s="49" t="str">
        <f t="shared" si="17"/>
        <v/>
      </c>
      <c r="J177" s="37" t="str">
        <f t="shared" si="14"/>
        <v>대주산업</v>
      </c>
      <c r="K177" s="37" t="str">
        <f t="shared" si="15"/>
        <v>A003310</v>
      </c>
    </row>
    <row r="178" spans="1:11" x14ac:dyDescent="0.4">
      <c r="A178" s="49"/>
      <c r="B178" s="54" t="s">
        <v>1088</v>
      </c>
      <c r="C178" s="37" t="s">
        <v>1089</v>
      </c>
      <c r="D178" s="55" t="s">
        <v>805</v>
      </c>
      <c r="E178" s="56">
        <v>240.2</v>
      </c>
      <c r="F178" s="55">
        <v>1.94</v>
      </c>
      <c r="G178" s="55"/>
      <c r="I178" s="49" t="str">
        <f t="shared" si="17"/>
        <v/>
      </c>
      <c r="J178" s="37" t="str">
        <f t="shared" si="14"/>
        <v>한국화장품제조</v>
      </c>
      <c r="K178" s="37" t="str">
        <f t="shared" si="15"/>
        <v>A003350</v>
      </c>
    </row>
    <row r="179" spans="1:11" x14ac:dyDescent="0.4">
      <c r="A179" s="49"/>
      <c r="B179" s="54" t="s">
        <v>703</v>
      </c>
      <c r="C179" s="37" t="s">
        <v>704</v>
      </c>
      <c r="D179" s="55" t="s">
        <v>820</v>
      </c>
      <c r="E179" s="58">
        <v>1810.01</v>
      </c>
      <c r="F179" s="57">
        <v>21.38</v>
      </c>
      <c r="G179" s="57"/>
      <c r="H179" s="49"/>
      <c r="I179" s="49" t="str">
        <f t="shared" si="17"/>
        <v/>
      </c>
      <c r="J179" s="37" t="str">
        <f t="shared" si="14"/>
        <v>하림지주</v>
      </c>
      <c r="K179" s="37" t="str">
        <f t="shared" si="15"/>
        <v>A003380</v>
      </c>
    </row>
    <row r="180" spans="1:11" x14ac:dyDescent="0.4">
      <c r="A180" s="49"/>
      <c r="B180" s="54" t="s">
        <v>1090</v>
      </c>
      <c r="C180" s="37" t="s">
        <v>1091</v>
      </c>
      <c r="D180" s="55" t="s">
        <v>805</v>
      </c>
      <c r="E180" s="58">
        <v>236.45</v>
      </c>
      <c r="F180" s="57">
        <v>1.42</v>
      </c>
      <c r="G180" s="57"/>
      <c r="H180" s="49"/>
      <c r="I180" s="49" t="str">
        <f t="shared" si="17"/>
        <v/>
      </c>
      <c r="J180" s="37" t="str">
        <f t="shared" si="14"/>
        <v>유화증권</v>
      </c>
      <c r="K180" s="37" t="str">
        <f t="shared" si="15"/>
        <v>A003460</v>
      </c>
    </row>
    <row r="181" spans="1:11" x14ac:dyDescent="0.4">
      <c r="A181" s="49"/>
      <c r="B181" s="54" t="s">
        <v>1092</v>
      </c>
      <c r="C181" s="37" t="s">
        <v>1093</v>
      </c>
      <c r="D181" s="55" t="s">
        <v>805</v>
      </c>
      <c r="E181" s="58">
        <v>1035.9100000000001</v>
      </c>
      <c r="F181" s="57">
        <v>3.49</v>
      </c>
      <c r="G181" s="57"/>
      <c r="H181" s="49"/>
      <c r="I181" s="49" t="str">
        <f t="shared" si="17"/>
        <v/>
      </c>
      <c r="J181" s="37" t="str">
        <f t="shared" si="14"/>
        <v>유안타증권</v>
      </c>
      <c r="K181" s="37" t="str">
        <f t="shared" si="15"/>
        <v>A003470</v>
      </c>
    </row>
    <row r="182" spans="1:11" x14ac:dyDescent="0.4">
      <c r="A182" s="49"/>
      <c r="B182" s="54" t="s">
        <v>1094</v>
      </c>
      <c r="C182" s="37" t="s">
        <v>1095</v>
      </c>
      <c r="D182" s="55" t="s">
        <v>805</v>
      </c>
      <c r="E182" s="58">
        <v>153.85</v>
      </c>
      <c r="F182" s="57">
        <v>1.64</v>
      </c>
      <c r="G182" s="57"/>
      <c r="H182" s="49"/>
      <c r="I182" s="49" t="str">
        <f t="shared" si="17"/>
        <v/>
      </c>
      <c r="J182" s="37" t="str">
        <f t="shared" si="14"/>
        <v>한진중공업홀딩스</v>
      </c>
      <c r="K182" s="37" t="str">
        <f t="shared" si="15"/>
        <v>A003480</v>
      </c>
    </row>
    <row r="183" spans="1:11" x14ac:dyDescent="0.4">
      <c r="A183" s="49"/>
      <c r="B183" s="54" t="s">
        <v>611</v>
      </c>
      <c r="C183" s="37" t="s">
        <v>612</v>
      </c>
      <c r="D183" s="55" t="s">
        <v>805</v>
      </c>
      <c r="E183" s="58">
        <v>10347</v>
      </c>
      <c r="F183" s="57">
        <v>44.48</v>
      </c>
      <c r="G183" s="57">
        <v>11</v>
      </c>
      <c r="H183" s="49"/>
      <c r="I183" s="49">
        <f t="shared" si="17"/>
        <v>10347.001829999999</v>
      </c>
      <c r="J183" s="37" t="str">
        <f t="shared" si="14"/>
        <v>대한항공</v>
      </c>
      <c r="K183" s="37" t="str">
        <f t="shared" si="15"/>
        <v>A003490</v>
      </c>
    </row>
    <row r="184" spans="1:11" x14ac:dyDescent="0.4">
      <c r="A184" s="49"/>
      <c r="B184" s="54" t="s">
        <v>1096</v>
      </c>
      <c r="C184" s="37" t="s">
        <v>1097</v>
      </c>
      <c r="D184" s="55" t="s">
        <v>805</v>
      </c>
      <c r="E184" s="58">
        <v>367.61</v>
      </c>
      <c r="F184" s="57">
        <v>1.25</v>
      </c>
      <c r="G184" s="57"/>
      <c r="H184" s="49"/>
      <c r="I184" s="49" t="str">
        <f t="shared" si="17"/>
        <v/>
      </c>
      <c r="J184" s="37" t="str">
        <f t="shared" si="14"/>
        <v>영진약품</v>
      </c>
      <c r="K184" s="37" t="str">
        <f t="shared" si="15"/>
        <v>A003520</v>
      </c>
    </row>
    <row r="185" spans="1:11" x14ac:dyDescent="0.4">
      <c r="A185" s="49"/>
      <c r="B185" s="54" t="s">
        <v>86</v>
      </c>
      <c r="C185" s="37" t="s">
        <v>87</v>
      </c>
      <c r="D185" s="55" t="s">
        <v>805</v>
      </c>
      <c r="E185" s="58">
        <v>1789.33</v>
      </c>
      <c r="F185" s="57">
        <v>37.43</v>
      </c>
      <c r="G185" s="57"/>
      <c r="H185" s="49"/>
      <c r="I185" s="49" t="str">
        <f t="shared" si="17"/>
        <v/>
      </c>
      <c r="J185" s="37" t="str">
        <f t="shared" si="14"/>
        <v>한화투자증권</v>
      </c>
      <c r="K185" s="37" t="str">
        <f t="shared" si="15"/>
        <v>A003530</v>
      </c>
    </row>
    <row r="186" spans="1:11" x14ac:dyDescent="0.4">
      <c r="A186" s="49"/>
      <c r="B186" s="54" t="s">
        <v>466</v>
      </c>
      <c r="C186" s="37" t="s">
        <v>467</v>
      </c>
      <c r="D186" s="55" t="s">
        <v>805</v>
      </c>
      <c r="E186" s="58">
        <v>2277.19</v>
      </c>
      <c r="F186" s="57">
        <v>9.42</v>
      </c>
      <c r="G186" s="57">
        <v>2</v>
      </c>
      <c r="H186" s="49"/>
      <c r="I186" s="49">
        <f t="shared" si="17"/>
        <v>2277.1918599999999</v>
      </c>
      <c r="J186" s="37" t="str">
        <f t="shared" si="14"/>
        <v>대신증권</v>
      </c>
      <c r="K186" s="37" t="str">
        <f t="shared" si="15"/>
        <v>A003540</v>
      </c>
    </row>
    <row r="187" spans="1:11" x14ac:dyDescent="0.4">
      <c r="A187" s="49"/>
      <c r="B187" s="54" t="s">
        <v>1098</v>
      </c>
      <c r="C187" s="37" t="s">
        <v>1099</v>
      </c>
      <c r="D187" s="55" t="s">
        <v>805</v>
      </c>
      <c r="E187" s="56">
        <v>16609.66</v>
      </c>
      <c r="F187" s="55">
        <v>26.9</v>
      </c>
      <c r="G187" s="55">
        <v>9</v>
      </c>
      <c r="I187" s="49">
        <f t="shared" si="17"/>
        <v>16609.66187</v>
      </c>
      <c r="J187" s="37" t="str">
        <f t="shared" si="14"/>
        <v>LG</v>
      </c>
      <c r="K187" s="37" t="str">
        <f t="shared" si="15"/>
        <v>A003550</v>
      </c>
    </row>
    <row r="188" spans="1:11" x14ac:dyDescent="0.4">
      <c r="A188" s="49"/>
      <c r="B188" s="54" t="s">
        <v>1100</v>
      </c>
      <c r="C188" s="37" t="s">
        <v>1101</v>
      </c>
      <c r="D188" s="55" t="s">
        <v>805</v>
      </c>
      <c r="E188" s="58">
        <v>1862.15</v>
      </c>
      <c r="F188" s="57">
        <v>6.15</v>
      </c>
      <c r="G188" s="57">
        <v>1</v>
      </c>
      <c r="H188" s="49"/>
      <c r="I188" s="49">
        <f t="shared" si="17"/>
        <v>1862.1518800000001</v>
      </c>
      <c r="J188" s="37" t="str">
        <f t="shared" si="14"/>
        <v>SNT다이내믹스</v>
      </c>
      <c r="K188" s="37" t="str">
        <f t="shared" si="15"/>
        <v>A003570</v>
      </c>
    </row>
    <row r="189" spans="1:11" x14ac:dyDescent="0.4">
      <c r="A189" s="49"/>
      <c r="B189" s="54" t="s">
        <v>1102</v>
      </c>
      <c r="C189" s="37" t="s">
        <v>1103</v>
      </c>
      <c r="D189" s="55" t="s">
        <v>805</v>
      </c>
      <c r="E189" s="58">
        <v>99.86</v>
      </c>
      <c r="F189" s="57">
        <v>0.96</v>
      </c>
      <c r="G189" s="57"/>
      <c r="H189" s="49"/>
      <c r="I189" s="49" t="str">
        <f t="shared" si="17"/>
        <v/>
      </c>
      <c r="J189" s="37" t="str">
        <f t="shared" si="14"/>
        <v>HLB글로벌</v>
      </c>
      <c r="K189" s="37" t="str">
        <f t="shared" si="15"/>
        <v>A003580</v>
      </c>
    </row>
    <row r="190" spans="1:11" x14ac:dyDescent="0.4">
      <c r="A190" s="49"/>
      <c r="B190" s="54" t="s">
        <v>1104</v>
      </c>
      <c r="C190" s="37" t="s">
        <v>1105</v>
      </c>
      <c r="D190" s="55" t="s">
        <v>805</v>
      </c>
      <c r="E190" s="58">
        <v>238.4</v>
      </c>
      <c r="F190" s="57">
        <v>0.7</v>
      </c>
      <c r="G190" s="57"/>
      <c r="H190" s="49"/>
      <c r="I190" s="49" t="str">
        <f t="shared" si="17"/>
        <v/>
      </c>
      <c r="J190" s="37" t="str">
        <f t="shared" si="14"/>
        <v>방림</v>
      </c>
      <c r="K190" s="37" t="str">
        <f t="shared" si="15"/>
        <v>A003610</v>
      </c>
    </row>
    <row r="191" spans="1:11" x14ac:dyDescent="0.4">
      <c r="A191" s="49"/>
      <c r="B191" s="54" t="s">
        <v>1106</v>
      </c>
      <c r="C191" s="37" t="s">
        <v>1107</v>
      </c>
      <c r="D191" s="55" t="s">
        <v>805</v>
      </c>
      <c r="E191" s="58">
        <v>818.61</v>
      </c>
      <c r="F191" s="57">
        <v>5.91</v>
      </c>
      <c r="G191" s="57">
        <v>1</v>
      </c>
      <c r="H191" s="49"/>
      <c r="I191" s="49">
        <f t="shared" si="17"/>
        <v>818.61190999999997</v>
      </c>
      <c r="J191" s="37" t="str">
        <f t="shared" si="14"/>
        <v>KG모빌리티</v>
      </c>
      <c r="K191" s="37" t="str">
        <f t="shared" si="15"/>
        <v>A003620</v>
      </c>
    </row>
    <row r="192" spans="1:11" x14ac:dyDescent="0.4">
      <c r="A192" s="49"/>
      <c r="B192" s="54" t="s">
        <v>1108</v>
      </c>
      <c r="C192" s="37" t="s">
        <v>1109</v>
      </c>
      <c r="D192" s="55" t="s">
        <v>805</v>
      </c>
      <c r="E192" s="58">
        <v>234.68</v>
      </c>
      <c r="F192" s="57">
        <v>0.22</v>
      </c>
      <c r="G192" s="57"/>
      <c r="H192" s="49"/>
      <c r="I192" s="49" t="str">
        <f t="shared" si="17"/>
        <v/>
      </c>
      <c r="J192" s="37" t="str">
        <f t="shared" si="14"/>
        <v>미창석유</v>
      </c>
      <c r="K192" s="37" t="str">
        <f t="shared" si="15"/>
        <v>A003650</v>
      </c>
    </row>
    <row r="193" spans="1:11" x14ac:dyDescent="0.4">
      <c r="A193" s="49"/>
      <c r="B193" s="54" t="s">
        <v>307</v>
      </c>
      <c r="C193" s="37" t="s">
        <v>308</v>
      </c>
      <c r="D193" s="55" t="s">
        <v>805</v>
      </c>
      <c r="E193" s="56">
        <v>21969.72</v>
      </c>
      <c r="F193" s="55">
        <v>98.61</v>
      </c>
      <c r="G193" s="55">
        <v>15</v>
      </c>
      <c r="I193" s="49">
        <f t="shared" si="17"/>
        <v>21969.72193</v>
      </c>
      <c r="J193" s="37" t="str">
        <f t="shared" si="14"/>
        <v>포스코퓨처엠</v>
      </c>
      <c r="K193" s="37" t="str">
        <f t="shared" si="15"/>
        <v>A003670</v>
      </c>
    </row>
    <row r="194" spans="1:11" x14ac:dyDescent="0.4">
      <c r="A194" s="49"/>
      <c r="B194" s="54" t="s">
        <v>1110</v>
      </c>
      <c r="C194" s="37" t="s">
        <v>1111</v>
      </c>
      <c r="D194" s="55" t="s">
        <v>805</v>
      </c>
      <c r="E194" s="58">
        <v>32.229999999999997</v>
      </c>
      <c r="F194" s="57">
        <v>1.93</v>
      </c>
      <c r="G194" s="57"/>
      <c r="H194" s="49"/>
      <c r="I194" s="49" t="str">
        <f t="shared" si="17"/>
        <v/>
      </c>
      <c r="J194" s="37" t="str">
        <f t="shared" si="14"/>
        <v>한성기업</v>
      </c>
      <c r="K194" s="37" t="str">
        <f t="shared" si="15"/>
        <v>A003680</v>
      </c>
    </row>
    <row r="195" spans="1:11" x14ac:dyDescent="0.4">
      <c r="A195" s="49"/>
      <c r="B195" s="54" t="s">
        <v>1112</v>
      </c>
      <c r="C195" s="37" t="s">
        <v>1113</v>
      </c>
      <c r="D195" s="55" t="s">
        <v>805</v>
      </c>
      <c r="E195" s="58">
        <v>2711.91</v>
      </c>
      <c r="F195" s="57">
        <v>4.95</v>
      </c>
      <c r="G195" s="57">
        <v>1</v>
      </c>
      <c r="H195" s="49"/>
      <c r="I195" s="49">
        <f t="shared" si="17"/>
        <v>2711.9119499999997</v>
      </c>
      <c r="J195" s="37" t="str">
        <f t="shared" si="14"/>
        <v>코리안리</v>
      </c>
      <c r="K195" s="37" t="str">
        <f t="shared" si="15"/>
        <v>A003690</v>
      </c>
    </row>
    <row r="196" spans="1:11" x14ac:dyDescent="0.4">
      <c r="A196" s="49"/>
      <c r="B196" s="54" t="s">
        <v>1114</v>
      </c>
      <c r="C196" s="37" t="s">
        <v>1115</v>
      </c>
      <c r="D196" s="55" t="s">
        <v>805</v>
      </c>
      <c r="E196" s="56">
        <v>256.02</v>
      </c>
      <c r="F196" s="55">
        <v>11.02</v>
      </c>
      <c r="G196" s="55"/>
      <c r="I196" s="49" t="str">
        <f t="shared" si="17"/>
        <v/>
      </c>
      <c r="J196" s="37" t="str">
        <f t="shared" si="14"/>
        <v>삼영</v>
      </c>
      <c r="K196" s="37" t="str">
        <f t="shared" si="15"/>
        <v>A003720</v>
      </c>
    </row>
    <row r="197" spans="1:11" x14ac:dyDescent="0.4">
      <c r="A197" s="49"/>
      <c r="B197" s="54" t="s">
        <v>1116</v>
      </c>
      <c r="C197" s="37" t="s">
        <v>1117</v>
      </c>
      <c r="D197" s="55" t="s">
        <v>805</v>
      </c>
      <c r="E197" s="58">
        <v>79.56</v>
      </c>
      <c r="F197" s="57">
        <v>0.83</v>
      </c>
      <c r="G197" s="57"/>
      <c r="H197" s="49"/>
      <c r="I197" s="49" t="str">
        <f t="shared" si="17"/>
        <v/>
      </c>
      <c r="J197" s="37" t="str">
        <f t="shared" si="14"/>
        <v>진양산업</v>
      </c>
      <c r="K197" s="37" t="str">
        <f t="shared" si="15"/>
        <v>A003780</v>
      </c>
    </row>
    <row r="198" spans="1:11" x14ac:dyDescent="0.4">
      <c r="A198" s="49"/>
      <c r="B198" s="54" t="s">
        <v>1118</v>
      </c>
      <c r="C198" s="37" t="s">
        <v>1119</v>
      </c>
      <c r="D198" s="55" t="s">
        <v>820</v>
      </c>
      <c r="E198" s="58">
        <v>400.35</v>
      </c>
      <c r="F198" s="57">
        <v>0.46</v>
      </c>
      <c r="G198" s="57"/>
      <c r="H198" s="49"/>
      <c r="I198" s="49" t="str">
        <f t="shared" si="17"/>
        <v/>
      </c>
      <c r="J198" s="37" t="str">
        <f t="shared" si="14"/>
        <v>에이스침대</v>
      </c>
      <c r="K198" s="37" t="str">
        <f t="shared" si="15"/>
        <v>A003800</v>
      </c>
    </row>
    <row r="199" spans="1:11" x14ac:dyDescent="0.4">
      <c r="A199" s="49"/>
      <c r="B199" s="54" t="s">
        <v>1120</v>
      </c>
      <c r="C199" s="37" t="s">
        <v>1121</v>
      </c>
      <c r="D199" s="55" t="s">
        <v>805</v>
      </c>
      <c r="E199" s="56">
        <v>174.9</v>
      </c>
      <c r="F199" s="55">
        <v>0.05</v>
      </c>
      <c r="G199" s="55"/>
      <c r="I199" s="49" t="str">
        <f t="shared" si="17"/>
        <v/>
      </c>
      <c r="J199" s="37" t="str">
        <f t="shared" si="14"/>
        <v>대한화섬</v>
      </c>
      <c r="K199" s="37" t="str">
        <f t="shared" si="15"/>
        <v>A003830</v>
      </c>
    </row>
    <row r="200" spans="1:11" x14ac:dyDescent="0.4">
      <c r="A200" s="49"/>
      <c r="B200" s="54" t="s">
        <v>1122</v>
      </c>
      <c r="C200" s="37" t="s">
        <v>1123</v>
      </c>
      <c r="D200" s="55" t="s">
        <v>805</v>
      </c>
      <c r="E200" s="58">
        <v>853.58</v>
      </c>
      <c r="F200" s="57">
        <v>1.88</v>
      </c>
      <c r="G200" s="57">
        <v>1</v>
      </c>
      <c r="H200" s="49"/>
      <c r="I200" s="49">
        <f t="shared" si="17"/>
        <v>853.58199999999999</v>
      </c>
      <c r="J200" s="37" t="str">
        <f t="shared" si="14"/>
        <v>보령</v>
      </c>
      <c r="K200" s="37" t="str">
        <f t="shared" si="15"/>
        <v>A003850</v>
      </c>
    </row>
    <row r="201" spans="1:11" x14ac:dyDescent="0.4">
      <c r="A201" s="49"/>
      <c r="B201" s="54" t="s">
        <v>1124</v>
      </c>
      <c r="C201" s="37" t="s">
        <v>1125</v>
      </c>
      <c r="D201" s="55" t="s">
        <v>805</v>
      </c>
      <c r="E201" s="58">
        <v>305.39999999999998</v>
      </c>
      <c r="F201" s="57">
        <v>0.36</v>
      </c>
      <c r="G201" s="57"/>
      <c r="H201" s="49"/>
      <c r="I201" s="49" t="str">
        <f t="shared" si="17"/>
        <v/>
      </c>
      <c r="J201" s="37" t="str">
        <f t="shared" si="14"/>
        <v>남양유업</v>
      </c>
      <c r="K201" s="37" t="str">
        <f t="shared" si="15"/>
        <v>A003920</v>
      </c>
    </row>
    <row r="202" spans="1:11" x14ac:dyDescent="0.4">
      <c r="A202" s="49"/>
      <c r="B202" s="54" t="s">
        <v>1126</v>
      </c>
      <c r="C202" s="37" t="s">
        <v>1127</v>
      </c>
      <c r="D202" s="55" t="s">
        <v>805</v>
      </c>
      <c r="E202" s="56">
        <v>340</v>
      </c>
      <c r="F202" s="55">
        <v>0.56000000000000005</v>
      </c>
      <c r="G202" s="55"/>
      <c r="I202" s="49" t="str">
        <f t="shared" si="17"/>
        <v/>
      </c>
      <c r="J202" s="37" t="str">
        <f t="shared" si="14"/>
        <v>사조대림</v>
      </c>
      <c r="K202" s="37" t="str">
        <f t="shared" si="15"/>
        <v>A003960</v>
      </c>
    </row>
    <row r="203" spans="1:11" x14ac:dyDescent="0.4">
      <c r="A203" s="49"/>
      <c r="B203" s="54" t="s">
        <v>342</v>
      </c>
      <c r="C203" s="37" t="s">
        <v>343</v>
      </c>
      <c r="D203" s="55" t="s">
        <v>805</v>
      </c>
      <c r="E203" s="58">
        <v>1318.38</v>
      </c>
      <c r="F203" s="57">
        <v>3.04</v>
      </c>
      <c r="G203" s="57">
        <v>4</v>
      </c>
      <c r="H203" s="49"/>
      <c r="I203" s="49">
        <f t="shared" si="17"/>
        <v>1318.3820300000002</v>
      </c>
      <c r="J203" s="37" t="str">
        <f t="shared" si="14"/>
        <v>롯데정밀화학</v>
      </c>
      <c r="K203" s="37" t="str">
        <f t="shared" si="15"/>
        <v>A004000</v>
      </c>
    </row>
    <row r="204" spans="1:11" x14ac:dyDescent="0.4">
      <c r="A204" s="49"/>
      <c r="B204" s="54" t="s">
        <v>1128</v>
      </c>
      <c r="C204" s="37" t="s">
        <v>1129</v>
      </c>
      <c r="D204" s="55" t="s">
        <v>805</v>
      </c>
      <c r="E204" s="58">
        <v>6205.23</v>
      </c>
      <c r="F204" s="57">
        <v>25.51</v>
      </c>
      <c r="G204" s="57">
        <v>16</v>
      </c>
      <c r="H204" s="49"/>
      <c r="I204" s="49">
        <f t="shared" si="17"/>
        <v>6205.2320399999999</v>
      </c>
      <c r="J204" s="37" t="str">
        <f t="shared" si="14"/>
        <v>현대제철</v>
      </c>
      <c r="K204" s="37" t="str">
        <f t="shared" si="15"/>
        <v>A004020</v>
      </c>
    </row>
    <row r="205" spans="1:11" x14ac:dyDescent="0.4">
      <c r="A205" s="49"/>
      <c r="B205" s="54" t="s">
        <v>1130</v>
      </c>
      <c r="C205" s="37" t="s">
        <v>1131</v>
      </c>
      <c r="D205" s="55" t="s">
        <v>805</v>
      </c>
      <c r="E205" s="58">
        <v>138.66</v>
      </c>
      <c r="F205" s="57">
        <v>5.64</v>
      </c>
      <c r="G205" s="57"/>
      <c r="H205" s="49"/>
      <c r="I205" s="49" t="str">
        <f t="shared" si="17"/>
        <v/>
      </c>
      <c r="J205" s="37" t="str">
        <f t="shared" si="14"/>
        <v>SG세계물산</v>
      </c>
      <c r="K205" s="37" t="str">
        <f t="shared" si="15"/>
        <v>A004060</v>
      </c>
    </row>
    <row r="206" spans="1:11" x14ac:dyDescent="0.4">
      <c r="A206" s="49"/>
      <c r="B206" s="54" t="s">
        <v>1132</v>
      </c>
      <c r="C206" s="37" t="s">
        <v>1133</v>
      </c>
      <c r="D206" s="55" t="s">
        <v>805</v>
      </c>
      <c r="E206" s="58">
        <v>131.32</v>
      </c>
      <c r="F206" s="57">
        <v>7.0000000000000007E-2</v>
      </c>
      <c r="G206" s="57"/>
      <c r="H206" s="49"/>
      <c r="I206" s="49" t="str">
        <f t="shared" si="17"/>
        <v/>
      </c>
      <c r="J206" s="37" t="str">
        <f t="shared" ref="J206:J269" si="18">C206</f>
        <v>신흥</v>
      </c>
      <c r="K206" s="37" t="str">
        <f t="shared" ref="K206:K269" si="19">B206</f>
        <v>A004080</v>
      </c>
    </row>
    <row r="207" spans="1:11" x14ac:dyDescent="0.4">
      <c r="A207" s="49"/>
      <c r="B207" s="54" t="s">
        <v>1134</v>
      </c>
      <c r="C207" s="37" t="s">
        <v>1135</v>
      </c>
      <c r="D207" s="55" t="s">
        <v>805</v>
      </c>
      <c r="E207" s="58">
        <v>206.91</v>
      </c>
      <c r="F207" s="57">
        <v>6.81</v>
      </c>
      <c r="G207" s="57"/>
      <c r="H207" s="49"/>
      <c r="I207" s="49" t="str">
        <f t="shared" si="17"/>
        <v/>
      </c>
      <c r="J207" s="37" t="str">
        <f t="shared" si="18"/>
        <v>한국석유</v>
      </c>
      <c r="K207" s="37" t="str">
        <f t="shared" si="19"/>
        <v>A004090</v>
      </c>
    </row>
    <row r="208" spans="1:11" x14ac:dyDescent="0.4">
      <c r="A208" s="49"/>
      <c r="B208" s="54" t="s">
        <v>1136</v>
      </c>
      <c r="C208" s="37" t="s">
        <v>1137</v>
      </c>
      <c r="D208" s="55" t="s">
        <v>805</v>
      </c>
      <c r="E208" s="58">
        <v>104.41</v>
      </c>
      <c r="F208" s="57">
        <v>1.06</v>
      </c>
      <c r="G208" s="57"/>
      <c r="H208" s="49"/>
      <c r="I208" s="49" t="str">
        <f t="shared" si="17"/>
        <v/>
      </c>
      <c r="J208" s="37" t="str">
        <f t="shared" si="18"/>
        <v>태양금속</v>
      </c>
      <c r="K208" s="37" t="str">
        <f t="shared" si="19"/>
        <v>A004100</v>
      </c>
    </row>
    <row r="209" spans="1:11" x14ac:dyDescent="0.4">
      <c r="A209" s="49"/>
      <c r="B209" s="54" t="s">
        <v>1138</v>
      </c>
      <c r="C209" s="37" t="s">
        <v>1139</v>
      </c>
      <c r="D209" s="55" t="s">
        <v>805</v>
      </c>
      <c r="E209" s="58">
        <v>126.89</v>
      </c>
      <c r="F209" s="57">
        <v>2.2400000000000002</v>
      </c>
      <c r="G209" s="57"/>
      <c r="H209" s="49"/>
      <c r="I209" s="49" t="str">
        <f t="shared" si="17"/>
        <v/>
      </c>
      <c r="J209" s="37" t="str">
        <f t="shared" si="18"/>
        <v>동방</v>
      </c>
      <c r="K209" s="37" t="str">
        <f t="shared" si="19"/>
        <v>A004140</v>
      </c>
    </row>
    <row r="210" spans="1:11" x14ac:dyDescent="0.4">
      <c r="B210" s="54" t="s">
        <v>1140</v>
      </c>
      <c r="C210" s="37" t="s">
        <v>1141</v>
      </c>
      <c r="D210" s="55" t="s">
        <v>805</v>
      </c>
      <c r="E210" s="56">
        <v>141.75</v>
      </c>
      <c r="F210" s="55">
        <v>0.35</v>
      </c>
      <c r="G210" s="55">
        <v>1</v>
      </c>
      <c r="J210" s="37" t="str">
        <f t="shared" si="18"/>
        <v>한솔홀딩스</v>
      </c>
      <c r="K210" s="37" t="str">
        <f t="shared" si="19"/>
        <v>A004150</v>
      </c>
    </row>
    <row r="211" spans="1:11" x14ac:dyDescent="0.4">
      <c r="A211" s="49"/>
      <c r="B211" s="54" t="s">
        <v>330</v>
      </c>
      <c r="C211" s="37" t="s">
        <v>331</v>
      </c>
      <c r="D211" s="55" t="s">
        <v>805</v>
      </c>
      <c r="E211" s="58">
        <v>3554.25</v>
      </c>
      <c r="F211" s="57">
        <v>16.739999999999998</v>
      </c>
      <c r="G211" s="57">
        <v>17</v>
      </c>
      <c r="H211" s="49"/>
      <c r="I211" s="49">
        <f t="shared" ref="I211:I234" si="20">IF((G211&gt;$G$8),E211+ROW()/100000,"")</f>
        <v>3554.2521099999999</v>
      </c>
      <c r="J211" s="37" t="str">
        <f t="shared" si="18"/>
        <v>신세계</v>
      </c>
      <c r="K211" s="37" t="str">
        <f t="shared" si="19"/>
        <v>A004170</v>
      </c>
    </row>
    <row r="212" spans="1:11" x14ac:dyDescent="0.4">
      <c r="A212" s="49"/>
      <c r="B212" s="54" t="s">
        <v>1142</v>
      </c>
      <c r="C212" s="37" t="s">
        <v>1143</v>
      </c>
      <c r="D212" s="55" t="s">
        <v>805</v>
      </c>
      <c r="E212" s="58">
        <v>146.88</v>
      </c>
      <c r="F212" s="57">
        <v>0.18</v>
      </c>
      <c r="G212" s="57"/>
      <c r="H212" s="49"/>
      <c r="I212" s="49" t="str">
        <f t="shared" si="20"/>
        <v/>
      </c>
      <c r="J212" s="37" t="str">
        <f t="shared" si="18"/>
        <v>NPC</v>
      </c>
      <c r="K212" s="37" t="str">
        <f t="shared" si="19"/>
        <v>A004250</v>
      </c>
    </row>
    <row r="213" spans="1:11" x14ac:dyDescent="0.4">
      <c r="A213" s="49"/>
      <c r="B213" s="54" t="s">
        <v>1144</v>
      </c>
      <c r="C213" s="37" t="s">
        <v>1145</v>
      </c>
      <c r="D213" s="55" t="s">
        <v>805</v>
      </c>
      <c r="E213" s="58">
        <v>28.64</v>
      </c>
      <c r="F213" s="57">
        <v>0.05</v>
      </c>
      <c r="G213" s="57"/>
      <c r="H213" s="49"/>
      <c r="I213" s="49" t="str">
        <f t="shared" si="20"/>
        <v/>
      </c>
      <c r="J213" s="37" t="str">
        <f t="shared" si="18"/>
        <v>남성</v>
      </c>
      <c r="K213" s="37" t="str">
        <f t="shared" si="19"/>
        <v>A004270</v>
      </c>
    </row>
    <row r="214" spans="1:11" x14ac:dyDescent="0.4">
      <c r="A214" s="49"/>
      <c r="B214" s="54" t="s">
        <v>1146</v>
      </c>
      <c r="C214" s="37" t="s">
        <v>1147</v>
      </c>
      <c r="D214" s="55" t="s">
        <v>805</v>
      </c>
      <c r="E214" s="56">
        <v>381.44</v>
      </c>
      <c r="F214" s="55">
        <v>27.38</v>
      </c>
      <c r="G214" s="55"/>
      <c r="I214" s="49" t="str">
        <f t="shared" si="20"/>
        <v/>
      </c>
      <c r="J214" s="37" t="str">
        <f t="shared" si="18"/>
        <v>현대약품</v>
      </c>
      <c r="K214" s="37" t="str">
        <f t="shared" si="19"/>
        <v>A004310</v>
      </c>
    </row>
    <row r="215" spans="1:11" x14ac:dyDescent="0.4">
      <c r="A215" s="49"/>
      <c r="B215" s="54" t="s">
        <v>1148</v>
      </c>
      <c r="C215" s="37" t="s">
        <v>1149</v>
      </c>
      <c r="D215" s="55" t="s">
        <v>805</v>
      </c>
      <c r="E215" s="58">
        <v>302.22000000000003</v>
      </c>
      <c r="F215" s="57">
        <v>0.86</v>
      </c>
      <c r="G215" s="57"/>
      <c r="H215" s="49"/>
      <c r="I215" s="49" t="str">
        <f t="shared" si="20"/>
        <v/>
      </c>
      <c r="J215" s="37" t="str">
        <f t="shared" si="18"/>
        <v>세방</v>
      </c>
      <c r="K215" s="37" t="str">
        <f t="shared" si="19"/>
        <v>A004360</v>
      </c>
    </row>
    <row r="216" spans="1:11" x14ac:dyDescent="0.4">
      <c r="A216" s="49"/>
      <c r="B216" s="54" t="s">
        <v>1150</v>
      </c>
      <c r="C216" s="37" t="s">
        <v>1151</v>
      </c>
      <c r="D216" s="55" t="s">
        <v>805</v>
      </c>
      <c r="E216" s="56">
        <v>2615.54</v>
      </c>
      <c r="F216" s="55">
        <v>20.260000000000002</v>
      </c>
      <c r="G216" s="55">
        <v>12</v>
      </c>
      <c r="I216" s="49">
        <f t="shared" si="20"/>
        <v>2615.54216</v>
      </c>
      <c r="J216" s="37" t="str">
        <f t="shared" si="18"/>
        <v>농심</v>
      </c>
      <c r="K216" s="37" t="str">
        <f t="shared" si="19"/>
        <v>A004370</v>
      </c>
    </row>
    <row r="217" spans="1:11" x14ac:dyDescent="0.4">
      <c r="A217" s="49"/>
      <c r="B217" s="54" t="s">
        <v>1152</v>
      </c>
      <c r="C217" s="37" t="s">
        <v>1153</v>
      </c>
      <c r="D217" s="55" t="s">
        <v>805</v>
      </c>
      <c r="E217" s="58">
        <v>206.17</v>
      </c>
      <c r="F217" s="57">
        <v>0</v>
      </c>
      <c r="G217" s="57"/>
      <c r="H217" s="49"/>
      <c r="I217" s="49" t="str">
        <f t="shared" si="20"/>
        <v/>
      </c>
      <c r="J217" s="37" t="str">
        <f t="shared" si="18"/>
        <v>삼익THK</v>
      </c>
      <c r="K217" s="37" t="str">
        <f t="shared" si="19"/>
        <v>A004380</v>
      </c>
    </row>
    <row r="218" spans="1:11" x14ac:dyDescent="0.4">
      <c r="A218" s="49"/>
      <c r="B218" s="54" t="s">
        <v>1154</v>
      </c>
      <c r="C218" s="37" t="s">
        <v>1155</v>
      </c>
      <c r="D218" s="55" t="s">
        <v>805</v>
      </c>
      <c r="E218" s="58">
        <v>93.64</v>
      </c>
      <c r="F218" s="57">
        <v>2.63</v>
      </c>
      <c r="G218" s="57"/>
      <c r="H218" s="49"/>
      <c r="I218" s="49" t="str">
        <f t="shared" si="20"/>
        <v/>
      </c>
      <c r="J218" s="37" t="str">
        <f t="shared" si="18"/>
        <v>서울식품</v>
      </c>
      <c r="K218" s="37" t="str">
        <f t="shared" si="19"/>
        <v>A004410</v>
      </c>
    </row>
    <row r="219" spans="1:11" x14ac:dyDescent="0.4">
      <c r="A219" s="49"/>
      <c r="B219" s="54" t="s">
        <v>1156</v>
      </c>
      <c r="C219" s="37" t="s">
        <v>1157</v>
      </c>
      <c r="D219" s="55" t="s">
        <v>805</v>
      </c>
      <c r="E219" s="56">
        <v>231.12</v>
      </c>
      <c r="F219" s="55">
        <v>0.48</v>
      </c>
      <c r="G219" s="55"/>
      <c r="I219" s="49" t="str">
        <f t="shared" si="20"/>
        <v/>
      </c>
      <c r="J219" s="37" t="str">
        <f t="shared" si="18"/>
        <v>송원산업</v>
      </c>
      <c r="K219" s="37" t="str">
        <f t="shared" si="19"/>
        <v>A004430</v>
      </c>
    </row>
    <row r="220" spans="1:11" x14ac:dyDescent="0.4">
      <c r="A220" s="49"/>
      <c r="B220" s="54" t="s">
        <v>1158</v>
      </c>
      <c r="C220" s="37" t="s">
        <v>1159</v>
      </c>
      <c r="D220" s="55" t="s">
        <v>805</v>
      </c>
      <c r="E220" s="58">
        <v>72.95</v>
      </c>
      <c r="F220" s="57">
        <v>0.76</v>
      </c>
      <c r="G220" s="57"/>
      <c r="H220" s="49"/>
      <c r="I220" s="49" t="str">
        <f t="shared" si="20"/>
        <v/>
      </c>
      <c r="J220" s="37" t="str">
        <f t="shared" si="18"/>
        <v>삼일씨엔에스</v>
      </c>
      <c r="K220" s="37" t="str">
        <f t="shared" si="19"/>
        <v>A004440</v>
      </c>
    </row>
    <row r="221" spans="1:11" x14ac:dyDescent="0.4">
      <c r="A221" s="49"/>
      <c r="B221" s="54" t="s">
        <v>1160</v>
      </c>
      <c r="C221" s="37" t="s">
        <v>1161</v>
      </c>
      <c r="D221" s="55" t="s">
        <v>805</v>
      </c>
      <c r="E221" s="58">
        <v>64.63</v>
      </c>
      <c r="F221" s="57">
        <v>7.0000000000000007E-2</v>
      </c>
      <c r="G221" s="57"/>
      <c r="H221" s="49"/>
      <c r="I221" s="49" t="str">
        <f t="shared" si="20"/>
        <v/>
      </c>
      <c r="J221" s="37" t="str">
        <f t="shared" si="18"/>
        <v>삼화왕관</v>
      </c>
      <c r="K221" s="37" t="str">
        <f t="shared" si="19"/>
        <v>A004450</v>
      </c>
    </row>
    <row r="222" spans="1:11" x14ac:dyDescent="0.4">
      <c r="A222" s="49"/>
      <c r="B222" s="54" t="s">
        <v>1162</v>
      </c>
      <c r="C222" s="37" t="s">
        <v>1163</v>
      </c>
      <c r="D222" s="55" t="s">
        <v>805</v>
      </c>
      <c r="E222" s="56">
        <v>954.95</v>
      </c>
      <c r="F222" s="55">
        <v>3.61</v>
      </c>
      <c r="G222" s="55"/>
      <c r="I222" s="49" t="str">
        <f t="shared" si="20"/>
        <v/>
      </c>
      <c r="J222" s="37" t="str">
        <f t="shared" si="18"/>
        <v>세방전지</v>
      </c>
      <c r="K222" s="37" t="str">
        <f t="shared" si="19"/>
        <v>A004490</v>
      </c>
    </row>
    <row r="223" spans="1:11" x14ac:dyDescent="0.4">
      <c r="A223" s="49"/>
      <c r="B223" s="54" t="s">
        <v>1164</v>
      </c>
      <c r="C223" s="37" t="s">
        <v>1165</v>
      </c>
      <c r="D223" s="55" t="s">
        <v>805</v>
      </c>
      <c r="E223" s="56">
        <v>77.27</v>
      </c>
      <c r="F223" s="55">
        <v>0.39</v>
      </c>
      <c r="G223" s="55"/>
      <c r="I223" s="49" t="str">
        <f t="shared" si="20"/>
        <v/>
      </c>
      <c r="J223" s="37" t="str">
        <f t="shared" si="18"/>
        <v>깨끗한나라</v>
      </c>
      <c r="K223" s="37" t="str">
        <f t="shared" si="19"/>
        <v>A004540</v>
      </c>
    </row>
    <row r="224" spans="1:11" x14ac:dyDescent="0.4">
      <c r="A224" s="49"/>
      <c r="B224" s="54" t="s">
        <v>1166</v>
      </c>
      <c r="C224" s="37" t="s">
        <v>1167</v>
      </c>
      <c r="D224" s="55" t="s">
        <v>805</v>
      </c>
      <c r="E224" s="58">
        <v>335.5</v>
      </c>
      <c r="F224" s="57">
        <v>6.33</v>
      </c>
      <c r="G224" s="57"/>
      <c r="H224" s="49"/>
      <c r="I224" s="49" t="str">
        <f t="shared" si="20"/>
        <v/>
      </c>
      <c r="J224" s="37" t="str">
        <f t="shared" si="18"/>
        <v>현대비앤지스틸</v>
      </c>
      <c r="K224" s="37" t="str">
        <f t="shared" si="19"/>
        <v>A004560</v>
      </c>
    </row>
    <row r="225" spans="1:11" x14ac:dyDescent="0.4">
      <c r="A225" s="49"/>
      <c r="B225" s="54" t="s">
        <v>1168</v>
      </c>
      <c r="C225" s="37" t="s">
        <v>1169</v>
      </c>
      <c r="D225" s="55" t="s">
        <v>820</v>
      </c>
      <c r="E225" s="56">
        <v>73.13</v>
      </c>
      <c r="F225" s="55">
        <v>0.44</v>
      </c>
      <c r="G225" s="55"/>
      <c r="I225" s="49" t="str">
        <f t="shared" si="20"/>
        <v/>
      </c>
      <c r="J225" s="37" t="str">
        <f t="shared" si="18"/>
        <v>한국가구</v>
      </c>
      <c r="K225" s="37" t="str">
        <f t="shared" si="19"/>
        <v>A004590</v>
      </c>
    </row>
    <row r="226" spans="1:11" x14ac:dyDescent="0.4">
      <c r="A226" s="49"/>
      <c r="B226" s="54" t="s">
        <v>1170</v>
      </c>
      <c r="C226" s="37" t="s">
        <v>1171</v>
      </c>
      <c r="D226" s="55" t="s">
        <v>820</v>
      </c>
      <c r="E226" s="56">
        <v>90.44</v>
      </c>
      <c r="F226" s="55">
        <v>0.21</v>
      </c>
      <c r="G226" s="55"/>
      <c r="I226" s="49" t="str">
        <f t="shared" si="20"/>
        <v/>
      </c>
      <c r="J226" s="37" t="str">
        <f t="shared" si="18"/>
        <v>창해에탄올</v>
      </c>
      <c r="K226" s="37" t="str">
        <f t="shared" si="19"/>
        <v>A004650</v>
      </c>
    </row>
    <row r="227" spans="1:11" x14ac:dyDescent="0.4">
      <c r="A227" s="49"/>
      <c r="B227" s="54" t="s">
        <v>1172</v>
      </c>
      <c r="C227" s="37" t="s">
        <v>1173</v>
      </c>
      <c r="D227" s="55" t="s">
        <v>805</v>
      </c>
      <c r="E227" s="58">
        <v>618.39</v>
      </c>
      <c r="F227" s="57">
        <v>1.72</v>
      </c>
      <c r="G227" s="57"/>
      <c r="H227" s="49"/>
      <c r="I227" s="49" t="str">
        <f t="shared" si="20"/>
        <v/>
      </c>
      <c r="J227" s="37" t="str">
        <f t="shared" si="18"/>
        <v>삼천리</v>
      </c>
      <c r="K227" s="37" t="str">
        <f t="shared" si="19"/>
        <v>A004690</v>
      </c>
    </row>
    <row r="228" spans="1:11" x14ac:dyDescent="0.4">
      <c r="A228" s="49"/>
      <c r="B228" s="54" t="s">
        <v>1174</v>
      </c>
      <c r="C228" s="37" t="s">
        <v>1175</v>
      </c>
      <c r="D228" s="55" t="s">
        <v>805</v>
      </c>
      <c r="E228" s="58">
        <v>506.66</v>
      </c>
      <c r="F228" s="57">
        <v>0.43</v>
      </c>
      <c r="G228" s="57"/>
      <c r="H228" s="49"/>
      <c r="I228" s="49" t="str">
        <f t="shared" si="20"/>
        <v/>
      </c>
      <c r="J228" s="37" t="str">
        <f t="shared" si="18"/>
        <v>조광피혁</v>
      </c>
      <c r="K228" s="37" t="str">
        <f t="shared" si="19"/>
        <v>A004700</v>
      </c>
    </row>
    <row r="229" spans="1:11" x14ac:dyDescent="0.4">
      <c r="A229" s="49"/>
      <c r="B229" s="54" t="s">
        <v>1176</v>
      </c>
      <c r="C229" s="37" t="s">
        <v>1177</v>
      </c>
      <c r="D229" s="55" t="s">
        <v>805</v>
      </c>
      <c r="E229" s="58">
        <v>199.08</v>
      </c>
      <c r="F229" s="57">
        <v>1.96</v>
      </c>
      <c r="G229" s="57"/>
      <c r="H229" s="49"/>
      <c r="I229" s="49" t="str">
        <f t="shared" si="20"/>
        <v/>
      </c>
      <c r="J229" s="37" t="str">
        <f t="shared" si="18"/>
        <v>한솔테크닉스</v>
      </c>
      <c r="K229" s="37" t="str">
        <f t="shared" si="19"/>
        <v>A004710</v>
      </c>
    </row>
    <row r="230" spans="1:11" x14ac:dyDescent="0.4">
      <c r="A230" s="49"/>
      <c r="B230" s="54" t="s">
        <v>1178</v>
      </c>
      <c r="C230" s="37" t="s">
        <v>1179</v>
      </c>
      <c r="D230" s="55" t="s">
        <v>805</v>
      </c>
      <c r="E230" s="56">
        <v>86.17</v>
      </c>
      <c r="F230" s="56">
        <v>0.35</v>
      </c>
      <c r="G230" s="55"/>
      <c r="I230" s="49" t="str">
        <f t="shared" si="20"/>
        <v/>
      </c>
      <c r="J230" s="37" t="str">
        <f t="shared" si="18"/>
        <v>팜젠사이언스</v>
      </c>
      <c r="K230" s="37" t="str">
        <f t="shared" si="19"/>
        <v>A004720</v>
      </c>
    </row>
    <row r="231" spans="1:11" x14ac:dyDescent="0.4">
      <c r="A231" s="49"/>
      <c r="B231" s="54" t="s">
        <v>1180</v>
      </c>
      <c r="C231" s="37" t="s">
        <v>1181</v>
      </c>
      <c r="D231" s="55" t="s">
        <v>805</v>
      </c>
      <c r="E231" s="58">
        <v>57.06</v>
      </c>
      <c r="F231" s="57">
        <v>0.35</v>
      </c>
      <c r="G231" s="57"/>
      <c r="H231" s="49"/>
      <c r="I231" s="49" t="str">
        <f t="shared" si="20"/>
        <v/>
      </c>
      <c r="J231" s="37" t="str">
        <f t="shared" si="18"/>
        <v>써니전자</v>
      </c>
      <c r="K231" s="37" t="str">
        <f t="shared" si="19"/>
        <v>A004770</v>
      </c>
    </row>
    <row r="232" spans="1:11" x14ac:dyDescent="0.4">
      <c r="A232" s="49"/>
      <c r="B232" s="54" t="s">
        <v>1182</v>
      </c>
      <c r="C232" s="37" t="s">
        <v>1183</v>
      </c>
      <c r="D232" s="55" t="s">
        <v>820</v>
      </c>
      <c r="E232" s="58">
        <v>63.69</v>
      </c>
      <c r="F232" s="57">
        <v>7.0000000000000007E-2</v>
      </c>
      <c r="G232" s="57"/>
      <c r="H232" s="49"/>
      <c r="I232" s="49" t="str">
        <f t="shared" si="20"/>
        <v/>
      </c>
      <c r="J232" s="37" t="str">
        <f t="shared" si="18"/>
        <v>대륙제관</v>
      </c>
      <c r="K232" s="37" t="str">
        <f t="shared" si="19"/>
        <v>A004780</v>
      </c>
    </row>
    <row r="233" spans="1:11" x14ac:dyDescent="0.4">
      <c r="A233" s="49"/>
      <c r="B233" s="54" t="s">
        <v>1184</v>
      </c>
      <c r="C233" s="37" t="s">
        <v>1185</v>
      </c>
      <c r="D233" s="55" t="s">
        <v>805</v>
      </c>
      <c r="E233" s="58">
        <v>2829.13</v>
      </c>
      <c r="F233" s="57">
        <v>7.73</v>
      </c>
      <c r="G233" s="57">
        <v>1</v>
      </c>
      <c r="H233" s="49"/>
      <c r="I233" s="49">
        <f t="shared" si="20"/>
        <v>2829.1323299999999</v>
      </c>
      <c r="J233" s="37" t="str">
        <f t="shared" si="18"/>
        <v>효성</v>
      </c>
      <c r="K233" s="37" t="str">
        <f t="shared" si="19"/>
        <v>A004800</v>
      </c>
    </row>
    <row r="234" spans="1:11" x14ac:dyDescent="0.4">
      <c r="A234" s="49"/>
      <c r="B234" s="54" t="s">
        <v>1186</v>
      </c>
      <c r="C234" s="37" t="s">
        <v>1187</v>
      </c>
      <c r="D234" s="55" t="s">
        <v>805</v>
      </c>
      <c r="E234" s="56">
        <v>77.540000000000006</v>
      </c>
      <c r="F234" s="55">
        <v>1.42</v>
      </c>
      <c r="G234" s="55"/>
      <c r="I234" s="49" t="str">
        <f t="shared" si="20"/>
        <v/>
      </c>
      <c r="J234" s="37" t="str">
        <f t="shared" si="18"/>
        <v>덕성</v>
      </c>
      <c r="K234" s="37" t="str">
        <f t="shared" si="19"/>
        <v>A004830</v>
      </c>
    </row>
    <row r="235" spans="1:11" x14ac:dyDescent="0.4">
      <c r="B235" s="54" t="s">
        <v>1188</v>
      </c>
      <c r="C235" s="37" t="s">
        <v>1189</v>
      </c>
      <c r="D235" s="55" t="s">
        <v>805</v>
      </c>
      <c r="E235" s="56">
        <v>122.37</v>
      </c>
      <c r="F235" s="55">
        <v>0.24</v>
      </c>
      <c r="G235" s="55"/>
      <c r="J235" s="37" t="str">
        <f t="shared" si="18"/>
        <v>DRB동일</v>
      </c>
      <c r="K235" s="37" t="str">
        <f t="shared" si="19"/>
        <v>A004840</v>
      </c>
    </row>
    <row r="236" spans="1:11" x14ac:dyDescent="0.4">
      <c r="A236" s="49"/>
      <c r="B236" s="54" t="s">
        <v>1190</v>
      </c>
      <c r="C236" s="37" t="s">
        <v>1191</v>
      </c>
      <c r="D236" s="55" t="s">
        <v>805</v>
      </c>
      <c r="E236" s="56">
        <v>45.83</v>
      </c>
      <c r="F236" s="55">
        <v>0.16</v>
      </c>
      <c r="G236" s="55"/>
      <c r="I236" s="49" t="str">
        <f t="shared" ref="I236:I244" si="21">IF((G236&gt;$G$8),E236+ROW()/100000,"")</f>
        <v/>
      </c>
      <c r="J236" s="37" t="str">
        <f t="shared" si="18"/>
        <v>티웨이홀딩스</v>
      </c>
      <c r="K236" s="37" t="str">
        <f t="shared" si="19"/>
        <v>A004870</v>
      </c>
    </row>
    <row r="237" spans="1:11" x14ac:dyDescent="0.4">
      <c r="A237" s="49"/>
      <c r="B237" s="54" t="s">
        <v>1192</v>
      </c>
      <c r="C237" s="37" t="s">
        <v>1193</v>
      </c>
      <c r="D237" s="55" t="s">
        <v>805</v>
      </c>
      <c r="E237" s="56">
        <v>96.04</v>
      </c>
      <c r="F237" s="55">
        <v>0.05</v>
      </c>
      <c r="G237" s="55"/>
      <c r="H237" s="49"/>
      <c r="I237" s="49" t="str">
        <f t="shared" si="21"/>
        <v/>
      </c>
      <c r="J237" s="37" t="str">
        <f t="shared" si="18"/>
        <v>동일산업</v>
      </c>
      <c r="K237" s="37" t="str">
        <f t="shared" si="19"/>
        <v>A004890</v>
      </c>
    </row>
    <row r="238" spans="1:11" x14ac:dyDescent="0.4">
      <c r="A238" s="49"/>
      <c r="B238" s="54" t="s">
        <v>1194</v>
      </c>
      <c r="C238" s="37" t="s">
        <v>1195</v>
      </c>
      <c r="D238" s="55" t="s">
        <v>805</v>
      </c>
      <c r="E238" s="56">
        <v>66.180000000000007</v>
      </c>
      <c r="F238" s="55">
        <v>0.52</v>
      </c>
      <c r="G238" s="55"/>
      <c r="I238" s="49" t="str">
        <f t="shared" si="21"/>
        <v/>
      </c>
      <c r="J238" s="37" t="str">
        <f t="shared" si="18"/>
        <v>조광페인트</v>
      </c>
      <c r="K238" s="37" t="str">
        <f t="shared" si="19"/>
        <v>A004910</v>
      </c>
    </row>
    <row r="239" spans="1:11" x14ac:dyDescent="0.4">
      <c r="A239" s="49"/>
      <c r="B239" s="54" t="s">
        <v>1196</v>
      </c>
      <c r="C239" s="37" t="s">
        <v>1197</v>
      </c>
      <c r="D239" s="55" t="s">
        <v>805</v>
      </c>
      <c r="E239" s="58">
        <v>58.49</v>
      </c>
      <c r="F239" s="57">
        <v>0.66</v>
      </c>
      <c r="G239" s="57"/>
      <c r="H239" s="49"/>
      <c r="I239" s="49" t="str">
        <f t="shared" si="21"/>
        <v/>
      </c>
      <c r="J239" s="37" t="str">
        <f t="shared" si="18"/>
        <v>씨아이테크</v>
      </c>
      <c r="K239" s="37" t="str">
        <f t="shared" si="19"/>
        <v>A004920</v>
      </c>
    </row>
    <row r="240" spans="1:11" x14ac:dyDescent="0.4">
      <c r="A240" s="49"/>
      <c r="B240" s="54" t="s">
        <v>1198</v>
      </c>
      <c r="C240" s="37" t="s">
        <v>1199</v>
      </c>
      <c r="D240" s="55" t="s">
        <v>805</v>
      </c>
      <c r="E240" s="58">
        <v>164.3</v>
      </c>
      <c r="F240" s="57">
        <v>3.45</v>
      </c>
      <c r="G240" s="57"/>
      <c r="H240" s="49"/>
      <c r="I240" s="49" t="str">
        <f t="shared" si="21"/>
        <v/>
      </c>
      <c r="J240" s="37" t="str">
        <f t="shared" si="18"/>
        <v>한신공영</v>
      </c>
      <c r="K240" s="37" t="str">
        <f t="shared" si="19"/>
        <v>A004960</v>
      </c>
    </row>
    <row r="241" spans="1:11" x14ac:dyDescent="0.4">
      <c r="A241" s="49"/>
      <c r="B241" s="54" t="s">
        <v>1200</v>
      </c>
      <c r="C241" s="37" t="s">
        <v>1201</v>
      </c>
      <c r="D241" s="55" t="s">
        <v>805</v>
      </c>
      <c r="E241" s="58">
        <v>160.63999999999999</v>
      </c>
      <c r="F241" s="57">
        <v>0.13</v>
      </c>
      <c r="G241" s="57"/>
      <c r="H241" s="49"/>
      <c r="I241" s="49" t="str">
        <f t="shared" si="21"/>
        <v/>
      </c>
      <c r="J241" s="37" t="str">
        <f t="shared" si="18"/>
        <v>신라교역</v>
      </c>
      <c r="K241" s="37" t="str">
        <f t="shared" si="19"/>
        <v>A004970</v>
      </c>
    </row>
    <row r="242" spans="1:11" x14ac:dyDescent="0.4">
      <c r="A242" s="49"/>
      <c r="B242" s="54" t="s">
        <v>1202</v>
      </c>
      <c r="C242" s="37" t="s">
        <v>1203</v>
      </c>
      <c r="D242" s="55" t="s">
        <v>805</v>
      </c>
      <c r="E242" s="58">
        <v>241.48</v>
      </c>
      <c r="F242" s="57">
        <v>0.79</v>
      </c>
      <c r="G242" s="57"/>
      <c r="H242" s="49"/>
      <c r="I242" s="49" t="str">
        <f t="shared" si="21"/>
        <v/>
      </c>
      <c r="J242" s="37" t="str">
        <f t="shared" si="18"/>
        <v>성신양회</v>
      </c>
      <c r="K242" s="37" t="str">
        <f t="shared" si="19"/>
        <v>A004980</v>
      </c>
    </row>
    <row r="243" spans="1:11" x14ac:dyDescent="0.4">
      <c r="A243" s="49"/>
      <c r="B243" s="54" t="s">
        <v>1204</v>
      </c>
      <c r="C243" s="37" t="s">
        <v>1205</v>
      </c>
      <c r="D243" s="55" t="s">
        <v>805</v>
      </c>
      <c r="E243" s="58">
        <v>3750.51</v>
      </c>
      <c r="F243" s="57">
        <v>10.039999999999999</v>
      </c>
      <c r="G243" s="57">
        <v>3</v>
      </c>
      <c r="H243" s="49"/>
      <c r="I243" s="49">
        <f t="shared" si="21"/>
        <v>3750.5124300000002</v>
      </c>
      <c r="J243" s="37" t="str">
        <f t="shared" si="18"/>
        <v>롯데지주</v>
      </c>
      <c r="K243" s="37" t="str">
        <f t="shared" si="19"/>
        <v>A004990</v>
      </c>
    </row>
    <row r="244" spans="1:11" x14ac:dyDescent="0.4">
      <c r="A244" s="49"/>
      <c r="B244" s="54" t="s">
        <v>440</v>
      </c>
      <c r="C244" s="37" t="s">
        <v>441</v>
      </c>
      <c r="D244" s="55" t="s">
        <v>805</v>
      </c>
      <c r="E244" s="58">
        <v>243.01</v>
      </c>
      <c r="F244" s="57">
        <v>1.55</v>
      </c>
      <c r="G244" s="57"/>
      <c r="H244" s="49"/>
      <c r="I244" s="49" t="str">
        <f t="shared" si="21"/>
        <v/>
      </c>
      <c r="J244" s="37" t="str">
        <f t="shared" si="18"/>
        <v>휴스틸</v>
      </c>
      <c r="K244" s="37" t="str">
        <f t="shared" si="19"/>
        <v>A005010</v>
      </c>
    </row>
    <row r="245" spans="1:11" x14ac:dyDescent="0.4">
      <c r="B245" s="54" t="s">
        <v>1206</v>
      </c>
      <c r="C245" s="37" t="s">
        <v>1207</v>
      </c>
      <c r="D245" s="55" t="s">
        <v>805</v>
      </c>
      <c r="E245" s="56">
        <v>38.29</v>
      </c>
      <c r="F245" s="55">
        <v>0</v>
      </c>
      <c r="G245" s="55"/>
      <c r="J245" s="37" t="str">
        <f t="shared" si="18"/>
        <v>부산주공</v>
      </c>
      <c r="K245" s="37" t="str">
        <f t="shared" si="19"/>
        <v>A005030</v>
      </c>
    </row>
    <row r="246" spans="1:11" x14ac:dyDescent="0.4">
      <c r="A246" s="49"/>
      <c r="B246" s="54" t="s">
        <v>399</v>
      </c>
      <c r="C246" s="37" t="s">
        <v>400</v>
      </c>
      <c r="D246" s="55" t="s">
        <v>805</v>
      </c>
      <c r="E246" s="58">
        <v>1898.63</v>
      </c>
      <c r="F246" s="57">
        <v>30.77</v>
      </c>
      <c r="G246" s="57">
        <v>2</v>
      </c>
      <c r="H246" s="49"/>
      <c r="I246" s="49">
        <f>IF((G246&gt;$G$8),E246+ROW()/100000,"")</f>
        <v>1898.63246</v>
      </c>
      <c r="J246" s="37" t="str">
        <f t="shared" si="18"/>
        <v>코스모신소재</v>
      </c>
      <c r="K246" s="37" t="str">
        <f t="shared" si="19"/>
        <v>A005070</v>
      </c>
    </row>
    <row r="247" spans="1:11" x14ac:dyDescent="0.4">
      <c r="A247" s="49"/>
      <c r="B247" s="54" t="s">
        <v>765</v>
      </c>
      <c r="C247" s="37" t="s">
        <v>766</v>
      </c>
      <c r="D247" s="55" t="s">
        <v>805</v>
      </c>
      <c r="E247" s="56">
        <v>726.23</v>
      </c>
      <c r="F247" s="55">
        <v>2.16</v>
      </c>
      <c r="G247" s="55">
        <v>3</v>
      </c>
      <c r="I247" s="49">
        <f>IF((G247&gt;$G$8),E247+ROW()/100000,"")</f>
        <v>726.23247000000003</v>
      </c>
      <c r="J247" s="37" t="str">
        <f t="shared" si="18"/>
        <v>SGC에너지</v>
      </c>
      <c r="K247" s="37" t="str">
        <f t="shared" si="19"/>
        <v>A005090</v>
      </c>
    </row>
    <row r="248" spans="1:11" x14ac:dyDescent="0.4">
      <c r="B248" s="54" t="s">
        <v>1208</v>
      </c>
      <c r="C248" s="37" t="s">
        <v>1209</v>
      </c>
      <c r="D248" s="55" t="s">
        <v>805</v>
      </c>
      <c r="E248" s="56">
        <v>26.47</v>
      </c>
      <c r="F248" s="55">
        <v>0</v>
      </c>
      <c r="G248" s="55"/>
      <c r="J248" s="37" t="str">
        <f t="shared" si="18"/>
        <v>한창</v>
      </c>
      <c r="K248" s="37" t="str">
        <f t="shared" si="19"/>
        <v>A005110</v>
      </c>
    </row>
    <row r="249" spans="1:11" x14ac:dyDescent="0.4">
      <c r="A249" s="49"/>
      <c r="B249" s="54" t="s">
        <v>1210</v>
      </c>
      <c r="C249" s="37" t="s">
        <v>1211</v>
      </c>
      <c r="D249" s="55" t="s">
        <v>820</v>
      </c>
      <c r="E249" s="58">
        <v>162.72999999999999</v>
      </c>
      <c r="F249" s="57">
        <v>0.39</v>
      </c>
      <c r="G249" s="57"/>
      <c r="H249" s="49"/>
      <c r="I249" s="49" t="str">
        <f>IF((G249&gt;$G$8),E249+ROW()/100000,"")</f>
        <v/>
      </c>
      <c r="J249" s="37" t="str">
        <f t="shared" si="18"/>
        <v>동국산업</v>
      </c>
      <c r="K249" s="37" t="str">
        <f t="shared" si="19"/>
        <v>A005160</v>
      </c>
    </row>
    <row r="250" spans="1:11" x14ac:dyDescent="0.4">
      <c r="A250" s="49"/>
      <c r="B250" s="54" t="s">
        <v>1212</v>
      </c>
      <c r="C250" s="37" t="s">
        <v>1213</v>
      </c>
      <c r="D250" s="55" t="s">
        <v>805</v>
      </c>
      <c r="E250" s="56">
        <v>782.61</v>
      </c>
      <c r="F250" s="55">
        <v>2.95</v>
      </c>
      <c r="G250" s="55">
        <v>3</v>
      </c>
      <c r="I250" s="49">
        <f>IF((G250&gt;$G$8),E250+ROW()/100000,"")</f>
        <v>782.61250000000007</v>
      </c>
      <c r="J250" s="37" t="str">
        <f t="shared" si="18"/>
        <v>빙그레</v>
      </c>
      <c r="K250" s="37" t="str">
        <f t="shared" si="19"/>
        <v>A005180</v>
      </c>
    </row>
    <row r="251" spans="1:11" x14ac:dyDescent="0.4">
      <c r="A251" s="49"/>
      <c r="B251" s="54" t="s">
        <v>1214</v>
      </c>
      <c r="C251" s="37" t="s">
        <v>1215</v>
      </c>
      <c r="D251" s="55" t="s">
        <v>805</v>
      </c>
      <c r="E251" s="56">
        <v>749.16</v>
      </c>
      <c r="F251" s="55">
        <v>1.38</v>
      </c>
      <c r="G251" s="55"/>
      <c r="I251" s="49" t="str">
        <f>IF((G251&gt;$G$8),E251+ROW()/100000,"")</f>
        <v/>
      </c>
      <c r="J251" s="37" t="str">
        <f t="shared" si="18"/>
        <v>녹십자홀딩스</v>
      </c>
      <c r="K251" s="37" t="str">
        <f t="shared" si="19"/>
        <v>A005250</v>
      </c>
    </row>
    <row r="252" spans="1:11" x14ac:dyDescent="0.4">
      <c r="B252" s="54" t="s">
        <v>162</v>
      </c>
      <c r="C252" s="37" t="s">
        <v>163</v>
      </c>
      <c r="D252" s="55" t="s">
        <v>820</v>
      </c>
      <c r="E252" s="56">
        <v>2822.66</v>
      </c>
      <c r="F252" s="55">
        <v>29.05</v>
      </c>
      <c r="G252" s="55">
        <v>1</v>
      </c>
      <c r="J252" s="37" t="str">
        <f t="shared" si="18"/>
        <v>동진쎄미켐</v>
      </c>
      <c r="K252" s="37" t="str">
        <f t="shared" si="19"/>
        <v>A005290</v>
      </c>
    </row>
    <row r="253" spans="1:11" x14ac:dyDescent="0.4">
      <c r="A253" s="49"/>
      <c r="B253" s="54" t="s">
        <v>208</v>
      </c>
      <c r="C253" s="37" t="s">
        <v>209</v>
      </c>
      <c r="D253" s="55" t="s">
        <v>805</v>
      </c>
      <c r="E253" s="58">
        <v>1290.69</v>
      </c>
      <c r="F253" s="57">
        <v>3.85</v>
      </c>
      <c r="G253" s="57">
        <v>17</v>
      </c>
      <c r="H253" s="49"/>
      <c r="I253" s="49">
        <f>IF((G253&gt;$G$8),E253+ROW()/100000,"")</f>
        <v>1290.69253</v>
      </c>
      <c r="J253" s="37" t="str">
        <f t="shared" si="18"/>
        <v>롯데칠성</v>
      </c>
      <c r="K253" s="37" t="str">
        <f t="shared" si="19"/>
        <v>A005300</v>
      </c>
    </row>
    <row r="254" spans="1:11" x14ac:dyDescent="0.4">
      <c r="A254" s="49"/>
      <c r="B254" s="54" t="s">
        <v>1216</v>
      </c>
      <c r="C254" s="37" t="s">
        <v>1217</v>
      </c>
      <c r="D254" s="55" t="s">
        <v>805</v>
      </c>
      <c r="E254" s="56">
        <v>41.03</v>
      </c>
      <c r="F254" s="55">
        <v>0.16</v>
      </c>
      <c r="G254" s="55"/>
      <c r="I254" s="49" t="str">
        <f>IF((G254&gt;$G$8),E254+ROW()/100000,"")</f>
        <v/>
      </c>
      <c r="J254" s="37" t="str">
        <f t="shared" si="18"/>
        <v>온타이드</v>
      </c>
      <c r="K254" s="37" t="str">
        <f t="shared" si="19"/>
        <v>A005320</v>
      </c>
    </row>
    <row r="255" spans="1:11" x14ac:dyDescent="0.4">
      <c r="A255" s="49"/>
      <c r="B255" s="54" t="s">
        <v>1218</v>
      </c>
      <c r="C255" s="37" t="s">
        <v>1219</v>
      </c>
      <c r="D255" s="55" t="s">
        <v>805</v>
      </c>
      <c r="E255" s="58">
        <v>34.39</v>
      </c>
      <c r="F255" s="57">
        <v>0.59</v>
      </c>
      <c r="G255" s="57"/>
      <c r="H255" s="49"/>
      <c r="I255" s="49" t="str">
        <f>IF((G255&gt;$G$8),E255+ROW()/100000,"")</f>
        <v/>
      </c>
      <c r="J255" s="37" t="str">
        <f t="shared" si="18"/>
        <v>모나미</v>
      </c>
      <c r="K255" s="37" t="str">
        <f t="shared" si="19"/>
        <v>A005360</v>
      </c>
    </row>
    <row r="256" spans="1:11" x14ac:dyDescent="0.4">
      <c r="A256" s="49"/>
      <c r="B256" s="54" t="s">
        <v>140</v>
      </c>
      <c r="C256" s="37" t="s">
        <v>141</v>
      </c>
      <c r="D256" s="55" t="s">
        <v>805</v>
      </c>
      <c r="E256" s="58">
        <v>138006.73000000001</v>
      </c>
      <c r="F256" s="57">
        <v>647.83000000000004</v>
      </c>
      <c r="G256" s="57">
        <v>26</v>
      </c>
      <c r="H256" s="49"/>
      <c r="I256" s="49">
        <f>IF((G256&gt;$G$8),E256+ROW()/100000,"")</f>
        <v>138006.73256</v>
      </c>
      <c r="J256" s="37" t="str">
        <f t="shared" si="18"/>
        <v>현대차</v>
      </c>
      <c r="K256" s="37" t="str">
        <f t="shared" si="19"/>
        <v>A005380</v>
      </c>
    </row>
    <row r="257" spans="1:11" x14ac:dyDescent="0.4">
      <c r="B257" s="54" t="s">
        <v>1220</v>
      </c>
      <c r="C257" s="37" t="s">
        <v>1221</v>
      </c>
      <c r="D257" s="55" t="s">
        <v>805</v>
      </c>
      <c r="E257" s="56">
        <v>655.63</v>
      </c>
      <c r="F257" s="55">
        <v>4.51</v>
      </c>
      <c r="G257" s="55"/>
      <c r="J257" s="37" t="str">
        <f t="shared" si="18"/>
        <v>코스모화학</v>
      </c>
      <c r="K257" s="37" t="str">
        <f t="shared" si="19"/>
        <v>A005420</v>
      </c>
    </row>
    <row r="258" spans="1:11" x14ac:dyDescent="0.4">
      <c r="A258" s="49"/>
      <c r="B258" s="54" t="s">
        <v>1222</v>
      </c>
      <c r="C258" s="37" t="s">
        <v>1223</v>
      </c>
      <c r="D258" s="55" t="s">
        <v>805</v>
      </c>
      <c r="E258" s="56">
        <v>212.15</v>
      </c>
      <c r="F258" s="55">
        <v>0.69</v>
      </c>
      <c r="G258" s="55"/>
      <c r="I258" s="49" t="str">
        <f t="shared" ref="I258:I268" si="22">IF((G258&gt;$G$8),E258+ROW()/100000,"")</f>
        <v/>
      </c>
      <c r="J258" s="37" t="str">
        <f t="shared" si="18"/>
        <v>한국공항</v>
      </c>
      <c r="K258" s="37" t="str">
        <f t="shared" si="19"/>
        <v>A005430</v>
      </c>
    </row>
    <row r="259" spans="1:11" x14ac:dyDescent="0.4">
      <c r="A259" s="49"/>
      <c r="B259" s="54" t="s">
        <v>1224</v>
      </c>
      <c r="C259" s="37" t="s">
        <v>1225</v>
      </c>
      <c r="D259" s="55" t="s">
        <v>805</v>
      </c>
      <c r="E259" s="56">
        <v>2494.4699999999998</v>
      </c>
      <c r="F259" s="55">
        <v>6.56</v>
      </c>
      <c r="G259" s="55">
        <v>3</v>
      </c>
      <c r="H259" s="49"/>
      <c r="I259" s="49">
        <f t="shared" si="22"/>
        <v>2494.4725899999999</v>
      </c>
      <c r="J259" s="37" t="str">
        <f t="shared" si="18"/>
        <v>현대지에프홀딩스</v>
      </c>
      <c r="K259" s="37" t="str">
        <f t="shared" si="19"/>
        <v>A005440</v>
      </c>
    </row>
    <row r="260" spans="1:11" x14ac:dyDescent="0.4">
      <c r="A260" s="49"/>
      <c r="B260" s="54" t="s">
        <v>120</v>
      </c>
      <c r="C260" s="37" t="s">
        <v>121</v>
      </c>
      <c r="D260" s="55" t="s">
        <v>805</v>
      </c>
      <c r="E260" s="58">
        <v>33425.31</v>
      </c>
      <c r="F260" s="57">
        <v>151.33000000000001</v>
      </c>
      <c r="G260" s="57">
        <v>19</v>
      </c>
      <c r="H260" s="49"/>
      <c r="I260" s="49">
        <f t="shared" si="22"/>
        <v>33425.312599999997</v>
      </c>
      <c r="J260" s="37" t="str">
        <f t="shared" si="18"/>
        <v>POSCO홀딩스</v>
      </c>
      <c r="K260" s="37" t="str">
        <f t="shared" si="19"/>
        <v>A005490</v>
      </c>
    </row>
    <row r="261" spans="1:11" x14ac:dyDescent="0.4">
      <c r="A261" s="49"/>
      <c r="B261" s="54" t="s">
        <v>1226</v>
      </c>
      <c r="C261" s="37" t="s">
        <v>1227</v>
      </c>
      <c r="D261" s="55" t="s">
        <v>805</v>
      </c>
      <c r="E261" s="58">
        <v>251.48</v>
      </c>
      <c r="F261" s="57">
        <v>0.84</v>
      </c>
      <c r="G261" s="57">
        <v>1</v>
      </c>
      <c r="H261" s="49"/>
      <c r="I261" s="49">
        <f t="shared" si="22"/>
        <v>251.48260999999999</v>
      </c>
      <c r="J261" s="37" t="str">
        <f t="shared" si="18"/>
        <v>삼진제약</v>
      </c>
      <c r="K261" s="37" t="str">
        <f t="shared" si="19"/>
        <v>A005500</v>
      </c>
    </row>
    <row r="262" spans="1:11" x14ac:dyDescent="0.4">
      <c r="A262" s="49"/>
      <c r="B262" s="54" t="s">
        <v>1228</v>
      </c>
      <c r="C262" s="37" t="s">
        <v>5196</v>
      </c>
      <c r="D262" s="55" t="s">
        <v>805</v>
      </c>
      <c r="E262" s="58">
        <v>463.38</v>
      </c>
      <c r="F262" s="57">
        <v>0.42</v>
      </c>
      <c r="G262" s="57">
        <v>1</v>
      </c>
      <c r="H262" s="49"/>
      <c r="I262" s="49">
        <f t="shared" si="22"/>
        <v>463.38261999999997</v>
      </c>
      <c r="J262" s="37" t="str">
        <f t="shared" si="18"/>
        <v>삼립</v>
      </c>
      <c r="K262" s="37" t="str">
        <f t="shared" si="19"/>
        <v>A005610</v>
      </c>
    </row>
    <row r="263" spans="1:11" x14ac:dyDescent="0.4">
      <c r="A263" s="49"/>
      <c r="B263" s="54" t="s">
        <v>1229</v>
      </c>
      <c r="C263" s="37" t="s">
        <v>1230</v>
      </c>
      <c r="D263" s="55" t="s">
        <v>820</v>
      </c>
      <c r="E263" s="58">
        <v>61.1</v>
      </c>
      <c r="F263" s="57">
        <v>0.8</v>
      </c>
      <c r="G263" s="57"/>
      <c r="H263" s="49"/>
      <c r="I263" s="49" t="str">
        <f t="shared" si="22"/>
        <v/>
      </c>
      <c r="J263" s="37" t="str">
        <f t="shared" si="18"/>
        <v>푸드웰</v>
      </c>
      <c r="K263" s="37" t="str">
        <f t="shared" si="19"/>
        <v>A005670</v>
      </c>
    </row>
    <row r="264" spans="1:11" x14ac:dyDescent="0.4">
      <c r="A264" s="49"/>
      <c r="B264" s="54" t="s">
        <v>1231</v>
      </c>
      <c r="C264" s="37" t="s">
        <v>1232</v>
      </c>
      <c r="D264" s="55" t="s">
        <v>805</v>
      </c>
      <c r="E264" s="58">
        <v>246.2</v>
      </c>
      <c r="F264" s="57">
        <v>0.4</v>
      </c>
      <c r="G264" s="57"/>
      <c r="H264" s="49"/>
      <c r="I264" s="49" t="str">
        <f t="shared" si="22"/>
        <v/>
      </c>
      <c r="J264" s="37" t="str">
        <f t="shared" si="18"/>
        <v>삼영전자</v>
      </c>
      <c r="K264" s="37" t="str">
        <f t="shared" si="19"/>
        <v>A005680</v>
      </c>
    </row>
    <row r="265" spans="1:11" x14ac:dyDescent="0.4">
      <c r="A265" s="49"/>
      <c r="B265" s="54" t="s">
        <v>755</v>
      </c>
      <c r="C265" s="37" t="s">
        <v>756</v>
      </c>
      <c r="D265" s="55" t="s">
        <v>805</v>
      </c>
      <c r="E265" s="56">
        <v>974.68</v>
      </c>
      <c r="F265" s="55">
        <v>41.77</v>
      </c>
      <c r="G265" s="55">
        <v>1</v>
      </c>
      <c r="H265" s="49"/>
      <c r="I265" s="49">
        <f t="shared" si="22"/>
        <v>974.68264999999997</v>
      </c>
      <c r="J265" s="37" t="str">
        <f t="shared" si="18"/>
        <v>파미셀</v>
      </c>
      <c r="K265" s="37" t="str">
        <f t="shared" si="19"/>
        <v>A005690</v>
      </c>
    </row>
    <row r="266" spans="1:11" x14ac:dyDescent="0.4">
      <c r="A266" s="49"/>
      <c r="B266" s="54" t="s">
        <v>1233</v>
      </c>
      <c r="C266" s="37" t="s">
        <v>1234</v>
      </c>
      <c r="D266" s="55" t="s">
        <v>820</v>
      </c>
      <c r="E266" s="58">
        <v>331.22</v>
      </c>
      <c r="F266" s="57">
        <v>0.82</v>
      </c>
      <c r="G266" s="57"/>
      <c r="H266" s="49"/>
      <c r="I266" s="49" t="str">
        <f t="shared" si="22"/>
        <v/>
      </c>
      <c r="J266" s="37" t="str">
        <f t="shared" si="18"/>
        <v>대원산업</v>
      </c>
      <c r="K266" s="37" t="str">
        <f t="shared" si="19"/>
        <v>A005710</v>
      </c>
    </row>
    <row r="267" spans="1:11" x14ac:dyDescent="0.4">
      <c r="A267" s="49"/>
      <c r="B267" s="54" t="s">
        <v>1235</v>
      </c>
      <c r="C267" s="37" t="s">
        <v>1236</v>
      </c>
      <c r="D267" s="55" t="s">
        <v>805</v>
      </c>
      <c r="E267" s="58">
        <v>371.06</v>
      </c>
      <c r="F267" s="57">
        <v>0.34</v>
      </c>
      <c r="G267" s="57"/>
      <c r="H267" s="49"/>
      <c r="I267" s="49" t="str">
        <f t="shared" si="22"/>
        <v/>
      </c>
      <c r="J267" s="37" t="str">
        <f t="shared" si="18"/>
        <v>넥센</v>
      </c>
      <c r="K267" s="37" t="str">
        <f t="shared" si="19"/>
        <v>A005720</v>
      </c>
    </row>
    <row r="268" spans="1:11" x14ac:dyDescent="0.4">
      <c r="A268" s="49"/>
      <c r="B268" s="54" t="s">
        <v>1237</v>
      </c>
      <c r="C268" s="37" t="s">
        <v>1238</v>
      </c>
      <c r="D268" s="55" t="s">
        <v>805</v>
      </c>
      <c r="E268" s="58">
        <v>105.71</v>
      </c>
      <c r="F268" s="57">
        <v>0.38</v>
      </c>
      <c r="G268" s="57"/>
      <c r="H268" s="49"/>
      <c r="I268" s="49" t="str">
        <f t="shared" si="22"/>
        <v/>
      </c>
      <c r="J268" s="37" t="str">
        <f t="shared" si="18"/>
        <v>크라운해태홀딩스</v>
      </c>
      <c r="K268" s="37" t="str">
        <f t="shared" si="19"/>
        <v>A005740</v>
      </c>
    </row>
    <row r="269" spans="1:11" x14ac:dyDescent="0.4">
      <c r="B269" s="54" t="s">
        <v>1239</v>
      </c>
      <c r="C269" s="37" t="s">
        <v>1240</v>
      </c>
      <c r="D269" s="55" t="s">
        <v>805</v>
      </c>
      <c r="E269" s="56">
        <v>89.2</v>
      </c>
      <c r="F269" s="55">
        <v>0.28000000000000003</v>
      </c>
      <c r="G269" s="55"/>
      <c r="J269" s="37" t="str">
        <f t="shared" si="18"/>
        <v>대림바스</v>
      </c>
      <c r="K269" s="37" t="str">
        <f t="shared" si="19"/>
        <v>A005750</v>
      </c>
    </row>
    <row r="270" spans="1:11" x14ac:dyDescent="0.4">
      <c r="A270" s="49"/>
      <c r="B270" s="54" t="s">
        <v>1241</v>
      </c>
      <c r="C270" s="37" t="s">
        <v>1242</v>
      </c>
      <c r="D270" s="55" t="s">
        <v>805</v>
      </c>
      <c r="E270" s="58">
        <v>155.07</v>
      </c>
      <c r="F270" s="57">
        <v>1.19</v>
      </c>
      <c r="G270" s="57"/>
      <c r="H270" s="49"/>
      <c r="I270" s="49" t="str">
        <f t="shared" ref="I270:I291" si="23">IF((G270&gt;$G$8),E270+ROW()/100000,"")</f>
        <v/>
      </c>
      <c r="J270" s="37" t="str">
        <f t="shared" ref="J270:J333" si="24">C270</f>
        <v>신영와코루</v>
      </c>
      <c r="K270" s="37" t="str">
        <f t="shared" ref="K270:K333" si="25">B270</f>
        <v>A005800</v>
      </c>
    </row>
    <row r="271" spans="1:11" x14ac:dyDescent="0.4">
      <c r="A271" s="49"/>
      <c r="B271" s="54" t="s">
        <v>1243</v>
      </c>
      <c r="C271" s="37" t="s">
        <v>1244</v>
      </c>
      <c r="D271" s="55" t="s">
        <v>805</v>
      </c>
      <c r="E271" s="58">
        <v>588.23</v>
      </c>
      <c r="F271" s="57">
        <v>1.02</v>
      </c>
      <c r="G271" s="57">
        <v>1</v>
      </c>
      <c r="H271" s="49"/>
      <c r="I271" s="49">
        <f t="shared" si="23"/>
        <v>588.23271</v>
      </c>
      <c r="J271" s="37" t="str">
        <f t="shared" si="24"/>
        <v>풍산홀딩스</v>
      </c>
      <c r="K271" s="37" t="str">
        <f t="shared" si="25"/>
        <v>A005810</v>
      </c>
    </row>
    <row r="272" spans="1:11" x14ac:dyDescent="0.4">
      <c r="A272" s="49"/>
      <c r="B272" s="54" t="s">
        <v>1245</v>
      </c>
      <c r="C272" s="37" t="s">
        <v>1246</v>
      </c>
      <c r="D272" s="55" t="s">
        <v>805</v>
      </c>
      <c r="E272" s="58">
        <v>38.840000000000003</v>
      </c>
      <c r="F272" s="57">
        <v>0.03</v>
      </c>
      <c r="G272" s="57"/>
      <c r="H272" s="49"/>
      <c r="I272" s="49" t="str">
        <f t="shared" si="23"/>
        <v/>
      </c>
      <c r="J272" s="37" t="str">
        <f t="shared" si="24"/>
        <v>원림</v>
      </c>
      <c r="K272" s="37" t="str">
        <f t="shared" si="25"/>
        <v>A005820</v>
      </c>
    </row>
    <row r="273" spans="1:11" x14ac:dyDescent="0.4">
      <c r="A273" s="49"/>
      <c r="B273" s="54" t="s">
        <v>174</v>
      </c>
      <c r="C273" s="37" t="s">
        <v>175</v>
      </c>
      <c r="D273" s="55" t="s">
        <v>805</v>
      </c>
      <c r="E273" s="56">
        <v>12704.21</v>
      </c>
      <c r="F273" s="56">
        <v>31.38</v>
      </c>
      <c r="G273" s="55">
        <v>14</v>
      </c>
      <c r="I273" s="49">
        <f t="shared" si="23"/>
        <v>12704.212729999999</v>
      </c>
      <c r="J273" s="37" t="str">
        <f t="shared" si="24"/>
        <v>DB손해보험</v>
      </c>
      <c r="K273" s="37" t="str">
        <f t="shared" si="25"/>
        <v>A005830</v>
      </c>
    </row>
    <row r="274" spans="1:11" x14ac:dyDescent="0.4">
      <c r="A274" s="49"/>
      <c r="B274" s="54" t="s">
        <v>567</v>
      </c>
      <c r="C274" s="37" t="s">
        <v>568</v>
      </c>
      <c r="D274" s="55" t="s">
        <v>805</v>
      </c>
      <c r="E274" s="56">
        <v>3409.32</v>
      </c>
      <c r="F274" s="56">
        <v>12.42</v>
      </c>
      <c r="G274" s="55">
        <v>6</v>
      </c>
      <c r="I274" s="49">
        <f t="shared" si="23"/>
        <v>3409.3227400000001</v>
      </c>
      <c r="J274" s="37" t="str">
        <f t="shared" si="24"/>
        <v>에스엘</v>
      </c>
      <c r="K274" s="37" t="str">
        <f t="shared" si="25"/>
        <v>A005850</v>
      </c>
    </row>
    <row r="275" spans="1:11" x14ac:dyDescent="0.4">
      <c r="A275" s="49"/>
      <c r="B275" s="54" t="s">
        <v>1247</v>
      </c>
      <c r="C275" s="37" t="s">
        <v>1248</v>
      </c>
      <c r="D275" s="55" t="s">
        <v>820</v>
      </c>
      <c r="E275" s="58">
        <v>120.77</v>
      </c>
      <c r="F275" s="57">
        <v>0.56000000000000005</v>
      </c>
      <c r="G275" s="57"/>
      <c r="H275" s="49"/>
      <c r="I275" s="49" t="str">
        <f t="shared" si="23"/>
        <v/>
      </c>
      <c r="J275" s="37" t="str">
        <f t="shared" si="24"/>
        <v>한일사료</v>
      </c>
      <c r="K275" s="37" t="str">
        <f t="shared" si="25"/>
        <v>A005860</v>
      </c>
    </row>
    <row r="276" spans="1:11" x14ac:dyDescent="0.4">
      <c r="A276" s="49"/>
      <c r="B276" s="54" t="s">
        <v>1249</v>
      </c>
      <c r="C276" s="37" t="s">
        <v>1250</v>
      </c>
      <c r="D276" s="55" t="s">
        <v>805</v>
      </c>
      <c r="E276" s="56">
        <v>115.19</v>
      </c>
      <c r="F276" s="56">
        <v>1.33</v>
      </c>
      <c r="G276" s="55"/>
      <c r="I276" s="49" t="str">
        <f t="shared" si="23"/>
        <v/>
      </c>
      <c r="J276" s="37" t="str">
        <f t="shared" si="24"/>
        <v>휴니드</v>
      </c>
      <c r="K276" s="37" t="str">
        <f t="shared" si="25"/>
        <v>A005870</v>
      </c>
    </row>
    <row r="277" spans="1:11" x14ac:dyDescent="0.4">
      <c r="A277" s="49"/>
      <c r="B277" s="54" t="s">
        <v>374</v>
      </c>
      <c r="C277" s="37" t="s">
        <v>375</v>
      </c>
      <c r="D277" s="55" t="s">
        <v>805</v>
      </c>
      <c r="E277" s="58">
        <v>700.36</v>
      </c>
      <c r="F277" s="57">
        <v>7.14</v>
      </c>
      <c r="G277" s="57">
        <v>3</v>
      </c>
      <c r="H277" s="49"/>
      <c r="I277" s="49">
        <f t="shared" si="23"/>
        <v>700.36277000000007</v>
      </c>
      <c r="J277" s="37" t="str">
        <f t="shared" si="24"/>
        <v>대한해운</v>
      </c>
      <c r="K277" s="37" t="str">
        <f t="shared" si="25"/>
        <v>A005880</v>
      </c>
    </row>
    <row r="278" spans="1:11" x14ac:dyDescent="0.4">
      <c r="A278" s="49"/>
      <c r="B278" s="54" t="s">
        <v>80</v>
      </c>
      <c r="C278" s="37" t="s">
        <v>81</v>
      </c>
      <c r="D278" s="55" t="s">
        <v>805</v>
      </c>
      <c r="E278" s="56">
        <v>1281601.6100000001</v>
      </c>
      <c r="F278" s="56">
        <v>3016.2</v>
      </c>
      <c r="G278" s="55">
        <v>25</v>
      </c>
      <c r="I278" s="49">
        <f t="shared" si="23"/>
        <v>1281601.6127800001</v>
      </c>
      <c r="J278" s="37" t="str">
        <f t="shared" si="24"/>
        <v>삼성전자</v>
      </c>
      <c r="K278" s="37" t="str">
        <f t="shared" si="25"/>
        <v>A005930</v>
      </c>
    </row>
    <row r="279" spans="1:11" x14ac:dyDescent="0.4">
      <c r="A279" s="49"/>
      <c r="B279" s="54" t="s">
        <v>100</v>
      </c>
      <c r="C279" s="37" t="s">
        <v>101</v>
      </c>
      <c r="D279" s="55" t="s">
        <v>805</v>
      </c>
      <c r="E279" s="58">
        <v>12650.23</v>
      </c>
      <c r="F279" s="57">
        <v>23.72</v>
      </c>
      <c r="G279" s="57">
        <v>15</v>
      </c>
      <c r="H279" s="49"/>
      <c r="I279" s="49">
        <f t="shared" si="23"/>
        <v>12650.23279</v>
      </c>
      <c r="J279" s="37" t="str">
        <f t="shared" si="24"/>
        <v>NH투자증권</v>
      </c>
      <c r="K279" s="37" t="str">
        <f t="shared" si="25"/>
        <v>A005940</v>
      </c>
    </row>
    <row r="280" spans="1:11" x14ac:dyDescent="0.4">
      <c r="A280" s="49"/>
      <c r="B280" s="54" t="s">
        <v>1251</v>
      </c>
      <c r="C280" s="37" t="s">
        <v>1252</v>
      </c>
      <c r="D280" s="55" t="s">
        <v>805</v>
      </c>
      <c r="E280" s="58">
        <v>247.95</v>
      </c>
      <c r="F280" s="57">
        <v>10.39</v>
      </c>
      <c r="G280" s="57"/>
      <c r="H280" s="49"/>
      <c r="I280" s="49" t="str">
        <f t="shared" si="23"/>
        <v/>
      </c>
      <c r="J280" s="37" t="str">
        <f t="shared" si="24"/>
        <v>이수화학</v>
      </c>
      <c r="K280" s="37" t="str">
        <f t="shared" si="25"/>
        <v>A005950</v>
      </c>
    </row>
    <row r="281" spans="1:11" x14ac:dyDescent="0.4">
      <c r="A281" s="49"/>
      <c r="B281" s="54" t="s">
        <v>1253</v>
      </c>
      <c r="C281" s="37" t="s">
        <v>1254</v>
      </c>
      <c r="D281" s="55" t="s">
        <v>805</v>
      </c>
      <c r="E281" s="58">
        <v>209.27</v>
      </c>
      <c r="F281" s="57">
        <v>0.84</v>
      </c>
      <c r="G281" s="57"/>
      <c r="H281" s="49"/>
      <c r="I281" s="49" t="str">
        <f t="shared" si="23"/>
        <v/>
      </c>
      <c r="J281" s="37" t="str">
        <f t="shared" si="24"/>
        <v>동부건설</v>
      </c>
      <c r="K281" s="37" t="str">
        <f t="shared" si="25"/>
        <v>A005960</v>
      </c>
    </row>
    <row r="282" spans="1:11" x14ac:dyDescent="0.4">
      <c r="A282" s="49"/>
      <c r="B282" s="54" t="s">
        <v>1255</v>
      </c>
      <c r="C282" s="37" t="s">
        <v>1256</v>
      </c>
      <c r="D282" s="55" t="s">
        <v>820</v>
      </c>
      <c r="E282" s="56">
        <v>156.79</v>
      </c>
      <c r="F282" s="55">
        <v>0.06</v>
      </c>
      <c r="G282" s="55"/>
      <c r="I282" s="49" t="str">
        <f t="shared" si="23"/>
        <v/>
      </c>
      <c r="J282" s="37" t="str">
        <f t="shared" si="24"/>
        <v>매일홀딩스</v>
      </c>
      <c r="K282" s="37" t="str">
        <f t="shared" si="25"/>
        <v>A005990</v>
      </c>
    </row>
    <row r="283" spans="1:11" x14ac:dyDescent="0.4">
      <c r="A283" s="49"/>
      <c r="B283" s="54" t="s">
        <v>1257</v>
      </c>
      <c r="C283" s="37" t="s">
        <v>1258</v>
      </c>
      <c r="D283" s="55" t="s">
        <v>805</v>
      </c>
      <c r="E283" s="58">
        <v>1893.95</v>
      </c>
      <c r="F283" s="57">
        <v>3.79</v>
      </c>
      <c r="G283" s="57">
        <v>5</v>
      </c>
      <c r="H283" s="49"/>
      <c r="I283" s="49">
        <f t="shared" si="23"/>
        <v>1893.9528299999999</v>
      </c>
      <c r="J283" s="37" t="str">
        <f t="shared" si="24"/>
        <v>동원산업</v>
      </c>
      <c r="K283" s="37" t="str">
        <f t="shared" si="25"/>
        <v>A006040</v>
      </c>
    </row>
    <row r="284" spans="1:11" x14ac:dyDescent="0.4">
      <c r="A284" s="49"/>
      <c r="B284" s="54" t="s">
        <v>1259</v>
      </c>
      <c r="C284" s="37" t="s">
        <v>1260</v>
      </c>
      <c r="D284" s="55" t="s">
        <v>820</v>
      </c>
      <c r="E284" s="58">
        <v>45.82</v>
      </c>
      <c r="F284" s="57">
        <v>0.19</v>
      </c>
      <c r="G284" s="57"/>
      <c r="H284" s="49"/>
      <c r="I284" s="49" t="str">
        <f t="shared" si="23"/>
        <v/>
      </c>
      <c r="J284" s="37" t="str">
        <f t="shared" si="24"/>
        <v>국영지앤엠</v>
      </c>
      <c r="K284" s="37" t="str">
        <f t="shared" si="25"/>
        <v>A006050</v>
      </c>
    </row>
    <row r="285" spans="1:11" x14ac:dyDescent="0.4">
      <c r="A285" s="49"/>
      <c r="B285" s="54" t="s">
        <v>1261</v>
      </c>
      <c r="C285" s="37" t="s">
        <v>1262</v>
      </c>
      <c r="D285" s="55" t="s">
        <v>805</v>
      </c>
      <c r="E285" s="58">
        <v>194.17</v>
      </c>
      <c r="F285" s="57">
        <v>0.49</v>
      </c>
      <c r="G285" s="57"/>
      <c r="H285" s="49"/>
      <c r="I285" s="49" t="str">
        <f t="shared" si="23"/>
        <v/>
      </c>
      <c r="J285" s="37" t="str">
        <f t="shared" si="24"/>
        <v>화승인더</v>
      </c>
      <c r="K285" s="37" t="str">
        <f t="shared" si="25"/>
        <v>A006060</v>
      </c>
    </row>
    <row r="286" spans="1:11" x14ac:dyDescent="0.4">
      <c r="A286" s="49"/>
      <c r="B286" s="54" t="s">
        <v>1263</v>
      </c>
      <c r="C286" s="37" t="s">
        <v>1264</v>
      </c>
      <c r="D286" s="55" t="s">
        <v>805</v>
      </c>
      <c r="E286" s="58">
        <v>82.45</v>
      </c>
      <c r="F286" s="57">
        <v>0.18</v>
      </c>
      <c r="G286" s="57"/>
      <c r="H286" s="49"/>
      <c r="I286" s="49" t="str">
        <f t="shared" si="23"/>
        <v/>
      </c>
      <c r="J286" s="37" t="str">
        <f t="shared" si="24"/>
        <v>사조오양</v>
      </c>
      <c r="K286" s="37" t="str">
        <f t="shared" si="25"/>
        <v>A006090</v>
      </c>
    </row>
    <row r="287" spans="1:11" x14ac:dyDescent="0.4">
      <c r="A287" s="49"/>
      <c r="B287" s="54" t="s">
        <v>1265</v>
      </c>
      <c r="C287" s="37" t="s">
        <v>1266</v>
      </c>
      <c r="D287" s="55" t="s">
        <v>805</v>
      </c>
      <c r="E287" s="58">
        <v>471.1</v>
      </c>
      <c r="F287" s="57">
        <v>2.72</v>
      </c>
      <c r="G287" s="57"/>
      <c r="H287" s="49"/>
      <c r="I287" s="49" t="str">
        <f t="shared" si="23"/>
        <v/>
      </c>
      <c r="J287" s="37" t="str">
        <f t="shared" si="24"/>
        <v>삼아알미늄</v>
      </c>
      <c r="K287" s="37" t="str">
        <f t="shared" si="25"/>
        <v>A006110</v>
      </c>
    </row>
    <row r="288" spans="1:11" x14ac:dyDescent="0.4">
      <c r="A288" s="49"/>
      <c r="B288" s="54" t="s">
        <v>1267</v>
      </c>
      <c r="C288" s="37" t="s">
        <v>1268</v>
      </c>
      <c r="D288" s="55" t="s">
        <v>805</v>
      </c>
      <c r="E288" s="58">
        <v>1097.2</v>
      </c>
      <c r="F288" s="57">
        <v>2.16</v>
      </c>
      <c r="G288" s="57"/>
      <c r="H288" s="49"/>
      <c r="I288" s="49" t="str">
        <f t="shared" si="23"/>
        <v/>
      </c>
      <c r="J288" s="37" t="str">
        <f t="shared" si="24"/>
        <v>SK디스커버리</v>
      </c>
      <c r="K288" s="37" t="str">
        <f t="shared" si="25"/>
        <v>A006120</v>
      </c>
    </row>
    <row r="289" spans="1:11" x14ac:dyDescent="0.4">
      <c r="A289" s="49"/>
      <c r="B289" s="54" t="s">
        <v>1269</v>
      </c>
      <c r="C289" s="37" t="s">
        <v>1270</v>
      </c>
      <c r="D289" s="55" t="s">
        <v>820</v>
      </c>
      <c r="E289" s="58">
        <v>112.65</v>
      </c>
      <c r="F289" s="57">
        <v>4.68</v>
      </c>
      <c r="G289" s="57"/>
      <c r="H289" s="49"/>
      <c r="I289" s="49" t="str">
        <f t="shared" si="23"/>
        <v/>
      </c>
      <c r="J289" s="37" t="str">
        <f t="shared" si="24"/>
        <v>피제이전자</v>
      </c>
      <c r="K289" s="37" t="str">
        <f t="shared" si="25"/>
        <v>A006140</v>
      </c>
    </row>
    <row r="290" spans="1:11" x14ac:dyDescent="0.4">
      <c r="A290" s="49"/>
      <c r="B290" s="54" t="s">
        <v>1271</v>
      </c>
      <c r="C290" s="37" t="s">
        <v>1272</v>
      </c>
      <c r="D290" s="55" t="s">
        <v>805</v>
      </c>
      <c r="E290" s="58">
        <v>40.25</v>
      </c>
      <c r="F290" s="57">
        <v>0.32</v>
      </c>
      <c r="G290" s="57"/>
      <c r="H290" s="49"/>
      <c r="I290" s="49" t="str">
        <f t="shared" si="23"/>
        <v/>
      </c>
      <c r="J290" s="37" t="str">
        <f t="shared" si="24"/>
        <v>한국전자홀딩스</v>
      </c>
      <c r="K290" s="37" t="str">
        <f t="shared" si="25"/>
        <v>A006200</v>
      </c>
    </row>
    <row r="291" spans="1:11" x14ac:dyDescent="0.4">
      <c r="A291" s="49"/>
      <c r="B291" s="54" t="s">
        <v>1273</v>
      </c>
      <c r="C291" s="37" t="s">
        <v>1274</v>
      </c>
      <c r="D291" s="55" t="s">
        <v>805</v>
      </c>
      <c r="E291" s="58">
        <v>602.13</v>
      </c>
      <c r="F291" s="57">
        <v>13.55</v>
      </c>
      <c r="G291" s="57"/>
      <c r="H291" s="49"/>
      <c r="I291" s="49" t="str">
        <f t="shared" si="23"/>
        <v/>
      </c>
      <c r="J291" s="37" t="str">
        <f t="shared" si="24"/>
        <v>제주은행</v>
      </c>
      <c r="K291" s="37" t="str">
        <f t="shared" si="25"/>
        <v>A006220</v>
      </c>
    </row>
    <row r="292" spans="1:11" x14ac:dyDescent="0.4">
      <c r="B292" s="54" t="s">
        <v>148</v>
      </c>
      <c r="C292" s="37" t="s">
        <v>149</v>
      </c>
      <c r="D292" s="55" t="s">
        <v>805</v>
      </c>
      <c r="E292" s="56">
        <v>9018.65</v>
      </c>
      <c r="F292" s="55">
        <v>43.63</v>
      </c>
      <c r="G292" s="55">
        <v>8</v>
      </c>
      <c r="J292" s="37" t="str">
        <f t="shared" si="24"/>
        <v>LS</v>
      </c>
      <c r="K292" s="37" t="str">
        <f t="shared" si="25"/>
        <v>A006260</v>
      </c>
    </row>
    <row r="293" spans="1:11" x14ac:dyDescent="0.4">
      <c r="A293" s="49"/>
      <c r="B293" s="54" t="s">
        <v>597</v>
      </c>
      <c r="C293" s="37" t="s">
        <v>598</v>
      </c>
      <c r="D293" s="55" t="s">
        <v>805</v>
      </c>
      <c r="E293" s="58">
        <v>1976.19</v>
      </c>
      <c r="F293" s="57">
        <v>9.44</v>
      </c>
      <c r="G293" s="57">
        <v>13</v>
      </c>
      <c r="H293" s="49"/>
      <c r="I293" s="49">
        <f>IF((G293&gt;$G$8),E293+ROW()/100000,"")</f>
        <v>1976.1929300000002</v>
      </c>
      <c r="J293" s="37" t="str">
        <f t="shared" si="24"/>
        <v>녹십자</v>
      </c>
      <c r="K293" s="37" t="str">
        <f t="shared" si="25"/>
        <v>A006280</v>
      </c>
    </row>
    <row r="294" spans="1:11" x14ac:dyDescent="0.4">
      <c r="B294" s="54" t="s">
        <v>414</v>
      </c>
      <c r="C294" s="37" t="s">
        <v>415</v>
      </c>
      <c r="D294" s="55" t="s">
        <v>805</v>
      </c>
      <c r="E294" s="56">
        <v>523.34</v>
      </c>
      <c r="F294" s="55">
        <v>34.06</v>
      </c>
      <c r="G294" s="55"/>
      <c r="J294" s="37" t="str">
        <f t="shared" si="24"/>
        <v>대원전선</v>
      </c>
      <c r="K294" s="37" t="str">
        <f t="shared" si="25"/>
        <v>A006340</v>
      </c>
    </row>
    <row r="295" spans="1:11" x14ac:dyDescent="0.4">
      <c r="A295" s="49"/>
      <c r="B295" s="54" t="s">
        <v>587</v>
      </c>
      <c r="C295" s="37" t="s">
        <v>588</v>
      </c>
      <c r="D295" s="55" t="s">
        <v>805</v>
      </c>
      <c r="E295" s="58">
        <v>1917.03</v>
      </c>
      <c r="F295" s="57">
        <v>11.62</v>
      </c>
      <c r="G295" s="57">
        <v>20</v>
      </c>
      <c r="H295" s="49"/>
      <c r="I295" s="49">
        <f t="shared" ref="I295:I300" si="26">IF((G295&gt;$G$8),E295+ROW()/100000,"")</f>
        <v>1917.03295</v>
      </c>
      <c r="J295" s="37" t="str">
        <f t="shared" si="24"/>
        <v>GS건설</v>
      </c>
      <c r="K295" s="37" t="str">
        <f t="shared" si="25"/>
        <v>A006360</v>
      </c>
    </row>
    <row r="296" spans="1:11" x14ac:dyDescent="0.4">
      <c r="A296" s="49"/>
      <c r="B296" s="54" t="s">
        <v>1275</v>
      </c>
      <c r="C296" s="37" t="s">
        <v>1276</v>
      </c>
      <c r="D296" s="55" t="s">
        <v>805</v>
      </c>
      <c r="E296" s="58">
        <v>52.7</v>
      </c>
      <c r="F296" s="57">
        <v>0.17</v>
      </c>
      <c r="G296" s="57"/>
      <c r="H296" s="49"/>
      <c r="I296" s="49" t="str">
        <f t="shared" si="26"/>
        <v/>
      </c>
      <c r="J296" s="37" t="str">
        <f t="shared" si="24"/>
        <v>대구백화점</v>
      </c>
      <c r="K296" s="37" t="str">
        <f t="shared" si="25"/>
        <v>A006370</v>
      </c>
    </row>
    <row r="297" spans="1:11" x14ac:dyDescent="0.4">
      <c r="A297" s="49"/>
      <c r="B297" s="54" t="s">
        <v>1277</v>
      </c>
      <c r="C297" s="37" t="s">
        <v>1278</v>
      </c>
      <c r="D297" s="55" t="s">
        <v>805</v>
      </c>
      <c r="E297" s="56">
        <v>618.54</v>
      </c>
      <c r="F297" s="55">
        <v>0</v>
      </c>
      <c r="G297" s="55"/>
      <c r="I297" s="49" t="str">
        <f t="shared" si="26"/>
        <v/>
      </c>
      <c r="J297" s="37" t="str">
        <f t="shared" si="24"/>
        <v>카프로</v>
      </c>
      <c r="K297" s="37" t="str">
        <f t="shared" si="25"/>
        <v>A006380</v>
      </c>
    </row>
    <row r="298" spans="1:11" x14ac:dyDescent="0.4">
      <c r="A298" s="49"/>
      <c r="B298" s="54" t="s">
        <v>299</v>
      </c>
      <c r="C298" s="37" t="s">
        <v>300</v>
      </c>
      <c r="D298" s="55" t="s">
        <v>805</v>
      </c>
      <c r="E298" s="56">
        <v>37552.86</v>
      </c>
      <c r="F298" s="55">
        <v>258.83999999999997</v>
      </c>
      <c r="G298" s="55">
        <v>21</v>
      </c>
      <c r="I298" s="49">
        <f t="shared" si="26"/>
        <v>37552.862979999998</v>
      </c>
      <c r="J298" s="37" t="str">
        <f t="shared" si="24"/>
        <v>삼성SDI</v>
      </c>
      <c r="K298" s="37" t="str">
        <f t="shared" si="25"/>
        <v>A006400</v>
      </c>
    </row>
    <row r="299" spans="1:11" x14ac:dyDescent="0.4">
      <c r="A299" s="49"/>
      <c r="B299" s="54" t="s">
        <v>1279</v>
      </c>
      <c r="C299" s="37" t="s">
        <v>1280</v>
      </c>
      <c r="D299" s="55" t="s">
        <v>805</v>
      </c>
      <c r="E299" s="58">
        <v>58.03</v>
      </c>
      <c r="F299" s="57">
        <v>0.77</v>
      </c>
      <c r="G299" s="57"/>
      <c r="H299" s="49"/>
      <c r="I299" s="49" t="str">
        <f t="shared" si="26"/>
        <v/>
      </c>
      <c r="J299" s="37" t="str">
        <f t="shared" si="24"/>
        <v>인스코비</v>
      </c>
      <c r="K299" s="37" t="str">
        <f t="shared" si="25"/>
        <v>A006490</v>
      </c>
    </row>
    <row r="300" spans="1:11" x14ac:dyDescent="0.4">
      <c r="A300" s="49"/>
      <c r="B300" s="54" t="s">
        <v>1281</v>
      </c>
      <c r="C300" s="37" t="s">
        <v>1282</v>
      </c>
      <c r="D300" s="55" t="s">
        <v>805</v>
      </c>
      <c r="E300" s="58">
        <v>31.52</v>
      </c>
      <c r="F300" s="57">
        <v>0.09</v>
      </c>
      <c r="G300" s="57"/>
      <c r="H300" s="49"/>
      <c r="I300" s="49" t="str">
        <f t="shared" si="26"/>
        <v/>
      </c>
      <c r="J300" s="37" t="str">
        <f t="shared" si="24"/>
        <v>대림통상</v>
      </c>
      <c r="K300" s="37" t="str">
        <f t="shared" si="25"/>
        <v>A006570</v>
      </c>
    </row>
    <row r="301" spans="1:11" x14ac:dyDescent="0.4">
      <c r="B301" s="54" t="s">
        <v>1283</v>
      </c>
      <c r="C301" s="37" t="s">
        <v>1284</v>
      </c>
      <c r="D301" s="55" t="s">
        <v>820</v>
      </c>
      <c r="E301" s="56">
        <v>159.12</v>
      </c>
      <c r="F301" s="55">
        <v>2.4700000000000002</v>
      </c>
      <c r="G301" s="55"/>
      <c r="J301" s="37" t="str">
        <f t="shared" si="24"/>
        <v>동구바이오제약</v>
      </c>
      <c r="K301" s="37" t="str">
        <f t="shared" si="25"/>
        <v>A006620</v>
      </c>
    </row>
    <row r="302" spans="1:11" x14ac:dyDescent="0.4">
      <c r="A302" s="49"/>
      <c r="B302" s="54" t="s">
        <v>1285</v>
      </c>
      <c r="C302" s="37" t="s">
        <v>1286</v>
      </c>
      <c r="D302" s="55" t="s">
        <v>805</v>
      </c>
      <c r="E302" s="56">
        <v>1234.3499999999999</v>
      </c>
      <c r="F302" s="55">
        <v>6.93</v>
      </c>
      <c r="G302" s="55">
        <v>5</v>
      </c>
      <c r="J302" s="37" t="str">
        <f t="shared" si="24"/>
        <v>대한유화</v>
      </c>
      <c r="K302" s="37" t="str">
        <f t="shared" si="25"/>
        <v>A006650</v>
      </c>
    </row>
    <row r="303" spans="1:11" x14ac:dyDescent="0.4">
      <c r="A303" s="49"/>
      <c r="B303" s="54" t="s">
        <v>1287</v>
      </c>
      <c r="C303" s="37" t="s">
        <v>1288</v>
      </c>
      <c r="D303" s="55" t="s">
        <v>805</v>
      </c>
      <c r="E303" s="58">
        <v>108.65</v>
      </c>
      <c r="F303" s="57">
        <v>1.98</v>
      </c>
      <c r="G303" s="57"/>
      <c r="H303" s="49"/>
      <c r="I303" s="49" t="str">
        <f t="shared" ref="I303:I314" si="27">IF((G303&gt;$G$8),E303+ROW()/100000,"")</f>
        <v/>
      </c>
      <c r="J303" s="37" t="str">
        <f t="shared" si="24"/>
        <v>삼성공조</v>
      </c>
      <c r="K303" s="37" t="str">
        <f t="shared" si="25"/>
        <v>A006660</v>
      </c>
    </row>
    <row r="304" spans="1:11" x14ac:dyDescent="0.4">
      <c r="A304" s="49"/>
      <c r="B304" s="54" t="s">
        <v>279</v>
      </c>
      <c r="C304" s="37" t="s">
        <v>280</v>
      </c>
      <c r="D304" s="55" t="s">
        <v>820</v>
      </c>
      <c r="E304" s="58">
        <v>1016.11</v>
      </c>
      <c r="F304" s="57">
        <v>14.93</v>
      </c>
      <c r="G304" s="57">
        <v>4</v>
      </c>
      <c r="H304" s="49"/>
      <c r="I304" s="49">
        <f t="shared" si="27"/>
        <v>1016.1130400000001</v>
      </c>
      <c r="J304" s="37" t="str">
        <f t="shared" si="24"/>
        <v>서부T&amp;D</v>
      </c>
      <c r="K304" s="37" t="str">
        <f t="shared" si="25"/>
        <v>A006730</v>
      </c>
    </row>
    <row r="305" spans="1:11" x14ac:dyDescent="0.4">
      <c r="A305" s="49"/>
      <c r="B305" s="54" t="s">
        <v>1289</v>
      </c>
      <c r="C305" s="37" t="s">
        <v>1290</v>
      </c>
      <c r="D305" s="55" t="s">
        <v>805</v>
      </c>
      <c r="E305" s="56">
        <v>34.64</v>
      </c>
      <c r="F305" s="55">
        <v>0.16</v>
      </c>
      <c r="G305" s="55"/>
      <c r="I305" s="49" t="str">
        <f t="shared" si="27"/>
        <v/>
      </c>
      <c r="J305" s="37" t="str">
        <f t="shared" si="24"/>
        <v>블루산업개발</v>
      </c>
      <c r="K305" s="37" t="str">
        <f t="shared" si="25"/>
        <v>A006740</v>
      </c>
    </row>
    <row r="306" spans="1:11" x14ac:dyDescent="0.4">
      <c r="A306" s="49"/>
      <c r="B306" s="54" t="s">
        <v>84</v>
      </c>
      <c r="C306" s="37" t="s">
        <v>85</v>
      </c>
      <c r="D306" s="55" t="s">
        <v>805</v>
      </c>
      <c r="E306" s="58">
        <v>40830.17</v>
      </c>
      <c r="F306" s="57">
        <v>180.66</v>
      </c>
      <c r="G306" s="57">
        <v>14</v>
      </c>
      <c r="H306" s="49"/>
      <c r="I306" s="49">
        <f t="shared" si="27"/>
        <v>40830.173060000001</v>
      </c>
      <c r="J306" s="37" t="str">
        <f t="shared" si="24"/>
        <v>미래에셋증권</v>
      </c>
      <c r="K306" s="37" t="str">
        <f t="shared" si="25"/>
        <v>A006800</v>
      </c>
    </row>
    <row r="307" spans="1:11" x14ac:dyDescent="0.4">
      <c r="A307" s="49"/>
      <c r="B307" s="54" t="s">
        <v>1291</v>
      </c>
      <c r="C307" s="37" t="s">
        <v>1292</v>
      </c>
      <c r="D307" s="55" t="s">
        <v>805</v>
      </c>
      <c r="E307" s="58">
        <v>113</v>
      </c>
      <c r="F307" s="57">
        <v>0.2</v>
      </c>
      <c r="G307" s="57"/>
      <c r="H307" s="49"/>
      <c r="I307" s="49" t="str">
        <f t="shared" si="27"/>
        <v/>
      </c>
      <c r="J307" s="37" t="str">
        <f t="shared" si="24"/>
        <v>AK홀딩스</v>
      </c>
      <c r="K307" s="37" t="str">
        <f t="shared" si="25"/>
        <v>A006840</v>
      </c>
    </row>
    <row r="308" spans="1:11" x14ac:dyDescent="0.4">
      <c r="A308" s="49"/>
      <c r="B308" s="54" t="s">
        <v>1293</v>
      </c>
      <c r="C308" s="37" t="s">
        <v>1294</v>
      </c>
      <c r="D308" s="55" t="s">
        <v>805</v>
      </c>
      <c r="E308" s="58">
        <v>80.91</v>
      </c>
      <c r="F308" s="57">
        <v>0.78</v>
      </c>
      <c r="G308" s="57"/>
      <c r="H308" s="49"/>
      <c r="I308" s="49" t="str">
        <f t="shared" si="27"/>
        <v/>
      </c>
      <c r="J308" s="37" t="str">
        <f t="shared" si="24"/>
        <v>신송홀딩스</v>
      </c>
      <c r="K308" s="37" t="str">
        <f t="shared" si="25"/>
        <v>A006880</v>
      </c>
    </row>
    <row r="309" spans="1:11" x14ac:dyDescent="0.4">
      <c r="A309" s="49"/>
      <c r="B309" s="54" t="s">
        <v>1295</v>
      </c>
      <c r="C309" s="37" t="s">
        <v>1296</v>
      </c>
      <c r="D309" s="55" t="s">
        <v>805</v>
      </c>
      <c r="E309" s="58">
        <v>90.6</v>
      </c>
      <c r="F309" s="57">
        <v>0.23</v>
      </c>
      <c r="G309" s="57"/>
      <c r="H309" s="49"/>
      <c r="I309" s="49" t="str">
        <f t="shared" si="27"/>
        <v/>
      </c>
      <c r="J309" s="37" t="str">
        <f t="shared" si="24"/>
        <v>태경케미컬</v>
      </c>
      <c r="K309" s="37" t="str">
        <f t="shared" si="25"/>
        <v>A006890</v>
      </c>
    </row>
    <row r="310" spans="1:11" x14ac:dyDescent="0.4">
      <c r="A310" s="49"/>
      <c r="B310" s="54" t="s">
        <v>1297</v>
      </c>
      <c r="C310" s="37" t="s">
        <v>1298</v>
      </c>
      <c r="D310" s="55" t="s">
        <v>820</v>
      </c>
      <c r="E310" s="58">
        <v>553.69000000000005</v>
      </c>
      <c r="F310" s="57">
        <v>51.6</v>
      </c>
      <c r="G310" s="57"/>
      <c r="H310" s="49"/>
      <c r="I310" s="49" t="str">
        <f t="shared" si="27"/>
        <v/>
      </c>
      <c r="J310" s="37" t="str">
        <f t="shared" si="24"/>
        <v>보성파워텍</v>
      </c>
      <c r="K310" s="37" t="str">
        <f t="shared" si="25"/>
        <v>A006910</v>
      </c>
    </row>
    <row r="311" spans="1:11" x14ac:dyDescent="0.4">
      <c r="A311" s="49"/>
      <c r="B311" s="54" t="s">
        <v>1299</v>
      </c>
      <c r="C311" s="37" t="s">
        <v>1300</v>
      </c>
      <c r="D311" s="55" t="s">
        <v>820</v>
      </c>
      <c r="E311" s="58">
        <v>50.51</v>
      </c>
      <c r="F311" s="57">
        <v>1.24</v>
      </c>
      <c r="G311" s="57"/>
      <c r="H311" s="49"/>
      <c r="I311" s="49" t="str">
        <f t="shared" si="27"/>
        <v/>
      </c>
      <c r="J311" s="37" t="str">
        <f t="shared" si="24"/>
        <v>모헨즈</v>
      </c>
      <c r="K311" s="37" t="str">
        <f t="shared" si="25"/>
        <v>A006920</v>
      </c>
    </row>
    <row r="312" spans="1:11" x14ac:dyDescent="0.4">
      <c r="A312" s="49"/>
      <c r="B312" s="54" t="s">
        <v>1301</v>
      </c>
      <c r="C312" s="37" t="s">
        <v>1302</v>
      </c>
      <c r="D312" s="55" t="s">
        <v>805</v>
      </c>
      <c r="E312" s="58">
        <v>68.75</v>
      </c>
      <c r="F312" s="57">
        <v>7.0000000000000007E-2</v>
      </c>
      <c r="G312" s="57"/>
      <c r="H312" s="49"/>
      <c r="I312" s="49" t="str">
        <f t="shared" si="27"/>
        <v/>
      </c>
      <c r="J312" s="37" t="str">
        <f t="shared" si="24"/>
        <v>우성</v>
      </c>
      <c r="K312" s="37" t="str">
        <f t="shared" si="25"/>
        <v>A006980</v>
      </c>
    </row>
    <row r="313" spans="1:11" x14ac:dyDescent="0.4">
      <c r="A313" s="49"/>
      <c r="B313" s="54" t="s">
        <v>210</v>
      </c>
      <c r="C313" s="37" t="s">
        <v>211</v>
      </c>
      <c r="D313" s="55" t="s">
        <v>805</v>
      </c>
      <c r="E313" s="58">
        <v>1839.36</v>
      </c>
      <c r="F313" s="57">
        <v>3.93</v>
      </c>
      <c r="G313" s="57">
        <v>8</v>
      </c>
      <c r="H313" s="49"/>
      <c r="I313" s="49">
        <f t="shared" si="27"/>
        <v>1839.36313</v>
      </c>
      <c r="J313" s="37" t="str">
        <f t="shared" si="24"/>
        <v>GS리테일</v>
      </c>
      <c r="K313" s="37" t="str">
        <f t="shared" si="25"/>
        <v>A007070</v>
      </c>
    </row>
    <row r="314" spans="1:11" x14ac:dyDescent="0.4">
      <c r="A314" s="49"/>
      <c r="B314" s="54" t="s">
        <v>1303</v>
      </c>
      <c r="C314" s="37" t="s">
        <v>1304</v>
      </c>
      <c r="D314" s="55" t="s">
        <v>805</v>
      </c>
      <c r="E314" s="56">
        <v>140.88999999999999</v>
      </c>
      <c r="F314" s="55">
        <v>2.61</v>
      </c>
      <c r="G314" s="55"/>
      <c r="I314" s="49" t="str">
        <f t="shared" si="27"/>
        <v/>
      </c>
      <c r="J314" s="37" t="str">
        <f t="shared" si="24"/>
        <v>일신석재</v>
      </c>
      <c r="K314" s="37" t="str">
        <f t="shared" si="25"/>
        <v>A007110</v>
      </c>
    </row>
    <row r="315" spans="1:11" x14ac:dyDescent="0.4">
      <c r="B315" s="54" t="s">
        <v>1305</v>
      </c>
      <c r="C315" s="37" t="s">
        <v>1306</v>
      </c>
      <c r="D315" s="55" t="s">
        <v>805</v>
      </c>
      <c r="E315" s="56">
        <v>36.130000000000003</v>
      </c>
      <c r="F315" s="55">
        <v>0.26</v>
      </c>
      <c r="G315" s="55"/>
      <c r="J315" s="37" t="str">
        <f t="shared" si="24"/>
        <v>미래아이앤지</v>
      </c>
      <c r="K315" s="37" t="str">
        <f t="shared" si="25"/>
        <v>A007120</v>
      </c>
    </row>
    <row r="316" spans="1:11" x14ac:dyDescent="0.4">
      <c r="A316" s="49"/>
      <c r="B316" s="54" t="s">
        <v>1307</v>
      </c>
      <c r="C316" s="37" t="s">
        <v>1308</v>
      </c>
      <c r="D316" s="55" t="s">
        <v>805</v>
      </c>
      <c r="E316" s="58">
        <v>315.5</v>
      </c>
      <c r="F316" s="57">
        <v>0.94</v>
      </c>
      <c r="G316" s="57"/>
      <c r="H316" s="49"/>
      <c r="I316" s="49" t="str">
        <f t="shared" ref="I316:I332" si="28">IF((G316&gt;$G$8),E316+ROW()/100000,"")</f>
        <v/>
      </c>
      <c r="J316" s="37" t="str">
        <f t="shared" si="24"/>
        <v>사조산업</v>
      </c>
      <c r="K316" s="37" t="str">
        <f t="shared" si="25"/>
        <v>A007160</v>
      </c>
    </row>
    <row r="317" spans="1:11" x14ac:dyDescent="0.4">
      <c r="A317" s="49"/>
      <c r="B317" s="54" t="s">
        <v>1309</v>
      </c>
      <c r="C317" s="37" t="s">
        <v>1310</v>
      </c>
      <c r="D317" s="55" t="s">
        <v>805</v>
      </c>
      <c r="E317" s="58">
        <v>133.44999999999999</v>
      </c>
      <c r="F317" s="57">
        <v>0.6</v>
      </c>
      <c r="G317" s="57"/>
      <c r="H317" s="49"/>
      <c r="I317" s="49" t="str">
        <f t="shared" si="28"/>
        <v/>
      </c>
      <c r="J317" s="37" t="str">
        <f t="shared" si="24"/>
        <v>벽산</v>
      </c>
      <c r="K317" s="37" t="str">
        <f t="shared" si="25"/>
        <v>A007210</v>
      </c>
    </row>
    <row r="318" spans="1:11" x14ac:dyDescent="0.4">
      <c r="A318" s="49"/>
      <c r="B318" s="54" t="s">
        <v>1311</v>
      </c>
      <c r="C318" s="37" t="s">
        <v>1312</v>
      </c>
      <c r="D318" s="55" t="s">
        <v>805</v>
      </c>
      <c r="E318" s="58">
        <v>84.35</v>
      </c>
      <c r="F318" s="57">
        <v>0.12</v>
      </c>
      <c r="G318" s="57"/>
      <c r="H318" s="49"/>
      <c r="I318" s="49" t="str">
        <f t="shared" si="28"/>
        <v/>
      </c>
      <c r="J318" s="37" t="str">
        <f t="shared" si="24"/>
        <v>한국특강</v>
      </c>
      <c r="K318" s="37" t="str">
        <f t="shared" si="25"/>
        <v>A007280</v>
      </c>
    </row>
    <row r="319" spans="1:11" x14ac:dyDescent="0.4">
      <c r="A319" s="49"/>
      <c r="B319" s="54" t="s">
        <v>1313</v>
      </c>
      <c r="C319" s="37" t="s">
        <v>1314</v>
      </c>
      <c r="D319" s="55" t="s">
        <v>805</v>
      </c>
      <c r="E319" s="58">
        <v>1593.11</v>
      </c>
      <c r="F319" s="57">
        <v>2.78</v>
      </c>
      <c r="G319" s="57">
        <v>1</v>
      </c>
      <c r="H319" s="49"/>
      <c r="I319" s="49">
        <f t="shared" si="28"/>
        <v>1593.1131899999998</v>
      </c>
      <c r="J319" s="37" t="str">
        <f t="shared" si="24"/>
        <v>오뚜기</v>
      </c>
      <c r="K319" s="37" t="str">
        <f t="shared" si="25"/>
        <v>A007310</v>
      </c>
    </row>
    <row r="320" spans="1:11" x14ac:dyDescent="0.4">
      <c r="A320" s="49"/>
      <c r="B320" s="54" t="s">
        <v>1315</v>
      </c>
      <c r="C320" s="37" t="s">
        <v>1316</v>
      </c>
      <c r="D320" s="55" t="s">
        <v>820</v>
      </c>
      <c r="E320" s="58">
        <v>171.94</v>
      </c>
      <c r="F320" s="57">
        <v>0.82</v>
      </c>
      <c r="G320" s="57"/>
      <c r="H320" s="49"/>
      <c r="I320" s="49" t="str">
        <f t="shared" si="28"/>
        <v/>
      </c>
      <c r="J320" s="37" t="str">
        <f t="shared" si="24"/>
        <v>푸른저축은행</v>
      </c>
      <c r="K320" s="37" t="str">
        <f t="shared" si="25"/>
        <v>A007330</v>
      </c>
    </row>
    <row r="321" spans="1:11" x14ac:dyDescent="0.4">
      <c r="A321" s="49"/>
      <c r="B321" s="54" t="s">
        <v>1317</v>
      </c>
      <c r="C321" s="37" t="s">
        <v>1318</v>
      </c>
      <c r="D321" s="55" t="s">
        <v>805</v>
      </c>
      <c r="E321" s="56">
        <v>1591.5</v>
      </c>
      <c r="F321" s="55">
        <v>3.58</v>
      </c>
      <c r="G321" s="55"/>
      <c r="I321" s="49" t="str">
        <f t="shared" si="28"/>
        <v/>
      </c>
      <c r="J321" s="37" t="str">
        <f t="shared" si="24"/>
        <v>DN오토모티브</v>
      </c>
      <c r="K321" s="37" t="str">
        <f t="shared" si="25"/>
        <v>A007340</v>
      </c>
    </row>
    <row r="322" spans="1:11" x14ac:dyDescent="0.4">
      <c r="A322" s="49"/>
      <c r="B322" s="54" t="s">
        <v>1319</v>
      </c>
      <c r="C322" s="37" t="s">
        <v>1320</v>
      </c>
      <c r="D322" s="55" t="s">
        <v>820</v>
      </c>
      <c r="E322" s="58">
        <v>71.239999999999995</v>
      </c>
      <c r="F322" s="57">
        <v>0.26</v>
      </c>
      <c r="G322" s="57"/>
      <c r="H322" s="49"/>
      <c r="I322" s="49" t="str">
        <f t="shared" si="28"/>
        <v/>
      </c>
      <c r="J322" s="37" t="str">
        <f t="shared" si="24"/>
        <v>진양제약</v>
      </c>
      <c r="K322" s="37" t="str">
        <f t="shared" si="25"/>
        <v>A007370</v>
      </c>
    </row>
    <row r="323" spans="1:11" x14ac:dyDescent="0.4">
      <c r="A323" s="49"/>
      <c r="B323" s="54" t="s">
        <v>711</v>
      </c>
      <c r="C323" s="37" t="s">
        <v>712</v>
      </c>
      <c r="D323" s="55" t="s">
        <v>820</v>
      </c>
      <c r="E323" s="58">
        <v>1385.35</v>
      </c>
      <c r="F323" s="57">
        <v>12.16</v>
      </c>
      <c r="G323" s="57"/>
      <c r="H323" s="49"/>
      <c r="I323" s="49" t="str">
        <f t="shared" si="28"/>
        <v/>
      </c>
      <c r="J323" s="37" t="str">
        <f t="shared" si="24"/>
        <v>네이처셀</v>
      </c>
      <c r="K323" s="37" t="str">
        <f t="shared" si="25"/>
        <v>A007390</v>
      </c>
    </row>
    <row r="324" spans="1:11" x14ac:dyDescent="0.4">
      <c r="A324" s="49"/>
      <c r="B324" s="54" t="s">
        <v>1321</v>
      </c>
      <c r="C324" s="37" t="s">
        <v>1322</v>
      </c>
      <c r="D324" s="55" t="s">
        <v>805</v>
      </c>
      <c r="E324" s="58">
        <v>129.09</v>
      </c>
      <c r="F324" s="57">
        <v>4.78</v>
      </c>
      <c r="G324" s="57"/>
      <c r="H324" s="49"/>
      <c r="I324" s="49" t="str">
        <f t="shared" si="28"/>
        <v/>
      </c>
      <c r="J324" s="37" t="str">
        <f t="shared" si="24"/>
        <v>에이프로젠</v>
      </c>
      <c r="K324" s="37" t="str">
        <f t="shared" si="25"/>
        <v>A007460</v>
      </c>
    </row>
    <row r="325" spans="1:11" x14ac:dyDescent="0.4">
      <c r="A325" s="49"/>
      <c r="B325" s="54" t="s">
        <v>1323</v>
      </c>
      <c r="C325" s="37" t="s">
        <v>1324</v>
      </c>
      <c r="D325" s="55" t="s">
        <v>820</v>
      </c>
      <c r="E325" s="58">
        <v>56.53</v>
      </c>
      <c r="F325" s="57">
        <v>7.0000000000000007E-2</v>
      </c>
      <c r="G325" s="57"/>
      <c r="H325" s="49"/>
      <c r="I325" s="49" t="str">
        <f t="shared" si="28"/>
        <v/>
      </c>
      <c r="J325" s="37" t="str">
        <f t="shared" si="24"/>
        <v>와이엠</v>
      </c>
      <c r="K325" s="37" t="str">
        <f t="shared" si="25"/>
        <v>A007530</v>
      </c>
    </row>
    <row r="326" spans="1:11" x14ac:dyDescent="0.4">
      <c r="A326" s="49"/>
      <c r="B326" s="54" t="s">
        <v>1325</v>
      </c>
      <c r="C326" s="37" t="s">
        <v>1326</v>
      </c>
      <c r="D326" s="55" t="s">
        <v>805</v>
      </c>
      <c r="E326" s="58">
        <v>186.93</v>
      </c>
      <c r="F326" s="57">
        <v>2.12</v>
      </c>
      <c r="G326" s="57"/>
      <c r="H326" s="49"/>
      <c r="I326" s="49" t="str">
        <f t="shared" si="28"/>
        <v/>
      </c>
      <c r="J326" s="37" t="str">
        <f t="shared" si="24"/>
        <v>샘표</v>
      </c>
      <c r="K326" s="37" t="str">
        <f t="shared" si="25"/>
        <v>A007540</v>
      </c>
    </row>
    <row r="327" spans="1:11" x14ac:dyDescent="0.4">
      <c r="A327" s="49"/>
      <c r="B327" s="54" t="s">
        <v>1327</v>
      </c>
      <c r="C327" s="37" t="s">
        <v>1328</v>
      </c>
      <c r="D327" s="55" t="s">
        <v>805</v>
      </c>
      <c r="E327" s="58">
        <v>249.07</v>
      </c>
      <c r="F327" s="57">
        <v>0.02</v>
      </c>
      <c r="G327" s="57"/>
      <c r="H327" s="49"/>
      <c r="I327" s="49" t="str">
        <f t="shared" si="28"/>
        <v/>
      </c>
      <c r="J327" s="37" t="str">
        <f t="shared" si="24"/>
        <v>일양약품</v>
      </c>
      <c r="K327" s="37" t="str">
        <f t="shared" si="25"/>
        <v>A007570</v>
      </c>
    </row>
    <row r="328" spans="1:11" x14ac:dyDescent="0.4">
      <c r="A328" s="49"/>
      <c r="B328" s="54" t="s">
        <v>1329</v>
      </c>
      <c r="C328" s="37" t="s">
        <v>1330</v>
      </c>
      <c r="D328" s="55" t="s">
        <v>805</v>
      </c>
      <c r="E328" s="56">
        <v>81.16</v>
      </c>
      <c r="F328" s="55">
        <v>0.06</v>
      </c>
      <c r="G328" s="55"/>
      <c r="I328" s="49" t="str">
        <f t="shared" si="28"/>
        <v/>
      </c>
      <c r="J328" s="37" t="str">
        <f t="shared" si="24"/>
        <v>동방아그로</v>
      </c>
      <c r="K328" s="37" t="str">
        <f t="shared" si="25"/>
        <v>A007590</v>
      </c>
    </row>
    <row r="329" spans="1:11" x14ac:dyDescent="0.4">
      <c r="A329" s="49"/>
      <c r="B329" s="54" t="s">
        <v>1331</v>
      </c>
      <c r="C329" s="37" t="s">
        <v>1332</v>
      </c>
      <c r="D329" s="55" t="s">
        <v>805</v>
      </c>
      <c r="E329" s="58">
        <v>54</v>
      </c>
      <c r="F329" s="57">
        <v>0</v>
      </c>
      <c r="G329" s="57"/>
      <c r="H329" s="49"/>
      <c r="I329" s="49" t="str">
        <f t="shared" si="28"/>
        <v/>
      </c>
      <c r="J329" s="37" t="str">
        <f t="shared" si="24"/>
        <v>선도전기</v>
      </c>
      <c r="K329" s="37" t="str">
        <f t="shared" si="25"/>
        <v>A007610</v>
      </c>
    </row>
    <row r="330" spans="1:11" x14ac:dyDescent="0.4">
      <c r="A330" s="49"/>
      <c r="B330" s="54" t="s">
        <v>347</v>
      </c>
      <c r="C330" s="37" t="s">
        <v>348</v>
      </c>
      <c r="D330" s="55" t="s">
        <v>805</v>
      </c>
      <c r="E330" s="58">
        <v>9367.02</v>
      </c>
      <c r="F330" s="57">
        <v>190.38</v>
      </c>
      <c r="G330" s="57">
        <v>8</v>
      </c>
      <c r="H330" s="49"/>
      <c r="I330" s="49">
        <f t="shared" si="28"/>
        <v>9367.0233000000007</v>
      </c>
      <c r="J330" s="37" t="str">
        <f t="shared" si="24"/>
        <v>이수페타시스</v>
      </c>
      <c r="K330" s="37" t="str">
        <f t="shared" si="25"/>
        <v>A007660</v>
      </c>
    </row>
    <row r="331" spans="1:11" x14ac:dyDescent="0.4">
      <c r="A331" s="49"/>
      <c r="B331" s="54" t="s">
        <v>1333</v>
      </c>
      <c r="C331" s="37" t="s">
        <v>1334</v>
      </c>
      <c r="D331" s="55" t="s">
        <v>820</v>
      </c>
      <c r="E331" s="58">
        <v>55.4</v>
      </c>
      <c r="F331" s="57">
        <v>7.0000000000000007E-2</v>
      </c>
      <c r="G331" s="57"/>
      <c r="H331" s="49"/>
      <c r="I331" s="49" t="str">
        <f t="shared" si="28"/>
        <v/>
      </c>
      <c r="J331" s="37" t="str">
        <f t="shared" si="24"/>
        <v>대원</v>
      </c>
      <c r="K331" s="37" t="str">
        <f t="shared" si="25"/>
        <v>A007680</v>
      </c>
    </row>
    <row r="332" spans="1:11" x14ac:dyDescent="0.4">
      <c r="A332" s="49"/>
      <c r="B332" s="54" t="s">
        <v>1335</v>
      </c>
      <c r="C332" s="37" t="s">
        <v>1336</v>
      </c>
      <c r="D332" s="55" t="s">
        <v>805</v>
      </c>
      <c r="E332" s="58">
        <v>368.12</v>
      </c>
      <c r="F332" s="57">
        <v>0.59</v>
      </c>
      <c r="G332" s="57">
        <v>1</v>
      </c>
      <c r="H332" s="49"/>
      <c r="I332" s="49">
        <f t="shared" si="28"/>
        <v>368.12331999999998</v>
      </c>
      <c r="J332" s="37" t="str">
        <f t="shared" si="24"/>
        <v>국도화학</v>
      </c>
      <c r="K332" s="37" t="str">
        <f t="shared" si="25"/>
        <v>A007690</v>
      </c>
    </row>
    <row r="333" spans="1:11" x14ac:dyDescent="0.4">
      <c r="A333" s="49"/>
      <c r="B333" s="54" t="s">
        <v>1337</v>
      </c>
      <c r="C333" s="37" t="s">
        <v>1338</v>
      </c>
      <c r="D333" s="55" t="s">
        <v>805</v>
      </c>
      <c r="E333" s="56">
        <v>839</v>
      </c>
      <c r="F333" s="55">
        <v>0.55000000000000004</v>
      </c>
      <c r="G333" s="55"/>
      <c r="J333" s="37" t="str">
        <f t="shared" si="24"/>
        <v>F&amp;F홀딩스</v>
      </c>
      <c r="K333" s="37" t="str">
        <f t="shared" si="25"/>
        <v>A007700</v>
      </c>
    </row>
    <row r="334" spans="1:11" x14ac:dyDescent="0.4">
      <c r="A334" s="49"/>
      <c r="B334" s="54" t="s">
        <v>1339</v>
      </c>
      <c r="C334" s="37" t="s">
        <v>1340</v>
      </c>
      <c r="D334" s="55" t="s">
        <v>820</v>
      </c>
      <c r="E334" s="56">
        <v>60.68</v>
      </c>
      <c r="F334" s="55">
        <v>0.22</v>
      </c>
      <c r="G334" s="55"/>
      <c r="I334" s="49" t="str">
        <f t="shared" ref="I334:I347" si="29">IF((G334&gt;$G$8),E334+ROW()/100000,"")</f>
        <v/>
      </c>
      <c r="J334" s="37" t="str">
        <f t="shared" ref="J334:J397" si="30">C334</f>
        <v>소노스퀘어</v>
      </c>
      <c r="K334" s="37" t="str">
        <f t="shared" ref="K334:K397" si="31">B334</f>
        <v>A007720</v>
      </c>
    </row>
    <row r="335" spans="1:11" x14ac:dyDescent="0.4">
      <c r="A335" s="49"/>
      <c r="B335" s="54" t="s">
        <v>1341</v>
      </c>
      <c r="C335" s="37" t="s">
        <v>1342</v>
      </c>
      <c r="D335" s="55" t="s">
        <v>820</v>
      </c>
      <c r="E335" s="58">
        <v>28.68</v>
      </c>
      <c r="F335" s="57">
        <v>0.03</v>
      </c>
      <c r="G335" s="57"/>
      <c r="H335" s="49"/>
      <c r="I335" s="49" t="str">
        <f t="shared" si="29"/>
        <v/>
      </c>
      <c r="J335" s="37" t="str">
        <f t="shared" si="30"/>
        <v>한일화학</v>
      </c>
      <c r="K335" s="37" t="str">
        <f t="shared" si="31"/>
        <v>A007770</v>
      </c>
    </row>
    <row r="336" spans="1:11" x14ac:dyDescent="0.4">
      <c r="A336" s="49"/>
      <c r="B336" s="54" t="s">
        <v>769</v>
      </c>
      <c r="C336" s="37" t="s">
        <v>770</v>
      </c>
      <c r="D336" s="55" t="s">
        <v>805</v>
      </c>
      <c r="E336" s="58">
        <v>1391.26</v>
      </c>
      <c r="F336" s="57">
        <v>25.77</v>
      </c>
      <c r="G336" s="57">
        <v>4</v>
      </c>
      <c r="H336" s="49"/>
      <c r="I336" s="49">
        <f t="shared" si="29"/>
        <v>1391.2633599999999</v>
      </c>
      <c r="J336" s="37" t="str">
        <f t="shared" si="30"/>
        <v>코리아써키트</v>
      </c>
      <c r="K336" s="37" t="str">
        <f t="shared" si="31"/>
        <v>A007810</v>
      </c>
    </row>
    <row r="337" spans="1:11" x14ac:dyDescent="0.4">
      <c r="A337" s="49"/>
      <c r="B337" s="54" t="s">
        <v>1343</v>
      </c>
      <c r="C337" s="37" t="s">
        <v>5187</v>
      </c>
      <c r="D337" s="55" t="s">
        <v>820</v>
      </c>
      <c r="E337" s="58">
        <v>115.2</v>
      </c>
      <c r="F337" s="57">
        <v>6.61</v>
      </c>
      <c r="G337" s="57">
        <v>1</v>
      </c>
      <c r="H337" s="49"/>
      <c r="I337" s="49">
        <f t="shared" si="29"/>
        <v>115.20337000000001</v>
      </c>
      <c r="J337" s="37" t="str">
        <f t="shared" si="30"/>
        <v>엠엑스로보틱스</v>
      </c>
      <c r="K337" s="37" t="str">
        <f t="shared" si="31"/>
        <v>A007820</v>
      </c>
    </row>
    <row r="338" spans="1:11" x14ac:dyDescent="0.4">
      <c r="A338" s="49"/>
      <c r="B338" s="54" t="s">
        <v>1344</v>
      </c>
      <c r="C338" s="37" t="s">
        <v>1345</v>
      </c>
      <c r="D338" s="55" t="s">
        <v>805</v>
      </c>
      <c r="E338" s="56">
        <v>266.73</v>
      </c>
      <c r="F338" s="55">
        <v>1.18</v>
      </c>
      <c r="G338" s="55"/>
      <c r="I338" s="49" t="str">
        <f t="shared" si="29"/>
        <v/>
      </c>
      <c r="J338" s="37" t="str">
        <f t="shared" si="30"/>
        <v>서연</v>
      </c>
      <c r="K338" s="37" t="str">
        <f t="shared" si="31"/>
        <v>A007860</v>
      </c>
    </row>
    <row r="339" spans="1:11" x14ac:dyDescent="0.4">
      <c r="A339" s="49"/>
      <c r="B339" s="54" t="s">
        <v>1346</v>
      </c>
      <c r="C339" s="37" t="s">
        <v>1347</v>
      </c>
      <c r="D339" s="55" t="s">
        <v>805</v>
      </c>
      <c r="E339" s="56">
        <v>102.09</v>
      </c>
      <c r="F339" s="55">
        <v>1.45</v>
      </c>
      <c r="G339" s="55"/>
      <c r="I339" s="49" t="str">
        <f t="shared" si="29"/>
        <v/>
      </c>
      <c r="J339" s="37" t="str">
        <f t="shared" si="30"/>
        <v>TP</v>
      </c>
      <c r="K339" s="37" t="str">
        <f t="shared" si="31"/>
        <v>A007980</v>
      </c>
    </row>
    <row r="340" spans="1:11" x14ac:dyDescent="0.4">
      <c r="A340" s="49"/>
      <c r="B340" s="54" t="s">
        <v>1348</v>
      </c>
      <c r="C340" s="37" t="s">
        <v>1349</v>
      </c>
      <c r="D340" s="55" t="s">
        <v>805</v>
      </c>
      <c r="E340" s="58">
        <v>148.91</v>
      </c>
      <c r="F340" s="57">
        <v>2.8</v>
      </c>
      <c r="G340" s="57"/>
      <c r="H340" s="49"/>
      <c r="I340" s="49" t="str">
        <f t="shared" si="29"/>
        <v/>
      </c>
      <c r="J340" s="37" t="str">
        <f t="shared" si="30"/>
        <v>사조동아원</v>
      </c>
      <c r="K340" s="37" t="str">
        <f t="shared" si="31"/>
        <v>A008040</v>
      </c>
    </row>
    <row r="341" spans="1:11" x14ac:dyDescent="0.4">
      <c r="A341" s="49"/>
      <c r="B341" s="54" t="s">
        <v>1350</v>
      </c>
      <c r="C341" s="37" t="s">
        <v>1351</v>
      </c>
      <c r="D341" s="55" t="s">
        <v>805</v>
      </c>
      <c r="E341" s="58">
        <v>419.22</v>
      </c>
      <c r="F341" s="57">
        <v>1.36</v>
      </c>
      <c r="G341" s="57"/>
      <c r="H341" s="49"/>
      <c r="I341" s="49" t="str">
        <f t="shared" si="29"/>
        <v/>
      </c>
      <c r="J341" s="37" t="str">
        <f t="shared" si="30"/>
        <v>대덕</v>
      </c>
      <c r="K341" s="37" t="str">
        <f t="shared" si="31"/>
        <v>A008060</v>
      </c>
    </row>
    <row r="342" spans="1:11" x14ac:dyDescent="0.4">
      <c r="A342" s="49"/>
      <c r="B342" s="54" t="s">
        <v>1352</v>
      </c>
      <c r="C342" s="37" t="s">
        <v>1353</v>
      </c>
      <c r="D342" s="55" t="s">
        <v>5159</v>
      </c>
      <c r="E342" s="58">
        <v>157.78</v>
      </c>
      <c r="F342" s="57">
        <v>0</v>
      </c>
      <c r="G342" s="57"/>
      <c r="H342" s="49"/>
      <c r="I342" s="49" t="str">
        <f t="shared" si="29"/>
        <v/>
      </c>
      <c r="J342" s="37" t="str">
        <f t="shared" si="30"/>
        <v>대동전자</v>
      </c>
      <c r="K342" s="37" t="str">
        <f t="shared" si="31"/>
        <v>A008110</v>
      </c>
    </row>
    <row r="343" spans="1:11" x14ac:dyDescent="0.4">
      <c r="A343" s="49"/>
      <c r="B343" s="54" t="s">
        <v>1354</v>
      </c>
      <c r="C343" s="37" t="s">
        <v>1355</v>
      </c>
      <c r="D343" s="55" t="s">
        <v>805</v>
      </c>
      <c r="E343" s="56">
        <v>45.51</v>
      </c>
      <c r="F343" s="55">
        <v>0.41</v>
      </c>
      <c r="G343" s="55"/>
      <c r="I343" s="49" t="str">
        <f t="shared" si="29"/>
        <v/>
      </c>
      <c r="J343" s="37" t="str">
        <f t="shared" si="30"/>
        <v>이건산업</v>
      </c>
      <c r="K343" s="37" t="str">
        <f t="shared" si="31"/>
        <v>A008250</v>
      </c>
    </row>
    <row r="344" spans="1:11" x14ac:dyDescent="0.4">
      <c r="A344" s="49"/>
      <c r="B344" s="54" t="s">
        <v>1356</v>
      </c>
      <c r="C344" s="37" t="s">
        <v>1357</v>
      </c>
      <c r="D344" s="55" t="s">
        <v>805</v>
      </c>
      <c r="E344" s="58">
        <v>105.82</v>
      </c>
      <c r="F344" s="57">
        <v>0.33</v>
      </c>
      <c r="G344" s="57"/>
      <c r="H344" s="49"/>
      <c r="I344" s="49" t="str">
        <f t="shared" si="29"/>
        <v/>
      </c>
      <c r="J344" s="37" t="str">
        <f t="shared" si="30"/>
        <v>NI스틸</v>
      </c>
      <c r="K344" s="37" t="str">
        <f t="shared" si="31"/>
        <v>A008260</v>
      </c>
    </row>
    <row r="345" spans="1:11" x14ac:dyDescent="0.4">
      <c r="A345" s="49"/>
      <c r="B345" s="54" t="s">
        <v>1358</v>
      </c>
      <c r="C345" s="37" t="s">
        <v>1359</v>
      </c>
      <c r="D345" s="55" t="s">
        <v>820</v>
      </c>
      <c r="E345" s="56">
        <v>15.46</v>
      </c>
      <c r="F345" s="55">
        <v>0.26</v>
      </c>
      <c r="G345" s="55"/>
      <c r="I345" s="49" t="str">
        <f t="shared" si="29"/>
        <v/>
      </c>
      <c r="J345" s="37" t="str">
        <f t="shared" si="30"/>
        <v>원풍물산</v>
      </c>
      <c r="K345" s="37" t="str">
        <f t="shared" si="31"/>
        <v>A008290</v>
      </c>
    </row>
    <row r="346" spans="1:11" x14ac:dyDescent="0.4">
      <c r="A346" s="49"/>
      <c r="B346" s="54" t="s">
        <v>1360</v>
      </c>
      <c r="C346" s="37" t="s">
        <v>1361</v>
      </c>
      <c r="D346" s="55" t="s">
        <v>805</v>
      </c>
      <c r="E346" s="58">
        <v>150.38</v>
      </c>
      <c r="F346" s="57">
        <v>5.37</v>
      </c>
      <c r="G346" s="57"/>
      <c r="H346" s="49"/>
      <c r="I346" s="49" t="str">
        <f t="shared" si="29"/>
        <v/>
      </c>
      <c r="J346" s="37" t="str">
        <f t="shared" si="30"/>
        <v>남선알미늄</v>
      </c>
      <c r="K346" s="37" t="str">
        <f t="shared" si="31"/>
        <v>A008350</v>
      </c>
    </row>
    <row r="347" spans="1:11" x14ac:dyDescent="0.4">
      <c r="A347" s="49"/>
      <c r="B347" s="54" t="s">
        <v>1362</v>
      </c>
      <c r="C347" s="37" t="s">
        <v>1363</v>
      </c>
      <c r="D347" s="55" t="s">
        <v>820</v>
      </c>
      <c r="E347" s="56">
        <v>59.1</v>
      </c>
      <c r="F347" s="55">
        <v>0.06</v>
      </c>
      <c r="G347" s="55"/>
      <c r="I347" s="49" t="str">
        <f t="shared" si="29"/>
        <v/>
      </c>
      <c r="J347" s="37" t="str">
        <f t="shared" si="30"/>
        <v>원풍</v>
      </c>
      <c r="K347" s="37" t="str">
        <f t="shared" si="31"/>
        <v>A008370</v>
      </c>
    </row>
    <row r="348" spans="1:11" x14ac:dyDescent="0.4">
      <c r="B348" s="54" t="s">
        <v>1364</v>
      </c>
      <c r="C348" s="37" t="s">
        <v>1365</v>
      </c>
      <c r="D348" s="55" t="s">
        <v>805</v>
      </c>
      <c r="E348" s="56">
        <v>44.39</v>
      </c>
      <c r="F348" s="55">
        <v>0.66</v>
      </c>
      <c r="G348" s="55"/>
      <c r="J348" s="37" t="str">
        <f t="shared" si="30"/>
        <v>문배철강</v>
      </c>
      <c r="K348" s="37" t="str">
        <f t="shared" si="31"/>
        <v>A008420</v>
      </c>
    </row>
    <row r="349" spans="1:11" x14ac:dyDescent="0.4">
      <c r="A349" s="49"/>
      <c r="B349" s="54" t="s">
        <v>1366</v>
      </c>
      <c r="C349" s="37" t="s">
        <v>1367</v>
      </c>
      <c r="D349" s="55" t="s">
        <v>820</v>
      </c>
      <c r="E349" s="58">
        <v>30.55</v>
      </c>
      <c r="F349" s="57">
        <v>0.03</v>
      </c>
      <c r="G349" s="57"/>
      <c r="H349" s="49"/>
      <c r="I349" s="49" t="str">
        <f>IF((G349&gt;$G$8),E349+ROW()/100000,"")</f>
        <v/>
      </c>
      <c r="J349" s="37" t="str">
        <f t="shared" si="30"/>
        <v>부스타</v>
      </c>
      <c r="K349" s="37" t="str">
        <f t="shared" si="31"/>
        <v>A008470</v>
      </c>
    </row>
    <row r="350" spans="1:11" x14ac:dyDescent="0.4">
      <c r="A350" s="49"/>
      <c r="B350" s="54" t="s">
        <v>1368</v>
      </c>
      <c r="C350" s="37" t="s">
        <v>1369</v>
      </c>
      <c r="D350" s="55" t="s">
        <v>805</v>
      </c>
      <c r="E350" s="56">
        <v>258.57</v>
      </c>
      <c r="F350" s="55">
        <v>1.66</v>
      </c>
      <c r="G350" s="55"/>
      <c r="I350" s="49" t="str">
        <f>IF((G350&gt;$G$8),E350+ROW()/100000,"")</f>
        <v/>
      </c>
      <c r="J350" s="37" t="str">
        <f t="shared" si="30"/>
        <v>서흥</v>
      </c>
      <c r="K350" s="37" t="str">
        <f t="shared" si="31"/>
        <v>A008490</v>
      </c>
    </row>
    <row r="351" spans="1:11" x14ac:dyDescent="0.4">
      <c r="A351" s="49"/>
      <c r="B351" s="54" t="s">
        <v>1370</v>
      </c>
      <c r="C351" s="37" t="s">
        <v>1371</v>
      </c>
      <c r="D351" s="55" t="s">
        <v>805</v>
      </c>
      <c r="E351" s="56">
        <v>16.71</v>
      </c>
      <c r="F351" s="55">
        <v>1.46</v>
      </c>
      <c r="G351" s="55"/>
      <c r="I351" s="49" t="str">
        <f>IF((G351&gt;$G$8),E351+ROW()/100000,"")</f>
        <v/>
      </c>
      <c r="J351" s="37" t="str">
        <f t="shared" si="30"/>
        <v>일정실업</v>
      </c>
      <c r="K351" s="37" t="str">
        <f t="shared" si="31"/>
        <v>A008500</v>
      </c>
    </row>
    <row r="352" spans="1:11" x14ac:dyDescent="0.4">
      <c r="A352" s="49"/>
      <c r="B352" s="54" t="s">
        <v>1372</v>
      </c>
      <c r="C352" s="37" t="s">
        <v>1373</v>
      </c>
      <c r="D352" s="55" t="s">
        <v>805</v>
      </c>
      <c r="E352" s="56">
        <v>18.149999999999999</v>
      </c>
      <c r="F352" s="55">
        <v>0.43</v>
      </c>
      <c r="G352" s="55"/>
      <c r="J352" s="37" t="str">
        <f t="shared" si="30"/>
        <v>윌비스</v>
      </c>
      <c r="K352" s="37" t="str">
        <f t="shared" si="31"/>
        <v>A008600</v>
      </c>
    </row>
    <row r="353" spans="1:11" x14ac:dyDescent="0.4">
      <c r="A353" s="49"/>
      <c r="B353" s="54" t="s">
        <v>1374</v>
      </c>
      <c r="C353" s="37" t="s">
        <v>1375</v>
      </c>
      <c r="D353" s="55" t="s">
        <v>805</v>
      </c>
      <c r="E353" s="58">
        <v>97.56</v>
      </c>
      <c r="F353" s="57">
        <v>0.78</v>
      </c>
      <c r="G353" s="57"/>
      <c r="H353" s="49"/>
      <c r="I353" s="49" t="str">
        <f t="shared" ref="I353:I374" si="32">IF((G353&gt;$G$8),E353+ROW()/100000,"")</f>
        <v/>
      </c>
      <c r="J353" s="37" t="str">
        <f t="shared" si="30"/>
        <v>아남전자</v>
      </c>
      <c r="K353" s="37" t="str">
        <f t="shared" si="31"/>
        <v>A008700</v>
      </c>
    </row>
    <row r="354" spans="1:11" x14ac:dyDescent="0.4">
      <c r="A354" s="49"/>
      <c r="B354" s="54" t="s">
        <v>1376</v>
      </c>
      <c r="C354" s="37" t="s">
        <v>1377</v>
      </c>
      <c r="D354" s="55" t="s">
        <v>805</v>
      </c>
      <c r="E354" s="58">
        <v>654.72</v>
      </c>
      <c r="F354" s="57">
        <v>3.22</v>
      </c>
      <c r="G354" s="57"/>
      <c r="H354" s="49"/>
      <c r="I354" s="49" t="str">
        <f t="shared" si="32"/>
        <v/>
      </c>
      <c r="J354" s="37" t="str">
        <f t="shared" si="30"/>
        <v>율촌화학</v>
      </c>
      <c r="K354" s="37" t="str">
        <f t="shared" si="31"/>
        <v>A008730</v>
      </c>
    </row>
    <row r="355" spans="1:11" x14ac:dyDescent="0.4">
      <c r="A355" s="49"/>
      <c r="B355" s="54" t="s">
        <v>283</v>
      </c>
      <c r="C355" s="37" t="s">
        <v>284</v>
      </c>
      <c r="D355" s="55" t="s">
        <v>805</v>
      </c>
      <c r="E355" s="56">
        <v>1881.95</v>
      </c>
      <c r="F355" s="55">
        <v>13.02</v>
      </c>
      <c r="G355" s="55">
        <v>12</v>
      </c>
      <c r="I355" s="49">
        <f t="shared" si="32"/>
        <v>1881.95355</v>
      </c>
      <c r="J355" s="37" t="str">
        <f t="shared" si="30"/>
        <v>호텔신라</v>
      </c>
      <c r="K355" s="37" t="str">
        <f t="shared" si="31"/>
        <v>A008770</v>
      </c>
    </row>
    <row r="356" spans="1:11" x14ac:dyDescent="0.4">
      <c r="A356" s="49"/>
      <c r="B356" s="54" t="s">
        <v>1378</v>
      </c>
      <c r="C356" s="37" t="s">
        <v>1379</v>
      </c>
      <c r="D356" s="55" t="s">
        <v>820</v>
      </c>
      <c r="E356" s="59">
        <v>220.64</v>
      </c>
      <c r="F356" s="57">
        <v>15.82</v>
      </c>
      <c r="G356" s="57"/>
      <c r="H356" s="49"/>
      <c r="I356" s="49" t="str">
        <f t="shared" si="32"/>
        <v/>
      </c>
      <c r="J356" s="37" t="str">
        <f t="shared" si="30"/>
        <v>대동기어</v>
      </c>
      <c r="K356" s="37" t="str">
        <f t="shared" si="31"/>
        <v>A008830</v>
      </c>
    </row>
    <row r="357" spans="1:11" x14ac:dyDescent="0.4">
      <c r="A357" s="49"/>
      <c r="B357" s="54" t="s">
        <v>1380</v>
      </c>
      <c r="C357" s="37" t="s">
        <v>1381</v>
      </c>
      <c r="D357" s="55" t="s">
        <v>805</v>
      </c>
      <c r="E357" s="58">
        <v>47.8</v>
      </c>
      <c r="F357" s="57">
        <v>0.21</v>
      </c>
      <c r="G357" s="57"/>
      <c r="H357" s="49"/>
      <c r="I357" s="49" t="str">
        <f t="shared" si="32"/>
        <v/>
      </c>
      <c r="J357" s="37" t="str">
        <f t="shared" si="30"/>
        <v>금비</v>
      </c>
      <c r="K357" s="37" t="str">
        <f t="shared" si="31"/>
        <v>A008870</v>
      </c>
    </row>
    <row r="358" spans="1:11" x14ac:dyDescent="0.4">
      <c r="A358" s="49"/>
      <c r="B358" s="54" t="s">
        <v>1382</v>
      </c>
      <c r="C358" s="37" t="s">
        <v>1383</v>
      </c>
      <c r="D358" s="55" t="s">
        <v>805</v>
      </c>
      <c r="E358" s="58">
        <v>2981.87</v>
      </c>
      <c r="F358" s="57">
        <v>9.64</v>
      </c>
      <c r="G358" s="57"/>
      <c r="H358" s="49"/>
      <c r="I358" s="49" t="str">
        <f t="shared" si="32"/>
        <v/>
      </c>
      <c r="J358" s="37" t="str">
        <f t="shared" si="30"/>
        <v>한미사이언스</v>
      </c>
      <c r="K358" s="37" t="str">
        <f t="shared" si="31"/>
        <v>A008930</v>
      </c>
    </row>
    <row r="359" spans="1:11" x14ac:dyDescent="0.4">
      <c r="A359" s="49"/>
      <c r="B359" s="54" t="s">
        <v>1384</v>
      </c>
      <c r="C359" s="37" t="s">
        <v>1385</v>
      </c>
      <c r="D359" s="55" t="s">
        <v>805</v>
      </c>
      <c r="E359" s="58">
        <v>176.51</v>
      </c>
      <c r="F359" s="57">
        <v>5.68</v>
      </c>
      <c r="G359" s="57"/>
      <c r="H359" s="49"/>
      <c r="I359" s="49" t="str">
        <f t="shared" si="32"/>
        <v/>
      </c>
      <c r="J359" s="37" t="str">
        <f t="shared" si="30"/>
        <v>KBI동양철관</v>
      </c>
      <c r="K359" s="37" t="str">
        <f t="shared" si="31"/>
        <v>A008970</v>
      </c>
    </row>
    <row r="360" spans="1:11" x14ac:dyDescent="0.4">
      <c r="A360" s="49"/>
      <c r="B360" s="54" t="s">
        <v>1386</v>
      </c>
      <c r="C360" s="37" t="s">
        <v>1387</v>
      </c>
      <c r="D360" s="55" t="s">
        <v>805</v>
      </c>
      <c r="E360" s="56">
        <v>217.8</v>
      </c>
      <c r="F360" s="55">
        <v>8.6</v>
      </c>
      <c r="G360" s="55"/>
      <c r="I360" s="49" t="str">
        <f t="shared" si="32"/>
        <v/>
      </c>
      <c r="J360" s="37" t="str">
        <f t="shared" si="30"/>
        <v>KCTC</v>
      </c>
      <c r="K360" s="37" t="str">
        <f t="shared" si="31"/>
        <v>A009070</v>
      </c>
    </row>
    <row r="361" spans="1:11" x14ac:dyDescent="0.4">
      <c r="A361" s="49"/>
      <c r="B361" s="54" t="s">
        <v>1388</v>
      </c>
      <c r="C361" s="37" t="s">
        <v>1389</v>
      </c>
      <c r="D361" s="55" t="s">
        <v>805</v>
      </c>
      <c r="E361" s="56">
        <v>34.24</v>
      </c>
      <c r="F361" s="55">
        <v>0.11</v>
      </c>
      <c r="G361" s="55"/>
      <c r="I361" s="49" t="str">
        <f t="shared" si="32"/>
        <v/>
      </c>
      <c r="J361" s="37" t="str">
        <f t="shared" si="30"/>
        <v>경인전자</v>
      </c>
      <c r="K361" s="37" t="str">
        <f t="shared" si="31"/>
        <v>A009140</v>
      </c>
    </row>
    <row r="362" spans="1:11" x14ac:dyDescent="0.4">
      <c r="A362" s="49"/>
      <c r="B362" s="54" t="s">
        <v>453</v>
      </c>
      <c r="C362" s="37" t="s">
        <v>454</v>
      </c>
      <c r="D362" s="55" t="s">
        <v>805</v>
      </c>
      <c r="E362" s="58">
        <v>33500.120000000003</v>
      </c>
      <c r="F362" s="57">
        <v>166.68</v>
      </c>
      <c r="G362" s="57">
        <v>21</v>
      </c>
      <c r="H362" s="49"/>
      <c r="I362" s="49">
        <f t="shared" si="32"/>
        <v>33500.123620000006</v>
      </c>
      <c r="J362" s="37" t="str">
        <f t="shared" si="30"/>
        <v>삼성전기</v>
      </c>
      <c r="K362" s="37" t="str">
        <f t="shared" si="31"/>
        <v>A009150</v>
      </c>
    </row>
    <row r="363" spans="1:11" x14ac:dyDescent="0.4">
      <c r="A363" s="49"/>
      <c r="B363" s="54" t="s">
        <v>1390</v>
      </c>
      <c r="C363" s="37" t="s">
        <v>1391</v>
      </c>
      <c r="D363" s="55" t="s">
        <v>805</v>
      </c>
      <c r="E363" s="58">
        <v>340.58</v>
      </c>
      <c r="F363" s="57">
        <v>0.56999999999999995</v>
      </c>
      <c r="G363" s="57"/>
      <c r="H363" s="49"/>
      <c r="I363" s="49" t="str">
        <f t="shared" si="32"/>
        <v/>
      </c>
      <c r="J363" s="37" t="str">
        <f t="shared" si="30"/>
        <v>SIMPAC</v>
      </c>
      <c r="K363" s="37" t="str">
        <f t="shared" si="31"/>
        <v>A009160</v>
      </c>
    </row>
    <row r="364" spans="1:11" x14ac:dyDescent="0.4">
      <c r="A364" s="49"/>
      <c r="B364" s="54" t="s">
        <v>1392</v>
      </c>
      <c r="C364" s="37" t="s">
        <v>1393</v>
      </c>
      <c r="D364" s="55" t="s">
        <v>805</v>
      </c>
      <c r="E364" s="58">
        <v>81.23</v>
      </c>
      <c r="F364" s="57">
        <v>0.33</v>
      </c>
      <c r="G364" s="57">
        <v>1</v>
      </c>
      <c r="H364" s="49"/>
      <c r="I364" s="49">
        <f t="shared" si="32"/>
        <v>81.233640000000008</v>
      </c>
      <c r="J364" s="37" t="str">
        <f t="shared" si="30"/>
        <v>한솔로지스틱스</v>
      </c>
      <c r="K364" s="37" t="str">
        <f t="shared" si="31"/>
        <v>A009180</v>
      </c>
    </row>
    <row r="365" spans="1:11" x14ac:dyDescent="0.4">
      <c r="A365" s="49"/>
      <c r="B365" s="54" t="s">
        <v>1394</v>
      </c>
      <c r="C365" s="37" t="s">
        <v>1395</v>
      </c>
      <c r="D365" s="55" t="s">
        <v>805</v>
      </c>
      <c r="E365" s="58">
        <v>51.83</v>
      </c>
      <c r="F365" s="57">
        <v>0.31</v>
      </c>
      <c r="G365" s="57"/>
      <c r="H365" s="49"/>
      <c r="I365" s="49" t="str">
        <f t="shared" si="32"/>
        <v/>
      </c>
      <c r="J365" s="37" t="str">
        <f t="shared" si="30"/>
        <v>대양금속</v>
      </c>
      <c r="K365" s="37" t="str">
        <f t="shared" si="31"/>
        <v>A009190</v>
      </c>
    </row>
    <row r="366" spans="1:11" x14ac:dyDescent="0.4">
      <c r="A366" s="49"/>
      <c r="B366" s="54" t="s">
        <v>1396</v>
      </c>
      <c r="C366" s="37" t="s">
        <v>1397</v>
      </c>
      <c r="D366" s="55" t="s">
        <v>805</v>
      </c>
      <c r="E366" s="58">
        <v>87.38</v>
      </c>
      <c r="F366" s="57">
        <v>0.28999999999999998</v>
      </c>
      <c r="G366" s="57"/>
      <c r="H366" s="49"/>
      <c r="I366" s="49" t="str">
        <f t="shared" si="32"/>
        <v/>
      </c>
      <c r="J366" s="37" t="str">
        <f t="shared" si="30"/>
        <v>무림페이퍼</v>
      </c>
      <c r="K366" s="37" t="str">
        <f t="shared" si="31"/>
        <v>A009200</v>
      </c>
    </row>
    <row r="367" spans="1:11" x14ac:dyDescent="0.4">
      <c r="A367" s="49"/>
      <c r="B367" s="54" t="s">
        <v>1398</v>
      </c>
      <c r="C367" s="37" t="s">
        <v>1399</v>
      </c>
      <c r="D367" s="55" t="s">
        <v>805</v>
      </c>
      <c r="E367" s="56">
        <v>1168.46</v>
      </c>
      <c r="F367" s="55">
        <v>2.2799999999999998</v>
      </c>
      <c r="G367" s="55">
        <v>4</v>
      </c>
      <c r="I367" s="49">
        <f t="shared" si="32"/>
        <v>1168.4636700000001</v>
      </c>
      <c r="J367" s="37" t="str">
        <f t="shared" si="30"/>
        <v>한샘</v>
      </c>
      <c r="K367" s="37" t="str">
        <f t="shared" si="31"/>
        <v>A009240</v>
      </c>
    </row>
    <row r="368" spans="1:11" x14ac:dyDescent="0.4">
      <c r="A368" s="49"/>
      <c r="B368" s="54" t="s">
        <v>1400</v>
      </c>
      <c r="C368" s="37" t="s">
        <v>1401</v>
      </c>
      <c r="D368" s="55" t="s">
        <v>805</v>
      </c>
      <c r="E368" s="58">
        <v>172.27</v>
      </c>
      <c r="F368" s="57">
        <v>1.95</v>
      </c>
      <c r="G368" s="57"/>
      <c r="H368" s="49"/>
      <c r="I368" s="49" t="str">
        <f t="shared" si="32"/>
        <v/>
      </c>
      <c r="J368" s="37" t="str">
        <f t="shared" si="30"/>
        <v>신원</v>
      </c>
      <c r="K368" s="37" t="str">
        <f t="shared" si="31"/>
        <v>A009270</v>
      </c>
    </row>
    <row r="369" spans="1:11" x14ac:dyDescent="0.4">
      <c r="A369" s="49"/>
      <c r="B369" s="54" t="s">
        <v>1402</v>
      </c>
      <c r="C369" s="37" t="s">
        <v>1403</v>
      </c>
      <c r="D369" s="55" t="s">
        <v>805</v>
      </c>
      <c r="E369" s="56">
        <v>475.09</v>
      </c>
      <c r="F369" s="55">
        <v>6.09</v>
      </c>
      <c r="G369" s="55"/>
      <c r="I369" s="49" t="str">
        <f t="shared" si="32"/>
        <v/>
      </c>
      <c r="J369" s="37" t="str">
        <f t="shared" si="30"/>
        <v>광동제약</v>
      </c>
      <c r="K369" s="37" t="str">
        <f t="shared" si="31"/>
        <v>A009290</v>
      </c>
    </row>
    <row r="370" spans="1:11" x14ac:dyDescent="0.4">
      <c r="A370" s="49"/>
      <c r="B370" s="54" t="s">
        <v>1404</v>
      </c>
      <c r="C370" s="37" t="s">
        <v>1405</v>
      </c>
      <c r="D370" s="55" t="s">
        <v>820</v>
      </c>
      <c r="E370" s="58">
        <v>104.15</v>
      </c>
      <c r="F370" s="57">
        <v>0.15</v>
      </c>
      <c r="G370" s="57"/>
      <c r="H370" s="49"/>
      <c r="I370" s="49" t="str">
        <f t="shared" si="32"/>
        <v/>
      </c>
      <c r="J370" s="37" t="str">
        <f t="shared" si="30"/>
        <v>삼아제약</v>
      </c>
      <c r="K370" s="37" t="str">
        <f t="shared" si="31"/>
        <v>A009300</v>
      </c>
    </row>
    <row r="371" spans="1:11" x14ac:dyDescent="0.4">
      <c r="A371" s="49"/>
      <c r="B371" s="54" t="s">
        <v>1406</v>
      </c>
      <c r="C371" s="37" t="s">
        <v>1407</v>
      </c>
      <c r="D371" s="55" t="s">
        <v>805</v>
      </c>
      <c r="E371" s="58">
        <v>34.58</v>
      </c>
      <c r="F371" s="57">
        <v>0.7</v>
      </c>
      <c r="G371" s="57"/>
      <c r="H371" s="49"/>
      <c r="I371" s="49" t="str">
        <f t="shared" si="32"/>
        <v/>
      </c>
      <c r="J371" s="37" t="str">
        <f t="shared" si="30"/>
        <v>참엔지니어링</v>
      </c>
      <c r="K371" s="37" t="str">
        <f t="shared" si="31"/>
        <v>A009310</v>
      </c>
    </row>
    <row r="372" spans="1:11" x14ac:dyDescent="0.4">
      <c r="A372" s="49"/>
      <c r="B372" s="54" t="s">
        <v>1408</v>
      </c>
      <c r="C372" s="37" t="s">
        <v>1409</v>
      </c>
      <c r="D372" s="55" t="s">
        <v>805</v>
      </c>
      <c r="E372" s="56">
        <v>53.74</v>
      </c>
      <c r="F372" s="55">
        <v>0.32</v>
      </c>
      <c r="G372" s="55"/>
      <c r="I372" s="49" t="str">
        <f t="shared" si="32"/>
        <v/>
      </c>
      <c r="J372" s="37" t="str">
        <f t="shared" si="30"/>
        <v>아진전자부품</v>
      </c>
      <c r="K372" s="37" t="str">
        <f t="shared" si="31"/>
        <v>A009320</v>
      </c>
    </row>
    <row r="373" spans="1:11" x14ac:dyDescent="0.4">
      <c r="A373" s="49"/>
      <c r="B373" s="54" t="s">
        <v>1410</v>
      </c>
      <c r="C373" s="37" t="s">
        <v>1411</v>
      </c>
      <c r="D373" s="55" t="s">
        <v>805</v>
      </c>
      <c r="E373" s="58">
        <v>556.20000000000005</v>
      </c>
      <c r="F373" s="57">
        <v>1.17</v>
      </c>
      <c r="G373" s="57"/>
      <c r="H373" s="49"/>
      <c r="I373" s="49" t="str">
        <f t="shared" si="32"/>
        <v/>
      </c>
      <c r="J373" s="37" t="str">
        <f t="shared" si="30"/>
        <v>태영건설</v>
      </c>
      <c r="K373" s="37" t="str">
        <f t="shared" si="31"/>
        <v>A009410</v>
      </c>
    </row>
    <row r="374" spans="1:11" x14ac:dyDescent="0.4">
      <c r="A374" s="49"/>
      <c r="B374" s="54" t="s">
        <v>647</v>
      </c>
      <c r="C374" s="37" t="s">
        <v>648</v>
      </c>
      <c r="D374" s="55" t="s">
        <v>805</v>
      </c>
      <c r="E374" s="58">
        <v>3223.25</v>
      </c>
      <c r="F374" s="57">
        <v>32.869999999999997</v>
      </c>
      <c r="G374" s="57">
        <v>4</v>
      </c>
      <c r="H374" s="49"/>
      <c r="I374" s="49">
        <f t="shared" si="32"/>
        <v>3223.2537400000001</v>
      </c>
      <c r="J374" s="37" t="str">
        <f t="shared" si="30"/>
        <v>한올바이오파마</v>
      </c>
      <c r="K374" s="37" t="str">
        <f t="shared" si="31"/>
        <v>A009420</v>
      </c>
    </row>
    <row r="375" spans="1:11" x14ac:dyDescent="0.4">
      <c r="B375" s="54" t="s">
        <v>1412</v>
      </c>
      <c r="C375" s="37" t="s">
        <v>1413</v>
      </c>
      <c r="D375" s="55" t="s">
        <v>805</v>
      </c>
      <c r="E375" s="56">
        <v>17.57</v>
      </c>
      <c r="F375" s="55">
        <v>0</v>
      </c>
      <c r="G375" s="55"/>
      <c r="J375" s="37" t="str">
        <f t="shared" si="30"/>
        <v>KC그린홀딩스</v>
      </c>
      <c r="K375" s="37" t="str">
        <f t="shared" si="31"/>
        <v>A009440</v>
      </c>
    </row>
    <row r="376" spans="1:11" x14ac:dyDescent="0.4">
      <c r="B376" s="54" t="s">
        <v>1414</v>
      </c>
      <c r="C376" s="37" t="s">
        <v>1415</v>
      </c>
      <c r="D376" s="55" t="s">
        <v>805</v>
      </c>
      <c r="E376" s="56">
        <v>936.76</v>
      </c>
      <c r="F376" s="55">
        <v>3.94</v>
      </c>
      <c r="G376" s="55">
        <v>2</v>
      </c>
      <c r="J376" s="37" t="str">
        <f t="shared" si="30"/>
        <v>경동나비엔</v>
      </c>
      <c r="K376" s="37" t="str">
        <f t="shared" si="31"/>
        <v>A009450</v>
      </c>
    </row>
    <row r="377" spans="1:11" x14ac:dyDescent="0.4">
      <c r="A377" s="49"/>
      <c r="B377" s="54" t="s">
        <v>1416</v>
      </c>
      <c r="C377" s="37" t="s">
        <v>1417</v>
      </c>
      <c r="D377" s="55" t="s">
        <v>805</v>
      </c>
      <c r="E377" s="58">
        <v>31.5</v>
      </c>
      <c r="F377" s="57">
        <v>0.11</v>
      </c>
      <c r="G377" s="57"/>
      <c r="H377" s="49"/>
      <c r="I377" s="49" t="str">
        <f t="shared" ref="I377:I393" si="33">IF((G377&gt;$G$8),E377+ROW()/100000,"")</f>
        <v/>
      </c>
      <c r="J377" s="37" t="str">
        <f t="shared" si="30"/>
        <v>한창제지</v>
      </c>
      <c r="K377" s="37" t="str">
        <f t="shared" si="31"/>
        <v>A009460</v>
      </c>
    </row>
    <row r="378" spans="1:11" x14ac:dyDescent="0.4">
      <c r="A378" s="49"/>
      <c r="B378" s="54" t="s">
        <v>1418</v>
      </c>
      <c r="C378" s="37" t="s">
        <v>1419</v>
      </c>
      <c r="D378" s="55" t="s">
        <v>805</v>
      </c>
      <c r="E378" s="58">
        <v>296.95999999999998</v>
      </c>
      <c r="F378" s="57">
        <v>8.48</v>
      </c>
      <c r="G378" s="57"/>
      <c r="H378" s="49"/>
      <c r="I378" s="49" t="str">
        <f t="shared" si="33"/>
        <v/>
      </c>
      <c r="J378" s="37" t="str">
        <f t="shared" si="30"/>
        <v>삼화전기</v>
      </c>
      <c r="K378" s="37" t="str">
        <f t="shared" si="31"/>
        <v>A009470</v>
      </c>
    </row>
    <row r="379" spans="1:11" x14ac:dyDescent="0.4">
      <c r="A379" s="49"/>
      <c r="B379" s="54" t="s">
        <v>1420</v>
      </c>
      <c r="C379" s="37" t="s">
        <v>1421</v>
      </c>
      <c r="D379" s="55" t="s">
        <v>820</v>
      </c>
      <c r="E379" s="58">
        <v>826.61</v>
      </c>
      <c r="F379" s="57">
        <v>12.76</v>
      </c>
      <c r="G379" s="57"/>
      <c r="H379" s="49"/>
      <c r="I379" s="49" t="str">
        <f t="shared" si="33"/>
        <v/>
      </c>
      <c r="J379" s="37" t="str">
        <f t="shared" si="30"/>
        <v>포스코엠텍</v>
      </c>
      <c r="K379" s="37" t="str">
        <f t="shared" si="31"/>
        <v>A009520</v>
      </c>
    </row>
    <row r="380" spans="1:11" x14ac:dyDescent="0.4">
      <c r="A380" s="49"/>
      <c r="B380" s="54" t="s">
        <v>289</v>
      </c>
      <c r="C380" s="37" t="s">
        <v>290</v>
      </c>
      <c r="D380" s="55" t="s">
        <v>805</v>
      </c>
      <c r="E380" s="58">
        <v>31847.9</v>
      </c>
      <c r="F380" s="57">
        <v>100.92</v>
      </c>
      <c r="G380" s="57">
        <v>8</v>
      </c>
      <c r="H380" s="49"/>
      <c r="I380" s="49">
        <f t="shared" si="33"/>
        <v>31847.9038</v>
      </c>
      <c r="J380" s="37" t="str">
        <f t="shared" si="30"/>
        <v>HD한국조선해양</v>
      </c>
      <c r="K380" s="37" t="str">
        <f t="shared" si="31"/>
        <v>A009540</v>
      </c>
    </row>
    <row r="381" spans="1:11" x14ac:dyDescent="0.4">
      <c r="A381" s="49"/>
      <c r="B381" s="54" t="s">
        <v>1422</v>
      </c>
      <c r="C381" s="37" t="s">
        <v>1423</v>
      </c>
      <c r="D381" s="55" t="s">
        <v>805</v>
      </c>
      <c r="E381" s="58">
        <v>157.16999999999999</v>
      </c>
      <c r="F381" s="57">
        <v>0.16</v>
      </c>
      <c r="G381" s="57"/>
      <c r="H381" s="49"/>
      <c r="I381" s="49" t="str">
        <f t="shared" si="33"/>
        <v/>
      </c>
      <c r="J381" s="37" t="str">
        <f t="shared" si="30"/>
        <v>무림P&amp;P</v>
      </c>
      <c r="K381" s="37" t="str">
        <f t="shared" si="31"/>
        <v>A009580</v>
      </c>
    </row>
    <row r="382" spans="1:11" x14ac:dyDescent="0.4">
      <c r="A382" s="49"/>
      <c r="B382" s="54" t="s">
        <v>1424</v>
      </c>
      <c r="C382" s="37" t="s">
        <v>1425</v>
      </c>
      <c r="D382" s="55" t="s">
        <v>820</v>
      </c>
      <c r="E382" s="56">
        <v>28.46</v>
      </c>
      <c r="F382" s="55">
        <v>0.5</v>
      </c>
      <c r="G382" s="55"/>
      <c r="I382" s="49" t="str">
        <f t="shared" si="33"/>
        <v/>
      </c>
      <c r="J382" s="37" t="str">
        <f t="shared" si="30"/>
        <v>삼보산업</v>
      </c>
      <c r="K382" s="37" t="str">
        <f t="shared" si="31"/>
        <v>A009620</v>
      </c>
    </row>
    <row r="383" spans="1:11" x14ac:dyDescent="0.4">
      <c r="A383" s="49"/>
      <c r="B383" s="54" t="s">
        <v>1426</v>
      </c>
      <c r="C383" s="37" t="s">
        <v>1427</v>
      </c>
      <c r="D383" s="55" t="s">
        <v>805</v>
      </c>
      <c r="E383" s="58">
        <v>314.72000000000003</v>
      </c>
      <c r="F383" s="57">
        <v>0.46</v>
      </c>
      <c r="G383" s="57"/>
      <c r="H383" s="49"/>
      <c r="I383" s="49" t="str">
        <f t="shared" si="33"/>
        <v/>
      </c>
      <c r="J383" s="37" t="str">
        <f t="shared" si="30"/>
        <v>모토닉</v>
      </c>
      <c r="K383" s="37" t="str">
        <f t="shared" si="31"/>
        <v>A009680</v>
      </c>
    </row>
    <row r="384" spans="1:11" x14ac:dyDescent="0.4">
      <c r="A384" s="49"/>
      <c r="B384" s="54" t="s">
        <v>1428</v>
      </c>
      <c r="C384" s="37" t="s">
        <v>1429</v>
      </c>
      <c r="D384" s="55" t="s">
        <v>820</v>
      </c>
      <c r="E384" s="56">
        <v>40.72</v>
      </c>
      <c r="F384" s="55">
        <v>0.56999999999999995</v>
      </c>
      <c r="G384" s="55"/>
      <c r="I384" s="49" t="str">
        <f t="shared" si="33"/>
        <v/>
      </c>
      <c r="J384" s="37" t="str">
        <f t="shared" si="30"/>
        <v>이렘</v>
      </c>
      <c r="K384" s="37" t="str">
        <f t="shared" si="31"/>
        <v>A009730</v>
      </c>
    </row>
    <row r="385" spans="1:11" x14ac:dyDescent="0.4">
      <c r="A385" s="49"/>
      <c r="B385" s="54" t="s">
        <v>1430</v>
      </c>
      <c r="C385" s="37" t="s">
        <v>1431</v>
      </c>
      <c r="D385" s="55" t="s">
        <v>805</v>
      </c>
      <c r="E385" s="58">
        <v>88.75</v>
      </c>
      <c r="F385" s="57">
        <v>0.13</v>
      </c>
      <c r="G385" s="57"/>
      <c r="H385" s="49"/>
      <c r="I385" s="49" t="str">
        <f t="shared" si="33"/>
        <v/>
      </c>
      <c r="J385" s="37" t="str">
        <f t="shared" si="30"/>
        <v>삼정펄프</v>
      </c>
      <c r="K385" s="37" t="str">
        <f t="shared" si="31"/>
        <v>A009770</v>
      </c>
    </row>
    <row r="386" spans="1:11" x14ac:dyDescent="0.4">
      <c r="A386" s="49"/>
      <c r="B386" s="54" t="s">
        <v>1432</v>
      </c>
      <c r="C386" s="37" t="s">
        <v>1433</v>
      </c>
      <c r="D386" s="55" t="s">
        <v>820</v>
      </c>
      <c r="E386" s="56">
        <v>135.52000000000001</v>
      </c>
      <c r="F386" s="56">
        <v>1.5</v>
      </c>
      <c r="G386" s="55"/>
      <c r="I386" s="49" t="str">
        <f t="shared" si="33"/>
        <v/>
      </c>
      <c r="J386" s="37" t="str">
        <f t="shared" si="30"/>
        <v>엠에스씨</v>
      </c>
      <c r="K386" s="37" t="str">
        <f t="shared" si="31"/>
        <v>A009780</v>
      </c>
    </row>
    <row r="387" spans="1:11" x14ac:dyDescent="0.4">
      <c r="A387" s="49"/>
      <c r="B387" s="54" t="s">
        <v>1434</v>
      </c>
      <c r="C387" s="37" t="s">
        <v>1435</v>
      </c>
      <c r="D387" s="55" t="s">
        <v>805</v>
      </c>
      <c r="E387" s="56">
        <v>33.14</v>
      </c>
      <c r="F387" s="55">
        <v>0.23</v>
      </c>
      <c r="G387" s="55"/>
      <c r="H387" s="49"/>
      <c r="I387" s="49" t="str">
        <f t="shared" si="33"/>
        <v/>
      </c>
      <c r="J387" s="37" t="str">
        <f t="shared" si="30"/>
        <v>플레이그램</v>
      </c>
      <c r="K387" s="37" t="str">
        <f t="shared" si="31"/>
        <v>A009810</v>
      </c>
    </row>
    <row r="388" spans="1:11" x14ac:dyDescent="0.4">
      <c r="A388" s="49"/>
      <c r="B388" s="54" t="s">
        <v>291</v>
      </c>
      <c r="C388" s="37" t="s">
        <v>292</v>
      </c>
      <c r="D388" s="55" t="s">
        <v>805</v>
      </c>
      <c r="E388" s="56">
        <v>9110.2999999999993</v>
      </c>
      <c r="F388" s="55">
        <v>118.51</v>
      </c>
      <c r="G388" s="55">
        <v>13</v>
      </c>
      <c r="I388" s="49">
        <f t="shared" si="33"/>
        <v>9110.3038799999995</v>
      </c>
      <c r="J388" s="37" t="str">
        <f t="shared" si="30"/>
        <v>한화솔루션</v>
      </c>
      <c r="K388" s="37" t="str">
        <f t="shared" si="31"/>
        <v>A009830</v>
      </c>
    </row>
    <row r="389" spans="1:11" x14ac:dyDescent="0.4">
      <c r="A389" s="49"/>
      <c r="B389" s="54" t="s">
        <v>1436</v>
      </c>
      <c r="C389" s="37" t="s">
        <v>1437</v>
      </c>
      <c r="D389" s="55" t="s">
        <v>805</v>
      </c>
      <c r="E389" s="58">
        <v>599.21</v>
      </c>
      <c r="F389" s="57">
        <v>2.61</v>
      </c>
      <c r="G389" s="57">
        <v>1</v>
      </c>
      <c r="H389" s="49"/>
      <c r="I389" s="49">
        <f t="shared" si="33"/>
        <v>599.21388999999999</v>
      </c>
      <c r="J389" s="37" t="str">
        <f t="shared" si="30"/>
        <v>명신산업</v>
      </c>
      <c r="K389" s="37" t="str">
        <f t="shared" si="31"/>
        <v>A009900</v>
      </c>
    </row>
    <row r="390" spans="1:11" x14ac:dyDescent="0.4">
      <c r="A390" s="49"/>
      <c r="B390" s="54" t="s">
        <v>1438</v>
      </c>
      <c r="C390" s="37" t="s">
        <v>1439</v>
      </c>
      <c r="D390" s="55" t="s">
        <v>805</v>
      </c>
      <c r="E390" s="57">
        <v>3368.06</v>
      </c>
      <c r="F390" s="55">
        <v>3.38</v>
      </c>
      <c r="G390" s="55">
        <v>1</v>
      </c>
      <c r="I390" s="49">
        <f t="shared" si="33"/>
        <v>3368.0639000000001</v>
      </c>
      <c r="J390" s="37" t="str">
        <f t="shared" si="30"/>
        <v>영원무역홀딩스</v>
      </c>
      <c r="K390" s="37" t="str">
        <f t="shared" si="31"/>
        <v>A009970</v>
      </c>
    </row>
    <row r="391" spans="1:11" x14ac:dyDescent="0.4">
      <c r="A391" s="49"/>
      <c r="B391" s="54" t="s">
        <v>1440</v>
      </c>
      <c r="C391" s="37" t="s">
        <v>1441</v>
      </c>
      <c r="D391" s="55" t="s">
        <v>805</v>
      </c>
      <c r="E391" s="56">
        <v>85.62</v>
      </c>
      <c r="F391" s="55">
        <v>7.0000000000000007E-2</v>
      </c>
      <c r="G391" s="55"/>
      <c r="I391" s="49" t="str">
        <f t="shared" si="33"/>
        <v/>
      </c>
      <c r="J391" s="37" t="str">
        <f t="shared" si="30"/>
        <v>한국내화</v>
      </c>
      <c r="K391" s="37" t="str">
        <f t="shared" si="31"/>
        <v>A010040</v>
      </c>
    </row>
    <row r="392" spans="1:11" x14ac:dyDescent="0.4">
      <c r="A392" s="49"/>
      <c r="B392" s="54" t="s">
        <v>324</v>
      </c>
      <c r="C392" s="37" t="s">
        <v>325</v>
      </c>
      <c r="D392" s="55" t="s">
        <v>805</v>
      </c>
      <c r="E392" s="58">
        <v>2837.88</v>
      </c>
      <c r="F392" s="57">
        <v>20.59</v>
      </c>
      <c r="G392" s="57">
        <v>6</v>
      </c>
      <c r="H392" s="49"/>
      <c r="I392" s="49">
        <f t="shared" si="33"/>
        <v>2837.8839200000002</v>
      </c>
      <c r="J392" s="37" t="str">
        <f t="shared" si="30"/>
        <v>OCI홀딩스</v>
      </c>
      <c r="K392" s="37" t="str">
        <f t="shared" si="31"/>
        <v>A010060</v>
      </c>
    </row>
    <row r="393" spans="1:11" x14ac:dyDescent="0.4">
      <c r="A393" s="49"/>
      <c r="B393" s="54" t="s">
        <v>1442</v>
      </c>
      <c r="C393" s="37" t="s">
        <v>1443</v>
      </c>
      <c r="D393" s="55" t="s">
        <v>805</v>
      </c>
      <c r="E393" s="58">
        <v>180.57</v>
      </c>
      <c r="F393" s="57">
        <v>5.0999999999999996</v>
      </c>
      <c r="G393" s="57"/>
      <c r="H393" s="49"/>
      <c r="I393" s="49" t="str">
        <f t="shared" si="33"/>
        <v/>
      </c>
      <c r="J393" s="37" t="str">
        <f t="shared" si="30"/>
        <v>한국무브넥스</v>
      </c>
      <c r="K393" s="37" t="str">
        <f t="shared" si="31"/>
        <v>A010100</v>
      </c>
    </row>
    <row r="394" spans="1:11" x14ac:dyDescent="0.4">
      <c r="B394" s="54" t="s">
        <v>19</v>
      </c>
      <c r="C394" s="37" t="s">
        <v>20</v>
      </c>
      <c r="D394" s="55" t="s">
        <v>805</v>
      </c>
      <c r="E394" s="56">
        <v>23610</v>
      </c>
      <c r="F394" s="55">
        <v>104.07</v>
      </c>
      <c r="G394" s="55">
        <v>16</v>
      </c>
      <c r="J394" s="37" t="str">
        <f t="shared" si="30"/>
        <v>LS ELECTRIC</v>
      </c>
      <c r="K394" s="37" t="str">
        <f t="shared" si="31"/>
        <v>A010120</v>
      </c>
    </row>
    <row r="395" spans="1:11" x14ac:dyDescent="0.4">
      <c r="A395" s="49"/>
      <c r="B395" s="54" t="s">
        <v>305</v>
      </c>
      <c r="C395" s="37" t="s">
        <v>306</v>
      </c>
      <c r="D395" s="55" t="s">
        <v>805</v>
      </c>
      <c r="E395" s="58">
        <v>42372.13</v>
      </c>
      <c r="F395" s="57">
        <v>74.45</v>
      </c>
      <c r="G395" s="57">
        <v>4</v>
      </c>
      <c r="H395" s="49"/>
      <c r="I395" s="49">
        <f t="shared" ref="I395:I403" si="34">IF((G395&gt;$G$8),E395+ROW()/100000,"")</f>
        <v>42372.133949999996</v>
      </c>
      <c r="J395" s="37" t="str">
        <f t="shared" si="30"/>
        <v>고려아연</v>
      </c>
      <c r="K395" s="37" t="str">
        <f t="shared" si="31"/>
        <v>A010130</v>
      </c>
    </row>
    <row r="396" spans="1:11" x14ac:dyDescent="0.4">
      <c r="A396" s="49"/>
      <c r="B396" s="54" t="s">
        <v>138</v>
      </c>
      <c r="C396" s="37" t="s">
        <v>139</v>
      </c>
      <c r="D396" s="55" t="s">
        <v>805</v>
      </c>
      <c r="E396" s="56">
        <v>25476</v>
      </c>
      <c r="F396" s="55">
        <v>142.26</v>
      </c>
      <c r="G396" s="55">
        <v>22</v>
      </c>
      <c r="I396" s="49">
        <f t="shared" si="34"/>
        <v>25476.003959999998</v>
      </c>
      <c r="J396" s="37" t="str">
        <f t="shared" si="30"/>
        <v>삼성중공업</v>
      </c>
      <c r="K396" s="37" t="str">
        <f t="shared" si="31"/>
        <v>A010140</v>
      </c>
    </row>
    <row r="397" spans="1:11" x14ac:dyDescent="0.4">
      <c r="A397" s="49"/>
      <c r="B397" s="54" t="s">
        <v>1444</v>
      </c>
      <c r="C397" s="37" t="s">
        <v>1445</v>
      </c>
      <c r="D397" s="55" t="s">
        <v>820</v>
      </c>
      <c r="E397" s="56">
        <v>566.88</v>
      </c>
      <c r="F397" s="55">
        <v>40.380000000000003</v>
      </c>
      <c r="G397" s="55"/>
      <c r="I397" s="49" t="str">
        <f t="shared" si="34"/>
        <v/>
      </c>
      <c r="J397" s="37" t="str">
        <f t="shared" si="30"/>
        <v>대한광통신</v>
      </c>
      <c r="K397" s="37" t="str">
        <f t="shared" si="31"/>
        <v>A010170</v>
      </c>
    </row>
    <row r="398" spans="1:11" x14ac:dyDescent="0.4">
      <c r="A398" s="49"/>
      <c r="B398" s="54" t="s">
        <v>1446</v>
      </c>
      <c r="C398" s="37" t="s">
        <v>1447</v>
      </c>
      <c r="D398" s="55" t="s">
        <v>820</v>
      </c>
      <c r="E398" s="58">
        <v>62.86</v>
      </c>
      <c r="F398" s="57">
        <v>0.17</v>
      </c>
      <c r="G398" s="57"/>
      <c r="H398" s="49"/>
      <c r="I398" s="49" t="str">
        <f t="shared" si="34"/>
        <v/>
      </c>
      <c r="J398" s="37" t="str">
        <f t="shared" ref="J398:J461" si="35">C398</f>
        <v>흥국</v>
      </c>
      <c r="K398" s="37" t="str">
        <f t="shared" ref="K398:K461" si="36">B398</f>
        <v>A010240</v>
      </c>
    </row>
    <row r="399" spans="1:11" x14ac:dyDescent="0.4">
      <c r="A399" s="49"/>
      <c r="B399" s="54" t="s">
        <v>1448</v>
      </c>
      <c r="C399" s="37" t="s">
        <v>1449</v>
      </c>
      <c r="D399" s="55" t="s">
        <v>820</v>
      </c>
      <c r="E399" s="56">
        <v>79</v>
      </c>
      <c r="F399" s="56">
        <v>0.48</v>
      </c>
      <c r="G399" s="55">
        <v>1</v>
      </c>
      <c r="I399" s="49">
        <f t="shared" si="34"/>
        <v>79.003990000000002</v>
      </c>
      <c r="J399" s="37" t="str">
        <f t="shared" si="35"/>
        <v>아이티센엔텍</v>
      </c>
      <c r="K399" s="37" t="str">
        <f t="shared" si="36"/>
        <v>A010280</v>
      </c>
    </row>
    <row r="400" spans="1:11" x14ac:dyDescent="0.4">
      <c r="A400" s="49"/>
      <c r="B400" s="54" t="s">
        <v>1450</v>
      </c>
      <c r="C400" s="37" t="s">
        <v>1451</v>
      </c>
      <c r="D400" s="55" t="s">
        <v>805</v>
      </c>
      <c r="E400" s="58">
        <v>29.08</v>
      </c>
      <c r="F400" s="57">
        <v>0.15</v>
      </c>
      <c r="G400" s="57"/>
      <c r="H400" s="49"/>
      <c r="I400" s="49" t="str">
        <f t="shared" si="34"/>
        <v/>
      </c>
      <c r="J400" s="37" t="str">
        <f t="shared" si="35"/>
        <v>우진아이엔에스</v>
      </c>
      <c r="K400" s="37" t="str">
        <f t="shared" si="36"/>
        <v>A010400</v>
      </c>
    </row>
    <row r="401" spans="1:11" x14ac:dyDescent="0.4">
      <c r="A401" s="49"/>
      <c r="B401" s="54" t="s">
        <v>1452</v>
      </c>
      <c r="C401" s="37" t="s">
        <v>1453</v>
      </c>
      <c r="D401" s="55" t="s">
        <v>820</v>
      </c>
      <c r="E401" s="58">
        <v>71.849999999999994</v>
      </c>
      <c r="F401" s="57">
        <v>0.33</v>
      </c>
      <c r="G401" s="57"/>
      <c r="H401" s="49"/>
      <c r="I401" s="49" t="str">
        <f t="shared" si="34"/>
        <v/>
      </c>
      <c r="J401" s="37" t="str">
        <f t="shared" si="35"/>
        <v>오리콤</v>
      </c>
      <c r="K401" s="37" t="str">
        <f t="shared" si="36"/>
        <v>A010470</v>
      </c>
    </row>
    <row r="402" spans="1:11" x14ac:dyDescent="0.4">
      <c r="A402" s="49"/>
      <c r="B402" s="54" t="s">
        <v>1454</v>
      </c>
      <c r="C402" s="37" t="s">
        <v>1455</v>
      </c>
      <c r="D402" s="55" t="s">
        <v>805</v>
      </c>
      <c r="E402" s="58">
        <v>230.29</v>
      </c>
      <c r="F402" s="57">
        <v>7.46</v>
      </c>
      <c r="G402" s="57"/>
      <c r="H402" s="49"/>
      <c r="I402" s="49" t="str">
        <f t="shared" si="34"/>
        <v/>
      </c>
      <c r="J402" s="37" t="str">
        <f t="shared" si="35"/>
        <v>에스엠벡셀</v>
      </c>
      <c r="K402" s="37" t="str">
        <f t="shared" si="36"/>
        <v>A010580</v>
      </c>
    </row>
    <row r="403" spans="1:11" x14ac:dyDescent="0.4">
      <c r="A403" s="49"/>
      <c r="B403" s="54" t="s">
        <v>1456</v>
      </c>
      <c r="C403" s="37" t="s">
        <v>1457</v>
      </c>
      <c r="D403" s="55" t="s">
        <v>805</v>
      </c>
      <c r="E403" s="58">
        <v>27.65</v>
      </c>
      <c r="F403" s="57">
        <v>0.33</v>
      </c>
      <c r="G403" s="57"/>
      <c r="H403" s="49"/>
      <c r="I403" s="49" t="str">
        <f t="shared" si="34"/>
        <v/>
      </c>
      <c r="J403" s="37" t="str">
        <f t="shared" si="35"/>
        <v>진양폴리</v>
      </c>
      <c r="K403" s="37" t="str">
        <f t="shared" si="36"/>
        <v>A010640</v>
      </c>
    </row>
    <row r="404" spans="1:11" x14ac:dyDescent="0.4">
      <c r="B404" s="54" t="s">
        <v>1458</v>
      </c>
      <c r="C404" s="37" t="s">
        <v>1459</v>
      </c>
      <c r="D404" s="55" t="s">
        <v>805</v>
      </c>
      <c r="E404" s="56">
        <v>128.91999999999999</v>
      </c>
      <c r="F404" s="55">
        <v>4.63</v>
      </c>
      <c r="G404" s="55"/>
      <c r="J404" s="37" t="str">
        <f t="shared" si="35"/>
        <v>화천기계</v>
      </c>
      <c r="K404" s="37" t="str">
        <f t="shared" si="36"/>
        <v>A010660</v>
      </c>
    </row>
    <row r="405" spans="1:11" x14ac:dyDescent="0.4">
      <c r="A405" s="49"/>
      <c r="B405" s="54" t="s">
        <v>1460</v>
      </c>
      <c r="C405" s="37" t="s">
        <v>1461</v>
      </c>
      <c r="D405" s="55" t="s">
        <v>805</v>
      </c>
      <c r="E405" s="59">
        <v>542.30999999999995</v>
      </c>
      <c r="F405" s="57">
        <v>5.47</v>
      </c>
      <c r="G405" s="57">
        <v>1</v>
      </c>
      <c r="H405" s="49"/>
      <c r="I405" s="49">
        <f t="shared" ref="I405:I426" si="37">IF((G405&gt;$G$8),E405+ROW()/100000,"")</f>
        <v>542.31404999999995</v>
      </c>
      <c r="J405" s="37" t="str">
        <f t="shared" si="35"/>
        <v>화신</v>
      </c>
      <c r="K405" s="37" t="str">
        <f t="shared" si="36"/>
        <v>A010690</v>
      </c>
    </row>
    <row r="406" spans="1:11" x14ac:dyDescent="0.4">
      <c r="A406" s="49"/>
      <c r="B406" s="54" t="s">
        <v>1462</v>
      </c>
      <c r="C406" s="37" t="s">
        <v>1463</v>
      </c>
      <c r="D406" s="55" t="s">
        <v>805</v>
      </c>
      <c r="E406" s="56">
        <v>61.28</v>
      </c>
      <c r="F406" s="55">
        <v>0.3</v>
      </c>
      <c r="G406" s="55"/>
      <c r="I406" s="49" t="str">
        <f t="shared" si="37"/>
        <v/>
      </c>
      <c r="J406" s="37" t="str">
        <f t="shared" si="35"/>
        <v>평화홀딩스</v>
      </c>
      <c r="K406" s="37" t="str">
        <f t="shared" si="36"/>
        <v>A010770</v>
      </c>
    </row>
    <row r="407" spans="1:11" x14ac:dyDescent="0.4">
      <c r="A407" s="49"/>
      <c r="B407" s="54" t="s">
        <v>1464</v>
      </c>
      <c r="C407" s="37" t="s">
        <v>1465</v>
      </c>
      <c r="D407" s="55" t="s">
        <v>805</v>
      </c>
      <c r="E407" s="56">
        <v>940.32</v>
      </c>
      <c r="F407" s="55">
        <v>1.95</v>
      </c>
      <c r="G407" s="55">
        <v>3</v>
      </c>
      <c r="I407" s="49">
        <f t="shared" si="37"/>
        <v>940.32407000000001</v>
      </c>
      <c r="J407" s="37" t="str">
        <f t="shared" si="35"/>
        <v>아이에스동서</v>
      </c>
      <c r="K407" s="37" t="str">
        <f t="shared" si="36"/>
        <v>A010780</v>
      </c>
    </row>
    <row r="408" spans="1:11" x14ac:dyDescent="0.4">
      <c r="A408" s="49"/>
      <c r="B408" s="54" t="s">
        <v>1466</v>
      </c>
      <c r="C408" s="37" t="s">
        <v>1467</v>
      </c>
      <c r="D408" s="55" t="s">
        <v>805</v>
      </c>
      <c r="E408" s="58">
        <v>327.75</v>
      </c>
      <c r="F408" s="57">
        <v>9.07</v>
      </c>
      <c r="G408" s="57"/>
      <c r="H408" s="49"/>
      <c r="I408" s="49" t="str">
        <f t="shared" si="37"/>
        <v/>
      </c>
      <c r="J408" s="37" t="str">
        <f t="shared" si="35"/>
        <v>퍼스텍</v>
      </c>
      <c r="K408" s="37" t="str">
        <f t="shared" si="36"/>
        <v>A010820</v>
      </c>
    </row>
    <row r="409" spans="1:11" x14ac:dyDescent="0.4">
      <c r="A409" s="49"/>
      <c r="B409" s="54" t="s">
        <v>116</v>
      </c>
      <c r="C409" s="37" t="s">
        <v>117</v>
      </c>
      <c r="D409" s="55" t="s">
        <v>805</v>
      </c>
      <c r="E409" s="58">
        <v>12384.11</v>
      </c>
      <c r="F409" s="57">
        <v>28.03</v>
      </c>
      <c r="G409" s="57">
        <v>16</v>
      </c>
      <c r="H409" s="49"/>
      <c r="I409" s="49">
        <f t="shared" si="37"/>
        <v>12384.114090000001</v>
      </c>
      <c r="J409" s="37" t="str">
        <f t="shared" si="35"/>
        <v>S-Oil</v>
      </c>
      <c r="K409" s="37" t="str">
        <f t="shared" si="36"/>
        <v>A010950</v>
      </c>
    </row>
    <row r="410" spans="1:11" x14ac:dyDescent="0.4">
      <c r="A410" s="49"/>
      <c r="B410" s="54" t="s">
        <v>1468</v>
      </c>
      <c r="C410" s="37" t="s">
        <v>1469</v>
      </c>
      <c r="D410" s="55" t="s">
        <v>805</v>
      </c>
      <c r="E410" s="58">
        <v>99.25</v>
      </c>
      <c r="F410" s="57">
        <v>0.25</v>
      </c>
      <c r="G410" s="57"/>
      <c r="H410" s="49"/>
      <c r="I410" s="49" t="str">
        <f t="shared" si="37"/>
        <v/>
      </c>
      <c r="J410" s="37" t="str">
        <f t="shared" si="35"/>
        <v>삼호개발</v>
      </c>
      <c r="K410" s="37" t="str">
        <f t="shared" si="36"/>
        <v>A010960</v>
      </c>
    </row>
    <row r="411" spans="1:11" x14ac:dyDescent="0.4">
      <c r="A411" s="49"/>
      <c r="B411" s="54" t="s">
        <v>1470</v>
      </c>
      <c r="C411" s="37" t="s">
        <v>1471</v>
      </c>
      <c r="D411" s="55" t="s">
        <v>805</v>
      </c>
      <c r="E411" s="56">
        <v>103.52</v>
      </c>
      <c r="F411" s="55">
        <v>1.76</v>
      </c>
      <c r="G411" s="55"/>
      <c r="H411" s="49"/>
      <c r="I411" s="49" t="str">
        <f t="shared" si="37"/>
        <v/>
      </c>
      <c r="J411" s="37" t="str">
        <f t="shared" si="35"/>
        <v>진원생명과학</v>
      </c>
      <c r="K411" s="37" t="str">
        <f t="shared" si="36"/>
        <v>A011000</v>
      </c>
    </row>
    <row r="412" spans="1:11" x14ac:dyDescent="0.4">
      <c r="A412" s="49"/>
      <c r="B412" s="54" t="s">
        <v>1472</v>
      </c>
      <c r="C412" s="37" t="s">
        <v>1473</v>
      </c>
      <c r="D412" s="55" t="s">
        <v>820</v>
      </c>
      <c r="E412" s="56">
        <v>180</v>
      </c>
      <c r="F412" s="55">
        <v>0.22</v>
      </c>
      <c r="G412" s="55"/>
      <c r="I412" s="49" t="str">
        <f t="shared" si="37"/>
        <v/>
      </c>
      <c r="J412" s="37" t="str">
        <f t="shared" si="35"/>
        <v>경동제약</v>
      </c>
      <c r="K412" s="37" t="str">
        <f t="shared" si="36"/>
        <v>A011040</v>
      </c>
    </row>
    <row r="413" spans="1:11" x14ac:dyDescent="0.4">
      <c r="A413" s="49"/>
      <c r="B413" s="54" t="s">
        <v>451</v>
      </c>
      <c r="C413" s="37" t="s">
        <v>452</v>
      </c>
      <c r="D413" s="55" t="s">
        <v>805</v>
      </c>
      <c r="E413" s="58">
        <v>7549.81</v>
      </c>
      <c r="F413" s="57">
        <v>51.66</v>
      </c>
      <c r="G413" s="57">
        <v>22</v>
      </c>
      <c r="H413" s="49"/>
      <c r="I413" s="49">
        <f t="shared" si="37"/>
        <v>7549.8141300000007</v>
      </c>
      <c r="J413" s="37" t="str">
        <f t="shared" si="35"/>
        <v>LG이노텍</v>
      </c>
      <c r="K413" s="37" t="str">
        <f t="shared" si="36"/>
        <v>A011070</v>
      </c>
    </row>
    <row r="414" spans="1:11" x14ac:dyDescent="0.4">
      <c r="A414" s="49"/>
      <c r="B414" s="54" t="s">
        <v>1474</v>
      </c>
      <c r="C414" s="37" t="s">
        <v>1475</v>
      </c>
      <c r="D414" s="55" t="s">
        <v>820</v>
      </c>
      <c r="E414" s="58">
        <v>26.25</v>
      </c>
      <c r="F414" s="57">
        <v>2.73</v>
      </c>
      <c r="G414" s="57"/>
      <c r="H414" s="49"/>
      <c r="I414" s="49" t="str">
        <f t="shared" si="37"/>
        <v/>
      </c>
      <c r="J414" s="37" t="str">
        <f t="shared" si="35"/>
        <v>형지I&amp;C</v>
      </c>
      <c r="K414" s="37" t="str">
        <f t="shared" si="36"/>
        <v>A011080</v>
      </c>
    </row>
    <row r="415" spans="1:11" x14ac:dyDescent="0.4">
      <c r="A415" s="49"/>
      <c r="B415" s="54" t="s">
        <v>1476</v>
      </c>
      <c r="C415" s="37" t="s">
        <v>1477</v>
      </c>
      <c r="D415" s="55" t="s">
        <v>805</v>
      </c>
      <c r="E415" s="58">
        <v>29.16</v>
      </c>
      <c r="F415" s="57">
        <v>0.49</v>
      </c>
      <c r="G415" s="57"/>
      <c r="H415" s="49"/>
      <c r="I415" s="49" t="str">
        <f t="shared" si="37"/>
        <v/>
      </c>
      <c r="J415" s="37" t="str">
        <f t="shared" si="35"/>
        <v>에넥스</v>
      </c>
      <c r="K415" s="37" t="str">
        <f t="shared" si="36"/>
        <v>A011090</v>
      </c>
    </row>
    <row r="416" spans="1:11" x14ac:dyDescent="0.4">
      <c r="A416" s="49"/>
      <c r="B416" s="54" t="s">
        <v>1478</v>
      </c>
      <c r="C416" s="37" t="s">
        <v>1479</v>
      </c>
      <c r="D416" s="55" t="s">
        <v>805</v>
      </c>
      <c r="E416" s="58">
        <v>102.4</v>
      </c>
      <c r="F416" s="57">
        <v>2.0699999999999998</v>
      </c>
      <c r="G416" s="57"/>
      <c r="H416" s="49"/>
      <c r="I416" s="49" t="str">
        <f t="shared" si="37"/>
        <v/>
      </c>
      <c r="J416" s="37" t="str">
        <f t="shared" si="35"/>
        <v>CJ씨푸드</v>
      </c>
      <c r="K416" s="37" t="str">
        <f t="shared" si="36"/>
        <v>A011150</v>
      </c>
    </row>
    <row r="417" spans="1:11" x14ac:dyDescent="0.4">
      <c r="A417" s="49"/>
      <c r="B417" s="54" t="s">
        <v>1480</v>
      </c>
      <c r="C417" s="37" t="s">
        <v>1481</v>
      </c>
      <c r="D417" s="55" t="s">
        <v>805</v>
      </c>
      <c r="E417" s="59">
        <v>4102.16</v>
      </c>
      <c r="F417" s="57">
        <v>14.38</v>
      </c>
      <c r="G417" s="57">
        <v>15</v>
      </c>
      <c r="H417" s="49"/>
      <c r="I417" s="49">
        <f t="shared" si="37"/>
        <v>4102.16417</v>
      </c>
      <c r="J417" s="37" t="str">
        <f t="shared" si="35"/>
        <v>롯데케미칼</v>
      </c>
      <c r="K417" s="37" t="str">
        <f t="shared" si="36"/>
        <v>A011170</v>
      </c>
    </row>
    <row r="418" spans="1:11" x14ac:dyDescent="0.4">
      <c r="A418" s="49"/>
      <c r="B418" s="54" t="s">
        <v>160</v>
      </c>
      <c r="C418" s="37" t="s">
        <v>161</v>
      </c>
      <c r="D418" s="55" t="s">
        <v>805</v>
      </c>
      <c r="E418" s="58">
        <v>20138.13</v>
      </c>
      <c r="F418" s="57">
        <v>36.42</v>
      </c>
      <c r="G418" s="57">
        <v>11</v>
      </c>
      <c r="H418" s="49"/>
      <c r="I418" s="49">
        <f t="shared" si="37"/>
        <v>20138.134180000001</v>
      </c>
      <c r="J418" s="37" t="str">
        <f t="shared" si="35"/>
        <v>HMM</v>
      </c>
      <c r="K418" s="37" t="str">
        <f t="shared" si="36"/>
        <v>A011200</v>
      </c>
    </row>
    <row r="419" spans="1:11" x14ac:dyDescent="0.4">
      <c r="A419" s="49"/>
      <c r="B419" s="54" t="s">
        <v>1482</v>
      </c>
      <c r="C419" s="37" t="s">
        <v>1483</v>
      </c>
      <c r="D419" s="55" t="s">
        <v>805</v>
      </c>
      <c r="E419" s="56">
        <v>2754.86</v>
      </c>
      <c r="F419" s="55">
        <v>19.079999999999998</v>
      </c>
      <c r="G419" s="55">
        <v>12</v>
      </c>
      <c r="I419" s="49">
        <f t="shared" si="37"/>
        <v>2754.8641900000002</v>
      </c>
      <c r="J419" s="37" t="str">
        <f t="shared" si="35"/>
        <v>현대위아</v>
      </c>
      <c r="K419" s="37" t="str">
        <f t="shared" si="36"/>
        <v>A011210</v>
      </c>
    </row>
    <row r="420" spans="1:11" x14ac:dyDescent="0.4">
      <c r="A420" s="49"/>
      <c r="B420" s="54" t="s">
        <v>1484</v>
      </c>
      <c r="C420" s="37" t="s">
        <v>1485</v>
      </c>
      <c r="D420" s="55" t="s">
        <v>805</v>
      </c>
      <c r="E420" s="58">
        <v>51.27</v>
      </c>
      <c r="F420" s="57">
        <v>0.97</v>
      </c>
      <c r="G420" s="57"/>
      <c r="H420" s="49"/>
      <c r="I420" s="49" t="str">
        <f t="shared" si="37"/>
        <v/>
      </c>
      <c r="J420" s="37" t="str">
        <f t="shared" si="35"/>
        <v>삼화전자</v>
      </c>
      <c r="K420" s="37" t="str">
        <f t="shared" si="36"/>
        <v>A011230</v>
      </c>
    </row>
    <row r="421" spans="1:11" x14ac:dyDescent="0.4">
      <c r="A421" s="49"/>
      <c r="B421" s="54" t="s">
        <v>1486</v>
      </c>
      <c r="C421" s="37" t="s">
        <v>1487</v>
      </c>
      <c r="D421" s="55" t="s">
        <v>805</v>
      </c>
      <c r="E421" s="56">
        <v>145.15</v>
      </c>
      <c r="F421" s="55">
        <v>0.73</v>
      </c>
      <c r="G421" s="55"/>
      <c r="I421" s="49" t="str">
        <f t="shared" si="37"/>
        <v/>
      </c>
      <c r="J421" s="37" t="str">
        <f t="shared" si="35"/>
        <v>태림포장</v>
      </c>
      <c r="K421" s="37" t="str">
        <f t="shared" si="36"/>
        <v>A011280</v>
      </c>
    </row>
    <row r="422" spans="1:11" x14ac:dyDescent="0.4">
      <c r="A422" s="49"/>
      <c r="B422" s="54" t="s">
        <v>1488</v>
      </c>
      <c r="C422" s="37" t="s">
        <v>5188</v>
      </c>
      <c r="D422" s="55" t="s">
        <v>805</v>
      </c>
      <c r="E422" s="58">
        <v>57.41</v>
      </c>
      <c r="F422" s="57">
        <v>0.92</v>
      </c>
      <c r="G422" s="57"/>
      <c r="H422" s="49"/>
      <c r="I422" s="49" t="str">
        <f t="shared" si="37"/>
        <v/>
      </c>
      <c r="J422" s="37" t="str">
        <f t="shared" si="35"/>
        <v>우성머티리얼스</v>
      </c>
      <c r="K422" s="37" t="str">
        <f t="shared" si="36"/>
        <v>A011300</v>
      </c>
    </row>
    <row r="423" spans="1:11" x14ac:dyDescent="0.4">
      <c r="A423" s="49"/>
      <c r="B423" s="54" t="s">
        <v>1489</v>
      </c>
      <c r="C423" s="37" t="s">
        <v>1490</v>
      </c>
      <c r="D423" s="55" t="s">
        <v>820</v>
      </c>
      <c r="E423" s="58">
        <v>79.599999999999994</v>
      </c>
      <c r="F423" s="57">
        <v>0.43</v>
      </c>
      <c r="G423" s="57"/>
      <c r="H423" s="49"/>
      <c r="I423" s="49" t="str">
        <f t="shared" si="37"/>
        <v/>
      </c>
      <c r="J423" s="37" t="str">
        <f t="shared" si="35"/>
        <v>유니크</v>
      </c>
      <c r="K423" s="37" t="str">
        <f t="shared" si="36"/>
        <v>A011320</v>
      </c>
    </row>
    <row r="424" spans="1:11" x14ac:dyDescent="0.4">
      <c r="A424" s="49"/>
      <c r="B424" s="54" t="s">
        <v>1491</v>
      </c>
      <c r="C424" s="37" t="s">
        <v>1492</v>
      </c>
      <c r="D424" s="55" t="s">
        <v>805</v>
      </c>
      <c r="E424" s="58">
        <v>108.02</v>
      </c>
      <c r="F424" s="57">
        <v>0.53</v>
      </c>
      <c r="G424" s="57"/>
      <c r="H424" s="49"/>
      <c r="I424" s="49" t="str">
        <f t="shared" si="37"/>
        <v/>
      </c>
      <c r="J424" s="37" t="str">
        <f t="shared" si="35"/>
        <v>유니켐</v>
      </c>
      <c r="K424" s="37" t="str">
        <f t="shared" si="36"/>
        <v>A011330</v>
      </c>
    </row>
    <row r="425" spans="1:11" x14ac:dyDescent="0.4">
      <c r="A425" s="49"/>
      <c r="B425" s="54" t="s">
        <v>1493</v>
      </c>
      <c r="C425" s="37" t="s">
        <v>1494</v>
      </c>
      <c r="D425" s="55" t="s">
        <v>820</v>
      </c>
      <c r="E425" s="58">
        <v>114.62</v>
      </c>
      <c r="F425" s="57">
        <v>0.28000000000000003</v>
      </c>
      <c r="G425" s="57"/>
      <c r="H425" s="49"/>
      <c r="I425" s="49" t="str">
        <f t="shared" si="37"/>
        <v/>
      </c>
      <c r="J425" s="37" t="str">
        <f t="shared" si="35"/>
        <v>서한</v>
      </c>
      <c r="K425" s="37" t="str">
        <f t="shared" si="36"/>
        <v>A011370</v>
      </c>
    </row>
    <row r="426" spans="1:11" x14ac:dyDescent="0.4">
      <c r="A426" s="49"/>
      <c r="B426" s="54" t="s">
        <v>1495</v>
      </c>
      <c r="C426" s="37" t="s">
        <v>1496</v>
      </c>
      <c r="D426" s="55" t="s">
        <v>805</v>
      </c>
      <c r="E426" s="56">
        <v>89.55</v>
      </c>
      <c r="F426" s="55">
        <v>0.53</v>
      </c>
      <c r="G426" s="55"/>
      <c r="I426" s="49" t="str">
        <f t="shared" si="37"/>
        <v/>
      </c>
      <c r="J426" s="37" t="str">
        <f t="shared" si="35"/>
        <v>부산산업</v>
      </c>
      <c r="K426" s="37" t="str">
        <f t="shared" si="36"/>
        <v>A011390</v>
      </c>
    </row>
    <row r="427" spans="1:11" x14ac:dyDescent="0.4">
      <c r="A427" s="49"/>
      <c r="B427" s="54" t="s">
        <v>1497</v>
      </c>
      <c r="C427" s="37" t="s">
        <v>1498</v>
      </c>
      <c r="D427" s="55" t="s">
        <v>805</v>
      </c>
      <c r="E427" s="56">
        <v>51.68</v>
      </c>
      <c r="F427" s="55">
        <v>0.44</v>
      </c>
      <c r="G427" s="55"/>
      <c r="J427" s="37" t="str">
        <f t="shared" si="35"/>
        <v>갤럭시아에스엠</v>
      </c>
      <c r="K427" s="37" t="str">
        <f t="shared" si="36"/>
        <v>A011420</v>
      </c>
    </row>
    <row r="428" spans="1:11" x14ac:dyDescent="0.4">
      <c r="A428" s="49"/>
      <c r="B428" s="54" t="s">
        <v>1499</v>
      </c>
      <c r="C428" s="37" t="s">
        <v>1500</v>
      </c>
      <c r="D428" s="55" t="s">
        <v>805</v>
      </c>
      <c r="E428" s="58">
        <v>420.64</v>
      </c>
      <c r="F428" s="57">
        <v>10.39</v>
      </c>
      <c r="G428" s="57"/>
      <c r="H428" s="49"/>
      <c r="I428" s="49" t="str">
        <f t="shared" ref="I428:I433" si="38">IF((G428&gt;$G$8),E428+ROW()/100000,"")</f>
        <v/>
      </c>
      <c r="J428" s="37" t="str">
        <f t="shared" si="35"/>
        <v>한농화성</v>
      </c>
      <c r="K428" s="37" t="str">
        <f t="shared" si="36"/>
        <v>A011500</v>
      </c>
    </row>
    <row r="429" spans="1:11" x14ac:dyDescent="0.4">
      <c r="A429" s="49"/>
      <c r="B429" s="54" t="s">
        <v>1501</v>
      </c>
      <c r="C429" s="37" t="s">
        <v>1502</v>
      </c>
      <c r="D429" s="55" t="s">
        <v>820</v>
      </c>
      <c r="E429" s="56">
        <v>192.59</v>
      </c>
      <c r="F429" s="56">
        <v>0.68</v>
      </c>
      <c r="G429" s="55"/>
      <c r="I429" s="49" t="str">
        <f t="shared" si="38"/>
        <v/>
      </c>
      <c r="J429" s="37" t="str">
        <f t="shared" si="35"/>
        <v>세보엠이씨</v>
      </c>
      <c r="K429" s="37" t="str">
        <f t="shared" si="36"/>
        <v>A011560</v>
      </c>
    </row>
    <row r="430" spans="1:11" x14ac:dyDescent="0.4">
      <c r="A430" s="49"/>
      <c r="B430" s="54" t="s">
        <v>1503</v>
      </c>
      <c r="C430" s="37" t="s">
        <v>1504</v>
      </c>
      <c r="D430" s="55" t="s">
        <v>805</v>
      </c>
      <c r="E430" s="56">
        <v>303.66000000000003</v>
      </c>
      <c r="F430" s="55">
        <v>7.67</v>
      </c>
      <c r="G430" s="55"/>
      <c r="I430" s="49" t="str">
        <f t="shared" si="38"/>
        <v/>
      </c>
      <c r="J430" s="37" t="str">
        <f t="shared" si="35"/>
        <v>와이투솔루션</v>
      </c>
      <c r="K430" s="37" t="str">
        <f t="shared" si="36"/>
        <v>A011690</v>
      </c>
    </row>
    <row r="431" spans="1:11" x14ac:dyDescent="0.4">
      <c r="A431" s="49"/>
      <c r="B431" s="54" t="s">
        <v>1505</v>
      </c>
      <c r="C431" s="37" t="s">
        <v>1506</v>
      </c>
      <c r="D431" s="55" t="s">
        <v>805</v>
      </c>
      <c r="E431" s="58">
        <v>158.99</v>
      </c>
      <c r="F431" s="57">
        <v>7.19</v>
      </c>
      <c r="G431" s="57"/>
      <c r="H431" s="49"/>
      <c r="I431" s="49" t="str">
        <f t="shared" si="38"/>
        <v/>
      </c>
      <c r="J431" s="37" t="str">
        <f t="shared" si="35"/>
        <v>한신기계</v>
      </c>
      <c r="K431" s="37" t="str">
        <f t="shared" si="36"/>
        <v>A011700</v>
      </c>
    </row>
    <row r="432" spans="1:11" x14ac:dyDescent="0.4">
      <c r="A432" s="49"/>
      <c r="B432" s="54" t="s">
        <v>1507</v>
      </c>
      <c r="C432" s="37" t="s">
        <v>1508</v>
      </c>
      <c r="D432" s="55" t="s">
        <v>805</v>
      </c>
      <c r="E432" s="56">
        <v>365.12</v>
      </c>
      <c r="F432" s="55">
        <v>1.22</v>
      </c>
      <c r="G432" s="55">
        <v>3</v>
      </c>
      <c r="I432" s="49">
        <f t="shared" si="38"/>
        <v>365.12432000000001</v>
      </c>
      <c r="J432" s="37" t="str">
        <f t="shared" si="35"/>
        <v>현대코퍼레이션</v>
      </c>
      <c r="K432" s="37" t="str">
        <f t="shared" si="36"/>
        <v>A011760</v>
      </c>
    </row>
    <row r="433" spans="1:11" x14ac:dyDescent="0.4">
      <c r="A433" s="49"/>
      <c r="B433" s="54" t="s">
        <v>192</v>
      </c>
      <c r="C433" s="37" t="s">
        <v>193</v>
      </c>
      <c r="D433" s="55" t="s">
        <v>805</v>
      </c>
      <c r="E433" s="56">
        <v>3993.27</v>
      </c>
      <c r="F433" s="55">
        <v>11.97</v>
      </c>
      <c r="G433" s="55">
        <v>15</v>
      </c>
      <c r="I433" s="49">
        <f t="shared" si="38"/>
        <v>3993.2743300000002</v>
      </c>
      <c r="J433" s="37" t="str">
        <f t="shared" si="35"/>
        <v>금호석유화학</v>
      </c>
      <c r="K433" s="37" t="str">
        <f t="shared" si="36"/>
        <v>A011780</v>
      </c>
    </row>
    <row r="434" spans="1:11" x14ac:dyDescent="0.4">
      <c r="A434" s="49"/>
      <c r="B434" s="54" t="s">
        <v>318</v>
      </c>
      <c r="C434" s="37" t="s">
        <v>319</v>
      </c>
      <c r="D434" s="55" t="s">
        <v>805</v>
      </c>
      <c r="E434" s="56">
        <v>4286.6899999999996</v>
      </c>
      <c r="F434" s="55">
        <v>35.1</v>
      </c>
      <c r="G434" s="55">
        <v>1</v>
      </c>
      <c r="J434" s="37" t="str">
        <f t="shared" si="35"/>
        <v>SKC</v>
      </c>
      <c r="K434" s="37" t="str">
        <f t="shared" si="36"/>
        <v>A011790</v>
      </c>
    </row>
    <row r="435" spans="1:11" x14ac:dyDescent="0.4">
      <c r="A435" s="49"/>
      <c r="B435" s="54" t="s">
        <v>1509</v>
      </c>
      <c r="C435" s="37" t="s">
        <v>1510</v>
      </c>
      <c r="D435" s="55" t="s">
        <v>805</v>
      </c>
      <c r="E435" s="58">
        <v>109.49</v>
      </c>
      <c r="F435" s="57">
        <v>0</v>
      </c>
      <c r="G435" s="57"/>
      <c r="H435" s="49"/>
      <c r="I435" s="49" t="str">
        <f t="shared" ref="I435:I448" si="39">IF((G435&gt;$G$8),E435+ROW()/100000,"")</f>
        <v/>
      </c>
      <c r="J435" s="37" t="str">
        <f t="shared" si="35"/>
        <v>STX</v>
      </c>
      <c r="K435" s="37" t="str">
        <f t="shared" si="36"/>
        <v>A011810</v>
      </c>
    </row>
    <row r="436" spans="1:11" x14ac:dyDescent="0.4">
      <c r="A436" s="49"/>
      <c r="B436" s="54" t="s">
        <v>731</v>
      </c>
      <c r="C436" s="37" t="s">
        <v>732</v>
      </c>
      <c r="D436" s="55" t="s">
        <v>805</v>
      </c>
      <c r="E436" s="58">
        <v>504.33</v>
      </c>
      <c r="F436" s="57">
        <v>12.65</v>
      </c>
      <c r="G436" s="57">
        <v>2</v>
      </c>
      <c r="H436" s="49"/>
      <c r="I436" s="49">
        <f t="shared" si="39"/>
        <v>504.33436</v>
      </c>
      <c r="J436" s="37" t="str">
        <f t="shared" si="35"/>
        <v>신성이엔지</v>
      </c>
      <c r="K436" s="37" t="str">
        <f t="shared" si="36"/>
        <v>A011930</v>
      </c>
    </row>
    <row r="437" spans="1:11" x14ac:dyDescent="0.4">
      <c r="A437" s="49"/>
      <c r="B437" s="54" t="s">
        <v>1511</v>
      </c>
      <c r="C437" s="37" t="s">
        <v>1512</v>
      </c>
      <c r="D437" s="55" t="s">
        <v>805</v>
      </c>
      <c r="E437" s="58">
        <v>407.38</v>
      </c>
      <c r="F437" s="57">
        <v>3.88</v>
      </c>
      <c r="G437" s="57"/>
      <c r="H437" s="49"/>
      <c r="I437" s="49" t="str">
        <f t="shared" si="39"/>
        <v/>
      </c>
      <c r="J437" s="37" t="str">
        <f t="shared" si="35"/>
        <v>DB</v>
      </c>
      <c r="K437" s="37" t="str">
        <f t="shared" si="36"/>
        <v>A012030</v>
      </c>
    </row>
    <row r="438" spans="1:11" x14ac:dyDescent="0.4">
      <c r="A438" s="49"/>
      <c r="B438" s="54" t="s">
        <v>565</v>
      </c>
      <c r="C438" s="37" t="s">
        <v>566</v>
      </c>
      <c r="D438" s="55" t="s">
        <v>805</v>
      </c>
      <c r="E438" s="58">
        <v>722.02</v>
      </c>
      <c r="F438" s="57">
        <v>27.02</v>
      </c>
      <c r="G438" s="57"/>
      <c r="H438" s="49"/>
      <c r="I438" s="49" t="str">
        <f t="shared" si="39"/>
        <v/>
      </c>
      <c r="J438" s="37" t="str">
        <f t="shared" si="35"/>
        <v>삼양바이오팜</v>
      </c>
      <c r="K438" s="37" t="str">
        <f t="shared" si="36"/>
        <v>A0120G0</v>
      </c>
    </row>
    <row r="439" spans="1:11" x14ac:dyDescent="0.4">
      <c r="A439" s="49"/>
      <c r="B439" s="54" t="s">
        <v>1513</v>
      </c>
      <c r="C439" s="37" t="s">
        <v>1514</v>
      </c>
      <c r="D439" s="55" t="s">
        <v>805</v>
      </c>
      <c r="E439" s="58">
        <v>65.45</v>
      </c>
      <c r="F439" s="57">
        <v>0.33</v>
      </c>
      <c r="G439" s="57"/>
      <c r="H439" s="49"/>
      <c r="I439" s="49" t="str">
        <f t="shared" si="39"/>
        <v/>
      </c>
      <c r="J439" s="37" t="str">
        <f t="shared" si="35"/>
        <v>영흥</v>
      </c>
      <c r="K439" s="37" t="str">
        <f t="shared" si="36"/>
        <v>A012160</v>
      </c>
    </row>
    <row r="440" spans="1:11" x14ac:dyDescent="0.4">
      <c r="A440" s="49"/>
      <c r="B440" s="54" t="s">
        <v>1515</v>
      </c>
      <c r="C440" s="37" t="s">
        <v>1516</v>
      </c>
      <c r="D440" s="55" t="s">
        <v>805</v>
      </c>
      <c r="E440" s="58">
        <v>29.15</v>
      </c>
      <c r="F440" s="57">
        <v>0.71</v>
      </c>
      <c r="G440" s="57"/>
      <c r="H440" s="49"/>
      <c r="I440" s="49" t="str">
        <f t="shared" si="39"/>
        <v/>
      </c>
      <c r="J440" s="37" t="str">
        <f t="shared" si="35"/>
        <v>아센디오</v>
      </c>
      <c r="K440" s="37" t="str">
        <f t="shared" si="36"/>
        <v>A012170</v>
      </c>
    </row>
    <row r="441" spans="1:11" x14ac:dyDescent="0.4">
      <c r="A441" s="49"/>
      <c r="B441" s="54" t="s">
        <v>1517</v>
      </c>
      <c r="C441" s="37" t="s">
        <v>1518</v>
      </c>
      <c r="D441" s="55" t="s">
        <v>805</v>
      </c>
      <c r="E441" s="58">
        <v>249.36</v>
      </c>
      <c r="F441" s="57">
        <v>20</v>
      </c>
      <c r="G441" s="57"/>
      <c r="H441" s="49"/>
      <c r="I441" s="49" t="str">
        <f t="shared" si="39"/>
        <v/>
      </c>
      <c r="J441" s="37" t="str">
        <f t="shared" si="35"/>
        <v>계양전기</v>
      </c>
      <c r="K441" s="37" t="str">
        <f t="shared" si="36"/>
        <v>A012200</v>
      </c>
    </row>
    <row r="442" spans="1:11" x14ac:dyDescent="0.4">
      <c r="A442" s="49"/>
      <c r="B442" s="54" t="s">
        <v>1519</v>
      </c>
      <c r="C442" s="37" t="s">
        <v>1520</v>
      </c>
      <c r="D442" s="55" t="s">
        <v>820</v>
      </c>
      <c r="E442" s="58">
        <v>397.46</v>
      </c>
      <c r="F442" s="57">
        <v>13.98</v>
      </c>
      <c r="G442" s="57">
        <v>1</v>
      </c>
      <c r="H442" s="49"/>
      <c r="I442" s="49">
        <f t="shared" si="39"/>
        <v>397.46441999999996</v>
      </c>
      <c r="J442" s="37" t="str">
        <f t="shared" si="35"/>
        <v>삼미금속</v>
      </c>
      <c r="K442" s="37" t="str">
        <f t="shared" si="36"/>
        <v>A012210</v>
      </c>
    </row>
    <row r="443" spans="1:11" x14ac:dyDescent="0.4">
      <c r="A443" s="49"/>
      <c r="B443" s="54" t="s">
        <v>1521</v>
      </c>
      <c r="C443" s="37" t="s">
        <v>1522</v>
      </c>
      <c r="D443" s="55" t="s">
        <v>805</v>
      </c>
      <c r="E443" s="58">
        <v>58.64</v>
      </c>
      <c r="F443" s="57">
        <v>0.2</v>
      </c>
      <c r="G443" s="57"/>
      <c r="H443" s="49"/>
      <c r="I443" s="49" t="str">
        <f t="shared" si="39"/>
        <v/>
      </c>
      <c r="J443" s="37" t="str">
        <f t="shared" si="35"/>
        <v>영화금속</v>
      </c>
      <c r="K443" s="37" t="str">
        <f t="shared" si="36"/>
        <v>A012280</v>
      </c>
    </row>
    <row r="444" spans="1:11" x14ac:dyDescent="0.4">
      <c r="A444" s="49"/>
      <c r="B444" s="54" t="s">
        <v>1523</v>
      </c>
      <c r="C444" s="37" t="s">
        <v>1524</v>
      </c>
      <c r="D444" s="55" t="s">
        <v>805</v>
      </c>
      <c r="E444" s="56">
        <v>223.26</v>
      </c>
      <c r="F444" s="55">
        <v>1.4</v>
      </c>
      <c r="G444" s="55"/>
      <c r="I444" s="49" t="str">
        <f t="shared" si="39"/>
        <v/>
      </c>
      <c r="J444" s="37" t="str">
        <f t="shared" si="35"/>
        <v>경동인베스트</v>
      </c>
      <c r="K444" s="37" t="str">
        <f t="shared" si="36"/>
        <v>A012320</v>
      </c>
    </row>
    <row r="445" spans="1:11" x14ac:dyDescent="0.4">
      <c r="A445" s="49"/>
      <c r="B445" s="54" t="s">
        <v>172</v>
      </c>
      <c r="C445" s="37" t="s">
        <v>173</v>
      </c>
      <c r="D445" s="55" t="s">
        <v>805</v>
      </c>
      <c r="E445" s="56">
        <v>46908.75</v>
      </c>
      <c r="F445" s="55">
        <v>129.35</v>
      </c>
      <c r="G445" s="55">
        <v>25</v>
      </c>
      <c r="I445" s="49">
        <f t="shared" si="39"/>
        <v>46908.75445</v>
      </c>
      <c r="J445" s="37" t="str">
        <f t="shared" si="35"/>
        <v>현대모비스</v>
      </c>
      <c r="K445" s="37" t="str">
        <f t="shared" si="36"/>
        <v>A012330</v>
      </c>
    </row>
    <row r="446" spans="1:11" x14ac:dyDescent="0.4">
      <c r="A446" s="49"/>
      <c r="B446" s="54" t="s">
        <v>1525</v>
      </c>
      <c r="C446" s="37" t="s">
        <v>1526</v>
      </c>
      <c r="D446" s="55" t="s">
        <v>820</v>
      </c>
      <c r="E446" s="56">
        <v>35.01</v>
      </c>
      <c r="F446" s="55">
        <v>0.91</v>
      </c>
      <c r="G446" s="55"/>
      <c r="I446" s="49" t="str">
        <f t="shared" si="39"/>
        <v/>
      </c>
      <c r="J446" s="37" t="str">
        <f t="shared" si="35"/>
        <v>뉴인텍</v>
      </c>
      <c r="K446" s="37" t="str">
        <f t="shared" si="36"/>
        <v>A012340</v>
      </c>
    </row>
    <row r="447" spans="1:11" x14ac:dyDescent="0.4">
      <c r="A447" s="49"/>
      <c r="B447" s="54" t="s">
        <v>73</v>
      </c>
      <c r="C447" s="37" t="s">
        <v>74</v>
      </c>
      <c r="D447" s="55" t="s">
        <v>805</v>
      </c>
      <c r="E447" s="58">
        <v>61618.26</v>
      </c>
      <c r="F447" s="57">
        <v>230.84</v>
      </c>
      <c r="G447" s="57">
        <v>18</v>
      </c>
      <c r="H447" s="49"/>
      <c r="I447" s="49">
        <f t="shared" si="39"/>
        <v>61618.264470000002</v>
      </c>
      <c r="J447" s="37" t="str">
        <f t="shared" si="35"/>
        <v>한화에어로스페이스</v>
      </c>
      <c r="K447" s="37" t="str">
        <f t="shared" si="36"/>
        <v>A012450</v>
      </c>
    </row>
    <row r="448" spans="1:11" x14ac:dyDescent="0.4">
      <c r="A448" s="49"/>
      <c r="B448" s="54" t="s">
        <v>382</v>
      </c>
      <c r="C448" s="37" t="s">
        <v>383</v>
      </c>
      <c r="D448" s="55" t="s">
        <v>805</v>
      </c>
      <c r="E448" s="58">
        <v>3597.32</v>
      </c>
      <c r="F448" s="57">
        <v>26.88</v>
      </c>
      <c r="G448" s="57">
        <v>4</v>
      </c>
      <c r="H448" s="49"/>
      <c r="I448" s="49">
        <f t="shared" si="39"/>
        <v>3597.3244800000002</v>
      </c>
      <c r="J448" s="37" t="str">
        <f t="shared" si="35"/>
        <v>더존비즈온</v>
      </c>
      <c r="K448" s="37" t="str">
        <f t="shared" si="36"/>
        <v>A012510</v>
      </c>
    </row>
    <row r="449" spans="1:11" x14ac:dyDescent="0.4">
      <c r="B449" s="54" t="s">
        <v>1527</v>
      </c>
      <c r="C449" s="37" t="s">
        <v>1528</v>
      </c>
      <c r="D449" s="55" t="s">
        <v>805</v>
      </c>
      <c r="E449" s="56">
        <v>186.44</v>
      </c>
      <c r="F449" s="55">
        <v>6.16</v>
      </c>
      <c r="G449" s="55"/>
      <c r="J449" s="37" t="str">
        <f t="shared" si="35"/>
        <v>경인양행</v>
      </c>
      <c r="K449" s="37" t="str">
        <f t="shared" si="36"/>
        <v>A012610</v>
      </c>
    </row>
    <row r="450" spans="1:11" x14ac:dyDescent="0.4">
      <c r="A450" s="49"/>
      <c r="B450" s="54" t="s">
        <v>1529</v>
      </c>
      <c r="C450" s="37" t="s">
        <v>1530</v>
      </c>
      <c r="D450" s="55" t="s">
        <v>820</v>
      </c>
      <c r="E450" s="56">
        <v>40.26</v>
      </c>
      <c r="F450" s="55">
        <v>0.1</v>
      </c>
      <c r="G450" s="55"/>
      <c r="J450" s="37" t="str">
        <f t="shared" si="35"/>
        <v>원일특강</v>
      </c>
      <c r="K450" s="37" t="str">
        <f t="shared" si="36"/>
        <v>A012620</v>
      </c>
    </row>
    <row r="451" spans="1:11" x14ac:dyDescent="0.4">
      <c r="A451" s="49"/>
      <c r="B451" s="54" t="s">
        <v>460</v>
      </c>
      <c r="C451" s="37" t="s">
        <v>461</v>
      </c>
      <c r="D451" s="55" t="s">
        <v>805</v>
      </c>
      <c r="E451" s="58">
        <v>1472.63</v>
      </c>
      <c r="F451" s="57">
        <v>3.32</v>
      </c>
      <c r="G451" s="57"/>
      <c r="H451" s="49"/>
      <c r="I451" s="49" t="str">
        <f>IF((G451&gt;$G$8),E451+ROW()/100000,"")</f>
        <v/>
      </c>
      <c r="J451" s="37" t="str">
        <f t="shared" si="35"/>
        <v>HDC</v>
      </c>
      <c r="K451" s="37" t="str">
        <f t="shared" si="36"/>
        <v>A012630</v>
      </c>
    </row>
    <row r="452" spans="1:11" x14ac:dyDescent="0.4">
      <c r="A452" s="49"/>
      <c r="B452" s="54" t="s">
        <v>1531</v>
      </c>
      <c r="C452" s="37" t="s">
        <v>1532</v>
      </c>
      <c r="D452" s="55" t="s">
        <v>805</v>
      </c>
      <c r="E452" s="59">
        <v>79.36</v>
      </c>
      <c r="F452" s="57">
        <v>0.74</v>
      </c>
      <c r="G452" s="57"/>
      <c r="H452" s="49"/>
      <c r="I452" s="49" t="str">
        <f>IF((G452&gt;$G$8),E452+ROW()/100000,"")</f>
        <v/>
      </c>
      <c r="J452" s="37" t="str">
        <f t="shared" si="35"/>
        <v>모나리자</v>
      </c>
      <c r="K452" s="37" t="str">
        <f t="shared" si="36"/>
        <v>A012690</v>
      </c>
    </row>
    <row r="453" spans="1:11" x14ac:dyDescent="0.4">
      <c r="A453" s="49"/>
      <c r="B453" s="54" t="s">
        <v>561</v>
      </c>
      <c r="C453" s="37" t="s">
        <v>562</v>
      </c>
      <c r="D453" s="55" t="s">
        <v>805</v>
      </c>
      <c r="E453" s="56">
        <v>16796.060000000001</v>
      </c>
      <c r="F453" s="55">
        <v>370.37</v>
      </c>
      <c r="G453" s="55">
        <v>1</v>
      </c>
      <c r="I453" s="49">
        <f>IF((G453&gt;$G$8),E453+ROW()/100000,"")</f>
        <v>16796.06453</v>
      </c>
      <c r="J453" s="37" t="str">
        <f t="shared" si="35"/>
        <v>삼성에피스홀딩스</v>
      </c>
      <c r="K453" s="37" t="str">
        <f t="shared" si="36"/>
        <v>A0126Z0</v>
      </c>
    </row>
    <row r="454" spans="1:11" x14ac:dyDescent="0.4">
      <c r="A454" s="49"/>
      <c r="B454" s="54" t="s">
        <v>1533</v>
      </c>
      <c r="C454" s="37" t="s">
        <v>1534</v>
      </c>
      <c r="D454" s="55" t="s">
        <v>820</v>
      </c>
      <c r="E454" s="56">
        <v>98.12</v>
      </c>
      <c r="F454" s="55">
        <v>0.24</v>
      </c>
      <c r="G454" s="55"/>
      <c r="I454" s="49" t="str">
        <f>IF((G454&gt;$G$8),E454+ROW()/100000,"")</f>
        <v/>
      </c>
      <c r="J454" s="37" t="str">
        <f t="shared" si="35"/>
        <v>리드코프</v>
      </c>
      <c r="K454" s="37" t="str">
        <f t="shared" si="36"/>
        <v>A012700</v>
      </c>
    </row>
    <row r="455" spans="1:11" x14ac:dyDescent="0.4">
      <c r="B455" s="54" t="s">
        <v>1535</v>
      </c>
      <c r="C455" s="37" t="s">
        <v>1536</v>
      </c>
      <c r="D455" s="55" t="s">
        <v>805</v>
      </c>
      <c r="E455" s="56">
        <v>3336.33</v>
      </c>
      <c r="F455" s="55">
        <v>4.13</v>
      </c>
      <c r="G455" s="55">
        <v>5</v>
      </c>
      <c r="J455" s="37" t="str">
        <f t="shared" si="35"/>
        <v>에스원</v>
      </c>
      <c r="K455" s="37" t="str">
        <f t="shared" si="36"/>
        <v>A012750</v>
      </c>
    </row>
    <row r="456" spans="1:11" x14ac:dyDescent="0.4">
      <c r="A456" s="49"/>
      <c r="B456" s="54" t="s">
        <v>1537</v>
      </c>
      <c r="C456" s="37" t="s">
        <v>1538</v>
      </c>
      <c r="D456" s="55" t="s">
        <v>820</v>
      </c>
      <c r="E456" s="58">
        <v>75.75</v>
      </c>
      <c r="F456" s="57">
        <v>0.44</v>
      </c>
      <c r="G456" s="57"/>
      <c r="H456" s="49"/>
      <c r="I456" s="49" t="str">
        <f>IF((G456&gt;$G$8),E456+ROW()/100000,"")</f>
        <v/>
      </c>
      <c r="J456" s="37" t="str">
        <f t="shared" si="35"/>
        <v>신일제약</v>
      </c>
      <c r="K456" s="37" t="str">
        <f t="shared" si="36"/>
        <v>A012790</v>
      </c>
    </row>
    <row r="457" spans="1:11" x14ac:dyDescent="0.4">
      <c r="A457" s="49"/>
      <c r="B457" s="54" t="s">
        <v>1539</v>
      </c>
      <c r="C457" s="37" t="s">
        <v>1540</v>
      </c>
      <c r="D457" s="55" t="s">
        <v>805</v>
      </c>
      <c r="E457" s="58">
        <v>137.9</v>
      </c>
      <c r="F457" s="57">
        <v>2.36</v>
      </c>
      <c r="G457" s="57"/>
      <c r="H457" s="49"/>
      <c r="I457" s="49" t="str">
        <f>IF((G457&gt;$G$8),E457+ROW()/100000,"")</f>
        <v/>
      </c>
      <c r="J457" s="37" t="str">
        <f t="shared" si="35"/>
        <v>대창</v>
      </c>
      <c r="K457" s="37" t="str">
        <f t="shared" si="36"/>
        <v>A012800</v>
      </c>
    </row>
    <row r="458" spans="1:11" x14ac:dyDescent="0.4">
      <c r="A458" s="49"/>
      <c r="B458" s="54" t="s">
        <v>1541</v>
      </c>
      <c r="C458" s="37" t="s">
        <v>1542</v>
      </c>
      <c r="D458" s="55" t="s">
        <v>820</v>
      </c>
      <c r="E458" s="56">
        <v>367.63</v>
      </c>
      <c r="F458" s="55">
        <v>16.36</v>
      </c>
      <c r="G458" s="55"/>
      <c r="I458" s="49" t="str">
        <f>IF((G458&gt;$G$8),E458+ROW()/100000,"")</f>
        <v/>
      </c>
      <c r="J458" s="37" t="str">
        <f t="shared" si="35"/>
        <v>모베이스전자</v>
      </c>
      <c r="K458" s="37" t="str">
        <f t="shared" si="36"/>
        <v>A012860</v>
      </c>
    </row>
    <row r="459" spans="1:11" x14ac:dyDescent="0.4">
      <c r="A459" s="49"/>
      <c r="B459" s="54" t="s">
        <v>1543</v>
      </c>
      <c r="C459" s="37" t="s">
        <v>1544</v>
      </c>
      <c r="D459" s="55" t="s">
        <v>805</v>
      </c>
      <c r="E459" s="58">
        <v>32.06</v>
      </c>
      <c r="F459" s="57">
        <v>0.08</v>
      </c>
      <c r="G459" s="57"/>
      <c r="H459" s="49"/>
      <c r="I459" s="49" t="str">
        <f>IF((G459&gt;$G$8),E459+ROW()/100000,"")</f>
        <v/>
      </c>
      <c r="J459" s="37" t="str">
        <f t="shared" si="35"/>
        <v>세우글로벌</v>
      </c>
      <c r="K459" s="37" t="str">
        <f t="shared" si="36"/>
        <v>A013000</v>
      </c>
    </row>
    <row r="460" spans="1:11" x14ac:dyDescent="0.4">
      <c r="A460" s="49"/>
      <c r="B460" s="54" t="s">
        <v>1545</v>
      </c>
      <c r="C460" s="37" t="s">
        <v>1546</v>
      </c>
      <c r="D460" s="55" t="s">
        <v>820</v>
      </c>
      <c r="E460" s="56">
        <v>452.49</v>
      </c>
      <c r="F460" s="55">
        <v>3.72</v>
      </c>
      <c r="G460" s="55"/>
      <c r="I460" s="49" t="str">
        <f>IF((G460&gt;$G$8),E460+ROW()/100000,"")</f>
        <v/>
      </c>
      <c r="J460" s="37" t="str">
        <f t="shared" si="35"/>
        <v>하이록코리아</v>
      </c>
      <c r="K460" s="37" t="str">
        <f t="shared" si="36"/>
        <v>A013030</v>
      </c>
    </row>
    <row r="461" spans="1:11" x14ac:dyDescent="0.4">
      <c r="B461" s="54" t="s">
        <v>1547</v>
      </c>
      <c r="C461" s="37" t="s">
        <v>1548</v>
      </c>
      <c r="D461" s="55" t="s">
        <v>820</v>
      </c>
      <c r="E461" s="56">
        <v>284.23</v>
      </c>
      <c r="F461" s="55">
        <v>0.38</v>
      </c>
      <c r="G461" s="55"/>
      <c r="J461" s="37" t="str">
        <f t="shared" si="35"/>
        <v>동원개발</v>
      </c>
      <c r="K461" s="37" t="str">
        <f t="shared" si="36"/>
        <v>A013120</v>
      </c>
    </row>
    <row r="462" spans="1:11" x14ac:dyDescent="0.4">
      <c r="A462" s="49"/>
      <c r="B462" s="54" t="s">
        <v>1549</v>
      </c>
      <c r="C462" s="37" t="s">
        <v>1550</v>
      </c>
      <c r="D462" s="55" t="s">
        <v>820</v>
      </c>
      <c r="E462" s="59">
        <v>138.54</v>
      </c>
      <c r="F462" s="57">
        <v>3.37</v>
      </c>
      <c r="G462" s="57">
        <v>1</v>
      </c>
      <c r="H462" s="49"/>
      <c r="I462" s="49">
        <f t="shared" ref="I462:I472" si="40">IF((G462&gt;$G$8),E462+ROW()/100000,"")</f>
        <v>138.54461999999998</v>
      </c>
      <c r="J462" s="37" t="str">
        <f t="shared" ref="J462:J525" si="41">C462</f>
        <v>아진산업</v>
      </c>
      <c r="K462" s="37" t="str">
        <f t="shared" ref="K462:K525" si="42">B462</f>
        <v>A013310</v>
      </c>
    </row>
    <row r="463" spans="1:11" x14ac:dyDescent="0.4">
      <c r="A463" s="49"/>
      <c r="B463" s="54" t="s">
        <v>1551</v>
      </c>
      <c r="C463" s="37" t="s">
        <v>1552</v>
      </c>
      <c r="D463" s="55" t="s">
        <v>805</v>
      </c>
      <c r="E463" s="58">
        <v>96.7</v>
      </c>
      <c r="F463" s="57">
        <v>4.1900000000000004</v>
      </c>
      <c r="G463" s="57"/>
      <c r="H463" s="49"/>
      <c r="I463" s="49" t="str">
        <f t="shared" si="40"/>
        <v/>
      </c>
      <c r="J463" s="37" t="str">
        <f t="shared" si="41"/>
        <v>일성건설</v>
      </c>
      <c r="K463" s="37" t="str">
        <f t="shared" si="42"/>
        <v>A013360</v>
      </c>
    </row>
    <row r="464" spans="1:11" x14ac:dyDescent="0.4">
      <c r="A464" s="49"/>
      <c r="B464" s="54" t="s">
        <v>1553</v>
      </c>
      <c r="C464" s="37" t="s">
        <v>1554</v>
      </c>
      <c r="D464" s="55" t="s">
        <v>805</v>
      </c>
      <c r="E464" s="58">
        <v>173.93</v>
      </c>
      <c r="F464" s="57">
        <v>0.89</v>
      </c>
      <c r="G464" s="57"/>
      <c r="H464" s="49"/>
      <c r="I464" s="49" t="str">
        <f t="shared" si="40"/>
        <v/>
      </c>
      <c r="J464" s="37" t="str">
        <f t="shared" si="41"/>
        <v>화승코퍼레이션</v>
      </c>
      <c r="K464" s="37" t="str">
        <f t="shared" si="42"/>
        <v>A013520</v>
      </c>
    </row>
    <row r="465" spans="1:11" x14ac:dyDescent="0.4">
      <c r="A465" s="49"/>
      <c r="B465" s="54" t="s">
        <v>1555</v>
      </c>
      <c r="C465" s="37" t="s">
        <v>1556</v>
      </c>
      <c r="D465" s="55" t="s">
        <v>805</v>
      </c>
      <c r="E465" s="58">
        <v>137.38999999999999</v>
      </c>
      <c r="F465" s="57">
        <v>0.53</v>
      </c>
      <c r="G465" s="57"/>
      <c r="H465" s="49"/>
      <c r="I465" s="49" t="str">
        <f t="shared" si="40"/>
        <v/>
      </c>
      <c r="J465" s="37" t="str">
        <f t="shared" si="41"/>
        <v>디와이</v>
      </c>
      <c r="K465" s="37" t="str">
        <f t="shared" si="42"/>
        <v>A013570</v>
      </c>
    </row>
    <row r="466" spans="1:11" x14ac:dyDescent="0.4">
      <c r="A466" s="49"/>
      <c r="B466" s="54" t="s">
        <v>1557</v>
      </c>
      <c r="C466" s="37" t="s">
        <v>1558</v>
      </c>
      <c r="D466" s="55" t="s">
        <v>805</v>
      </c>
      <c r="E466" s="58">
        <v>253.19</v>
      </c>
      <c r="F466" s="57">
        <v>1.73</v>
      </c>
      <c r="G466" s="57">
        <v>1</v>
      </c>
      <c r="H466" s="49"/>
      <c r="I466" s="49">
        <f t="shared" si="40"/>
        <v>253.19466</v>
      </c>
      <c r="J466" s="37" t="str">
        <f t="shared" si="41"/>
        <v>계룡건설</v>
      </c>
      <c r="K466" s="37" t="str">
        <f t="shared" si="42"/>
        <v>A013580</v>
      </c>
    </row>
    <row r="467" spans="1:11" x14ac:dyDescent="0.4">
      <c r="A467" s="49"/>
      <c r="B467" s="54" t="s">
        <v>1559</v>
      </c>
      <c r="C467" s="37" t="s">
        <v>1560</v>
      </c>
      <c r="D467" s="55" t="s">
        <v>805</v>
      </c>
      <c r="E467" s="56">
        <v>78.87</v>
      </c>
      <c r="F467" s="55">
        <v>0.32</v>
      </c>
      <c r="G467" s="55"/>
      <c r="I467" s="49" t="str">
        <f t="shared" si="40"/>
        <v/>
      </c>
      <c r="J467" s="37" t="str">
        <f t="shared" si="41"/>
        <v>까뮤이앤씨</v>
      </c>
      <c r="K467" s="37" t="str">
        <f t="shared" si="42"/>
        <v>A013700</v>
      </c>
    </row>
    <row r="468" spans="1:11" x14ac:dyDescent="0.4">
      <c r="A468" s="49"/>
      <c r="B468" s="54" t="s">
        <v>1561</v>
      </c>
      <c r="C468" s="37" t="s">
        <v>1562</v>
      </c>
      <c r="D468" s="55" t="s">
        <v>820</v>
      </c>
      <c r="E468" s="56">
        <v>48.72</v>
      </c>
      <c r="F468" s="55">
        <v>0.64</v>
      </c>
      <c r="G468" s="55"/>
      <c r="I468" s="49" t="str">
        <f t="shared" si="40"/>
        <v/>
      </c>
      <c r="J468" s="37" t="str">
        <f t="shared" si="41"/>
        <v>THE CUBE&amp;</v>
      </c>
      <c r="K468" s="37" t="str">
        <f t="shared" si="42"/>
        <v>A013720</v>
      </c>
    </row>
    <row r="469" spans="1:11" x14ac:dyDescent="0.4">
      <c r="A469" s="49"/>
      <c r="B469" s="54" t="s">
        <v>1563</v>
      </c>
      <c r="C469" s="37" t="s">
        <v>1564</v>
      </c>
      <c r="D469" s="55" t="s">
        <v>820</v>
      </c>
      <c r="E469" s="58">
        <v>38.76</v>
      </c>
      <c r="F469" s="57">
        <v>0.39</v>
      </c>
      <c r="G469" s="57"/>
      <c r="H469" s="49"/>
      <c r="I469" s="49" t="str">
        <f t="shared" si="40"/>
        <v/>
      </c>
      <c r="J469" s="37" t="str">
        <f t="shared" si="41"/>
        <v>스페코</v>
      </c>
      <c r="K469" s="37" t="str">
        <f t="shared" si="42"/>
        <v>A013810</v>
      </c>
    </row>
    <row r="470" spans="1:11" x14ac:dyDescent="0.4">
      <c r="A470" s="49"/>
      <c r="B470" s="54" t="s">
        <v>1565</v>
      </c>
      <c r="C470" s="37" t="s">
        <v>1566</v>
      </c>
      <c r="D470" s="55" t="s">
        <v>805</v>
      </c>
      <c r="E470" s="58">
        <v>105.28</v>
      </c>
      <c r="F470" s="57">
        <v>0.45</v>
      </c>
      <c r="G470" s="57"/>
      <c r="H470" s="49"/>
      <c r="I470" s="49" t="str">
        <f t="shared" si="40"/>
        <v/>
      </c>
      <c r="J470" s="37" t="str">
        <f t="shared" si="41"/>
        <v>지엠비코리아</v>
      </c>
      <c r="K470" s="37" t="str">
        <f t="shared" si="42"/>
        <v>A013870</v>
      </c>
    </row>
    <row r="471" spans="1:11" x14ac:dyDescent="0.4">
      <c r="A471" s="49"/>
      <c r="B471" s="54" t="s">
        <v>1567</v>
      </c>
      <c r="C471" s="37" t="s">
        <v>1568</v>
      </c>
      <c r="D471" s="55" t="s">
        <v>805</v>
      </c>
      <c r="E471" s="58">
        <v>277.74</v>
      </c>
      <c r="F471" s="57">
        <v>0.83</v>
      </c>
      <c r="G471" s="57"/>
      <c r="H471" s="49"/>
      <c r="I471" s="49" t="str">
        <f t="shared" si="40"/>
        <v/>
      </c>
      <c r="J471" s="37" t="str">
        <f t="shared" si="41"/>
        <v>지누스</v>
      </c>
      <c r="K471" s="37" t="str">
        <f t="shared" si="42"/>
        <v>A013890</v>
      </c>
    </row>
    <row r="472" spans="1:11" x14ac:dyDescent="0.4">
      <c r="A472" s="49"/>
      <c r="B472" s="54" t="s">
        <v>1569</v>
      </c>
      <c r="C472" s="37" t="s">
        <v>1570</v>
      </c>
      <c r="D472" s="55" t="s">
        <v>820</v>
      </c>
      <c r="E472" s="58">
        <v>163.29</v>
      </c>
      <c r="F472" s="57">
        <v>1.1200000000000001</v>
      </c>
      <c r="G472" s="57"/>
      <c r="H472" s="49"/>
      <c r="I472" s="49" t="str">
        <f t="shared" si="40"/>
        <v/>
      </c>
      <c r="J472" s="37" t="str">
        <f t="shared" si="41"/>
        <v>아가방컴퍼니</v>
      </c>
      <c r="K472" s="37" t="str">
        <f t="shared" si="42"/>
        <v>A013990</v>
      </c>
    </row>
    <row r="473" spans="1:11" x14ac:dyDescent="0.4">
      <c r="B473" s="54" t="s">
        <v>1571</v>
      </c>
      <c r="C473" s="37" t="s">
        <v>1572</v>
      </c>
      <c r="D473" s="55" t="s">
        <v>820</v>
      </c>
      <c r="E473" s="56">
        <v>19.91</v>
      </c>
      <c r="F473" s="55">
        <v>0.16</v>
      </c>
      <c r="G473" s="55"/>
      <c r="J473" s="37" t="str">
        <f t="shared" si="41"/>
        <v>메디앙스</v>
      </c>
      <c r="K473" s="37" t="str">
        <f t="shared" si="42"/>
        <v>A014100</v>
      </c>
    </row>
    <row r="474" spans="1:11" x14ac:dyDescent="0.4">
      <c r="A474" s="49"/>
      <c r="B474" s="54" t="s">
        <v>1573</v>
      </c>
      <c r="C474" s="37" t="s">
        <v>1574</v>
      </c>
      <c r="D474" s="55" t="s">
        <v>805</v>
      </c>
      <c r="E474" s="58">
        <v>35.64</v>
      </c>
      <c r="F474" s="57">
        <v>0.09</v>
      </c>
      <c r="G474" s="57"/>
      <c r="H474" s="49"/>
      <c r="I474" s="49" t="str">
        <f>IF((G474&gt;$G$8),E474+ROW()/100000,"")</f>
        <v/>
      </c>
      <c r="J474" s="37" t="str">
        <f t="shared" si="41"/>
        <v>한익스프레스</v>
      </c>
      <c r="K474" s="37" t="str">
        <f t="shared" si="42"/>
        <v>A014130</v>
      </c>
    </row>
    <row r="475" spans="1:11" x14ac:dyDescent="0.4">
      <c r="A475" s="49"/>
      <c r="B475" s="54" t="s">
        <v>1575</v>
      </c>
      <c r="C475" s="37" t="s">
        <v>1576</v>
      </c>
      <c r="D475" s="55" t="s">
        <v>805</v>
      </c>
      <c r="E475" s="56">
        <v>114.68</v>
      </c>
      <c r="F475" s="55">
        <v>0.5</v>
      </c>
      <c r="G475" s="55"/>
      <c r="J475" s="37" t="str">
        <f t="shared" si="41"/>
        <v>대영포장</v>
      </c>
      <c r="K475" s="37" t="str">
        <f t="shared" si="42"/>
        <v>A014160</v>
      </c>
    </row>
    <row r="476" spans="1:11" x14ac:dyDescent="0.4">
      <c r="A476" s="49"/>
      <c r="B476" s="54" t="s">
        <v>1577</v>
      </c>
      <c r="C476" s="37" t="s">
        <v>1578</v>
      </c>
      <c r="D476" s="55" t="s">
        <v>820</v>
      </c>
      <c r="E476" s="58">
        <v>69.53</v>
      </c>
      <c r="F476" s="57">
        <v>1.96</v>
      </c>
      <c r="G476" s="57"/>
      <c r="H476" s="49"/>
      <c r="I476" s="49" t="str">
        <f t="shared" ref="I476:I488" si="43">IF((G476&gt;$G$8),E476+ROW()/100000,"")</f>
        <v/>
      </c>
      <c r="J476" s="37" t="str">
        <f t="shared" si="41"/>
        <v>원익큐브</v>
      </c>
      <c r="K476" s="37" t="str">
        <f t="shared" si="42"/>
        <v>A014190</v>
      </c>
    </row>
    <row r="477" spans="1:11" x14ac:dyDescent="0.4">
      <c r="A477" s="49"/>
      <c r="B477" s="54" t="s">
        <v>1579</v>
      </c>
      <c r="C477" s="37" t="s">
        <v>1580</v>
      </c>
      <c r="D477" s="55" t="s">
        <v>805</v>
      </c>
      <c r="E477" s="56">
        <v>161.6</v>
      </c>
      <c r="F477" s="55">
        <v>10.98</v>
      </c>
      <c r="G477" s="55"/>
      <c r="I477" s="49" t="str">
        <f t="shared" si="43"/>
        <v/>
      </c>
      <c r="J477" s="37" t="str">
        <f t="shared" si="41"/>
        <v>금강공업</v>
      </c>
      <c r="K477" s="37" t="str">
        <f t="shared" si="42"/>
        <v>A014280</v>
      </c>
    </row>
    <row r="478" spans="1:11" x14ac:dyDescent="0.4">
      <c r="A478" s="49"/>
      <c r="B478" s="54" t="s">
        <v>1581</v>
      </c>
      <c r="C478" s="37" t="s">
        <v>1582</v>
      </c>
      <c r="D478" s="55" t="s">
        <v>805</v>
      </c>
      <c r="E478" s="58">
        <v>97.8</v>
      </c>
      <c r="F478" s="57">
        <v>0.33</v>
      </c>
      <c r="G478" s="57"/>
      <c r="H478" s="49"/>
      <c r="I478" s="49" t="str">
        <f t="shared" si="43"/>
        <v/>
      </c>
      <c r="J478" s="37" t="str">
        <f t="shared" si="41"/>
        <v>영보화학</v>
      </c>
      <c r="K478" s="37" t="str">
        <f t="shared" si="42"/>
        <v>A014440</v>
      </c>
    </row>
    <row r="479" spans="1:11" x14ac:dyDescent="0.4">
      <c r="A479" s="49"/>
      <c r="B479" s="54" t="s">
        <v>1583</v>
      </c>
      <c r="C479" s="37" t="s">
        <v>1584</v>
      </c>
      <c r="D479" s="55" t="s">
        <v>820</v>
      </c>
      <c r="E479" s="57">
        <v>84.79</v>
      </c>
      <c r="F479" s="55">
        <v>0.16</v>
      </c>
      <c r="G479" s="55"/>
      <c r="I479" s="49" t="str">
        <f t="shared" si="43"/>
        <v/>
      </c>
      <c r="J479" s="37" t="str">
        <f t="shared" si="41"/>
        <v>부방</v>
      </c>
      <c r="K479" s="37" t="str">
        <f t="shared" si="42"/>
        <v>A014470</v>
      </c>
    </row>
    <row r="480" spans="1:11" x14ac:dyDescent="0.4">
      <c r="A480" s="49"/>
      <c r="B480" s="54" t="s">
        <v>1585</v>
      </c>
      <c r="C480" s="37" t="s">
        <v>1586</v>
      </c>
      <c r="D480" s="55" t="s">
        <v>805</v>
      </c>
      <c r="E480" s="57">
        <v>123.79</v>
      </c>
      <c r="F480" s="55">
        <v>0.82</v>
      </c>
      <c r="G480" s="55"/>
      <c r="I480" s="49" t="str">
        <f t="shared" si="43"/>
        <v/>
      </c>
      <c r="J480" s="37" t="str">
        <f t="shared" si="41"/>
        <v>극동유화</v>
      </c>
      <c r="K480" s="37" t="str">
        <f t="shared" si="42"/>
        <v>A014530</v>
      </c>
    </row>
    <row r="481" spans="1:11" x14ac:dyDescent="0.4">
      <c r="A481" s="49"/>
      <c r="B481" s="54" t="s">
        <v>1587</v>
      </c>
      <c r="C481" s="37" t="s">
        <v>1588</v>
      </c>
      <c r="D481" s="55" t="s">
        <v>820</v>
      </c>
      <c r="E481" s="58">
        <v>46.31</v>
      </c>
      <c r="F481" s="57">
        <v>0.09</v>
      </c>
      <c r="G481" s="57"/>
      <c r="H481" s="49"/>
      <c r="I481" s="49" t="str">
        <f t="shared" si="43"/>
        <v/>
      </c>
      <c r="J481" s="37" t="str">
        <f t="shared" si="41"/>
        <v>고려제약</v>
      </c>
      <c r="K481" s="37" t="str">
        <f t="shared" si="42"/>
        <v>A014570</v>
      </c>
    </row>
    <row r="482" spans="1:11" x14ac:dyDescent="0.4">
      <c r="A482" s="49"/>
      <c r="B482" s="54" t="s">
        <v>1589</v>
      </c>
      <c r="C482" s="37" t="s">
        <v>1590</v>
      </c>
      <c r="D482" s="55" t="s">
        <v>805</v>
      </c>
      <c r="E482" s="58">
        <v>125.78</v>
      </c>
      <c r="F482" s="57">
        <v>0.65</v>
      </c>
      <c r="G482" s="57"/>
      <c r="H482" s="49"/>
      <c r="I482" s="49" t="str">
        <f t="shared" si="43"/>
        <v/>
      </c>
      <c r="J482" s="37" t="str">
        <f t="shared" si="41"/>
        <v>태경비케이</v>
      </c>
      <c r="K482" s="37" t="str">
        <f t="shared" si="42"/>
        <v>A014580</v>
      </c>
    </row>
    <row r="483" spans="1:11" x14ac:dyDescent="0.4">
      <c r="A483" s="49"/>
      <c r="B483" s="54" t="s">
        <v>370</v>
      </c>
      <c r="C483" s="37" t="s">
        <v>371</v>
      </c>
      <c r="D483" s="55" t="s">
        <v>820</v>
      </c>
      <c r="E483" s="56">
        <v>929.51</v>
      </c>
      <c r="F483" s="55">
        <v>8.67</v>
      </c>
      <c r="G483" s="55">
        <v>1</v>
      </c>
      <c r="I483" s="49">
        <f t="shared" si="43"/>
        <v>929.51482999999996</v>
      </c>
      <c r="J483" s="37" t="str">
        <f t="shared" si="41"/>
        <v>성광벤드</v>
      </c>
      <c r="K483" s="37" t="str">
        <f t="shared" si="42"/>
        <v>A014620</v>
      </c>
    </row>
    <row r="484" spans="1:11" x14ac:dyDescent="0.4">
      <c r="A484" s="49"/>
      <c r="B484" s="54" t="s">
        <v>152</v>
      </c>
      <c r="C484" s="37" t="s">
        <v>153</v>
      </c>
      <c r="D484" s="55" t="s">
        <v>805</v>
      </c>
      <c r="E484" s="58">
        <v>3831.3</v>
      </c>
      <c r="F484" s="57">
        <v>15.26</v>
      </c>
      <c r="G484" s="57">
        <v>6</v>
      </c>
      <c r="H484" s="49"/>
      <c r="I484" s="49">
        <f t="shared" si="43"/>
        <v>3831.3048400000002</v>
      </c>
      <c r="J484" s="37" t="str">
        <f t="shared" si="41"/>
        <v>한솔케미칼</v>
      </c>
      <c r="K484" s="37" t="str">
        <f t="shared" si="42"/>
        <v>A014680</v>
      </c>
    </row>
    <row r="485" spans="1:11" x14ac:dyDescent="0.4">
      <c r="A485" s="49"/>
      <c r="B485" s="54" t="s">
        <v>1591</v>
      </c>
      <c r="C485" s="37" t="s">
        <v>1592</v>
      </c>
      <c r="D485" s="55" t="s">
        <v>805</v>
      </c>
      <c r="E485" s="58">
        <v>154.97</v>
      </c>
      <c r="F485" s="57">
        <v>0.8</v>
      </c>
      <c r="G485" s="57"/>
      <c r="H485" s="49"/>
      <c r="I485" s="49" t="str">
        <f t="shared" si="43"/>
        <v/>
      </c>
      <c r="J485" s="37" t="str">
        <f t="shared" si="41"/>
        <v>사조씨푸드</v>
      </c>
      <c r="K485" s="37" t="str">
        <f t="shared" si="42"/>
        <v>A014710</v>
      </c>
    </row>
    <row r="486" spans="1:11" x14ac:dyDescent="0.4">
      <c r="A486" s="49"/>
      <c r="B486" s="54" t="s">
        <v>1593</v>
      </c>
      <c r="C486" s="37" t="s">
        <v>1594</v>
      </c>
      <c r="D486" s="55" t="s">
        <v>805</v>
      </c>
      <c r="E486" s="56">
        <v>139.51</v>
      </c>
      <c r="F486" s="55">
        <v>0.55000000000000004</v>
      </c>
      <c r="G486" s="55">
        <v>3</v>
      </c>
      <c r="I486" s="49">
        <f t="shared" si="43"/>
        <v>139.51486</v>
      </c>
      <c r="J486" s="37" t="str">
        <f t="shared" si="41"/>
        <v>HL D&amp;I</v>
      </c>
      <c r="K486" s="37" t="str">
        <f t="shared" si="42"/>
        <v>A014790</v>
      </c>
    </row>
    <row r="487" spans="1:11" x14ac:dyDescent="0.4">
      <c r="A487" s="49"/>
      <c r="B487" s="54" t="s">
        <v>655</v>
      </c>
      <c r="C487" s="37" t="s">
        <v>656</v>
      </c>
      <c r="D487" s="55" t="s">
        <v>805</v>
      </c>
      <c r="E487" s="58">
        <v>766.82</v>
      </c>
      <c r="F487" s="57">
        <v>0.85</v>
      </c>
      <c r="G487" s="57"/>
      <c r="H487" s="49"/>
      <c r="I487" s="49" t="str">
        <f t="shared" si="43"/>
        <v/>
      </c>
      <c r="J487" s="37" t="str">
        <f t="shared" si="41"/>
        <v>동원시스템즈</v>
      </c>
      <c r="K487" s="37" t="str">
        <f t="shared" si="42"/>
        <v>A014820</v>
      </c>
    </row>
    <row r="488" spans="1:11" x14ac:dyDescent="0.4">
      <c r="A488" s="49"/>
      <c r="B488" s="54" t="s">
        <v>1595</v>
      </c>
      <c r="C488" s="37" t="s">
        <v>1596</v>
      </c>
      <c r="D488" s="55" t="s">
        <v>805</v>
      </c>
      <c r="E488" s="58">
        <v>555.62</v>
      </c>
      <c r="F488" s="57">
        <v>2.09</v>
      </c>
      <c r="G488" s="57">
        <v>7</v>
      </c>
      <c r="H488" s="49"/>
      <c r="I488" s="49">
        <f t="shared" si="43"/>
        <v>555.62487999999996</v>
      </c>
      <c r="J488" s="37" t="str">
        <f t="shared" si="41"/>
        <v>유니드</v>
      </c>
      <c r="K488" s="37" t="str">
        <f t="shared" si="42"/>
        <v>A014830</v>
      </c>
    </row>
    <row r="489" spans="1:11" x14ac:dyDescent="0.4">
      <c r="B489" s="54" t="s">
        <v>1597</v>
      </c>
      <c r="C489" s="37" t="s">
        <v>1598</v>
      </c>
      <c r="D489" s="55" t="s">
        <v>805</v>
      </c>
      <c r="E489" s="56">
        <v>39.979999999999997</v>
      </c>
      <c r="F489" s="55">
        <v>2.4</v>
      </c>
      <c r="G489" s="55"/>
      <c r="J489" s="37" t="str">
        <f t="shared" si="41"/>
        <v>성문전자</v>
      </c>
      <c r="K489" s="37" t="str">
        <f t="shared" si="42"/>
        <v>A014910</v>
      </c>
    </row>
    <row r="490" spans="1:11" x14ac:dyDescent="0.4">
      <c r="A490" s="49"/>
      <c r="B490" s="54" t="s">
        <v>1599</v>
      </c>
      <c r="C490" s="37" t="s">
        <v>1600</v>
      </c>
      <c r="D490" s="55" t="s">
        <v>820</v>
      </c>
      <c r="E490" s="58">
        <v>363.68</v>
      </c>
      <c r="F490" s="57">
        <v>19.21</v>
      </c>
      <c r="G490" s="57"/>
      <c r="H490" s="49"/>
      <c r="I490" s="49" t="str">
        <f t="shared" ref="I490:I512" si="44">IF((G490&gt;$G$8),E490+ROW()/100000,"")</f>
        <v/>
      </c>
      <c r="J490" s="37" t="str">
        <f t="shared" si="41"/>
        <v>오리엔탈정공</v>
      </c>
      <c r="K490" s="37" t="str">
        <f t="shared" si="42"/>
        <v>A014940</v>
      </c>
    </row>
    <row r="491" spans="1:11" x14ac:dyDescent="0.4">
      <c r="A491" s="49"/>
      <c r="B491" s="54" t="s">
        <v>1601</v>
      </c>
      <c r="C491" s="37" t="s">
        <v>1602</v>
      </c>
      <c r="D491" s="55" t="s">
        <v>820</v>
      </c>
      <c r="E491" s="58">
        <v>125.53</v>
      </c>
      <c r="F491" s="57">
        <v>38.61</v>
      </c>
      <c r="G491" s="57"/>
      <c r="H491" s="49"/>
      <c r="I491" s="49" t="str">
        <f t="shared" si="44"/>
        <v/>
      </c>
      <c r="J491" s="37" t="str">
        <f t="shared" si="41"/>
        <v>삼익제약</v>
      </c>
      <c r="K491" s="37" t="str">
        <f t="shared" si="42"/>
        <v>A014950</v>
      </c>
    </row>
    <row r="492" spans="1:11" x14ac:dyDescent="0.4">
      <c r="A492" s="49"/>
      <c r="B492" s="54" t="s">
        <v>1603</v>
      </c>
      <c r="C492" s="37" t="s">
        <v>1604</v>
      </c>
      <c r="D492" s="55" t="s">
        <v>820</v>
      </c>
      <c r="E492" s="58">
        <v>97.86</v>
      </c>
      <c r="F492" s="57">
        <v>4.9000000000000004</v>
      </c>
      <c r="G492" s="57"/>
      <c r="H492" s="49"/>
      <c r="I492" s="49" t="str">
        <f t="shared" si="44"/>
        <v/>
      </c>
      <c r="J492" s="37" t="str">
        <f t="shared" si="41"/>
        <v>삼륭물산</v>
      </c>
      <c r="K492" s="37" t="str">
        <f t="shared" si="42"/>
        <v>A014970</v>
      </c>
    </row>
    <row r="493" spans="1:11" x14ac:dyDescent="0.4">
      <c r="A493" s="49"/>
      <c r="B493" s="54" t="s">
        <v>1605</v>
      </c>
      <c r="C493" s="37" t="s">
        <v>1606</v>
      </c>
      <c r="D493" s="55" t="s">
        <v>805</v>
      </c>
      <c r="E493" s="58">
        <v>66.25</v>
      </c>
      <c r="F493" s="57">
        <v>0.55000000000000004</v>
      </c>
      <c r="G493" s="57"/>
      <c r="H493" s="49"/>
      <c r="I493" s="49" t="str">
        <f t="shared" si="44"/>
        <v/>
      </c>
      <c r="J493" s="37" t="str">
        <f t="shared" si="41"/>
        <v>인디에프</v>
      </c>
      <c r="K493" s="37" t="str">
        <f t="shared" si="42"/>
        <v>A014990</v>
      </c>
    </row>
    <row r="494" spans="1:11" x14ac:dyDescent="0.4">
      <c r="A494" s="49"/>
      <c r="B494" s="54" t="s">
        <v>1607</v>
      </c>
      <c r="C494" s="37" t="s">
        <v>1608</v>
      </c>
      <c r="D494" s="55" t="s">
        <v>805</v>
      </c>
      <c r="E494" s="58">
        <v>20.23</v>
      </c>
      <c r="F494" s="57">
        <v>0.15</v>
      </c>
      <c r="G494" s="57"/>
      <c r="H494" s="49"/>
      <c r="I494" s="49" t="str">
        <f t="shared" si="44"/>
        <v/>
      </c>
      <c r="J494" s="37" t="str">
        <f t="shared" si="41"/>
        <v>이스타코</v>
      </c>
      <c r="K494" s="37" t="str">
        <f t="shared" si="42"/>
        <v>A015020</v>
      </c>
    </row>
    <row r="495" spans="1:11" x14ac:dyDescent="0.4">
      <c r="A495" s="49"/>
      <c r="B495" s="54" t="s">
        <v>1609</v>
      </c>
      <c r="C495" s="37" t="s">
        <v>1610</v>
      </c>
      <c r="D495" s="55" t="s">
        <v>805</v>
      </c>
      <c r="E495" s="58">
        <v>194.29</v>
      </c>
      <c r="F495" s="57">
        <v>0.7</v>
      </c>
      <c r="G495" s="57"/>
      <c r="H495" s="49"/>
      <c r="I495" s="49" t="str">
        <f t="shared" si="44"/>
        <v/>
      </c>
      <c r="J495" s="37" t="str">
        <f t="shared" si="41"/>
        <v>대창단조</v>
      </c>
      <c r="K495" s="37" t="str">
        <f t="shared" si="42"/>
        <v>A015230</v>
      </c>
    </row>
    <row r="496" spans="1:11" x14ac:dyDescent="0.4">
      <c r="A496" s="49"/>
      <c r="B496" s="54" t="s">
        <v>1611</v>
      </c>
      <c r="C496" s="37" t="s">
        <v>1612</v>
      </c>
      <c r="D496" s="55" t="s">
        <v>805</v>
      </c>
      <c r="E496" s="58">
        <v>27.12</v>
      </c>
      <c r="F496" s="57">
        <v>0.53</v>
      </c>
      <c r="G496" s="57"/>
      <c r="H496" s="49"/>
      <c r="I496" s="49" t="str">
        <f t="shared" si="44"/>
        <v/>
      </c>
      <c r="J496" s="37" t="str">
        <f t="shared" si="41"/>
        <v>에이엔피</v>
      </c>
      <c r="K496" s="37" t="str">
        <f t="shared" si="42"/>
        <v>A015260</v>
      </c>
    </row>
    <row r="497" spans="1:11" x14ac:dyDescent="0.4">
      <c r="A497" s="49"/>
      <c r="B497" s="54" t="s">
        <v>1613</v>
      </c>
      <c r="C497" s="37" t="s">
        <v>1614</v>
      </c>
      <c r="D497" s="55" t="s">
        <v>805</v>
      </c>
      <c r="E497" s="58">
        <v>440.61</v>
      </c>
      <c r="F497" s="57">
        <v>0.81</v>
      </c>
      <c r="G497" s="57"/>
      <c r="H497" s="49"/>
      <c r="I497" s="49" t="str">
        <f t="shared" si="44"/>
        <v/>
      </c>
      <c r="J497" s="37" t="str">
        <f t="shared" si="41"/>
        <v>INVENI</v>
      </c>
      <c r="K497" s="37" t="str">
        <f t="shared" si="42"/>
        <v>A015360</v>
      </c>
    </row>
    <row r="498" spans="1:11" x14ac:dyDescent="0.4">
      <c r="A498" s="49"/>
      <c r="B498" s="54" t="s">
        <v>1615</v>
      </c>
      <c r="C498" s="37" t="s">
        <v>1616</v>
      </c>
      <c r="D498" s="55" t="s">
        <v>805</v>
      </c>
      <c r="E498" s="58">
        <v>122.05</v>
      </c>
      <c r="F498" s="57">
        <v>0</v>
      </c>
      <c r="G498" s="57"/>
      <c r="H498" s="49"/>
      <c r="I498" s="49" t="str">
        <f t="shared" si="44"/>
        <v/>
      </c>
      <c r="J498" s="37" t="str">
        <f t="shared" si="41"/>
        <v>DKME</v>
      </c>
      <c r="K498" s="37" t="str">
        <f t="shared" si="42"/>
        <v>A015590</v>
      </c>
    </row>
    <row r="499" spans="1:11" x14ac:dyDescent="0.4">
      <c r="A499" s="49"/>
      <c r="B499" s="54" t="s">
        <v>1617</v>
      </c>
      <c r="C499" s="37" t="s">
        <v>1618</v>
      </c>
      <c r="D499" s="55" t="s">
        <v>820</v>
      </c>
      <c r="E499" s="58">
        <v>64.42</v>
      </c>
      <c r="F499" s="57">
        <v>0.65</v>
      </c>
      <c r="G499" s="57"/>
      <c r="H499" s="49"/>
      <c r="I499" s="49" t="str">
        <f t="shared" si="44"/>
        <v/>
      </c>
      <c r="J499" s="37" t="str">
        <f t="shared" si="41"/>
        <v>코콤</v>
      </c>
      <c r="K499" s="37" t="str">
        <f t="shared" si="42"/>
        <v>A015710</v>
      </c>
    </row>
    <row r="500" spans="1:11" x14ac:dyDescent="0.4">
      <c r="A500" s="49"/>
      <c r="B500" s="54" t="s">
        <v>1619</v>
      </c>
      <c r="C500" s="37" t="s">
        <v>1620</v>
      </c>
      <c r="D500" s="55" t="s">
        <v>820</v>
      </c>
      <c r="E500" s="58">
        <v>710.4</v>
      </c>
      <c r="F500" s="57">
        <v>6.49</v>
      </c>
      <c r="G500" s="57"/>
      <c r="H500" s="49"/>
      <c r="I500" s="49" t="str">
        <f t="shared" si="44"/>
        <v/>
      </c>
      <c r="J500" s="37" t="str">
        <f t="shared" si="41"/>
        <v>성우하이텍</v>
      </c>
      <c r="K500" s="37" t="str">
        <f t="shared" si="42"/>
        <v>A015750</v>
      </c>
    </row>
    <row r="501" spans="1:11" x14ac:dyDescent="0.4">
      <c r="A501" s="49"/>
      <c r="B501" s="54" t="s">
        <v>94</v>
      </c>
      <c r="C501" s="37" t="s">
        <v>95</v>
      </c>
      <c r="D501" s="55" t="s">
        <v>805</v>
      </c>
      <c r="E501" s="56">
        <v>37554.9</v>
      </c>
      <c r="F501" s="55">
        <v>195.92</v>
      </c>
      <c r="G501" s="55">
        <v>12</v>
      </c>
      <c r="I501" s="49">
        <f t="shared" si="44"/>
        <v>37554.905010000002</v>
      </c>
      <c r="J501" s="37" t="str">
        <f t="shared" si="41"/>
        <v>한국전력</v>
      </c>
      <c r="K501" s="37" t="str">
        <f t="shared" si="42"/>
        <v>A015760</v>
      </c>
    </row>
    <row r="502" spans="1:11" x14ac:dyDescent="0.4">
      <c r="A502" s="49"/>
      <c r="B502" s="54" t="s">
        <v>1621</v>
      </c>
      <c r="C502" s="37" t="s">
        <v>1622</v>
      </c>
      <c r="D502" s="55" t="s">
        <v>805</v>
      </c>
      <c r="E502" s="58">
        <v>451.04</v>
      </c>
      <c r="F502" s="57">
        <v>1.59</v>
      </c>
      <c r="G502" s="57"/>
      <c r="H502" s="49"/>
      <c r="I502" s="49" t="str">
        <f t="shared" si="44"/>
        <v/>
      </c>
      <c r="J502" s="37" t="str">
        <f t="shared" si="41"/>
        <v>일진홀딩스</v>
      </c>
      <c r="K502" s="37" t="str">
        <f t="shared" si="42"/>
        <v>A015860</v>
      </c>
    </row>
    <row r="503" spans="1:11" x14ac:dyDescent="0.4">
      <c r="A503" s="49"/>
      <c r="B503" s="54" t="s">
        <v>1623</v>
      </c>
      <c r="C503" s="37" t="s">
        <v>1624</v>
      </c>
      <c r="D503" s="55" t="s">
        <v>805</v>
      </c>
      <c r="E503" s="58">
        <v>143.81</v>
      </c>
      <c r="F503" s="57">
        <v>0.3</v>
      </c>
      <c r="G503" s="57"/>
      <c r="H503" s="49"/>
      <c r="I503" s="49" t="str">
        <f t="shared" si="44"/>
        <v/>
      </c>
      <c r="J503" s="37" t="str">
        <f t="shared" si="41"/>
        <v>태경산업</v>
      </c>
      <c r="K503" s="37" t="str">
        <f t="shared" si="42"/>
        <v>A015890</v>
      </c>
    </row>
    <row r="504" spans="1:11" x14ac:dyDescent="0.4">
      <c r="A504" s="49"/>
      <c r="B504" s="54" t="s">
        <v>1625</v>
      </c>
      <c r="C504" s="37" t="s">
        <v>1626</v>
      </c>
      <c r="D504" s="55" t="s">
        <v>805</v>
      </c>
      <c r="E504" s="56">
        <v>75.77</v>
      </c>
      <c r="F504" s="55">
        <v>0.16</v>
      </c>
      <c r="G504" s="55"/>
      <c r="I504" s="49" t="str">
        <f t="shared" si="44"/>
        <v/>
      </c>
      <c r="J504" s="37" t="str">
        <f t="shared" si="41"/>
        <v>대현</v>
      </c>
      <c r="K504" s="37" t="str">
        <f t="shared" si="42"/>
        <v>A016090</v>
      </c>
    </row>
    <row r="505" spans="1:11" x14ac:dyDescent="0.4">
      <c r="A505" s="49"/>
      <c r="B505" s="54" t="s">
        <v>1627</v>
      </c>
      <c r="C505" s="37" t="s">
        <v>1628</v>
      </c>
      <c r="D505" s="55" t="s">
        <v>820</v>
      </c>
      <c r="E505" s="57">
        <v>27.35</v>
      </c>
      <c r="F505" s="55">
        <v>0.11</v>
      </c>
      <c r="G505" s="55"/>
      <c r="I505" s="49" t="str">
        <f t="shared" si="44"/>
        <v/>
      </c>
      <c r="J505" s="37" t="str">
        <f t="shared" si="41"/>
        <v>리더스코스메틱</v>
      </c>
      <c r="K505" s="37" t="str">
        <f t="shared" si="42"/>
        <v>A016100</v>
      </c>
    </row>
    <row r="506" spans="1:11" x14ac:dyDescent="0.4">
      <c r="A506" s="49"/>
      <c r="B506" s="54" t="s">
        <v>1629</v>
      </c>
      <c r="C506" s="37" t="s">
        <v>1630</v>
      </c>
      <c r="D506" s="55" t="s">
        <v>820</v>
      </c>
      <c r="E506" s="58">
        <v>100.59</v>
      </c>
      <c r="F506" s="57">
        <v>0.19</v>
      </c>
      <c r="G506" s="57"/>
      <c r="H506" s="49"/>
      <c r="I506" s="49" t="str">
        <f t="shared" si="44"/>
        <v/>
      </c>
      <c r="J506" s="37" t="str">
        <f t="shared" si="41"/>
        <v>SGC E&amp;C</v>
      </c>
      <c r="K506" s="37" t="str">
        <f t="shared" si="42"/>
        <v>A016250</v>
      </c>
    </row>
    <row r="507" spans="1:11" x14ac:dyDescent="0.4">
      <c r="A507" s="49"/>
      <c r="B507" s="54" t="s">
        <v>96</v>
      </c>
      <c r="C507" s="37" t="s">
        <v>97</v>
      </c>
      <c r="D507" s="55" t="s">
        <v>805</v>
      </c>
      <c r="E507" s="58">
        <v>9537.24</v>
      </c>
      <c r="F507" s="57">
        <v>37.950000000000003</v>
      </c>
      <c r="G507" s="57">
        <v>15</v>
      </c>
      <c r="H507" s="49"/>
      <c r="I507" s="49">
        <f t="shared" si="44"/>
        <v>9537.245069999999</v>
      </c>
      <c r="J507" s="37" t="str">
        <f t="shared" si="41"/>
        <v>삼성증권</v>
      </c>
      <c r="K507" s="37" t="str">
        <f t="shared" si="42"/>
        <v>A016360</v>
      </c>
    </row>
    <row r="508" spans="1:11" x14ac:dyDescent="0.4">
      <c r="A508" s="49"/>
      <c r="B508" s="54" t="s">
        <v>1631</v>
      </c>
      <c r="C508" s="37" t="s">
        <v>1632</v>
      </c>
      <c r="D508" s="55" t="s">
        <v>805</v>
      </c>
      <c r="E508" s="58">
        <v>605.04999999999995</v>
      </c>
      <c r="F508" s="57">
        <v>1.1499999999999999</v>
      </c>
      <c r="G508" s="57">
        <v>1</v>
      </c>
      <c r="H508" s="49"/>
      <c r="I508" s="49">
        <f t="shared" si="44"/>
        <v>605.05507999999998</v>
      </c>
      <c r="J508" s="37" t="str">
        <f t="shared" si="41"/>
        <v>KG스틸</v>
      </c>
      <c r="K508" s="37" t="str">
        <f t="shared" si="42"/>
        <v>A016380</v>
      </c>
    </row>
    <row r="509" spans="1:11" x14ac:dyDescent="0.4">
      <c r="A509" s="49"/>
      <c r="B509" s="54" t="s">
        <v>1633</v>
      </c>
      <c r="C509" s="37" t="s">
        <v>1634</v>
      </c>
      <c r="D509" s="55" t="s">
        <v>805</v>
      </c>
      <c r="E509" s="58">
        <v>196.6</v>
      </c>
      <c r="F509" s="57">
        <v>0.19</v>
      </c>
      <c r="G509" s="57"/>
      <c r="H509" s="49"/>
      <c r="I509" s="49" t="str">
        <f t="shared" si="44"/>
        <v/>
      </c>
      <c r="J509" s="37" t="str">
        <f t="shared" si="41"/>
        <v>한세예스24홀딩스</v>
      </c>
      <c r="K509" s="37" t="str">
        <f t="shared" si="42"/>
        <v>A016450</v>
      </c>
    </row>
    <row r="510" spans="1:11" x14ac:dyDescent="0.4">
      <c r="A510" s="49"/>
      <c r="B510" s="54" t="s">
        <v>1635</v>
      </c>
      <c r="C510" s="37" t="s">
        <v>1636</v>
      </c>
      <c r="D510" s="55" t="s">
        <v>805</v>
      </c>
      <c r="E510" s="58">
        <v>201.44</v>
      </c>
      <c r="F510" s="57">
        <v>0.48</v>
      </c>
      <c r="G510" s="57"/>
      <c r="H510" s="49"/>
      <c r="I510" s="49" t="str">
        <f t="shared" si="44"/>
        <v/>
      </c>
      <c r="J510" s="37" t="str">
        <f t="shared" si="41"/>
        <v>환인제약</v>
      </c>
      <c r="K510" s="37" t="str">
        <f t="shared" si="42"/>
        <v>A016580</v>
      </c>
    </row>
    <row r="511" spans="1:11" x14ac:dyDescent="0.4">
      <c r="A511" s="49"/>
      <c r="B511" s="54" t="s">
        <v>1637</v>
      </c>
      <c r="C511" s="37" t="s">
        <v>1638</v>
      </c>
      <c r="D511" s="55" t="s">
        <v>805</v>
      </c>
      <c r="E511" s="56">
        <v>608.9</v>
      </c>
      <c r="F511" s="55">
        <v>0.88</v>
      </c>
      <c r="G511" s="55"/>
      <c r="I511" s="49" t="str">
        <f t="shared" si="44"/>
        <v/>
      </c>
      <c r="J511" s="37" t="str">
        <f t="shared" si="41"/>
        <v>신대양제지</v>
      </c>
      <c r="K511" s="37" t="str">
        <f t="shared" si="42"/>
        <v>A016590</v>
      </c>
    </row>
    <row r="512" spans="1:11" x14ac:dyDescent="0.4">
      <c r="A512" s="49"/>
      <c r="B512" s="54" t="s">
        <v>1639</v>
      </c>
      <c r="C512" s="37" t="s">
        <v>1640</v>
      </c>
      <c r="D512" s="55" t="s">
        <v>820</v>
      </c>
      <c r="E512" s="56">
        <v>64.17</v>
      </c>
      <c r="F512" s="55">
        <v>1.1000000000000001</v>
      </c>
      <c r="G512" s="55"/>
      <c r="I512" s="49" t="str">
        <f t="shared" si="44"/>
        <v/>
      </c>
      <c r="J512" s="37" t="str">
        <f t="shared" si="41"/>
        <v>큐캐피탈</v>
      </c>
      <c r="K512" s="37" t="str">
        <f t="shared" si="42"/>
        <v>A016600</v>
      </c>
    </row>
    <row r="513" spans="1:11" x14ac:dyDescent="0.4">
      <c r="B513" s="54" t="s">
        <v>462</v>
      </c>
      <c r="C513" s="37" t="s">
        <v>463</v>
      </c>
      <c r="D513" s="55" t="s">
        <v>805</v>
      </c>
      <c r="E513" s="56">
        <v>663.44</v>
      </c>
      <c r="F513" s="55">
        <v>2.2200000000000002</v>
      </c>
      <c r="G513" s="55"/>
      <c r="J513" s="37" t="str">
        <f t="shared" si="41"/>
        <v>DB증권</v>
      </c>
      <c r="K513" s="37" t="str">
        <f t="shared" si="42"/>
        <v>A016610</v>
      </c>
    </row>
    <row r="514" spans="1:11" x14ac:dyDescent="0.4">
      <c r="A514" s="49"/>
      <c r="B514" s="54" t="s">
        <v>1641</v>
      </c>
      <c r="C514" s="37" t="s">
        <v>1642</v>
      </c>
      <c r="D514" s="55" t="s">
        <v>820</v>
      </c>
      <c r="E514" s="58">
        <v>31.4</v>
      </c>
      <c r="F514" s="57">
        <v>0.18</v>
      </c>
      <c r="G514" s="57"/>
      <c r="H514" s="49"/>
      <c r="I514" s="49" t="str">
        <f t="shared" ref="I514:I527" si="45">IF((G514&gt;$G$8),E514+ROW()/100000,"")</f>
        <v/>
      </c>
      <c r="J514" s="37" t="str">
        <f t="shared" si="41"/>
        <v>디모아</v>
      </c>
      <c r="K514" s="37" t="str">
        <f t="shared" si="42"/>
        <v>A016670</v>
      </c>
    </row>
    <row r="515" spans="1:11" x14ac:dyDescent="0.4">
      <c r="A515" s="49"/>
      <c r="B515" s="54" t="s">
        <v>1643</v>
      </c>
      <c r="C515" s="37" t="s">
        <v>1644</v>
      </c>
      <c r="D515" s="55" t="s">
        <v>805</v>
      </c>
      <c r="E515" s="58">
        <v>145.44999999999999</v>
      </c>
      <c r="F515" s="57">
        <v>0.19</v>
      </c>
      <c r="G515" s="57"/>
      <c r="H515" s="49"/>
      <c r="I515" s="49" t="str">
        <f t="shared" si="45"/>
        <v/>
      </c>
      <c r="J515" s="37" t="str">
        <f t="shared" si="41"/>
        <v>대성홀딩스</v>
      </c>
      <c r="K515" s="37" t="str">
        <f t="shared" si="42"/>
        <v>A016710</v>
      </c>
    </row>
    <row r="516" spans="1:11" x14ac:dyDescent="0.4">
      <c r="A516" s="49"/>
      <c r="B516" s="54" t="s">
        <v>1645</v>
      </c>
      <c r="C516" s="37" t="s">
        <v>1646</v>
      </c>
      <c r="D516" s="55" t="s">
        <v>805</v>
      </c>
      <c r="E516" s="58">
        <v>131.9</v>
      </c>
      <c r="F516" s="57">
        <v>0.84</v>
      </c>
      <c r="G516" s="57"/>
      <c r="H516" s="49"/>
      <c r="I516" s="49" t="str">
        <f t="shared" si="45"/>
        <v/>
      </c>
      <c r="J516" s="37" t="str">
        <f t="shared" si="41"/>
        <v>두올</v>
      </c>
      <c r="K516" s="37" t="str">
        <f t="shared" si="42"/>
        <v>A016740</v>
      </c>
    </row>
    <row r="517" spans="1:11" x14ac:dyDescent="0.4">
      <c r="A517" s="49"/>
      <c r="B517" s="54" t="s">
        <v>1647</v>
      </c>
      <c r="C517" s="37" t="s">
        <v>1648</v>
      </c>
      <c r="D517" s="55" t="s">
        <v>820</v>
      </c>
      <c r="E517" s="58">
        <v>187.34</v>
      </c>
      <c r="F517" s="57">
        <v>0</v>
      </c>
      <c r="G517" s="57"/>
      <c r="H517" s="49"/>
      <c r="I517" s="49" t="str">
        <f t="shared" si="45"/>
        <v/>
      </c>
      <c r="J517" s="37" t="str">
        <f t="shared" si="41"/>
        <v>현대사료</v>
      </c>
      <c r="K517" s="37" t="str">
        <f t="shared" si="42"/>
        <v>A016790</v>
      </c>
    </row>
    <row r="518" spans="1:11" x14ac:dyDescent="0.4">
      <c r="A518" s="49"/>
      <c r="B518" s="54" t="s">
        <v>1649</v>
      </c>
      <c r="C518" s="37" t="s">
        <v>1650</v>
      </c>
      <c r="D518" s="55" t="s">
        <v>805</v>
      </c>
      <c r="E518" s="56">
        <v>491.05</v>
      </c>
      <c r="F518" s="55">
        <v>0.09</v>
      </c>
      <c r="G518" s="55"/>
      <c r="I518" s="49" t="str">
        <f t="shared" si="45"/>
        <v/>
      </c>
      <c r="J518" s="37" t="str">
        <f t="shared" si="41"/>
        <v>퍼시스</v>
      </c>
      <c r="K518" s="37" t="str">
        <f t="shared" si="42"/>
        <v>A016800</v>
      </c>
    </row>
    <row r="519" spans="1:11" x14ac:dyDescent="0.4">
      <c r="A519" s="49"/>
      <c r="B519" s="54" t="s">
        <v>1651</v>
      </c>
      <c r="C519" s="37" t="s">
        <v>1652</v>
      </c>
      <c r="D519" s="55" t="s">
        <v>805</v>
      </c>
      <c r="E519" s="58">
        <v>169.45</v>
      </c>
      <c r="F519" s="57">
        <v>3.57</v>
      </c>
      <c r="G519" s="57"/>
      <c r="H519" s="49"/>
      <c r="I519" s="49" t="str">
        <f t="shared" si="45"/>
        <v/>
      </c>
      <c r="J519" s="37" t="str">
        <f t="shared" si="41"/>
        <v>웅진</v>
      </c>
      <c r="K519" s="37" t="str">
        <f t="shared" si="42"/>
        <v>A016880</v>
      </c>
    </row>
    <row r="520" spans="1:11" x14ac:dyDescent="0.4">
      <c r="A520" s="49"/>
      <c r="B520" s="54" t="s">
        <v>1653</v>
      </c>
      <c r="C520" s="37" t="s">
        <v>1654</v>
      </c>
      <c r="D520" s="55" t="s">
        <v>820</v>
      </c>
      <c r="E520" s="58">
        <v>26.44</v>
      </c>
      <c r="F520" s="57">
        <v>0.1</v>
      </c>
      <c r="G520" s="57"/>
      <c r="H520" s="49"/>
      <c r="I520" s="49" t="str">
        <f t="shared" si="45"/>
        <v/>
      </c>
      <c r="J520" s="37" t="str">
        <f t="shared" si="41"/>
        <v>카스</v>
      </c>
      <c r="K520" s="37" t="str">
        <f t="shared" si="42"/>
        <v>A016920</v>
      </c>
    </row>
    <row r="521" spans="1:11" x14ac:dyDescent="0.4">
      <c r="A521" s="49"/>
      <c r="B521" s="54" t="s">
        <v>1655</v>
      </c>
      <c r="C521" s="37" t="s">
        <v>1656</v>
      </c>
      <c r="D521" s="55" t="s">
        <v>820</v>
      </c>
      <c r="E521" s="58">
        <v>37.630000000000003</v>
      </c>
      <c r="F521" s="57">
        <v>1.36</v>
      </c>
      <c r="G521" s="57"/>
      <c r="H521" s="49"/>
      <c r="I521" s="49" t="str">
        <f t="shared" si="45"/>
        <v/>
      </c>
      <c r="J521" s="37" t="str">
        <f t="shared" si="41"/>
        <v>신원종합개발</v>
      </c>
      <c r="K521" s="37" t="str">
        <f t="shared" si="42"/>
        <v>A017000</v>
      </c>
    </row>
    <row r="522" spans="1:11" x14ac:dyDescent="0.4">
      <c r="A522" s="49"/>
      <c r="B522" s="54" t="s">
        <v>1657</v>
      </c>
      <c r="C522" s="37" t="s">
        <v>1658</v>
      </c>
      <c r="D522" s="55" t="s">
        <v>805</v>
      </c>
      <c r="E522" s="58">
        <v>64.36</v>
      </c>
      <c r="F522" s="57">
        <v>1.66</v>
      </c>
      <c r="G522" s="57"/>
      <c r="H522" s="49"/>
      <c r="I522" s="49" t="str">
        <f t="shared" si="45"/>
        <v/>
      </c>
      <c r="J522" s="37" t="str">
        <f t="shared" si="41"/>
        <v>광명전기</v>
      </c>
      <c r="K522" s="37" t="str">
        <f t="shared" si="42"/>
        <v>A017040</v>
      </c>
    </row>
    <row r="523" spans="1:11" x14ac:dyDescent="0.4">
      <c r="A523" s="49"/>
      <c r="B523" s="54" t="s">
        <v>1659</v>
      </c>
      <c r="C523" s="37" t="s">
        <v>1660</v>
      </c>
      <c r="D523" s="55" t="s">
        <v>805</v>
      </c>
      <c r="E523" s="58">
        <v>64.44</v>
      </c>
      <c r="F523" s="57">
        <v>0.24</v>
      </c>
      <c r="G523" s="57"/>
      <c r="H523" s="49"/>
      <c r="I523" s="49" t="str">
        <f t="shared" si="45"/>
        <v/>
      </c>
      <c r="J523" s="37" t="str">
        <f t="shared" si="41"/>
        <v>명문제약</v>
      </c>
      <c r="K523" s="37" t="str">
        <f t="shared" si="42"/>
        <v>A017180</v>
      </c>
    </row>
    <row r="524" spans="1:11" x14ac:dyDescent="0.4">
      <c r="A524" s="49"/>
      <c r="B524" s="54" t="s">
        <v>1661</v>
      </c>
      <c r="C524" s="37" t="s">
        <v>1662</v>
      </c>
      <c r="D524" s="55" t="s">
        <v>820</v>
      </c>
      <c r="E524" s="58">
        <v>22.27</v>
      </c>
      <c r="F524" s="57">
        <v>0.06</v>
      </c>
      <c r="G524" s="57"/>
      <c r="H524" s="49"/>
      <c r="I524" s="49" t="str">
        <f t="shared" si="45"/>
        <v/>
      </c>
      <c r="J524" s="37" t="str">
        <f t="shared" si="41"/>
        <v>인터엠</v>
      </c>
      <c r="K524" s="37" t="str">
        <f t="shared" si="42"/>
        <v>A017250</v>
      </c>
    </row>
    <row r="525" spans="1:11" x14ac:dyDescent="0.4">
      <c r="A525" s="49"/>
      <c r="B525" s="54" t="s">
        <v>1663</v>
      </c>
      <c r="C525" s="37" t="s">
        <v>1664</v>
      </c>
      <c r="D525" s="55" t="s">
        <v>805</v>
      </c>
      <c r="E525" s="56">
        <v>118.13</v>
      </c>
      <c r="F525" s="55">
        <v>0.79</v>
      </c>
      <c r="G525" s="55"/>
      <c r="I525" s="49" t="str">
        <f t="shared" si="45"/>
        <v/>
      </c>
      <c r="J525" s="37" t="str">
        <f t="shared" si="41"/>
        <v>우신시스템</v>
      </c>
      <c r="K525" s="37" t="str">
        <f t="shared" si="42"/>
        <v>A017370</v>
      </c>
    </row>
    <row r="526" spans="1:11" x14ac:dyDescent="0.4">
      <c r="A526" s="49"/>
      <c r="B526" s="54" t="s">
        <v>1665</v>
      </c>
      <c r="C526" s="37" t="s">
        <v>1666</v>
      </c>
      <c r="D526" s="55" t="s">
        <v>805</v>
      </c>
      <c r="E526" s="58">
        <v>338</v>
      </c>
      <c r="F526" s="57">
        <v>0.62</v>
      </c>
      <c r="G526" s="57"/>
      <c r="H526" s="49"/>
      <c r="I526" s="49" t="str">
        <f t="shared" si="45"/>
        <v/>
      </c>
      <c r="J526" s="37" t="str">
        <f t="shared" ref="J526:J589" si="46">C526</f>
        <v>서울가스</v>
      </c>
      <c r="K526" s="37" t="str">
        <f t="shared" ref="K526:K589" si="47">B526</f>
        <v>A017390</v>
      </c>
    </row>
    <row r="527" spans="1:11" x14ac:dyDescent="0.4">
      <c r="A527" s="49"/>
      <c r="B527" s="54" t="s">
        <v>1667</v>
      </c>
      <c r="C527" s="37" t="s">
        <v>1668</v>
      </c>
      <c r="D527" s="55" t="s">
        <v>820</v>
      </c>
      <c r="E527" s="56">
        <v>73.099999999999994</v>
      </c>
      <c r="F527" s="55">
        <v>7.0000000000000007E-2</v>
      </c>
      <c r="G527" s="55"/>
      <c r="I527" s="49" t="str">
        <f t="shared" si="45"/>
        <v/>
      </c>
      <c r="J527" s="37" t="str">
        <f t="shared" si="46"/>
        <v>삼현철강</v>
      </c>
      <c r="K527" s="37" t="str">
        <f t="shared" si="47"/>
        <v>A017480</v>
      </c>
    </row>
    <row r="528" spans="1:11" x14ac:dyDescent="0.4">
      <c r="B528" s="54" t="s">
        <v>1669</v>
      </c>
      <c r="C528" s="37" t="s">
        <v>1670</v>
      </c>
      <c r="D528" s="55" t="s">
        <v>820</v>
      </c>
      <c r="E528" s="56">
        <v>165.57</v>
      </c>
      <c r="F528" s="55">
        <v>11.08</v>
      </c>
      <c r="G528" s="55"/>
      <c r="J528" s="37" t="str">
        <f t="shared" si="46"/>
        <v>세명전기</v>
      </c>
      <c r="K528" s="37" t="str">
        <f t="shared" si="47"/>
        <v>A017510</v>
      </c>
    </row>
    <row r="529" spans="1:11" x14ac:dyDescent="0.4">
      <c r="A529" s="49"/>
      <c r="B529" s="54" t="s">
        <v>1671</v>
      </c>
      <c r="C529" s="37" t="s">
        <v>1672</v>
      </c>
      <c r="D529" s="55" t="s">
        <v>805</v>
      </c>
      <c r="E529" s="58">
        <v>118.43</v>
      </c>
      <c r="F529" s="57">
        <v>0.43</v>
      </c>
      <c r="G529" s="57"/>
      <c r="H529" s="49"/>
      <c r="I529" s="49" t="str">
        <f>IF((G529&gt;$G$8),E529+ROW()/100000,"")</f>
        <v/>
      </c>
      <c r="J529" s="37" t="str">
        <f t="shared" si="46"/>
        <v>수산세보틱스</v>
      </c>
      <c r="K529" s="37" t="str">
        <f t="shared" si="47"/>
        <v>A017550</v>
      </c>
    </row>
    <row r="530" spans="1:11" x14ac:dyDescent="0.4">
      <c r="A530" s="49"/>
      <c r="B530" s="54" t="s">
        <v>1673</v>
      </c>
      <c r="C530" s="37" t="s">
        <v>1674</v>
      </c>
      <c r="D530" s="55" t="s">
        <v>820</v>
      </c>
      <c r="E530" s="56">
        <v>88.11</v>
      </c>
      <c r="F530" s="55">
        <v>0.23</v>
      </c>
      <c r="G530" s="55"/>
      <c r="J530" s="37" t="str">
        <f t="shared" si="46"/>
        <v>대림제지</v>
      </c>
      <c r="K530" s="37" t="str">
        <f t="shared" si="47"/>
        <v>A017650</v>
      </c>
    </row>
    <row r="531" spans="1:11" x14ac:dyDescent="0.4">
      <c r="A531" s="49"/>
      <c r="B531" s="54" t="s">
        <v>653</v>
      </c>
      <c r="C531" s="37" t="s">
        <v>654</v>
      </c>
      <c r="D531" s="55" t="s">
        <v>805</v>
      </c>
      <c r="E531" s="56">
        <v>17140.25</v>
      </c>
      <c r="F531" s="55">
        <v>63.99</v>
      </c>
      <c r="G531" s="55">
        <v>17</v>
      </c>
      <c r="I531" s="49">
        <f>IF((G531&gt;$G$8),E531+ROW()/100000,"")</f>
        <v>17140.25531</v>
      </c>
      <c r="J531" s="37" t="str">
        <f t="shared" si="46"/>
        <v>SK텔레콤</v>
      </c>
      <c r="K531" s="37" t="str">
        <f t="shared" si="47"/>
        <v>A017670</v>
      </c>
    </row>
    <row r="532" spans="1:11" x14ac:dyDescent="0.4">
      <c r="A532" s="49"/>
      <c r="B532" s="54" t="s">
        <v>150</v>
      </c>
      <c r="C532" s="37" t="s">
        <v>151</v>
      </c>
      <c r="D532" s="55" t="s">
        <v>805</v>
      </c>
      <c r="E532" s="58">
        <v>3858.42</v>
      </c>
      <c r="F532" s="57">
        <v>27.75</v>
      </c>
      <c r="G532" s="57">
        <v>1</v>
      </c>
      <c r="H532" s="49"/>
      <c r="I532" s="49">
        <f>IF((G532&gt;$G$8),E532+ROW()/100000,"")</f>
        <v>3858.4253200000003</v>
      </c>
      <c r="J532" s="37" t="str">
        <f t="shared" si="46"/>
        <v>현대엘리베이터</v>
      </c>
      <c r="K532" s="37" t="str">
        <f t="shared" si="47"/>
        <v>A017800</v>
      </c>
    </row>
    <row r="533" spans="1:11" x14ac:dyDescent="0.4">
      <c r="A533" s="49"/>
      <c r="B533" s="54" t="s">
        <v>1675</v>
      </c>
      <c r="C533" s="37" t="s">
        <v>1676</v>
      </c>
      <c r="D533" s="55" t="s">
        <v>805</v>
      </c>
      <c r="E533" s="58">
        <v>494.8</v>
      </c>
      <c r="F533" s="57">
        <v>1.96</v>
      </c>
      <c r="G533" s="57">
        <v>2</v>
      </c>
      <c r="H533" s="49"/>
      <c r="I533" s="49">
        <f>IF((G533&gt;$G$8),E533+ROW()/100000,"")</f>
        <v>494.80533000000003</v>
      </c>
      <c r="J533" s="37" t="str">
        <f t="shared" si="46"/>
        <v>풀무원</v>
      </c>
      <c r="K533" s="37" t="str">
        <f t="shared" si="47"/>
        <v>A017810</v>
      </c>
    </row>
    <row r="534" spans="1:11" x14ac:dyDescent="0.4">
      <c r="A534" s="49"/>
      <c r="B534" s="54" t="s">
        <v>1677</v>
      </c>
      <c r="C534" s="37" t="s">
        <v>1678</v>
      </c>
      <c r="D534" s="55" t="s">
        <v>805</v>
      </c>
      <c r="E534" s="58">
        <v>336.39</v>
      </c>
      <c r="F534" s="57">
        <v>1.93</v>
      </c>
      <c r="G534" s="57"/>
      <c r="H534" s="49"/>
      <c r="I534" s="49" t="str">
        <f>IF((G534&gt;$G$8),E534+ROW()/100000,"")</f>
        <v/>
      </c>
      <c r="J534" s="37" t="str">
        <f t="shared" si="46"/>
        <v>DS단석</v>
      </c>
      <c r="K534" s="37" t="str">
        <f t="shared" si="47"/>
        <v>A017860</v>
      </c>
    </row>
    <row r="535" spans="1:11" x14ac:dyDescent="0.4">
      <c r="A535" s="49"/>
      <c r="B535" s="54" t="s">
        <v>1679</v>
      </c>
      <c r="C535" s="37" t="s">
        <v>1680</v>
      </c>
      <c r="D535" s="55" t="s">
        <v>820</v>
      </c>
      <c r="E535" s="56">
        <v>264.22000000000003</v>
      </c>
      <c r="F535" s="55">
        <v>0.82</v>
      </c>
      <c r="G535" s="55"/>
      <c r="I535" s="49" t="str">
        <f>IF((G535&gt;$G$8),E535+ROW()/100000,"")</f>
        <v/>
      </c>
      <c r="J535" s="37" t="str">
        <f t="shared" si="46"/>
        <v>한국알콜</v>
      </c>
      <c r="K535" s="37" t="str">
        <f t="shared" si="47"/>
        <v>A017890</v>
      </c>
    </row>
    <row r="536" spans="1:11" x14ac:dyDescent="0.4">
      <c r="B536" s="54" t="s">
        <v>1681</v>
      </c>
      <c r="C536" s="37" t="s">
        <v>1682</v>
      </c>
      <c r="D536" s="55" t="s">
        <v>805</v>
      </c>
      <c r="E536" s="56">
        <v>111.54</v>
      </c>
      <c r="F536" s="55">
        <v>0.15</v>
      </c>
      <c r="G536" s="55"/>
      <c r="J536" s="37" t="str">
        <f t="shared" si="46"/>
        <v>광전자</v>
      </c>
      <c r="K536" s="37" t="str">
        <f t="shared" si="47"/>
        <v>A017900</v>
      </c>
    </row>
    <row r="537" spans="1:11" x14ac:dyDescent="0.4">
      <c r="A537" s="49"/>
      <c r="B537" s="54" t="s">
        <v>1683</v>
      </c>
      <c r="C537" s="37" t="s">
        <v>1684</v>
      </c>
      <c r="D537" s="55" t="s">
        <v>805</v>
      </c>
      <c r="E537" s="56">
        <v>710.01</v>
      </c>
      <c r="F537" s="56">
        <v>1.57</v>
      </c>
      <c r="G537" s="55"/>
      <c r="I537" s="49" t="str">
        <f t="shared" ref="I537:I543" si="48">IF((G537&gt;$G$8),E537+ROW()/100000,"")</f>
        <v/>
      </c>
      <c r="J537" s="37" t="str">
        <f t="shared" si="46"/>
        <v>E1</v>
      </c>
      <c r="K537" s="37" t="str">
        <f t="shared" si="47"/>
        <v>A017940</v>
      </c>
    </row>
    <row r="538" spans="1:11" x14ac:dyDescent="0.4">
      <c r="A538" s="49"/>
      <c r="B538" s="54" t="s">
        <v>219</v>
      </c>
      <c r="C538" s="37" t="s">
        <v>220</v>
      </c>
      <c r="D538" s="55" t="s">
        <v>805</v>
      </c>
      <c r="E538" s="56">
        <v>2174.96</v>
      </c>
      <c r="F538" s="55">
        <v>20.63</v>
      </c>
      <c r="G538" s="55">
        <v>2</v>
      </c>
      <c r="I538" s="49">
        <f t="shared" si="48"/>
        <v>2174.9653800000001</v>
      </c>
      <c r="J538" s="37" t="str">
        <f t="shared" si="46"/>
        <v>한국카본</v>
      </c>
      <c r="K538" s="37" t="str">
        <f t="shared" si="47"/>
        <v>A017960</v>
      </c>
    </row>
    <row r="539" spans="1:11" x14ac:dyDescent="0.4">
      <c r="A539" s="49"/>
      <c r="B539" s="54" t="s">
        <v>428</v>
      </c>
      <c r="C539" s="37" t="s">
        <v>429</v>
      </c>
      <c r="D539" s="55" t="s">
        <v>820</v>
      </c>
      <c r="E539" s="58">
        <v>311.35000000000002</v>
      </c>
      <c r="F539" s="57">
        <v>3.86</v>
      </c>
      <c r="G539" s="57"/>
      <c r="H539" s="49"/>
      <c r="I539" s="49" t="str">
        <f t="shared" si="48"/>
        <v/>
      </c>
      <c r="J539" s="37" t="str">
        <f t="shared" si="46"/>
        <v>유니슨</v>
      </c>
      <c r="K539" s="37" t="str">
        <f t="shared" si="47"/>
        <v>A018000</v>
      </c>
    </row>
    <row r="540" spans="1:11" x14ac:dyDescent="0.4">
      <c r="A540" s="49"/>
      <c r="B540" s="54" t="s">
        <v>1685</v>
      </c>
      <c r="C540" s="37" t="s">
        <v>1686</v>
      </c>
      <c r="D540" s="55" t="s">
        <v>820</v>
      </c>
      <c r="E540" s="58">
        <v>119.51</v>
      </c>
      <c r="F540" s="57">
        <v>7.0000000000000007E-2</v>
      </c>
      <c r="G540" s="57"/>
      <c r="H540" s="49"/>
      <c r="I540" s="49" t="str">
        <f t="shared" si="48"/>
        <v/>
      </c>
      <c r="J540" s="37" t="str">
        <f t="shared" si="46"/>
        <v>진로발효</v>
      </c>
      <c r="K540" s="37" t="str">
        <f t="shared" si="47"/>
        <v>A018120</v>
      </c>
    </row>
    <row r="541" spans="1:11" x14ac:dyDescent="0.4">
      <c r="A541" s="49"/>
      <c r="B541" s="54" t="s">
        <v>1687</v>
      </c>
      <c r="C541" s="37" t="s">
        <v>1688</v>
      </c>
      <c r="D541" s="55" t="s">
        <v>805</v>
      </c>
      <c r="E541" s="58">
        <v>423.88</v>
      </c>
      <c r="F541" s="57">
        <v>1.1299999999999999</v>
      </c>
      <c r="G541" s="57">
        <v>1</v>
      </c>
      <c r="H541" s="49"/>
      <c r="I541" s="49">
        <f t="shared" si="48"/>
        <v>423.88540999999998</v>
      </c>
      <c r="J541" s="37" t="str">
        <f t="shared" si="46"/>
        <v>애경산업</v>
      </c>
      <c r="K541" s="37" t="str">
        <f t="shared" si="47"/>
        <v>A018250</v>
      </c>
    </row>
    <row r="542" spans="1:11" x14ac:dyDescent="0.4">
      <c r="A542" s="49"/>
      <c r="B542" s="54" t="s">
        <v>238</v>
      </c>
      <c r="C542" s="37" t="s">
        <v>239</v>
      </c>
      <c r="D542" s="55" t="s">
        <v>805</v>
      </c>
      <c r="E542" s="58">
        <v>15088.67</v>
      </c>
      <c r="F542" s="57">
        <v>36.549999999999997</v>
      </c>
      <c r="G542" s="57">
        <v>9</v>
      </c>
      <c r="H542" s="49"/>
      <c r="I542" s="49">
        <f t="shared" si="48"/>
        <v>15088.67542</v>
      </c>
      <c r="J542" s="37" t="str">
        <f t="shared" si="46"/>
        <v>삼성에스디에스</v>
      </c>
      <c r="K542" s="37" t="str">
        <f t="shared" si="47"/>
        <v>A018260</v>
      </c>
    </row>
    <row r="543" spans="1:11" x14ac:dyDescent="0.4">
      <c r="A543" s="49"/>
      <c r="B543" s="54" t="s">
        <v>1689</v>
      </c>
      <c r="C543" s="37" t="s">
        <v>1690</v>
      </c>
      <c r="D543" s="55" t="s">
        <v>820</v>
      </c>
      <c r="E543" s="58">
        <v>604.49</v>
      </c>
      <c r="F543" s="57">
        <v>9.42</v>
      </c>
      <c r="G543" s="57"/>
      <c r="H543" s="49"/>
      <c r="I543" s="49" t="str">
        <f t="shared" si="48"/>
        <v/>
      </c>
      <c r="J543" s="37" t="str">
        <f t="shared" si="46"/>
        <v>브이티</v>
      </c>
      <c r="K543" s="37" t="str">
        <f t="shared" si="47"/>
        <v>A018290</v>
      </c>
    </row>
    <row r="544" spans="1:11" x14ac:dyDescent="0.4">
      <c r="A544" s="49"/>
      <c r="B544" s="54" t="s">
        <v>1691</v>
      </c>
      <c r="C544" s="37" t="s">
        <v>1692</v>
      </c>
      <c r="D544" s="55" t="s">
        <v>820</v>
      </c>
      <c r="E544" s="56">
        <v>293.12</v>
      </c>
      <c r="F544" s="55">
        <v>0.3</v>
      </c>
      <c r="G544" s="55"/>
      <c r="J544" s="37" t="str">
        <f t="shared" si="46"/>
        <v>삼목에스폼</v>
      </c>
      <c r="K544" s="37" t="str">
        <f t="shared" si="47"/>
        <v>A018310</v>
      </c>
    </row>
    <row r="545" spans="1:11" x14ac:dyDescent="0.4">
      <c r="A545" s="49"/>
      <c r="B545" s="54" t="s">
        <v>1693</v>
      </c>
      <c r="C545" s="37" t="s">
        <v>1694</v>
      </c>
      <c r="D545" s="55" t="s">
        <v>805</v>
      </c>
      <c r="E545" s="58">
        <v>154.49</v>
      </c>
      <c r="F545" s="57">
        <v>1.58</v>
      </c>
      <c r="G545" s="57"/>
      <c r="H545" s="49"/>
      <c r="I545" s="49" t="str">
        <f>IF((G545&gt;$G$8),E545+ROW()/100000,"")</f>
        <v/>
      </c>
      <c r="J545" s="37" t="str">
        <f t="shared" si="46"/>
        <v>조일알미늄</v>
      </c>
      <c r="K545" s="37" t="str">
        <f t="shared" si="47"/>
        <v>A018470</v>
      </c>
    </row>
    <row r="546" spans="1:11" x14ac:dyDescent="0.4">
      <c r="A546" s="49"/>
      <c r="B546" s="54" t="s">
        <v>1695</v>
      </c>
      <c r="C546" s="37" t="s">
        <v>1696</v>
      </c>
      <c r="D546" s="55" t="s">
        <v>805</v>
      </c>
      <c r="E546" s="58">
        <v>77.239999999999995</v>
      </c>
      <c r="F546" s="57">
        <v>0.56000000000000005</v>
      </c>
      <c r="G546" s="57"/>
      <c r="H546" s="49"/>
      <c r="I546" s="49" t="str">
        <f>IF((G546&gt;$G$8),E546+ROW()/100000,"")</f>
        <v/>
      </c>
      <c r="J546" s="37" t="str">
        <f t="shared" si="46"/>
        <v>동원금속</v>
      </c>
      <c r="K546" s="37" t="str">
        <f t="shared" si="47"/>
        <v>A018500</v>
      </c>
    </row>
    <row r="547" spans="1:11" x14ac:dyDescent="0.4">
      <c r="A547" s="49"/>
      <c r="B547" s="54" t="s">
        <v>1697</v>
      </c>
      <c r="C547" s="37" t="s">
        <v>1698</v>
      </c>
      <c r="D547" s="55" t="s">
        <v>820</v>
      </c>
      <c r="E547" s="58">
        <v>21.93</v>
      </c>
      <c r="F547" s="57">
        <v>0.12</v>
      </c>
      <c r="G547" s="57"/>
      <c r="H547" s="49"/>
      <c r="I547" s="49" t="str">
        <f>IF((G547&gt;$G$8),E547+ROW()/100000,"")</f>
        <v/>
      </c>
      <c r="J547" s="37" t="str">
        <f t="shared" si="46"/>
        <v>우진비앤지</v>
      </c>
      <c r="K547" s="37" t="str">
        <f t="shared" si="47"/>
        <v>A018620</v>
      </c>
    </row>
    <row r="548" spans="1:11" x14ac:dyDescent="0.4">
      <c r="A548" s="49"/>
      <c r="B548" s="54" t="s">
        <v>1699</v>
      </c>
      <c r="C548" s="37" t="s">
        <v>1700</v>
      </c>
      <c r="D548" s="55" t="s">
        <v>805</v>
      </c>
      <c r="E548" s="58">
        <v>2154.14</v>
      </c>
      <c r="F548" s="57">
        <v>3.18</v>
      </c>
      <c r="G548" s="57">
        <v>4</v>
      </c>
      <c r="H548" s="49"/>
      <c r="I548" s="49">
        <f>IF((G548&gt;$G$8),E548+ROW()/100000,"")</f>
        <v>2154.1454799999997</v>
      </c>
      <c r="J548" s="37" t="str">
        <f t="shared" si="46"/>
        <v>SK가스</v>
      </c>
      <c r="K548" s="37" t="str">
        <f t="shared" si="47"/>
        <v>A018670</v>
      </c>
    </row>
    <row r="549" spans="1:11" x14ac:dyDescent="0.4">
      <c r="A549" s="49"/>
      <c r="B549" s="54" t="s">
        <v>1701</v>
      </c>
      <c r="C549" s="37" t="s">
        <v>1702</v>
      </c>
      <c r="D549" s="55" t="s">
        <v>820</v>
      </c>
      <c r="E549" s="58">
        <v>32.76</v>
      </c>
      <c r="F549" s="57">
        <v>0.04</v>
      </c>
      <c r="G549" s="57"/>
      <c r="H549" s="49"/>
      <c r="I549" s="49" t="str">
        <f>IF((G549&gt;$G$8),E549+ROW()/100000,"")</f>
        <v/>
      </c>
      <c r="J549" s="37" t="str">
        <f t="shared" si="46"/>
        <v>서울제약</v>
      </c>
      <c r="K549" s="37" t="str">
        <f t="shared" si="47"/>
        <v>A018680</v>
      </c>
    </row>
    <row r="550" spans="1:11" x14ac:dyDescent="0.4">
      <c r="B550" s="54" t="s">
        <v>1703</v>
      </c>
      <c r="C550" s="37" t="s">
        <v>5213</v>
      </c>
      <c r="D550" s="55" t="s">
        <v>820</v>
      </c>
      <c r="E550" s="56">
        <v>25.46</v>
      </c>
      <c r="F550" s="55">
        <v>0.09</v>
      </c>
      <c r="G550" s="55"/>
      <c r="J550" s="37" t="str">
        <f t="shared" si="46"/>
        <v>졸스</v>
      </c>
      <c r="K550" s="37" t="str">
        <f t="shared" si="47"/>
        <v>A018700</v>
      </c>
    </row>
    <row r="551" spans="1:11" x14ac:dyDescent="0.4">
      <c r="A551" s="49"/>
      <c r="B551" s="54" t="s">
        <v>338</v>
      </c>
      <c r="C551" s="37" t="s">
        <v>339</v>
      </c>
      <c r="D551" s="55" t="s">
        <v>805</v>
      </c>
      <c r="E551" s="58">
        <v>4761.8599999999997</v>
      </c>
      <c r="F551" s="57">
        <v>44.94</v>
      </c>
      <c r="G551" s="57">
        <v>19</v>
      </c>
      <c r="H551" s="49"/>
      <c r="I551" s="49">
        <f>IF((G551&gt;$G$8),E551+ROW()/100000,"")</f>
        <v>4761.8655099999996</v>
      </c>
      <c r="J551" s="37" t="str">
        <f t="shared" si="46"/>
        <v>한온시스템</v>
      </c>
      <c r="K551" s="37" t="str">
        <f t="shared" si="47"/>
        <v>A018880</v>
      </c>
    </row>
    <row r="552" spans="1:11" x14ac:dyDescent="0.4">
      <c r="A552" s="49"/>
      <c r="B552" s="54" t="s">
        <v>1704</v>
      </c>
      <c r="C552" s="37" t="s">
        <v>1705</v>
      </c>
      <c r="D552" s="55" t="s">
        <v>820</v>
      </c>
      <c r="E552" s="56">
        <v>296.43</v>
      </c>
      <c r="F552" s="55">
        <v>0.61</v>
      </c>
      <c r="G552" s="55"/>
      <c r="I552" s="49" t="str">
        <f>IF((G552&gt;$G$8),E552+ROW()/100000,"")</f>
        <v/>
      </c>
      <c r="J552" s="37" t="str">
        <f t="shared" si="46"/>
        <v>베뉴지</v>
      </c>
      <c r="K552" s="37" t="str">
        <f t="shared" si="47"/>
        <v>A019010</v>
      </c>
    </row>
    <row r="553" spans="1:11" x14ac:dyDescent="0.4">
      <c r="A553" s="49"/>
      <c r="B553" s="54" t="s">
        <v>1706</v>
      </c>
      <c r="C553" s="37" t="s">
        <v>1707</v>
      </c>
      <c r="D553" s="55" t="s">
        <v>805</v>
      </c>
      <c r="E553" s="58">
        <v>648.01</v>
      </c>
      <c r="F553" s="57">
        <v>6.1</v>
      </c>
      <c r="G553" s="57"/>
      <c r="H553" s="49"/>
      <c r="I553" s="49" t="str">
        <f>IF((G553&gt;$G$8),E553+ROW()/100000,"")</f>
        <v/>
      </c>
      <c r="J553" s="37" t="str">
        <f t="shared" si="46"/>
        <v>신풍제약</v>
      </c>
      <c r="K553" s="37" t="str">
        <f t="shared" si="47"/>
        <v>A019170</v>
      </c>
    </row>
    <row r="554" spans="1:11" x14ac:dyDescent="0.4">
      <c r="B554" s="54" t="s">
        <v>1708</v>
      </c>
      <c r="C554" s="37" t="s">
        <v>1709</v>
      </c>
      <c r="D554" s="55" t="s">
        <v>805</v>
      </c>
      <c r="E554" s="55">
        <v>147.24</v>
      </c>
      <c r="F554" s="55">
        <v>5.04</v>
      </c>
      <c r="G554" s="55"/>
      <c r="J554" s="37" t="str">
        <f t="shared" si="46"/>
        <v>티에이치엔</v>
      </c>
      <c r="K554" s="37" t="str">
        <f t="shared" si="47"/>
        <v>A019180</v>
      </c>
    </row>
    <row r="555" spans="1:11" x14ac:dyDescent="0.4">
      <c r="A555" s="49"/>
      <c r="B555" s="54" t="s">
        <v>1710</v>
      </c>
      <c r="C555" s="37" t="s">
        <v>1711</v>
      </c>
      <c r="D555" s="55" t="s">
        <v>820</v>
      </c>
      <c r="E555" s="58">
        <v>317.27</v>
      </c>
      <c r="F555" s="57">
        <v>2.89</v>
      </c>
      <c r="G555" s="57"/>
      <c r="H555" s="49"/>
      <c r="I555" s="49" t="str">
        <f t="shared" ref="I555:I566" si="49">IF((G555&gt;$G$8),E555+ROW()/100000,"")</f>
        <v/>
      </c>
      <c r="J555" s="37" t="str">
        <f t="shared" si="46"/>
        <v>와이지-원</v>
      </c>
      <c r="K555" s="37" t="str">
        <f t="shared" si="47"/>
        <v>A019210</v>
      </c>
    </row>
    <row r="556" spans="1:11" x14ac:dyDescent="0.4">
      <c r="A556" s="49"/>
      <c r="B556" s="54" t="s">
        <v>1712</v>
      </c>
      <c r="C556" s="37" t="s">
        <v>1713</v>
      </c>
      <c r="D556" s="55" t="s">
        <v>805</v>
      </c>
      <c r="E556" s="58">
        <v>41.35</v>
      </c>
      <c r="F556" s="57">
        <v>0.38</v>
      </c>
      <c r="G556" s="57"/>
      <c r="H556" s="49"/>
      <c r="I556" s="49" t="str">
        <f t="shared" si="49"/>
        <v/>
      </c>
      <c r="J556" s="37" t="str">
        <f t="shared" si="46"/>
        <v>엑시큐어하이트론</v>
      </c>
      <c r="K556" s="37" t="str">
        <f t="shared" si="47"/>
        <v>A019490</v>
      </c>
    </row>
    <row r="557" spans="1:11" x14ac:dyDescent="0.4">
      <c r="A557" s="49"/>
      <c r="B557" s="54" t="s">
        <v>1714</v>
      </c>
      <c r="C557" s="37" t="s">
        <v>1715</v>
      </c>
      <c r="D557" s="55" t="s">
        <v>820</v>
      </c>
      <c r="E557" s="58">
        <v>70.680000000000007</v>
      </c>
      <c r="F557" s="57">
        <v>1.49</v>
      </c>
      <c r="G557" s="57"/>
      <c r="H557" s="49"/>
      <c r="I557" s="49" t="str">
        <f t="shared" si="49"/>
        <v/>
      </c>
      <c r="J557" s="37" t="str">
        <f t="shared" si="46"/>
        <v>일지테크</v>
      </c>
      <c r="K557" s="37" t="str">
        <f t="shared" si="47"/>
        <v>A019540</v>
      </c>
    </row>
    <row r="558" spans="1:11" x14ac:dyDescent="0.4">
      <c r="A558" s="49"/>
      <c r="B558" s="54" t="s">
        <v>1716</v>
      </c>
      <c r="C558" s="37" t="s">
        <v>1717</v>
      </c>
      <c r="D558" s="55" t="s">
        <v>820</v>
      </c>
      <c r="E558" s="56">
        <v>129</v>
      </c>
      <c r="F558" s="55">
        <v>0.57999999999999996</v>
      </c>
      <c r="G558" s="55"/>
      <c r="I558" s="49" t="str">
        <f t="shared" si="49"/>
        <v/>
      </c>
      <c r="J558" s="37" t="str">
        <f t="shared" si="46"/>
        <v>SBI인베스트먼트</v>
      </c>
      <c r="K558" s="37" t="str">
        <f t="shared" si="47"/>
        <v>A019550</v>
      </c>
    </row>
    <row r="559" spans="1:11" x14ac:dyDescent="0.4">
      <c r="A559" s="49"/>
      <c r="B559" s="54" t="s">
        <v>1718</v>
      </c>
      <c r="C559" s="37" t="s">
        <v>1719</v>
      </c>
      <c r="D559" s="55" t="s">
        <v>820</v>
      </c>
      <c r="E559" s="58">
        <v>27.45</v>
      </c>
      <c r="F559" s="57">
        <v>1.21</v>
      </c>
      <c r="G559" s="57"/>
      <c r="H559" s="49"/>
      <c r="I559" s="49" t="str">
        <f t="shared" si="49"/>
        <v/>
      </c>
      <c r="J559" s="37" t="str">
        <f t="shared" si="46"/>
        <v>플루토스</v>
      </c>
      <c r="K559" s="37" t="str">
        <f t="shared" si="47"/>
        <v>A019570</v>
      </c>
    </row>
    <row r="560" spans="1:11" x14ac:dyDescent="0.4">
      <c r="A560" s="49"/>
      <c r="B560" s="54" t="s">
        <v>1720</v>
      </c>
      <c r="C560" s="37" t="s">
        <v>1721</v>
      </c>
      <c r="D560" s="55" t="s">
        <v>820</v>
      </c>
      <c r="E560" s="58">
        <v>33.049999999999997</v>
      </c>
      <c r="F560" s="57">
        <v>0.11</v>
      </c>
      <c r="G560" s="57"/>
      <c r="H560" s="49"/>
      <c r="I560" s="49" t="str">
        <f t="shared" si="49"/>
        <v/>
      </c>
      <c r="J560" s="37" t="str">
        <f t="shared" si="46"/>
        <v>글로본</v>
      </c>
      <c r="K560" s="37" t="str">
        <f t="shared" si="47"/>
        <v>A019660</v>
      </c>
    </row>
    <row r="561" spans="1:11" x14ac:dyDescent="0.4">
      <c r="A561" s="49"/>
      <c r="B561" s="54" t="s">
        <v>1722</v>
      </c>
      <c r="C561" s="37" t="s">
        <v>1723</v>
      </c>
      <c r="D561" s="55" t="s">
        <v>805</v>
      </c>
      <c r="E561" s="58">
        <v>142.81</v>
      </c>
      <c r="F561" s="57">
        <v>0.12</v>
      </c>
      <c r="G561" s="57"/>
      <c r="H561" s="49"/>
      <c r="I561" s="49" t="str">
        <f t="shared" si="49"/>
        <v/>
      </c>
      <c r="J561" s="37" t="str">
        <f t="shared" si="46"/>
        <v>대교</v>
      </c>
      <c r="K561" s="37" t="str">
        <f t="shared" si="47"/>
        <v>A019680</v>
      </c>
    </row>
    <row r="562" spans="1:11" x14ac:dyDescent="0.4">
      <c r="A562" s="49"/>
      <c r="B562" s="54" t="s">
        <v>1724</v>
      </c>
      <c r="C562" s="37" t="s">
        <v>1725</v>
      </c>
      <c r="D562" s="55" t="s">
        <v>820</v>
      </c>
      <c r="E562" s="58">
        <v>47.65</v>
      </c>
      <c r="F562" s="57">
        <v>0.21</v>
      </c>
      <c r="G562" s="57"/>
      <c r="H562" s="49"/>
      <c r="I562" s="49" t="str">
        <f t="shared" si="49"/>
        <v/>
      </c>
      <c r="J562" s="37" t="str">
        <f t="shared" si="46"/>
        <v>서연탑메탈</v>
      </c>
      <c r="K562" s="37" t="str">
        <f t="shared" si="47"/>
        <v>A019770</v>
      </c>
    </row>
    <row r="563" spans="1:11" x14ac:dyDescent="0.4">
      <c r="A563" s="49"/>
      <c r="B563" s="54" t="s">
        <v>1726</v>
      </c>
      <c r="C563" s="37" t="s">
        <v>1727</v>
      </c>
      <c r="D563" s="55" t="s">
        <v>820</v>
      </c>
      <c r="E563" s="58">
        <v>89.37</v>
      </c>
      <c r="F563" s="57">
        <v>6.26</v>
      </c>
      <c r="G563" s="57"/>
      <c r="H563" s="49"/>
      <c r="I563" s="49" t="str">
        <f t="shared" si="49"/>
        <v/>
      </c>
      <c r="J563" s="37" t="str">
        <f t="shared" si="46"/>
        <v>에너토크</v>
      </c>
      <c r="K563" s="37" t="str">
        <f t="shared" si="47"/>
        <v>A019990</v>
      </c>
    </row>
    <row r="564" spans="1:11" x14ac:dyDescent="0.4">
      <c r="A564" s="49"/>
      <c r="B564" s="54" t="s">
        <v>1728</v>
      </c>
      <c r="C564" s="37" t="s">
        <v>1729</v>
      </c>
      <c r="D564" s="55" t="s">
        <v>805</v>
      </c>
      <c r="E564" s="56">
        <v>532.9</v>
      </c>
      <c r="F564" s="55">
        <v>1.92</v>
      </c>
      <c r="G564" s="55">
        <v>6</v>
      </c>
      <c r="I564" s="49">
        <f t="shared" si="49"/>
        <v>532.90563999999995</v>
      </c>
      <c r="J564" s="37" t="str">
        <f t="shared" si="46"/>
        <v>한섬</v>
      </c>
      <c r="K564" s="37" t="str">
        <f t="shared" si="47"/>
        <v>A020000</v>
      </c>
    </row>
    <row r="565" spans="1:11" x14ac:dyDescent="0.4">
      <c r="A565" s="49"/>
      <c r="B565" s="54" t="s">
        <v>1730</v>
      </c>
      <c r="C565" s="37" t="s">
        <v>1731</v>
      </c>
      <c r="D565" s="55" t="s">
        <v>805</v>
      </c>
      <c r="E565" s="58">
        <v>135.47</v>
      </c>
      <c r="F565" s="57">
        <v>1.1100000000000001</v>
      </c>
      <c r="G565" s="57"/>
      <c r="H565" s="49"/>
      <c r="I565" s="49" t="str">
        <f t="shared" si="49"/>
        <v/>
      </c>
      <c r="J565" s="37" t="str">
        <f t="shared" si="46"/>
        <v>키다리스튜디오</v>
      </c>
      <c r="K565" s="37" t="str">
        <f t="shared" si="47"/>
        <v>A020120</v>
      </c>
    </row>
    <row r="566" spans="1:11" x14ac:dyDescent="0.4">
      <c r="A566" s="49"/>
      <c r="B566" s="54" t="s">
        <v>388</v>
      </c>
      <c r="C566" s="37" t="s">
        <v>389</v>
      </c>
      <c r="D566" s="55" t="s">
        <v>805</v>
      </c>
      <c r="E566" s="58">
        <v>2340.7399999999998</v>
      </c>
      <c r="F566" s="57">
        <v>15.78</v>
      </c>
      <c r="G566" s="57">
        <v>8</v>
      </c>
      <c r="H566" s="49"/>
      <c r="I566" s="49">
        <f t="shared" si="49"/>
        <v>2340.7456599999996</v>
      </c>
      <c r="J566" s="37" t="str">
        <f t="shared" si="46"/>
        <v>롯데에너지머티리얼즈</v>
      </c>
      <c r="K566" s="37" t="str">
        <f t="shared" si="47"/>
        <v>A020150</v>
      </c>
    </row>
    <row r="567" spans="1:11" x14ac:dyDescent="0.4">
      <c r="B567" s="54" t="s">
        <v>1732</v>
      </c>
      <c r="C567" s="37" t="s">
        <v>1733</v>
      </c>
      <c r="D567" s="55" t="s">
        <v>820</v>
      </c>
      <c r="E567" s="56">
        <v>39.770000000000003</v>
      </c>
      <c r="F567" s="55">
        <v>0.42</v>
      </c>
      <c r="G567" s="55"/>
      <c r="J567" s="37" t="str">
        <f t="shared" si="46"/>
        <v>대신정보통신</v>
      </c>
      <c r="K567" s="37" t="str">
        <f t="shared" si="47"/>
        <v>A020180</v>
      </c>
    </row>
    <row r="568" spans="1:11" x14ac:dyDescent="0.4">
      <c r="A568" s="49"/>
      <c r="B568" s="54" t="s">
        <v>1734</v>
      </c>
      <c r="C568" s="37" t="s">
        <v>1735</v>
      </c>
      <c r="D568" s="55" t="s">
        <v>820</v>
      </c>
      <c r="E568" s="56">
        <v>22.8</v>
      </c>
      <c r="F568" s="55">
        <v>0.85</v>
      </c>
      <c r="G568" s="55"/>
      <c r="I568" s="49" t="str">
        <f>IF((G568&gt;$G$8),E568+ROW()/100000,"")</f>
        <v/>
      </c>
      <c r="J568" s="37" t="str">
        <f t="shared" si="46"/>
        <v>대동금속</v>
      </c>
      <c r="K568" s="37" t="str">
        <f t="shared" si="47"/>
        <v>A020400</v>
      </c>
    </row>
    <row r="569" spans="1:11" x14ac:dyDescent="0.4">
      <c r="A569" s="49"/>
      <c r="B569" s="54" t="s">
        <v>1736</v>
      </c>
      <c r="C569" s="37" t="s">
        <v>1737</v>
      </c>
      <c r="D569" s="55" t="s">
        <v>805</v>
      </c>
      <c r="E569" s="58">
        <v>1598.49</v>
      </c>
      <c r="F569" s="57">
        <v>0.94</v>
      </c>
      <c r="G569" s="57"/>
      <c r="H569" s="49"/>
      <c r="I569" s="49" t="str">
        <f>IF((G569&gt;$G$8),E569+ROW()/100000,"")</f>
        <v/>
      </c>
      <c r="J569" s="37" t="str">
        <f t="shared" si="46"/>
        <v>아시아나항공</v>
      </c>
      <c r="K569" s="37" t="str">
        <f t="shared" si="47"/>
        <v>A020560</v>
      </c>
    </row>
    <row r="570" spans="1:11" x14ac:dyDescent="0.4">
      <c r="A570" s="49"/>
      <c r="B570" s="54" t="s">
        <v>1738</v>
      </c>
      <c r="C570" s="37" t="s">
        <v>1739</v>
      </c>
      <c r="D570" s="55" t="s">
        <v>820</v>
      </c>
      <c r="E570" s="56">
        <v>79.39</v>
      </c>
      <c r="F570" s="55">
        <v>0.67</v>
      </c>
      <c r="G570" s="55"/>
      <c r="I570" s="49" t="str">
        <f>IF((G570&gt;$G$8),E570+ROW()/100000,"")</f>
        <v/>
      </c>
      <c r="J570" s="37" t="str">
        <f t="shared" si="46"/>
        <v>시공테크</v>
      </c>
      <c r="K570" s="37" t="str">
        <f t="shared" si="47"/>
        <v>A020710</v>
      </c>
    </row>
    <row r="571" spans="1:11" x14ac:dyDescent="0.4">
      <c r="A571" s="49"/>
      <c r="B571" s="54" t="s">
        <v>1740</v>
      </c>
      <c r="C571" s="37" t="s">
        <v>1741</v>
      </c>
      <c r="D571" s="55" t="s">
        <v>805</v>
      </c>
      <c r="E571" s="56">
        <v>46.47</v>
      </c>
      <c r="F571" s="55">
        <v>0.01</v>
      </c>
      <c r="G571" s="55"/>
      <c r="I571" s="49" t="str">
        <f>IF((G571&gt;$G$8),E571+ROW()/100000,"")</f>
        <v/>
      </c>
      <c r="J571" s="37" t="str">
        <f t="shared" si="46"/>
        <v>일진디스플</v>
      </c>
      <c r="K571" s="37" t="str">
        <f t="shared" si="47"/>
        <v>A020760</v>
      </c>
    </row>
    <row r="572" spans="1:11" x14ac:dyDescent="0.4">
      <c r="B572" s="54" t="s">
        <v>1742</v>
      </c>
      <c r="C572" s="37" t="s">
        <v>1743</v>
      </c>
      <c r="D572" s="55" t="s">
        <v>820</v>
      </c>
      <c r="E572" s="56">
        <v>26.5</v>
      </c>
      <c r="F572" s="55">
        <v>0.94</v>
      </c>
      <c r="G572" s="55"/>
      <c r="J572" s="37" t="str">
        <f t="shared" si="46"/>
        <v>대호특수강</v>
      </c>
      <c r="K572" s="37" t="str">
        <f t="shared" si="47"/>
        <v>A021040</v>
      </c>
    </row>
    <row r="573" spans="1:11" x14ac:dyDescent="0.4">
      <c r="A573" s="49"/>
      <c r="B573" s="54" t="s">
        <v>1744</v>
      </c>
      <c r="C573" s="37" t="s">
        <v>1745</v>
      </c>
      <c r="D573" s="55" t="s">
        <v>805</v>
      </c>
      <c r="E573" s="58">
        <v>62.86</v>
      </c>
      <c r="F573" s="57">
        <v>0.82</v>
      </c>
      <c r="G573" s="57"/>
      <c r="H573" s="49"/>
      <c r="I573" s="49" t="str">
        <f t="shared" ref="I573:I581" si="50">IF((G573&gt;$G$8),E573+ROW()/100000,"")</f>
        <v/>
      </c>
      <c r="J573" s="37" t="str">
        <f t="shared" si="46"/>
        <v>서원</v>
      </c>
      <c r="K573" s="37" t="str">
        <f t="shared" si="47"/>
        <v>A021050</v>
      </c>
    </row>
    <row r="574" spans="1:11" x14ac:dyDescent="0.4">
      <c r="A574" s="49"/>
      <c r="B574" s="54" t="s">
        <v>1746</v>
      </c>
      <c r="C574" s="37" t="s">
        <v>1747</v>
      </c>
      <c r="D574" s="55" t="s">
        <v>820</v>
      </c>
      <c r="E574" s="58">
        <v>166.8</v>
      </c>
      <c r="F574" s="57">
        <v>1.56</v>
      </c>
      <c r="G574" s="57"/>
      <c r="H574" s="49"/>
      <c r="I574" s="49" t="str">
        <f t="shared" si="50"/>
        <v/>
      </c>
      <c r="J574" s="37" t="str">
        <f t="shared" si="46"/>
        <v>에이티넘인베스트</v>
      </c>
      <c r="K574" s="37" t="str">
        <f t="shared" si="47"/>
        <v>A021080</v>
      </c>
    </row>
    <row r="575" spans="1:11" x14ac:dyDescent="0.4">
      <c r="A575" s="49"/>
      <c r="B575" s="54" t="s">
        <v>144</v>
      </c>
      <c r="C575" s="37" t="s">
        <v>145</v>
      </c>
      <c r="D575" s="55" t="s">
        <v>805</v>
      </c>
      <c r="E575" s="58">
        <v>5889.36</v>
      </c>
      <c r="F575" s="57">
        <v>27.76</v>
      </c>
      <c r="G575" s="57">
        <v>4</v>
      </c>
      <c r="H575" s="49"/>
      <c r="I575" s="49">
        <f t="shared" si="50"/>
        <v>5889.3657499999999</v>
      </c>
      <c r="J575" s="37" t="str">
        <f t="shared" si="46"/>
        <v>코웨이</v>
      </c>
      <c r="K575" s="37" t="str">
        <f t="shared" si="47"/>
        <v>A021240</v>
      </c>
    </row>
    <row r="576" spans="1:11" x14ac:dyDescent="0.4">
      <c r="A576" s="49"/>
      <c r="B576" s="54" t="s">
        <v>1748</v>
      </c>
      <c r="C576" s="37" t="s">
        <v>1749</v>
      </c>
      <c r="D576" s="55" t="s">
        <v>820</v>
      </c>
      <c r="E576" s="58">
        <v>151.72999999999999</v>
      </c>
      <c r="F576" s="57">
        <v>0.25</v>
      </c>
      <c r="G576" s="57">
        <v>1</v>
      </c>
      <c r="H576" s="49"/>
      <c r="I576" s="49">
        <f t="shared" si="50"/>
        <v>151.73576</v>
      </c>
      <c r="J576" s="37" t="str">
        <f t="shared" si="46"/>
        <v>KCC건설</v>
      </c>
      <c r="K576" s="37" t="str">
        <f t="shared" si="47"/>
        <v>A021320</v>
      </c>
    </row>
    <row r="577" spans="1:11" x14ac:dyDescent="0.4">
      <c r="A577" s="49"/>
      <c r="B577" s="54" t="s">
        <v>1750</v>
      </c>
      <c r="C577" s="37" t="s">
        <v>1751</v>
      </c>
      <c r="D577" s="55" t="s">
        <v>820</v>
      </c>
      <c r="E577" s="58">
        <v>39.159999999999997</v>
      </c>
      <c r="F577" s="57">
        <v>0.04</v>
      </c>
      <c r="G577" s="57"/>
      <c r="H577" s="49"/>
      <c r="I577" s="49" t="str">
        <f t="shared" si="50"/>
        <v/>
      </c>
      <c r="J577" s="37" t="str">
        <f t="shared" si="46"/>
        <v>한국큐빅</v>
      </c>
      <c r="K577" s="37" t="str">
        <f t="shared" si="47"/>
        <v>A021650</v>
      </c>
    </row>
    <row r="578" spans="1:11" x14ac:dyDescent="0.4">
      <c r="A578" s="49"/>
      <c r="B578" s="54" t="s">
        <v>1752</v>
      </c>
      <c r="C578" s="37" t="s">
        <v>1753</v>
      </c>
      <c r="D578" s="55" t="s">
        <v>805</v>
      </c>
      <c r="E578" s="56">
        <v>166.2</v>
      </c>
      <c r="F578" s="55">
        <v>0.25</v>
      </c>
      <c r="G578" s="55"/>
      <c r="I578" s="49" t="str">
        <f t="shared" si="50"/>
        <v/>
      </c>
      <c r="J578" s="37" t="str">
        <f t="shared" si="46"/>
        <v>세원정공</v>
      </c>
      <c r="K578" s="37" t="str">
        <f t="shared" si="47"/>
        <v>A021820</v>
      </c>
    </row>
    <row r="579" spans="1:11" x14ac:dyDescent="0.4">
      <c r="A579" s="49"/>
      <c r="B579" s="54" t="s">
        <v>1754</v>
      </c>
      <c r="C579" s="37" t="s">
        <v>1755</v>
      </c>
      <c r="D579" s="55" t="s">
        <v>820</v>
      </c>
      <c r="E579" s="58">
        <v>54.74</v>
      </c>
      <c r="F579" s="57">
        <v>0.17</v>
      </c>
      <c r="G579" s="57"/>
      <c r="H579" s="49"/>
      <c r="I579" s="49" t="str">
        <f t="shared" si="50"/>
        <v/>
      </c>
      <c r="J579" s="37" t="str">
        <f t="shared" si="46"/>
        <v>메이슨캐피탈</v>
      </c>
      <c r="K579" s="37" t="str">
        <f t="shared" si="47"/>
        <v>A021880</v>
      </c>
    </row>
    <row r="580" spans="1:11" x14ac:dyDescent="0.4">
      <c r="A580" s="49"/>
      <c r="B580" s="54" t="s">
        <v>334</v>
      </c>
      <c r="C580" s="37" t="s">
        <v>335</v>
      </c>
      <c r="D580" s="55" t="s">
        <v>805</v>
      </c>
      <c r="E580" s="56">
        <v>5974.96</v>
      </c>
      <c r="F580" s="55">
        <v>44.24</v>
      </c>
      <c r="G580" s="55"/>
      <c r="I580" s="49" t="str">
        <f t="shared" si="50"/>
        <v/>
      </c>
      <c r="J580" s="37" t="str">
        <f t="shared" si="46"/>
        <v>포스코DX</v>
      </c>
      <c r="K580" s="37" t="str">
        <f t="shared" si="47"/>
        <v>A022100</v>
      </c>
    </row>
    <row r="581" spans="1:11" x14ac:dyDescent="0.4">
      <c r="A581" s="49"/>
      <c r="B581" s="54" t="s">
        <v>1756</v>
      </c>
      <c r="C581" s="37" t="s">
        <v>1757</v>
      </c>
      <c r="D581" s="55" t="s">
        <v>820</v>
      </c>
      <c r="E581" s="58">
        <v>31.23</v>
      </c>
      <c r="F581" s="57">
        <v>0.09</v>
      </c>
      <c r="G581" s="57"/>
      <c r="H581" s="49"/>
      <c r="I581" s="49" t="str">
        <f t="shared" si="50"/>
        <v/>
      </c>
      <c r="J581" s="37" t="str">
        <f t="shared" si="46"/>
        <v>티케이지애강</v>
      </c>
      <c r="K581" s="37" t="str">
        <f t="shared" si="47"/>
        <v>A022220</v>
      </c>
    </row>
    <row r="582" spans="1:11" x14ac:dyDescent="0.4">
      <c r="B582" s="54" t="s">
        <v>1758</v>
      </c>
      <c r="C582" s="37" t="s">
        <v>1759</v>
      </c>
      <c r="D582" s="55" t="s">
        <v>805</v>
      </c>
      <c r="E582" s="56">
        <v>97.6</v>
      </c>
      <c r="F582" s="55">
        <v>7.0000000000000007E-2</v>
      </c>
      <c r="G582" s="55"/>
      <c r="J582" s="37" t="str">
        <f t="shared" si="46"/>
        <v>삼원강재</v>
      </c>
      <c r="K582" s="37" t="str">
        <f t="shared" si="47"/>
        <v>A023000</v>
      </c>
    </row>
    <row r="583" spans="1:11" x14ac:dyDescent="0.4">
      <c r="A583" s="49"/>
      <c r="B583" s="54" t="s">
        <v>1760</v>
      </c>
      <c r="C583" s="37" t="s">
        <v>1761</v>
      </c>
      <c r="D583" s="55" t="s">
        <v>805</v>
      </c>
      <c r="E583" s="58">
        <v>31.14</v>
      </c>
      <c r="F583" s="57">
        <v>0.04</v>
      </c>
      <c r="G583" s="57"/>
      <c r="H583" s="49"/>
      <c r="I583" s="49" t="str">
        <f t="shared" ref="I583:I596" si="51">IF((G583&gt;$G$8),E583+ROW()/100000,"")</f>
        <v/>
      </c>
      <c r="J583" s="37" t="str">
        <f t="shared" si="46"/>
        <v>MH에탄올</v>
      </c>
      <c r="K583" s="37" t="str">
        <f t="shared" si="47"/>
        <v>A023150</v>
      </c>
    </row>
    <row r="584" spans="1:11" x14ac:dyDescent="0.4">
      <c r="A584" s="49"/>
      <c r="B584" s="54" t="s">
        <v>1762</v>
      </c>
      <c r="C584" s="37" t="s">
        <v>1763</v>
      </c>
      <c r="D584" s="55" t="s">
        <v>820</v>
      </c>
      <c r="E584" s="56">
        <v>745.98</v>
      </c>
      <c r="F584" s="55">
        <v>9.11</v>
      </c>
      <c r="G584" s="55">
        <v>2</v>
      </c>
      <c r="I584" s="49">
        <f t="shared" si="51"/>
        <v>745.98584000000005</v>
      </c>
      <c r="J584" s="37" t="str">
        <f t="shared" si="46"/>
        <v>태광</v>
      </c>
      <c r="K584" s="37" t="str">
        <f t="shared" si="47"/>
        <v>A023160</v>
      </c>
    </row>
    <row r="585" spans="1:11" x14ac:dyDescent="0.4">
      <c r="A585" s="49"/>
      <c r="B585" s="54" t="s">
        <v>1764</v>
      </c>
      <c r="C585" s="37" t="s">
        <v>1765</v>
      </c>
      <c r="D585" s="55" t="s">
        <v>805</v>
      </c>
      <c r="E585" s="58">
        <v>52.23</v>
      </c>
      <c r="F585" s="57">
        <v>0.25</v>
      </c>
      <c r="G585" s="57"/>
      <c r="H585" s="49"/>
      <c r="I585" s="49" t="str">
        <f t="shared" si="51"/>
        <v/>
      </c>
      <c r="J585" s="37" t="str">
        <f t="shared" si="46"/>
        <v>한국종합기술</v>
      </c>
      <c r="K585" s="37" t="str">
        <f t="shared" si="47"/>
        <v>A023350</v>
      </c>
    </row>
    <row r="586" spans="1:11" x14ac:dyDescent="0.4">
      <c r="A586" s="49"/>
      <c r="B586" s="54" t="s">
        <v>1766</v>
      </c>
      <c r="C586" s="37" t="s">
        <v>1767</v>
      </c>
      <c r="D586" s="55" t="s">
        <v>820</v>
      </c>
      <c r="E586" s="58">
        <v>367.61</v>
      </c>
      <c r="F586" s="57">
        <v>1.01</v>
      </c>
      <c r="G586" s="57"/>
      <c r="H586" s="49"/>
      <c r="I586" s="49" t="str">
        <f t="shared" si="51"/>
        <v/>
      </c>
      <c r="J586" s="37" t="str">
        <f t="shared" si="46"/>
        <v>유진기업</v>
      </c>
      <c r="K586" s="37" t="str">
        <f t="shared" si="47"/>
        <v>A023410</v>
      </c>
    </row>
    <row r="587" spans="1:11" x14ac:dyDescent="0.4">
      <c r="A587" s="49"/>
      <c r="B587" s="54" t="s">
        <v>1768</v>
      </c>
      <c r="C587" s="37" t="s">
        <v>1769</v>
      </c>
      <c r="D587" s="55" t="s">
        <v>820</v>
      </c>
      <c r="E587" s="58">
        <v>68.150000000000006</v>
      </c>
      <c r="F587" s="57">
        <v>1.08</v>
      </c>
      <c r="G587" s="57"/>
      <c r="H587" s="49"/>
      <c r="I587" s="49" t="str">
        <f t="shared" si="51"/>
        <v/>
      </c>
      <c r="J587" s="37" t="str">
        <f t="shared" si="46"/>
        <v>제이스코홀딩스</v>
      </c>
      <c r="K587" s="37" t="str">
        <f t="shared" si="47"/>
        <v>A023440</v>
      </c>
    </row>
    <row r="588" spans="1:11" x14ac:dyDescent="0.4">
      <c r="A588" s="49"/>
      <c r="B588" s="54" t="s">
        <v>1770</v>
      </c>
      <c r="C588" s="37" t="s">
        <v>1771</v>
      </c>
      <c r="D588" s="55" t="s">
        <v>805</v>
      </c>
      <c r="E588" s="56">
        <v>108.85</v>
      </c>
      <c r="F588" s="55">
        <v>0.05</v>
      </c>
      <c r="G588" s="55"/>
      <c r="I588" s="49" t="str">
        <f t="shared" si="51"/>
        <v/>
      </c>
      <c r="J588" s="37" t="str">
        <f t="shared" si="46"/>
        <v>동남합성</v>
      </c>
      <c r="K588" s="37" t="str">
        <f t="shared" si="47"/>
        <v>A023450</v>
      </c>
    </row>
    <row r="589" spans="1:11" x14ac:dyDescent="0.4">
      <c r="A589" s="49"/>
      <c r="B589" s="54" t="s">
        <v>328</v>
      </c>
      <c r="C589" s="37" t="s">
        <v>329</v>
      </c>
      <c r="D589" s="55" t="s">
        <v>805</v>
      </c>
      <c r="E589" s="58">
        <v>3046.7</v>
      </c>
      <c r="F589" s="57">
        <v>8.09</v>
      </c>
      <c r="G589" s="57">
        <v>8</v>
      </c>
      <c r="H589" s="49"/>
      <c r="I589" s="49">
        <f t="shared" si="51"/>
        <v>3046.7058899999997</v>
      </c>
      <c r="J589" s="37" t="str">
        <f t="shared" si="46"/>
        <v>롯데쇼핑</v>
      </c>
      <c r="K589" s="37" t="str">
        <f t="shared" si="47"/>
        <v>A023530</v>
      </c>
    </row>
    <row r="590" spans="1:11" x14ac:dyDescent="0.4">
      <c r="A590" s="49"/>
      <c r="B590" s="54" t="s">
        <v>1772</v>
      </c>
      <c r="C590" s="37" t="s">
        <v>1773</v>
      </c>
      <c r="D590" s="55" t="s">
        <v>805</v>
      </c>
      <c r="E590" s="58">
        <v>2436.2600000000002</v>
      </c>
      <c r="F590" s="57">
        <v>3.82</v>
      </c>
      <c r="G590" s="57"/>
      <c r="H590" s="49"/>
      <c r="I590" s="49" t="str">
        <f t="shared" si="51"/>
        <v/>
      </c>
      <c r="J590" s="37" t="str">
        <f t="shared" ref="J590:J653" si="52">C590</f>
        <v>다우기술</v>
      </c>
      <c r="K590" s="37" t="str">
        <f t="shared" ref="K590:K653" si="53">B590</f>
        <v>A023590</v>
      </c>
    </row>
    <row r="591" spans="1:11" x14ac:dyDescent="0.4">
      <c r="A591" s="49"/>
      <c r="B591" s="54" t="s">
        <v>1774</v>
      </c>
      <c r="C591" s="37" t="s">
        <v>1775</v>
      </c>
      <c r="D591" s="55" t="s">
        <v>820</v>
      </c>
      <c r="E591" s="56">
        <v>167.29</v>
      </c>
      <c r="F591" s="55">
        <v>0.2</v>
      </c>
      <c r="G591" s="55"/>
      <c r="I591" s="49" t="str">
        <f t="shared" si="51"/>
        <v/>
      </c>
      <c r="J591" s="37" t="str">
        <f t="shared" si="52"/>
        <v>삼보판지</v>
      </c>
      <c r="K591" s="37" t="str">
        <f t="shared" si="53"/>
        <v>A023600</v>
      </c>
    </row>
    <row r="592" spans="1:11" x14ac:dyDescent="0.4">
      <c r="A592" s="49"/>
      <c r="B592" s="54" t="s">
        <v>1776</v>
      </c>
      <c r="C592" s="37" t="s">
        <v>1777</v>
      </c>
      <c r="D592" s="55" t="s">
        <v>820</v>
      </c>
      <c r="E592" s="58">
        <v>345.59</v>
      </c>
      <c r="F592" s="57">
        <v>0.33</v>
      </c>
      <c r="G592" s="57"/>
      <c r="H592" s="49"/>
      <c r="I592" s="49" t="str">
        <f t="shared" si="51"/>
        <v/>
      </c>
      <c r="J592" s="37" t="str">
        <f t="shared" si="52"/>
        <v>한국캐피탈</v>
      </c>
      <c r="K592" s="37" t="str">
        <f t="shared" si="53"/>
        <v>A023760</v>
      </c>
    </row>
    <row r="593" spans="1:11" x14ac:dyDescent="0.4">
      <c r="A593" s="49"/>
      <c r="B593" s="54" t="s">
        <v>1778</v>
      </c>
      <c r="C593" s="37" t="s">
        <v>1779</v>
      </c>
      <c r="D593" s="55" t="s">
        <v>820</v>
      </c>
      <c r="E593" s="58">
        <v>24.29</v>
      </c>
      <c r="F593" s="57">
        <v>0.61</v>
      </c>
      <c r="G593" s="57"/>
      <c r="H593" s="49"/>
      <c r="I593" s="49" t="str">
        <f t="shared" si="51"/>
        <v/>
      </c>
      <c r="J593" s="37" t="str">
        <f t="shared" si="52"/>
        <v>플레이위드</v>
      </c>
      <c r="K593" s="37" t="str">
        <f t="shared" si="53"/>
        <v>A023770</v>
      </c>
    </row>
    <row r="594" spans="1:11" x14ac:dyDescent="0.4">
      <c r="A594" s="49"/>
      <c r="B594" s="54" t="s">
        <v>1780</v>
      </c>
      <c r="C594" s="37" t="s">
        <v>1781</v>
      </c>
      <c r="D594" s="55" t="s">
        <v>820</v>
      </c>
      <c r="E594" s="58">
        <v>26.82</v>
      </c>
      <c r="F594" s="57">
        <v>6.11</v>
      </c>
      <c r="G594" s="57"/>
      <c r="H594" s="49"/>
      <c r="I594" s="49" t="str">
        <f t="shared" si="51"/>
        <v/>
      </c>
      <c r="J594" s="37" t="str">
        <f t="shared" si="52"/>
        <v>동일스틸럭스</v>
      </c>
      <c r="K594" s="37" t="str">
        <f t="shared" si="53"/>
        <v>A023790</v>
      </c>
    </row>
    <row r="595" spans="1:11" x14ac:dyDescent="0.4">
      <c r="A595" s="49"/>
      <c r="B595" s="54" t="s">
        <v>1782</v>
      </c>
      <c r="C595" s="37" t="s">
        <v>1783</v>
      </c>
      <c r="D595" s="55" t="s">
        <v>805</v>
      </c>
      <c r="E595" s="56">
        <v>115.25</v>
      </c>
      <c r="F595" s="55">
        <v>0.68</v>
      </c>
      <c r="G595" s="55"/>
      <c r="I595" s="49" t="str">
        <f t="shared" si="51"/>
        <v/>
      </c>
      <c r="J595" s="37" t="str">
        <f t="shared" si="52"/>
        <v>인지컨트롤스</v>
      </c>
      <c r="K595" s="37" t="str">
        <f t="shared" si="53"/>
        <v>A023800</v>
      </c>
    </row>
    <row r="596" spans="1:11" x14ac:dyDescent="0.4">
      <c r="A596" s="49"/>
      <c r="B596" s="54" t="s">
        <v>1784</v>
      </c>
      <c r="C596" s="37" t="s">
        <v>1785</v>
      </c>
      <c r="D596" s="55" t="s">
        <v>805</v>
      </c>
      <c r="E596" s="58">
        <v>84.5</v>
      </c>
      <c r="F596" s="57">
        <v>0.62</v>
      </c>
      <c r="G596" s="57"/>
      <c r="H596" s="49"/>
      <c r="I596" s="49" t="str">
        <f t="shared" si="51"/>
        <v/>
      </c>
      <c r="J596" s="37" t="str">
        <f t="shared" si="52"/>
        <v>인팩</v>
      </c>
      <c r="K596" s="37" t="str">
        <f t="shared" si="53"/>
        <v>A023810</v>
      </c>
    </row>
    <row r="597" spans="1:11" x14ac:dyDescent="0.4">
      <c r="B597" s="54" t="s">
        <v>1786</v>
      </c>
      <c r="C597" s="37" t="s">
        <v>1787</v>
      </c>
      <c r="D597" s="55" t="s">
        <v>820</v>
      </c>
      <c r="E597" s="56">
        <v>116.3</v>
      </c>
      <c r="F597" s="55">
        <v>0.14000000000000001</v>
      </c>
      <c r="G597" s="55"/>
      <c r="J597" s="37" t="str">
        <f t="shared" si="52"/>
        <v>풍국주정</v>
      </c>
      <c r="K597" s="37" t="str">
        <f t="shared" si="53"/>
        <v>A023900</v>
      </c>
    </row>
    <row r="598" spans="1:11" x14ac:dyDescent="0.4">
      <c r="A598" s="49"/>
      <c r="B598" s="54" t="s">
        <v>1788</v>
      </c>
      <c r="C598" s="37" t="s">
        <v>1789</v>
      </c>
      <c r="D598" s="55" t="s">
        <v>820</v>
      </c>
      <c r="E598" s="58">
        <v>180.9</v>
      </c>
      <c r="F598" s="57">
        <v>0.49</v>
      </c>
      <c r="G598" s="57"/>
      <c r="H598" s="49"/>
      <c r="I598" s="49" t="str">
        <f t="shared" ref="I598:I603" si="54">IF((G598&gt;$G$8),E598+ROW()/100000,"")</f>
        <v/>
      </c>
      <c r="J598" s="37" t="str">
        <f t="shared" si="52"/>
        <v>대한약품</v>
      </c>
      <c r="K598" s="37" t="str">
        <f t="shared" si="53"/>
        <v>A023910</v>
      </c>
    </row>
    <row r="599" spans="1:11" x14ac:dyDescent="0.4">
      <c r="A599" s="49"/>
      <c r="B599" s="54" t="s">
        <v>1790</v>
      </c>
      <c r="C599" s="37" t="s">
        <v>1791</v>
      </c>
      <c r="D599" s="55" t="s">
        <v>805</v>
      </c>
      <c r="E599" s="58">
        <v>59.6</v>
      </c>
      <c r="F599" s="57">
        <v>0.53</v>
      </c>
      <c r="G599" s="57"/>
      <c r="H599" s="49"/>
      <c r="I599" s="49" t="str">
        <f t="shared" si="54"/>
        <v/>
      </c>
      <c r="J599" s="37" t="str">
        <f t="shared" si="52"/>
        <v>에쓰씨엔지니어링</v>
      </c>
      <c r="K599" s="37" t="str">
        <f t="shared" si="53"/>
        <v>A023960</v>
      </c>
    </row>
    <row r="600" spans="1:11" x14ac:dyDescent="0.4">
      <c r="A600" s="49"/>
      <c r="B600" s="54" t="s">
        <v>1792</v>
      </c>
      <c r="C600" s="37" t="s">
        <v>1793</v>
      </c>
      <c r="D600" s="55" t="s">
        <v>820</v>
      </c>
      <c r="E600" s="56">
        <v>264.14999999999998</v>
      </c>
      <c r="F600" s="55">
        <v>33.03</v>
      </c>
      <c r="G600" s="55"/>
      <c r="I600" s="49" t="str">
        <f t="shared" si="54"/>
        <v/>
      </c>
      <c r="J600" s="37" t="str">
        <f t="shared" si="52"/>
        <v>흥구석유</v>
      </c>
      <c r="K600" s="37" t="str">
        <f t="shared" si="53"/>
        <v>A024060</v>
      </c>
    </row>
    <row r="601" spans="1:11" x14ac:dyDescent="0.4">
      <c r="A601" s="49"/>
      <c r="B601" s="54" t="s">
        <v>1794</v>
      </c>
      <c r="C601" s="37" t="s">
        <v>1795</v>
      </c>
      <c r="D601" s="55" t="s">
        <v>805</v>
      </c>
      <c r="E601" s="58">
        <v>30.64</v>
      </c>
      <c r="F601" s="57">
        <v>0.04</v>
      </c>
      <c r="G601" s="57"/>
      <c r="H601" s="49"/>
      <c r="I601" s="49" t="str">
        <f t="shared" si="54"/>
        <v/>
      </c>
      <c r="J601" s="37" t="str">
        <f t="shared" si="52"/>
        <v>WISCOM</v>
      </c>
      <c r="K601" s="37" t="str">
        <f t="shared" si="53"/>
        <v>A024070</v>
      </c>
    </row>
    <row r="602" spans="1:11" x14ac:dyDescent="0.4">
      <c r="A602" s="49"/>
      <c r="B602" s="54" t="s">
        <v>1796</v>
      </c>
      <c r="C602" s="37" t="s">
        <v>1797</v>
      </c>
      <c r="D602" s="55" t="s">
        <v>805</v>
      </c>
      <c r="E602" s="58">
        <v>141.93</v>
      </c>
      <c r="F602" s="57">
        <v>0.11</v>
      </c>
      <c r="G602" s="57"/>
      <c r="H602" s="49"/>
      <c r="I602" s="49" t="str">
        <f t="shared" si="54"/>
        <v/>
      </c>
      <c r="J602" s="37" t="str">
        <f t="shared" si="52"/>
        <v>디씨엠</v>
      </c>
      <c r="K602" s="37" t="str">
        <f t="shared" si="53"/>
        <v>A024090</v>
      </c>
    </row>
    <row r="603" spans="1:11" x14ac:dyDescent="0.4">
      <c r="A603" s="49"/>
      <c r="B603" s="54" t="s">
        <v>131</v>
      </c>
      <c r="C603" s="37" t="s">
        <v>132</v>
      </c>
      <c r="D603" s="55" t="s">
        <v>805</v>
      </c>
      <c r="E603" s="58">
        <v>20533.72</v>
      </c>
      <c r="F603" s="57">
        <v>23.48</v>
      </c>
      <c r="G603" s="57">
        <v>14</v>
      </c>
      <c r="H603" s="49"/>
      <c r="I603" s="49">
        <f t="shared" si="54"/>
        <v>20533.726030000002</v>
      </c>
      <c r="J603" s="37" t="str">
        <f t="shared" si="52"/>
        <v>기업은행</v>
      </c>
      <c r="K603" s="37" t="str">
        <f t="shared" si="53"/>
        <v>A024110</v>
      </c>
    </row>
    <row r="604" spans="1:11" x14ac:dyDescent="0.4">
      <c r="B604" s="54" t="s">
        <v>1798</v>
      </c>
      <c r="C604" s="37" t="s">
        <v>1799</v>
      </c>
      <c r="D604" s="55" t="s">
        <v>820</v>
      </c>
      <c r="E604" s="56">
        <v>42.21</v>
      </c>
      <c r="F604" s="55">
        <v>0.31</v>
      </c>
      <c r="G604" s="55"/>
      <c r="J604" s="37" t="str">
        <f t="shared" si="52"/>
        <v>KB오토시스</v>
      </c>
      <c r="K604" s="37" t="str">
        <f t="shared" si="53"/>
        <v>A024120</v>
      </c>
    </row>
    <row r="605" spans="1:11" x14ac:dyDescent="0.4">
      <c r="B605" s="54" t="s">
        <v>1800</v>
      </c>
      <c r="C605" s="37" t="s">
        <v>1801</v>
      </c>
      <c r="D605" s="55" t="s">
        <v>805</v>
      </c>
      <c r="E605" s="56">
        <v>360.11</v>
      </c>
      <c r="F605" s="55">
        <v>1.7</v>
      </c>
      <c r="G605" s="55"/>
      <c r="J605" s="37" t="str">
        <f t="shared" si="52"/>
        <v>콜마홀딩스</v>
      </c>
      <c r="K605" s="37" t="str">
        <f t="shared" si="53"/>
        <v>A024720</v>
      </c>
    </row>
    <row r="606" spans="1:11" x14ac:dyDescent="0.4">
      <c r="A606" s="49"/>
      <c r="B606" s="54" t="s">
        <v>1802</v>
      </c>
      <c r="C606" s="37" t="s">
        <v>1803</v>
      </c>
      <c r="D606" s="55" t="s">
        <v>820</v>
      </c>
      <c r="E606" s="58">
        <v>76.319999999999993</v>
      </c>
      <c r="F606" s="57">
        <v>1.7</v>
      </c>
      <c r="G606" s="57"/>
      <c r="H606" s="49"/>
      <c r="I606" s="49" t="str">
        <f t="shared" ref="I606:I611" si="55">IF((G606&gt;$G$8),E606+ROW()/100000,"")</f>
        <v/>
      </c>
      <c r="J606" s="37" t="str">
        <f t="shared" si="52"/>
        <v>한일단조</v>
      </c>
      <c r="K606" s="37" t="str">
        <f t="shared" si="53"/>
        <v>A024740</v>
      </c>
    </row>
    <row r="607" spans="1:11" x14ac:dyDescent="0.4">
      <c r="A607" s="49"/>
      <c r="B607" s="54" t="s">
        <v>1804</v>
      </c>
      <c r="C607" s="37" t="s">
        <v>1805</v>
      </c>
      <c r="D607" s="55" t="s">
        <v>820</v>
      </c>
      <c r="E607" s="58">
        <v>154.88</v>
      </c>
      <c r="F607" s="57">
        <v>0.24</v>
      </c>
      <c r="G607" s="57"/>
      <c r="H607" s="49"/>
      <c r="I607" s="49" t="str">
        <f t="shared" si="55"/>
        <v/>
      </c>
      <c r="J607" s="37" t="str">
        <f t="shared" si="52"/>
        <v>유성티엔에스</v>
      </c>
      <c r="K607" s="37" t="str">
        <f t="shared" si="53"/>
        <v>A024800</v>
      </c>
    </row>
    <row r="608" spans="1:11" x14ac:dyDescent="0.4">
      <c r="A608" s="49"/>
      <c r="B608" s="54" t="s">
        <v>1806</v>
      </c>
      <c r="C608" s="37" t="s">
        <v>1807</v>
      </c>
      <c r="D608" s="55" t="s">
        <v>820</v>
      </c>
      <c r="E608" s="58">
        <v>104.46</v>
      </c>
      <c r="F608" s="57">
        <v>0.22</v>
      </c>
      <c r="G608" s="57"/>
      <c r="H608" s="49"/>
      <c r="I608" s="49" t="str">
        <f t="shared" si="55"/>
        <v/>
      </c>
      <c r="J608" s="37" t="str">
        <f t="shared" si="52"/>
        <v>세원물산</v>
      </c>
      <c r="K608" s="37" t="str">
        <f t="shared" si="53"/>
        <v>A024830</v>
      </c>
    </row>
    <row r="609" spans="1:11" x14ac:dyDescent="0.4">
      <c r="A609" s="49"/>
      <c r="B609" s="54" t="s">
        <v>1808</v>
      </c>
      <c r="C609" s="37" t="s">
        <v>1809</v>
      </c>
      <c r="D609" s="55" t="s">
        <v>820</v>
      </c>
      <c r="E609" s="58">
        <v>84.48</v>
      </c>
      <c r="F609" s="57">
        <v>2.77</v>
      </c>
      <c r="G609" s="57"/>
      <c r="H609" s="49"/>
      <c r="I609" s="49" t="str">
        <f t="shared" si="55"/>
        <v/>
      </c>
      <c r="J609" s="37" t="str">
        <f t="shared" si="52"/>
        <v>KBI메탈</v>
      </c>
      <c r="K609" s="37" t="str">
        <f t="shared" si="53"/>
        <v>A024840</v>
      </c>
    </row>
    <row r="610" spans="1:11" x14ac:dyDescent="0.4">
      <c r="A610" s="49"/>
      <c r="B610" s="54" t="s">
        <v>691</v>
      </c>
      <c r="C610" s="37" t="s">
        <v>692</v>
      </c>
      <c r="D610" s="55" t="s">
        <v>820</v>
      </c>
      <c r="E610" s="58">
        <v>390.37</v>
      </c>
      <c r="F610" s="57">
        <v>2.4</v>
      </c>
      <c r="G610" s="57"/>
      <c r="H610" s="49"/>
      <c r="I610" s="49" t="str">
        <f t="shared" si="55"/>
        <v/>
      </c>
      <c r="J610" s="37" t="str">
        <f t="shared" si="52"/>
        <v>HLB이노베이션</v>
      </c>
      <c r="K610" s="37" t="str">
        <f t="shared" si="53"/>
        <v>A024850</v>
      </c>
    </row>
    <row r="611" spans="1:11" x14ac:dyDescent="0.4">
      <c r="A611" s="49"/>
      <c r="B611" s="54" t="s">
        <v>1810</v>
      </c>
      <c r="C611" s="37" t="s">
        <v>1811</v>
      </c>
      <c r="D611" s="55" t="s">
        <v>820</v>
      </c>
      <c r="E611" s="58">
        <v>129.38</v>
      </c>
      <c r="F611" s="57">
        <v>1.63</v>
      </c>
      <c r="G611" s="57"/>
      <c r="H611" s="49"/>
      <c r="I611" s="49" t="str">
        <f t="shared" si="55"/>
        <v/>
      </c>
      <c r="J611" s="37" t="str">
        <f t="shared" si="52"/>
        <v>케이피에프</v>
      </c>
      <c r="K611" s="37" t="str">
        <f t="shared" si="53"/>
        <v>A024880</v>
      </c>
    </row>
    <row r="612" spans="1:11" x14ac:dyDescent="0.4">
      <c r="B612" s="54" t="s">
        <v>1812</v>
      </c>
      <c r="C612" s="37" t="s">
        <v>1813</v>
      </c>
      <c r="D612" s="55" t="s">
        <v>805</v>
      </c>
      <c r="E612" s="56">
        <v>33.700000000000003</v>
      </c>
      <c r="F612" s="55">
        <v>0.15</v>
      </c>
      <c r="G612" s="55"/>
      <c r="J612" s="37" t="str">
        <f t="shared" si="52"/>
        <v>대원화성</v>
      </c>
      <c r="K612" s="37" t="str">
        <f t="shared" si="53"/>
        <v>A024890</v>
      </c>
    </row>
    <row r="613" spans="1:11" x14ac:dyDescent="0.4">
      <c r="A613" s="49"/>
      <c r="B613" s="54" t="s">
        <v>1814</v>
      </c>
      <c r="C613" s="37" t="s">
        <v>1815</v>
      </c>
      <c r="D613" s="55" t="s">
        <v>805</v>
      </c>
      <c r="E613" s="58">
        <v>71.319999999999993</v>
      </c>
      <c r="F613" s="57">
        <v>0.32</v>
      </c>
      <c r="G613" s="57"/>
      <c r="H613" s="49"/>
      <c r="I613" s="49" t="str">
        <f t="shared" ref="I613:I638" si="56">IF((G613&gt;$G$8),E613+ROW()/100000,"")</f>
        <v/>
      </c>
      <c r="J613" s="37" t="str">
        <f t="shared" si="52"/>
        <v>디와이덕양</v>
      </c>
      <c r="K613" s="37" t="str">
        <f t="shared" si="53"/>
        <v>A024900</v>
      </c>
    </row>
    <row r="614" spans="1:11" x14ac:dyDescent="0.4">
      <c r="A614" s="49"/>
      <c r="B614" s="54" t="s">
        <v>1816</v>
      </c>
      <c r="C614" s="37" t="s">
        <v>1817</v>
      </c>
      <c r="D614" s="55" t="s">
        <v>820</v>
      </c>
      <c r="E614" s="58">
        <v>73.25</v>
      </c>
      <c r="F614" s="57">
        <v>2.2599999999999998</v>
      </c>
      <c r="G614" s="57"/>
      <c r="H614" s="49"/>
      <c r="I614" s="49" t="str">
        <f t="shared" si="56"/>
        <v/>
      </c>
      <c r="J614" s="37" t="str">
        <f t="shared" si="52"/>
        <v>경창산업</v>
      </c>
      <c r="K614" s="37" t="str">
        <f t="shared" si="53"/>
        <v>A024910</v>
      </c>
    </row>
    <row r="615" spans="1:11" x14ac:dyDescent="0.4">
      <c r="A615" s="49"/>
      <c r="B615" s="54" t="s">
        <v>1818</v>
      </c>
      <c r="C615" s="37" t="s">
        <v>1819</v>
      </c>
      <c r="D615" s="55" t="s">
        <v>820</v>
      </c>
      <c r="E615" s="59">
        <v>49.4</v>
      </c>
      <c r="F615" s="57">
        <v>0.46</v>
      </c>
      <c r="G615" s="57"/>
      <c r="H615" s="49"/>
      <c r="I615" s="49" t="str">
        <f t="shared" si="56"/>
        <v/>
      </c>
      <c r="J615" s="37" t="str">
        <f t="shared" si="52"/>
        <v>PN풍년</v>
      </c>
      <c r="K615" s="37" t="str">
        <f t="shared" si="53"/>
        <v>A024940</v>
      </c>
    </row>
    <row r="616" spans="1:11" x14ac:dyDescent="0.4">
      <c r="A616" s="49"/>
      <c r="B616" s="54" t="s">
        <v>1820</v>
      </c>
      <c r="C616" s="37" t="s">
        <v>1821</v>
      </c>
      <c r="D616" s="55" t="s">
        <v>820</v>
      </c>
      <c r="E616" s="58">
        <v>54.69</v>
      </c>
      <c r="F616" s="57">
        <v>0.27</v>
      </c>
      <c r="G616" s="57"/>
      <c r="H616" s="49"/>
      <c r="I616" s="49" t="str">
        <f t="shared" si="56"/>
        <v/>
      </c>
      <c r="J616" s="37" t="str">
        <f t="shared" si="52"/>
        <v>삼천리자전거</v>
      </c>
      <c r="K616" s="37" t="str">
        <f t="shared" si="53"/>
        <v>A024950</v>
      </c>
    </row>
    <row r="617" spans="1:11" x14ac:dyDescent="0.4">
      <c r="A617" s="49"/>
      <c r="B617" s="54" t="s">
        <v>1822</v>
      </c>
      <c r="C617" s="37" t="s">
        <v>1823</v>
      </c>
      <c r="D617" s="55" t="s">
        <v>805</v>
      </c>
      <c r="E617" s="58">
        <v>234.7</v>
      </c>
      <c r="F617" s="57">
        <v>0.36</v>
      </c>
      <c r="G617" s="57"/>
      <c r="H617" s="49"/>
      <c r="I617" s="49" t="str">
        <f t="shared" si="56"/>
        <v/>
      </c>
      <c r="J617" s="37" t="str">
        <f t="shared" si="52"/>
        <v>KPX케미칼</v>
      </c>
      <c r="K617" s="37" t="str">
        <f t="shared" si="53"/>
        <v>A025000</v>
      </c>
    </row>
    <row r="618" spans="1:11" x14ac:dyDescent="0.4">
      <c r="A618" s="49"/>
      <c r="B618" s="54" t="s">
        <v>1824</v>
      </c>
      <c r="C618" s="37" t="s">
        <v>1825</v>
      </c>
      <c r="D618" s="55" t="s">
        <v>820</v>
      </c>
      <c r="E618" s="58">
        <v>622.04</v>
      </c>
      <c r="F618" s="57">
        <v>3.98</v>
      </c>
      <c r="G618" s="57">
        <v>2</v>
      </c>
      <c r="H618" s="49"/>
      <c r="I618" s="49">
        <f t="shared" si="56"/>
        <v>622.04617999999994</v>
      </c>
      <c r="J618" s="37" t="str">
        <f t="shared" si="52"/>
        <v>시노펙스</v>
      </c>
      <c r="K618" s="37" t="str">
        <f t="shared" si="53"/>
        <v>A025320</v>
      </c>
    </row>
    <row r="619" spans="1:11" x14ac:dyDescent="0.4">
      <c r="A619" s="49"/>
      <c r="B619" s="54" t="s">
        <v>1826</v>
      </c>
      <c r="C619" s="37" t="s">
        <v>1827</v>
      </c>
      <c r="D619" s="55" t="s">
        <v>820</v>
      </c>
      <c r="E619" s="56">
        <v>48.98</v>
      </c>
      <c r="F619" s="55">
        <v>0.71</v>
      </c>
      <c r="G619" s="55"/>
      <c r="I619" s="49" t="str">
        <f t="shared" si="56"/>
        <v/>
      </c>
      <c r="J619" s="37" t="str">
        <f t="shared" si="52"/>
        <v>DH오토웨어</v>
      </c>
      <c r="K619" s="37" t="str">
        <f t="shared" si="53"/>
        <v>A025440</v>
      </c>
    </row>
    <row r="620" spans="1:11" x14ac:dyDescent="0.4">
      <c r="A620" s="49"/>
      <c r="B620" s="54" t="s">
        <v>1828</v>
      </c>
      <c r="C620" s="37" t="s">
        <v>1829</v>
      </c>
      <c r="D620" s="55" t="s">
        <v>805</v>
      </c>
      <c r="E620" s="58">
        <v>57.2</v>
      </c>
      <c r="F620" s="57">
        <v>7.0000000000000007E-2</v>
      </c>
      <c r="G620" s="57"/>
      <c r="H620" s="49"/>
      <c r="I620" s="49" t="str">
        <f t="shared" si="56"/>
        <v/>
      </c>
      <c r="J620" s="37" t="str">
        <f t="shared" si="52"/>
        <v>SJM홀딩스</v>
      </c>
      <c r="K620" s="37" t="str">
        <f t="shared" si="53"/>
        <v>A025530</v>
      </c>
    </row>
    <row r="621" spans="1:11" x14ac:dyDescent="0.4">
      <c r="A621" s="49"/>
      <c r="B621" s="54" t="s">
        <v>1830</v>
      </c>
      <c r="C621" s="37" t="s">
        <v>1831</v>
      </c>
      <c r="D621" s="55" t="s">
        <v>805</v>
      </c>
      <c r="E621" s="58">
        <v>816.28</v>
      </c>
      <c r="F621" s="57">
        <v>2.54</v>
      </c>
      <c r="G621" s="57">
        <v>1</v>
      </c>
      <c r="H621" s="49"/>
      <c r="I621" s="49">
        <f t="shared" si="56"/>
        <v>816.28620999999998</v>
      </c>
      <c r="J621" s="37" t="str">
        <f t="shared" si="52"/>
        <v>한국단자</v>
      </c>
      <c r="K621" s="37" t="str">
        <f t="shared" si="53"/>
        <v>A025540</v>
      </c>
    </row>
    <row r="622" spans="1:11" x14ac:dyDescent="0.4">
      <c r="A622" s="49"/>
      <c r="B622" s="54" t="s">
        <v>1832</v>
      </c>
      <c r="C622" s="37" t="s">
        <v>1833</v>
      </c>
      <c r="D622" s="55" t="s">
        <v>820</v>
      </c>
      <c r="E622" s="58">
        <v>86.36</v>
      </c>
      <c r="F622" s="57">
        <v>3.5</v>
      </c>
      <c r="G622" s="57"/>
      <c r="H622" s="49"/>
      <c r="I622" s="49" t="str">
        <f t="shared" si="56"/>
        <v/>
      </c>
      <c r="J622" s="37" t="str">
        <f t="shared" si="52"/>
        <v>한국선재</v>
      </c>
      <c r="K622" s="37" t="str">
        <f t="shared" si="53"/>
        <v>A025550</v>
      </c>
    </row>
    <row r="623" spans="1:11" x14ac:dyDescent="0.4">
      <c r="A623" s="49"/>
      <c r="B623" s="54" t="s">
        <v>1834</v>
      </c>
      <c r="C623" s="37" t="s">
        <v>1835</v>
      </c>
      <c r="D623" s="55" t="s">
        <v>805</v>
      </c>
      <c r="E623" s="58">
        <v>66.48</v>
      </c>
      <c r="F623" s="57">
        <v>0.76</v>
      </c>
      <c r="G623" s="57"/>
      <c r="H623" s="49"/>
      <c r="I623" s="49" t="str">
        <f t="shared" si="56"/>
        <v/>
      </c>
      <c r="J623" s="37" t="str">
        <f t="shared" si="52"/>
        <v>미래산업</v>
      </c>
      <c r="K623" s="37" t="str">
        <f t="shared" si="53"/>
        <v>A025560</v>
      </c>
    </row>
    <row r="624" spans="1:11" x14ac:dyDescent="0.4">
      <c r="A624" s="49"/>
      <c r="B624" s="54" t="s">
        <v>1836</v>
      </c>
      <c r="C624" s="37" t="s">
        <v>1837</v>
      </c>
      <c r="D624" s="55" t="s">
        <v>805</v>
      </c>
      <c r="E624" s="58">
        <v>188.41</v>
      </c>
      <c r="F624" s="57">
        <v>2.23</v>
      </c>
      <c r="G624" s="57"/>
      <c r="H624" s="49"/>
      <c r="I624" s="49" t="str">
        <f t="shared" si="56"/>
        <v/>
      </c>
      <c r="J624" s="37" t="str">
        <f t="shared" si="52"/>
        <v>차AI헬스케어</v>
      </c>
      <c r="K624" s="37" t="str">
        <f t="shared" si="53"/>
        <v>A025620</v>
      </c>
    </row>
    <row r="625" spans="1:11" x14ac:dyDescent="0.4">
      <c r="A625" s="49"/>
      <c r="B625" s="54" t="s">
        <v>1838</v>
      </c>
      <c r="C625" s="37" t="s">
        <v>1839</v>
      </c>
      <c r="D625" s="55" t="s">
        <v>805</v>
      </c>
      <c r="E625" s="56">
        <v>50.43</v>
      </c>
      <c r="F625" s="55">
        <v>0.14000000000000001</v>
      </c>
      <c r="G625" s="55"/>
      <c r="I625" s="49" t="str">
        <f t="shared" si="56"/>
        <v/>
      </c>
      <c r="J625" s="37" t="str">
        <f t="shared" si="52"/>
        <v>한솔홈데코</v>
      </c>
      <c r="K625" s="37" t="str">
        <f t="shared" si="53"/>
        <v>A025750</v>
      </c>
    </row>
    <row r="626" spans="1:11" x14ac:dyDescent="0.4">
      <c r="A626" s="49"/>
      <c r="B626" s="54" t="s">
        <v>1840</v>
      </c>
      <c r="C626" s="37" t="s">
        <v>1841</v>
      </c>
      <c r="D626" s="55" t="s">
        <v>820</v>
      </c>
      <c r="E626" s="58">
        <v>305.92</v>
      </c>
      <c r="F626" s="57">
        <v>0.28000000000000003</v>
      </c>
      <c r="G626" s="57"/>
      <c r="H626" s="49"/>
      <c r="I626" s="49" t="str">
        <f t="shared" si="56"/>
        <v/>
      </c>
      <c r="J626" s="37" t="str">
        <f t="shared" si="52"/>
        <v>한국정보통신</v>
      </c>
      <c r="K626" s="37" t="str">
        <f t="shared" si="53"/>
        <v>A025770</v>
      </c>
    </row>
    <row r="627" spans="1:11" x14ac:dyDescent="0.4">
      <c r="A627" s="49"/>
      <c r="B627" s="54" t="s">
        <v>1842</v>
      </c>
      <c r="C627" s="37" t="s">
        <v>1843</v>
      </c>
      <c r="D627" s="55" t="s">
        <v>805</v>
      </c>
      <c r="E627" s="58">
        <v>188.61</v>
      </c>
      <c r="F627" s="57">
        <v>4.26</v>
      </c>
      <c r="G627" s="57"/>
      <c r="H627" s="49"/>
      <c r="I627" s="49" t="str">
        <f t="shared" si="56"/>
        <v/>
      </c>
      <c r="J627" s="37" t="str">
        <f t="shared" si="52"/>
        <v>이구산업</v>
      </c>
      <c r="K627" s="37" t="str">
        <f t="shared" si="53"/>
        <v>A025820</v>
      </c>
    </row>
    <row r="628" spans="1:11" x14ac:dyDescent="0.4">
      <c r="A628" s="49"/>
      <c r="B628" s="54" t="s">
        <v>1844</v>
      </c>
      <c r="C628" s="37" t="s">
        <v>1845</v>
      </c>
      <c r="D628" s="55" t="s">
        <v>805</v>
      </c>
      <c r="E628" s="58">
        <v>366.13</v>
      </c>
      <c r="F628" s="57">
        <v>0.77</v>
      </c>
      <c r="G628" s="57"/>
      <c r="H628" s="49"/>
      <c r="I628" s="49" t="str">
        <f t="shared" si="56"/>
        <v/>
      </c>
      <c r="J628" s="37" t="str">
        <f t="shared" si="52"/>
        <v>남해화학</v>
      </c>
      <c r="K628" s="37" t="str">
        <f t="shared" si="53"/>
        <v>A025860</v>
      </c>
    </row>
    <row r="629" spans="1:11" x14ac:dyDescent="0.4">
      <c r="A629" s="49"/>
      <c r="B629" s="54" t="s">
        <v>1846</v>
      </c>
      <c r="C629" s="37" t="s">
        <v>1847</v>
      </c>
      <c r="D629" s="55" t="s">
        <v>820</v>
      </c>
      <c r="E629" s="58">
        <v>19.579999999999998</v>
      </c>
      <c r="F629" s="57">
        <v>0.11</v>
      </c>
      <c r="G629" s="57"/>
      <c r="H629" s="49"/>
      <c r="I629" s="49" t="str">
        <f t="shared" si="56"/>
        <v/>
      </c>
      <c r="J629" s="37" t="str">
        <f t="shared" si="52"/>
        <v>신라에스지</v>
      </c>
      <c r="K629" s="37" t="str">
        <f t="shared" si="53"/>
        <v>A025870</v>
      </c>
    </row>
    <row r="630" spans="1:11" x14ac:dyDescent="0.4">
      <c r="A630" s="49"/>
      <c r="B630" s="54" t="s">
        <v>1848</v>
      </c>
      <c r="C630" s="37" t="s">
        <v>1849</v>
      </c>
      <c r="D630" s="55" t="s">
        <v>820</v>
      </c>
      <c r="E630" s="59">
        <v>46.72</v>
      </c>
      <c r="F630" s="57">
        <v>0.16</v>
      </c>
      <c r="G630" s="57"/>
      <c r="H630" s="49"/>
      <c r="I630" s="49" t="str">
        <f t="shared" si="56"/>
        <v/>
      </c>
      <c r="J630" s="37" t="str">
        <f t="shared" si="52"/>
        <v>케이씨피드</v>
      </c>
      <c r="K630" s="37" t="str">
        <f t="shared" si="53"/>
        <v>A025880</v>
      </c>
    </row>
    <row r="631" spans="1:11" x14ac:dyDescent="0.4">
      <c r="A631" s="49"/>
      <c r="B631" s="54" t="s">
        <v>1850</v>
      </c>
      <c r="C631" s="37" t="s">
        <v>1851</v>
      </c>
      <c r="D631" s="55" t="s">
        <v>805</v>
      </c>
      <c r="E631" s="56">
        <v>18.86</v>
      </c>
      <c r="F631" s="55">
        <v>0.27</v>
      </c>
      <c r="G631" s="55"/>
      <c r="I631" s="49" t="str">
        <f t="shared" si="56"/>
        <v/>
      </c>
      <c r="J631" s="37" t="str">
        <f t="shared" si="52"/>
        <v>한국주강</v>
      </c>
      <c r="K631" s="37" t="str">
        <f t="shared" si="53"/>
        <v>A025890</v>
      </c>
    </row>
    <row r="632" spans="1:11" x14ac:dyDescent="0.4">
      <c r="A632" s="49"/>
      <c r="B632" s="54" t="s">
        <v>1852</v>
      </c>
      <c r="C632" s="37" t="s">
        <v>1853</v>
      </c>
      <c r="D632" s="55" t="s">
        <v>820</v>
      </c>
      <c r="E632" s="58">
        <v>514.66999999999996</v>
      </c>
      <c r="F632" s="57">
        <v>1.28</v>
      </c>
      <c r="G632" s="57"/>
      <c r="H632" s="49"/>
      <c r="I632" s="49" t="str">
        <f t="shared" si="56"/>
        <v/>
      </c>
      <c r="J632" s="37" t="str">
        <f t="shared" si="52"/>
        <v>동화기업</v>
      </c>
      <c r="K632" s="37" t="str">
        <f t="shared" si="53"/>
        <v>A025900</v>
      </c>
    </row>
    <row r="633" spans="1:11" x14ac:dyDescent="0.4">
      <c r="A633" s="49"/>
      <c r="B633" s="54" t="s">
        <v>1854</v>
      </c>
      <c r="C633" s="37" t="s">
        <v>1855</v>
      </c>
      <c r="D633" s="55" t="s">
        <v>820</v>
      </c>
      <c r="E633" s="58">
        <v>147.66999999999999</v>
      </c>
      <c r="F633" s="57">
        <v>2.89</v>
      </c>
      <c r="G633" s="57"/>
      <c r="H633" s="49"/>
      <c r="I633" s="49" t="str">
        <f t="shared" si="56"/>
        <v/>
      </c>
      <c r="J633" s="37" t="str">
        <f t="shared" si="52"/>
        <v>동신건설</v>
      </c>
      <c r="K633" s="37" t="str">
        <f t="shared" si="53"/>
        <v>A025950</v>
      </c>
    </row>
    <row r="634" spans="1:11" x14ac:dyDescent="0.4">
      <c r="A634" s="49"/>
      <c r="B634" s="54" t="s">
        <v>1856</v>
      </c>
      <c r="C634" s="37" t="s">
        <v>1857</v>
      </c>
      <c r="D634" s="55" t="s">
        <v>820</v>
      </c>
      <c r="E634" s="56">
        <v>814.42</v>
      </c>
      <c r="F634" s="55">
        <v>12.05</v>
      </c>
      <c r="G634" s="55"/>
      <c r="I634" s="49" t="str">
        <f t="shared" si="56"/>
        <v/>
      </c>
      <c r="J634" s="37" t="str">
        <f t="shared" si="52"/>
        <v>아난티</v>
      </c>
      <c r="K634" s="37" t="str">
        <f t="shared" si="53"/>
        <v>A025980</v>
      </c>
    </row>
    <row r="635" spans="1:11" x14ac:dyDescent="0.4">
      <c r="A635" s="49"/>
      <c r="B635" s="54" t="s">
        <v>1858</v>
      </c>
      <c r="C635" s="37" t="s">
        <v>1859</v>
      </c>
      <c r="D635" s="55" t="s">
        <v>820</v>
      </c>
      <c r="E635" s="58">
        <v>53.22</v>
      </c>
      <c r="F635" s="57">
        <v>1.45</v>
      </c>
      <c r="G635" s="57"/>
      <c r="H635" s="49"/>
      <c r="I635" s="49" t="str">
        <f t="shared" si="56"/>
        <v/>
      </c>
      <c r="J635" s="37" t="str">
        <f t="shared" si="52"/>
        <v>제이에스티나</v>
      </c>
      <c r="K635" s="37" t="str">
        <f t="shared" si="53"/>
        <v>A026040</v>
      </c>
    </row>
    <row r="636" spans="1:11" x14ac:dyDescent="0.4">
      <c r="A636" s="49"/>
      <c r="B636" s="54" t="s">
        <v>1860</v>
      </c>
      <c r="C636" s="37" t="s">
        <v>1861</v>
      </c>
      <c r="D636" s="55" t="s">
        <v>820</v>
      </c>
      <c r="E636" s="58">
        <v>121.07</v>
      </c>
      <c r="F636" s="57">
        <v>0.95</v>
      </c>
      <c r="G636" s="57"/>
      <c r="H636" s="49"/>
      <c r="I636" s="49" t="str">
        <f t="shared" si="56"/>
        <v/>
      </c>
      <c r="J636" s="37" t="str">
        <f t="shared" si="52"/>
        <v>특수건설</v>
      </c>
      <c r="K636" s="37" t="str">
        <f t="shared" si="53"/>
        <v>A026150</v>
      </c>
    </row>
    <row r="637" spans="1:11" x14ac:dyDescent="0.4">
      <c r="A637" s="49"/>
      <c r="B637" s="54" t="s">
        <v>1862</v>
      </c>
      <c r="C637" s="37" t="s">
        <v>1863</v>
      </c>
      <c r="D637" s="55" t="s">
        <v>805</v>
      </c>
      <c r="E637" s="58">
        <v>496.39</v>
      </c>
      <c r="F637" s="57">
        <v>1.75</v>
      </c>
      <c r="G637" s="57"/>
      <c r="H637" s="49"/>
      <c r="I637" s="49" t="str">
        <f t="shared" si="56"/>
        <v/>
      </c>
      <c r="J637" s="37" t="str">
        <f t="shared" si="52"/>
        <v>스틱인베스트먼트</v>
      </c>
      <c r="K637" s="37" t="str">
        <f t="shared" si="53"/>
        <v>A026890</v>
      </c>
    </row>
    <row r="638" spans="1:11" x14ac:dyDescent="0.4">
      <c r="A638" s="49"/>
      <c r="B638" s="54" t="s">
        <v>1864</v>
      </c>
      <c r="C638" s="37" t="s">
        <v>1865</v>
      </c>
      <c r="D638" s="55" t="s">
        <v>820</v>
      </c>
      <c r="E638" s="56">
        <v>14.96</v>
      </c>
      <c r="F638" s="55">
        <v>0.09</v>
      </c>
      <c r="G638" s="55"/>
      <c r="I638" s="49" t="str">
        <f t="shared" si="56"/>
        <v/>
      </c>
      <c r="J638" s="37" t="str">
        <f t="shared" si="52"/>
        <v>광진실업</v>
      </c>
      <c r="K638" s="37" t="str">
        <f t="shared" si="53"/>
        <v>A026910</v>
      </c>
    </row>
    <row r="639" spans="1:11" x14ac:dyDescent="0.4">
      <c r="B639" s="54" t="s">
        <v>1866</v>
      </c>
      <c r="C639" s="37" t="s">
        <v>1867</v>
      </c>
      <c r="D639" s="55" t="s">
        <v>805</v>
      </c>
      <c r="E639" s="56">
        <v>41.8</v>
      </c>
      <c r="F639" s="56">
        <v>0.21</v>
      </c>
      <c r="G639" s="55"/>
      <c r="J639" s="37" t="str">
        <f t="shared" si="52"/>
        <v>부국철강</v>
      </c>
      <c r="K639" s="37" t="str">
        <f t="shared" si="53"/>
        <v>A026940</v>
      </c>
    </row>
    <row r="640" spans="1:11" x14ac:dyDescent="0.4">
      <c r="A640" s="49"/>
      <c r="B640" s="54" t="s">
        <v>1868</v>
      </c>
      <c r="C640" s="37" t="s">
        <v>1869</v>
      </c>
      <c r="D640" s="55" t="s">
        <v>805</v>
      </c>
      <c r="E640" s="58">
        <v>2736.77</v>
      </c>
      <c r="F640" s="57">
        <v>2.66</v>
      </c>
      <c r="G640" s="57"/>
      <c r="H640" s="49"/>
      <c r="I640" s="49" t="str">
        <f>IF((G640&gt;$G$8),E640+ROW()/100000,"")</f>
        <v/>
      </c>
      <c r="J640" s="37" t="str">
        <f t="shared" si="52"/>
        <v>동서</v>
      </c>
      <c r="K640" s="37" t="str">
        <f t="shared" si="53"/>
        <v>A026960</v>
      </c>
    </row>
    <row r="641" spans="1:11" x14ac:dyDescent="0.4">
      <c r="B641" s="54" t="s">
        <v>1870</v>
      </c>
      <c r="C641" s="37" t="s">
        <v>1871</v>
      </c>
      <c r="D641" s="55" t="s">
        <v>820</v>
      </c>
      <c r="E641" s="56">
        <v>17.61</v>
      </c>
      <c r="F641" s="55">
        <v>0.14000000000000001</v>
      </c>
      <c r="G641" s="55"/>
      <c r="J641" s="37" t="str">
        <f t="shared" si="52"/>
        <v>서울전자통신</v>
      </c>
      <c r="K641" s="37" t="str">
        <f t="shared" si="53"/>
        <v>A027040</v>
      </c>
    </row>
    <row r="642" spans="1:11" x14ac:dyDescent="0.4">
      <c r="A642" s="49"/>
      <c r="B642" s="54" t="s">
        <v>1872</v>
      </c>
      <c r="C642" s="37" t="s">
        <v>1873</v>
      </c>
      <c r="D642" s="55" t="s">
        <v>820</v>
      </c>
      <c r="E642" s="58">
        <v>82.2</v>
      </c>
      <c r="F642" s="57">
        <v>1.56</v>
      </c>
      <c r="G642" s="57"/>
      <c r="H642" s="49"/>
      <c r="I642" s="49" t="str">
        <f t="shared" ref="I642:I652" si="57">IF((G642&gt;$G$8),E642+ROW()/100000,"")</f>
        <v/>
      </c>
      <c r="J642" s="37" t="str">
        <f t="shared" si="52"/>
        <v>코리아나</v>
      </c>
      <c r="K642" s="37" t="str">
        <f t="shared" si="53"/>
        <v>A027050</v>
      </c>
    </row>
    <row r="643" spans="1:11" x14ac:dyDescent="0.4">
      <c r="A643" s="49"/>
      <c r="B643" s="54" t="s">
        <v>1874</v>
      </c>
      <c r="C643" s="37" t="s">
        <v>1875</v>
      </c>
      <c r="D643" s="55" t="s">
        <v>820</v>
      </c>
      <c r="E643" s="58">
        <v>703.85</v>
      </c>
      <c r="F643" s="57">
        <v>17.27</v>
      </c>
      <c r="G643" s="57"/>
      <c r="H643" s="49"/>
      <c r="I643" s="49" t="str">
        <f t="shared" si="57"/>
        <v/>
      </c>
      <c r="J643" s="37" t="str">
        <f t="shared" si="52"/>
        <v>아주IB투자</v>
      </c>
      <c r="K643" s="37" t="str">
        <f t="shared" si="53"/>
        <v>A027360</v>
      </c>
    </row>
    <row r="644" spans="1:11" x14ac:dyDescent="0.4">
      <c r="A644" s="49"/>
      <c r="B644" s="54" t="s">
        <v>1876</v>
      </c>
      <c r="C644" s="37" t="s">
        <v>1877</v>
      </c>
      <c r="D644" s="55" t="s">
        <v>805</v>
      </c>
      <c r="E644" s="58">
        <v>421.63</v>
      </c>
      <c r="F644" s="57">
        <v>0.49</v>
      </c>
      <c r="G644" s="57">
        <v>1</v>
      </c>
      <c r="H644" s="49"/>
      <c r="I644" s="49">
        <f t="shared" si="57"/>
        <v>421.63643999999999</v>
      </c>
      <c r="J644" s="37" t="str">
        <f t="shared" si="52"/>
        <v>BGF</v>
      </c>
      <c r="K644" s="37" t="str">
        <f t="shared" si="53"/>
        <v>A027410</v>
      </c>
    </row>
    <row r="645" spans="1:11" x14ac:dyDescent="0.4">
      <c r="A645" s="49"/>
      <c r="B645" s="54" t="s">
        <v>1878</v>
      </c>
      <c r="C645" s="37" t="s">
        <v>1879</v>
      </c>
      <c r="D645" s="55" t="s">
        <v>820</v>
      </c>
      <c r="E645" s="56">
        <v>33.200000000000003</v>
      </c>
      <c r="F645" s="55">
        <v>0.75</v>
      </c>
      <c r="G645" s="55"/>
      <c r="I645" s="49" t="str">
        <f t="shared" si="57"/>
        <v/>
      </c>
      <c r="J645" s="37" t="str">
        <f t="shared" si="52"/>
        <v>상보</v>
      </c>
      <c r="K645" s="37" t="str">
        <f t="shared" si="53"/>
        <v>A027580</v>
      </c>
    </row>
    <row r="646" spans="1:11" x14ac:dyDescent="0.4">
      <c r="A646" s="49"/>
      <c r="B646" s="54" t="s">
        <v>1880</v>
      </c>
      <c r="C646" s="37" t="s">
        <v>1881</v>
      </c>
      <c r="D646" s="55" t="s">
        <v>820</v>
      </c>
      <c r="E646" s="56">
        <v>149.86000000000001</v>
      </c>
      <c r="F646" s="55">
        <v>0.61</v>
      </c>
      <c r="G646" s="55"/>
      <c r="I646" s="49" t="str">
        <f t="shared" si="57"/>
        <v/>
      </c>
      <c r="J646" s="37" t="str">
        <f t="shared" si="52"/>
        <v>팜스토리</v>
      </c>
      <c r="K646" s="37" t="str">
        <f t="shared" si="53"/>
        <v>A027710</v>
      </c>
    </row>
    <row r="647" spans="1:11" x14ac:dyDescent="0.4">
      <c r="A647" s="49"/>
      <c r="B647" s="54" t="s">
        <v>1882</v>
      </c>
      <c r="C647" s="37" t="s">
        <v>1883</v>
      </c>
      <c r="D647" s="55" t="s">
        <v>805</v>
      </c>
      <c r="E647" s="56">
        <v>53.67</v>
      </c>
      <c r="F647" s="55">
        <v>0.22</v>
      </c>
      <c r="G647" s="55"/>
      <c r="I647" s="49" t="str">
        <f t="shared" si="57"/>
        <v/>
      </c>
      <c r="J647" s="37" t="str">
        <f t="shared" si="52"/>
        <v>마니커</v>
      </c>
      <c r="K647" s="37" t="str">
        <f t="shared" si="53"/>
        <v>A027740</v>
      </c>
    </row>
    <row r="648" spans="1:11" x14ac:dyDescent="0.4">
      <c r="A648" s="49"/>
      <c r="B648" s="54" t="s">
        <v>1884</v>
      </c>
      <c r="C648" s="37" t="s">
        <v>1885</v>
      </c>
      <c r="D648" s="55" t="s">
        <v>820</v>
      </c>
      <c r="E648" s="56">
        <v>87.8</v>
      </c>
      <c r="F648" s="55">
        <v>0.45</v>
      </c>
      <c r="G648" s="55"/>
      <c r="I648" s="49" t="str">
        <f t="shared" si="57"/>
        <v/>
      </c>
      <c r="J648" s="37" t="str">
        <f t="shared" si="52"/>
        <v>대성창투</v>
      </c>
      <c r="K648" s="37" t="str">
        <f t="shared" si="53"/>
        <v>A027830</v>
      </c>
    </row>
    <row r="649" spans="1:11" x14ac:dyDescent="0.4">
      <c r="A649" s="49"/>
      <c r="B649" s="54" t="s">
        <v>1886</v>
      </c>
      <c r="C649" s="37" t="s">
        <v>1887</v>
      </c>
      <c r="D649" s="55" t="s">
        <v>805</v>
      </c>
      <c r="E649" s="56">
        <v>158.99</v>
      </c>
      <c r="F649" s="55">
        <v>7.0000000000000007E-2</v>
      </c>
      <c r="G649" s="55"/>
      <c r="I649" s="49" t="str">
        <f t="shared" si="57"/>
        <v/>
      </c>
      <c r="J649" s="37" t="str">
        <f t="shared" si="52"/>
        <v>한국제지</v>
      </c>
      <c r="K649" s="37" t="str">
        <f t="shared" si="53"/>
        <v>A027970</v>
      </c>
    </row>
    <row r="650" spans="1:11" x14ac:dyDescent="0.4">
      <c r="A650" s="49"/>
      <c r="B650" s="54" t="s">
        <v>314</v>
      </c>
      <c r="C650" s="37" t="s">
        <v>315</v>
      </c>
      <c r="D650" s="55" t="s">
        <v>805</v>
      </c>
      <c r="E650" s="58">
        <v>7134.4</v>
      </c>
      <c r="F650" s="57">
        <v>24.35</v>
      </c>
      <c r="G650" s="57">
        <v>21</v>
      </c>
      <c r="H650" s="49"/>
      <c r="I650" s="49">
        <f t="shared" si="57"/>
        <v>7134.4065000000001</v>
      </c>
      <c r="J650" s="37" t="str">
        <f t="shared" si="52"/>
        <v>삼성E&amp;A</v>
      </c>
      <c r="K650" s="37" t="str">
        <f t="shared" si="53"/>
        <v>A028050</v>
      </c>
    </row>
    <row r="651" spans="1:11" x14ac:dyDescent="0.4">
      <c r="A651" s="49"/>
      <c r="B651" s="54" t="s">
        <v>1888</v>
      </c>
      <c r="C651" s="37" t="s">
        <v>1889</v>
      </c>
      <c r="D651" s="55" t="s">
        <v>820</v>
      </c>
      <c r="E651" s="56">
        <v>20.41</v>
      </c>
      <c r="F651" s="55">
        <v>0.19</v>
      </c>
      <c r="G651" s="55"/>
      <c r="I651" s="49" t="str">
        <f t="shared" si="57"/>
        <v/>
      </c>
      <c r="J651" s="37" t="str">
        <f t="shared" si="52"/>
        <v>휴맥스홀딩스</v>
      </c>
      <c r="K651" s="37" t="str">
        <f t="shared" si="53"/>
        <v>A028080</v>
      </c>
    </row>
    <row r="652" spans="1:11" x14ac:dyDescent="0.4">
      <c r="A652" s="49"/>
      <c r="B652" s="54" t="s">
        <v>1890</v>
      </c>
      <c r="C652" s="37" t="s">
        <v>1891</v>
      </c>
      <c r="D652" s="55" t="s">
        <v>805</v>
      </c>
      <c r="E652" s="58">
        <v>239.67</v>
      </c>
      <c r="F652" s="57">
        <v>0.57999999999999996</v>
      </c>
      <c r="G652" s="57"/>
      <c r="H652" s="49"/>
      <c r="I652" s="49" t="str">
        <f t="shared" si="57"/>
        <v/>
      </c>
      <c r="J652" s="37" t="str">
        <f t="shared" si="52"/>
        <v>동아지질</v>
      </c>
      <c r="K652" s="37" t="str">
        <f t="shared" si="53"/>
        <v>A028100</v>
      </c>
    </row>
    <row r="653" spans="1:11" x14ac:dyDescent="0.4">
      <c r="A653" s="49"/>
      <c r="B653" s="54" t="s">
        <v>135</v>
      </c>
      <c r="C653" s="37" t="s">
        <v>136</v>
      </c>
      <c r="D653" s="55" t="s">
        <v>805</v>
      </c>
      <c r="E653" s="56">
        <v>59576.78</v>
      </c>
      <c r="F653" s="55">
        <v>95.55</v>
      </c>
      <c r="G653" s="55">
        <v>14</v>
      </c>
      <c r="J653" s="37" t="str">
        <f t="shared" si="52"/>
        <v>삼성물산</v>
      </c>
      <c r="K653" s="37" t="str">
        <f t="shared" si="53"/>
        <v>A028260</v>
      </c>
    </row>
    <row r="654" spans="1:11" x14ac:dyDescent="0.4">
      <c r="A654" s="49"/>
      <c r="B654" s="54" t="s">
        <v>664</v>
      </c>
      <c r="C654" s="37" t="s">
        <v>665</v>
      </c>
      <c r="D654" s="55" t="s">
        <v>820</v>
      </c>
      <c r="E654" s="58">
        <v>6895.49</v>
      </c>
      <c r="F654" s="57">
        <v>38.909999999999997</v>
      </c>
      <c r="G654" s="57"/>
      <c r="H654" s="49"/>
      <c r="I654" s="49" t="str">
        <f t="shared" ref="I654:I667" si="58">IF((G654&gt;$G$8),E654+ROW()/100000,"")</f>
        <v/>
      </c>
      <c r="J654" s="37" t="str">
        <f t="shared" ref="J654:J717" si="59">C654</f>
        <v>HLB</v>
      </c>
      <c r="K654" s="37" t="str">
        <f t="shared" ref="K654:K717" si="60">B654</f>
        <v>A028300</v>
      </c>
    </row>
    <row r="655" spans="1:11" x14ac:dyDescent="0.4">
      <c r="A655" s="49"/>
      <c r="B655" s="54" t="s">
        <v>336</v>
      </c>
      <c r="C655" s="37" t="s">
        <v>337</v>
      </c>
      <c r="D655" s="55" t="s">
        <v>805</v>
      </c>
      <c r="E655" s="58">
        <v>2822.53</v>
      </c>
      <c r="F655" s="57">
        <v>10.53</v>
      </c>
      <c r="G655" s="57">
        <v>12</v>
      </c>
      <c r="H655" s="49"/>
      <c r="I655" s="49">
        <f t="shared" si="58"/>
        <v>2822.5365500000003</v>
      </c>
      <c r="J655" s="37" t="str">
        <f t="shared" si="59"/>
        <v>팬오션</v>
      </c>
      <c r="K655" s="37" t="str">
        <f t="shared" si="60"/>
        <v>A028670</v>
      </c>
    </row>
    <row r="656" spans="1:11" x14ac:dyDescent="0.4">
      <c r="A656" s="49"/>
      <c r="B656" s="54" t="s">
        <v>1892</v>
      </c>
      <c r="C656" s="37" t="s">
        <v>1893</v>
      </c>
      <c r="D656" s="55" t="s">
        <v>805</v>
      </c>
      <c r="E656" s="58">
        <v>463.76</v>
      </c>
      <c r="F656" s="57">
        <v>1.51</v>
      </c>
      <c r="G656" s="57"/>
      <c r="H656" s="49"/>
      <c r="I656" s="49" t="str">
        <f t="shared" si="58"/>
        <v/>
      </c>
      <c r="J656" s="37" t="str">
        <f t="shared" si="59"/>
        <v>케이씨</v>
      </c>
      <c r="K656" s="37" t="str">
        <f t="shared" si="60"/>
        <v>A029460</v>
      </c>
    </row>
    <row r="657" spans="1:11" x14ac:dyDescent="0.4">
      <c r="A657" s="49"/>
      <c r="B657" s="54" t="s">
        <v>1894</v>
      </c>
      <c r="C657" s="37" t="s">
        <v>1895</v>
      </c>
      <c r="D657" s="55" t="s">
        <v>820</v>
      </c>
      <c r="E657" s="58">
        <v>161.82</v>
      </c>
      <c r="F657" s="57">
        <v>0.93</v>
      </c>
      <c r="G657" s="57"/>
      <c r="H657" s="49"/>
      <c r="I657" s="49" t="str">
        <f t="shared" si="58"/>
        <v/>
      </c>
      <c r="J657" s="37" t="str">
        <f t="shared" si="59"/>
        <v>광무</v>
      </c>
      <c r="K657" s="37" t="str">
        <f t="shared" si="60"/>
        <v>A029480</v>
      </c>
    </row>
    <row r="658" spans="1:11" x14ac:dyDescent="0.4">
      <c r="A658" s="49"/>
      <c r="B658" s="54" t="s">
        <v>1896</v>
      </c>
      <c r="C658" s="37" t="s">
        <v>1897</v>
      </c>
      <c r="D658" s="55" t="s">
        <v>805</v>
      </c>
      <c r="E658" s="56">
        <v>593.71</v>
      </c>
      <c r="F658" s="55">
        <v>1.08</v>
      </c>
      <c r="G658" s="55"/>
      <c r="I658" s="49" t="str">
        <f t="shared" si="58"/>
        <v/>
      </c>
      <c r="J658" s="37" t="str">
        <f t="shared" si="59"/>
        <v>신도리코</v>
      </c>
      <c r="K658" s="37" t="str">
        <f t="shared" si="60"/>
        <v>A029530</v>
      </c>
    </row>
    <row r="659" spans="1:11" x14ac:dyDescent="0.4">
      <c r="A659" s="49"/>
      <c r="B659" s="54" t="s">
        <v>170</v>
      </c>
      <c r="C659" s="37" t="s">
        <v>171</v>
      </c>
      <c r="D659" s="55" t="s">
        <v>805</v>
      </c>
      <c r="E659" s="56">
        <v>7299.11</v>
      </c>
      <c r="F659" s="55">
        <v>4.3600000000000003</v>
      </c>
      <c r="G659" s="55">
        <v>3</v>
      </c>
      <c r="I659" s="49">
        <f t="shared" si="58"/>
        <v>7299.1165899999996</v>
      </c>
      <c r="J659" s="37" t="str">
        <f t="shared" si="59"/>
        <v>삼성카드</v>
      </c>
      <c r="K659" s="37" t="str">
        <f t="shared" si="60"/>
        <v>A029780</v>
      </c>
    </row>
    <row r="660" spans="1:11" x14ac:dyDescent="0.4">
      <c r="A660" s="49"/>
      <c r="B660" s="54" t="s">
        <v>1898</v>
      </c>
      <c r="C660" s="37" t="s">
        <v>1899</v>
      </c>
      <c r="D660" s="55" t="s">
        <v>805</v>
      </c>
      <c r="E660" s="58">
        <v>2525.15</v>
      </c>
      <c r="F660" s="57">
        <v>8.01</v>
      </c>
      <c r="G660" s="57">
        <v>12</v>
      </c>
      <c r="H660" s="49"/>
      <c r="I660" s="49">
        <f t="shared" si="58"/>
        <v>2525.1566000000003</v>
      </c>
      <c r="J660" s="37" t="str">
        <f t="shared" si="59"/>
        <v>제일기획</v>
      </c>
      <c r="K660" s="37" t="str">
        <f t="shared" si="60"/>
        <v>A030000</v>
      </c>
    </row>
    <row r="661" spans="1:11" x14ac:dyDescent="0.4">
      <c r="A661" s="49"/>
      <c r="B661" s="54" t="s">
        <v>1900</v>
      </c>
      <c r="C661" s="37" t="s">
        <v>1901</v>
      </c>
      <c r="D661" s="55" t="s">
        <v>805</v>
      </c>
      <c r="E661" s="58">
        <v>1007.98</v>
      </c>
      <c r="F661" s="57">
        <v>1.62</v>
      </c>
      <c r="G661" s="57"/>
      <c r="H661" s="49"/>
      <c r="I661" s="49" t="str">
        <f t="shared" si="58"/>
        <v/>
      </c>
      <c r="J661" s="37" t="str">
        <f t="shared" si="59"/>
        <v>NICE평가정보</v>
      </c>
      <c r="K661" s="37" t="str">
        <f t="shared" si="60"/>
        <v>A030190</v>
      </c>
    </row>
    <row r="662" spans="1:11" x14ac:dyDescent="0.4">
      <c r="A662" s="49"/>
      <c r="B662" s="54" t="s">
        <v>90</v>
      </c>
      <c r="C662" s="37" t="s">
        <v>91</v>
      </c>
      <c r="D662" s="55" t="s">
        <v>805</v>
      </c>
      <c r="E662" s="58">
        <v>16078.98</v>
      </c>
      <c r="F662" s="57">
        <v>23.95</v>
      </c>
      <c r="G662" s="57">
        <v>16</v>
      </c>
      <c r="H662" s="49"/>
      <c r="I662" s="49">
        <f t="shared" si="58"/>
        <v>16078.98662</v>
      </c>
      <c r="J662" s="37" t="str">
        <f t="shared" si="59"/>
        <v>KT</v>
      </c>
      <c r="K662" s="37" t="str">
        <f t="shared" si="60"/>
        <v>A030200</v>
      </c>
    </row>
    <row r="663" spans="1:11" x14ac:dyDescent="0.4">
      <c r="A663" s="49"/>
      <c r="B663" s="54" t="s">
        <v>1902</v>
      </c>
      <c r="C663" s="37" t="s">
        <v>1903</v>
      </c>
      <c r="D663" s="55" t="s">
        <v>805</v>
      </c>
      <c r="E663" s="58">
        <v>285.67</v>
      </c>
      <c r="F663" s="57">
        <v>0.84</v>
      </c>
      <c r="G663" s="57"/>
      <c r="H663" s="49"/>
      <c r="I663" s="49" t="str">
        <f t="shared" si="58"/>
        <v/>
      </c>
      <c r="J663" s="37" t="str">
        <f t="shared" si="59"/>
        <v>다올투자증권</v>
      </c>
      <c r="K663" s="37" t="str">
        <f t="shared" si="60"/>
        <v>A030210</v>
      </c>
    </row>
    <row r="664" spans="1:11" x14ac:dyDescent="0.4">
      <c r="A664" s="49"/>
      <c r="B664" s="54" t="s">
        <v>1904</v>
      </c>
      <c r="C664" s="37" t="s">
        <v>1905</v>
      </c>
      <c r="D664" s="55" t="s">
        <v>820</v>
      </c>
      <c r="E664" s="58">
        <v>15.17</v>
      </c>
      <c r="F664" s="57">
        <v>0</v>
      </c>
      <c r="G664" s="57"/>
      <c r="H664" s="49"/>
      <c r="I664" s="49" t="str">
        <f t="shared" si="58"/>
        <v/>
      </c>
      <c r="J664" s="37" t="str">
        <f t="shared" si="59"/>
        <v>드래곤플라이</v>
      </c>
      <c r="K664" s="37" t="str">
        <f t="shared" si="60"/>
        <v>A030350</v>
      </c>
    </row>
    <row r="665" spans="1:11" x14ac:dyDescent="0.4">
      <c r="A665" s="49"/>
      <c r="B665" s="54" t="s">
        <v>1906</v>
      </c>
      <c r="C665" s="37" t="s">
        <v>1907</v>
      </c>
      <c r="D665" s="55" t="s">
        <v>820</v>
      </c>
      <c r="E665" s="56">
        <v>550.09</v>
      </c>
      <c r="F665" s="55">
        <v>4.24</v>
      </c>
      <c r="G665" s="55">
        <v>4</v>
      </c>
      <c r="I665" s="49">
        <f t="shared" si="58"/>
        <v>550.09665000000007</v>
      </c>
      <c r="J665" s="37" t="str">
        <f t="shared" si="59"/>
        <v>한글과컴퓨터</v>
      </c>
      <c r="K665" s="37" t="str">
        <f t="shared" si="60"/>
        <v>A030520</v>
      </c>
    </row>
    <row r="666" spans="1:11" x14ac:dyDescent="0.4">
      <c r="A666" s="49"/>
      <c r="B666" s="54" t="s">
        <v>260</v>
      </c>
      <c r="C666" s="37" t="s">
        <v>261</v>
      </c>
      <c r="D666" s="55" t="s">
        <v>820</v>
      </c>
      <c r="E666" s="56">
        <v>2703.33</v>
      </c>
      <c r="F666" s="55">
        <v>125.92</v>
      </c>
      <c r="G666" s="55"/>
      <c r="I666" s="49" t="str">
        <f t="shared" si="58"/>
        <v/>
      </c>
      <c r="J666" s="37" t="str">
        <f t="shared" si="59"/>
        <v>원익홀딩스</v>
      </c>
      <c r="K666" s="37" t="str">
        <f t="shared" si="60"/>
        <v>A030530</v>
      </c>
    </row>
    <row r="667" spans="1:11" x14ac:dyDescent="0.4">
      <c r="A667" s="49"/>
      <c r="B667" s="54" t="s">
        <v>1908</v>
      </c>
      <c r="C667" s="37" t="s">
        <v>1909</v>
      </c>
      <c r="D667" s="55" t="s">
        <v>805</v>
      </c>
      <c r="E667" s="58">
        <v>1662.72</v>
      </c>
      <c r="F667" s="57">
        <v>2.06</v>
      </c>
      <c r="G667" s="57"/>
      <c r="H667" s="49"/>
      <c r="I667" s="49" t="str">
        <f t="shared" si="58"/>
        <v/>
      </c>
      <c r="J667" s="37" t="str">
        <f t="shared" si="59"/>
        <v>교보증권</v>
      </c>
      <c r="K667" s="37" t="str">
        <f t="shared" si="60"/>
        <v>A030610</v>
      </c>
    </row>
    <row r="668" spans="1:11" x14ac:dyDescent="0.4">
      <c r="B668" s="54" t="s">
        <v>1910</v>
      </c>
      <c r="C668" s="37" t="s">
        <v>1911</v>
      </c>
      <c r="D668" s="55" t="s">
        <v>805</v>
      </c>
      <c r="E668" s="56">
        <v>27.55</v>
      </c>
      <c r="F668" s="55">
        <v>0.52</v>
      </c>
      <c r="G668" s="55"/>
      <c r="J668" s="37" t="str">
        <f t="shared" si="59"/>
        <v>동원수산</v>
      </c>
      <c r="K668" s="37" t="str">
        <f t="shared" si="60"/>
        <v>A030720</v>
      </c>
    </row>
    <row r="669" spans="1:11" x14ac:dyDescent="0.4">
      <c r="A669" s="49"/>
      <c r="B669" s="54" t="s">
        <v>1912</v>
      </c>
      <c r="C669" s="37" t="s">
        <v>1913</v>
      </c>
      <c r="D669" s="55" t="s">
        <v>820</v>
      </c>
      <c r="E669" s="58">
        <v>139.83000000000001</v>
      </c>
      <c r="F669" s="57">
        <v>1.61</v>
      </c>
      <c r="G669" s="57"/>
      <c r="H669" s="49"/>
      <c r="I669" s="49" t="str">
        <f t="shared" ref="I669:I674" si="61">IF((G669&gt;$G$8),E669+ROW()/100000,"")</f>
        <v/>
      </c>
      <c r="J669" s="37" t="str">
        <f t="shared" si="59"/>
        <v>양지사</v>
      </c>
      <c r="K669" s="37" t="str">
        <f t="shared" si="60"/>
        <v>A030960</v>
      </c>
    </row>
    <row r="670" spans="1:11" x14ac:dyDescent="0.4">
      <c r="A670" s="49"/>
      <c r="B670" s="54" t="s">
        <v>1914</v>
      </c>
      <c r="C670" s="37" t="s">
        <v>1915</v>
      </c>
      <c r="D670" s="55" t="s">
        <v>805</v>
      </c>
      <c r="E670" s="56">
        <v>4070.6</v>
      </c>
      <c r="F670" s="55">
        <v>4.0599999999999996</v>
      </c>
      <c r="G670" s="55">
        <v>1</v>
      </c>
      <c r="I670" s="49">
        <f t="shared" si="61"/>
        <v>4070.6066999999998</v>
      </c>
      <c r="J670" s="37" t="str">
        <f t="shared" si="59"/>
        <v>서울보증보험</v>
      </c>
      <c r="K670" s="37" t="str">
        <f t="shared" si="60"/>
        <v>A031210</v>
      </c>
    </row>
    <row r="671" spans="1:11" x14ac:dyDescent="0.4">
      <c r="A671" s="49"/>
      <c r="B671" s="54" t="s">
        <v>1916</v>
      </c>
      <c r="C671" s="37" t="s">
        <v>1917</v>
      </c>
      <c r="D671" s="55" t="s">
        <v>820</v>
      </c>
      <c r="E671" s="58">
        <v>38.53</v>
      </c>
      <c r="F671" s="57">
        <v>0.19</v>
      </c>
      <c r="G671" s="57"/>
      <c r="H671" s="49"/>
      <c r="I671" s="49" t="str">
        <f t="shared" si="61"/>
        <v/>
      </c>
      <c r="J671" s="37" t="str">
        <f t="shared" si="59"/>
        <v>아이즈비전</v>
      </c>
      <c r="K671" s="37" t="str">
        <f t="shared" si="60"/>
        <v>A031310</v>
      </c>
    </row>
    <row r="672" spans="1:11" x14ac:dyDescent="0.4">
      <c r="A672" s="49"/>
      <c r="B672" s="54" t="s">
        <v>1918</v>
      </c>
      <c r="C672" s="37" t="s">
        <v>1919</v>
      </c>
      <c r="D672" s="55" t="s">
        <v>820</v>
      </c>
      <c r="E672" s="58">
        <v>525.97</v>
      </c>
      <c r="F672" s="57">
        <v>3.91</v>
      </c>
      <c r="G672" s="57"/>
      <c r="H672" s="49"/>
      <c r="I672" s="49" t="str">
        <f t="shared" si="61"/>
        <v/>
      </c>
      <c r="J672" s="37" t="str">
        <f t="shared" si="59"/>
        <v>에스에이엠티</v>
      </c>
      <c r="K672" s="37" t="str">
        <f t="shared" si="60"/>
        <v>A031330</v>
      </c>
    </row>
    <row r="673" spans="1:11" x14ac:dyDescent="0.4">
      <c r="A673" s="49"/>
      <c r="B673" s="54" t="s">
        <v>1920</v>
      </c>
      <c r="C673" s="37" t="s">
        <v>1921</v>
      </c>
      <c r="D673" s="55" t="s">
        <v>805</v>
      </c>
      <c r="E673" s="56">
        <v>469.71</v>
      </c>
      <c r="F673" s="55">
        <v>1.0900000000000001</v>
      </c>
      <c r="G673" s="55">
        <v>6</v>
      </c>
      <c r="I673" s="49">
        <f t="shared" si="61"/>
        <v>469.71672999999998</v>
      </c>
      <c r="J673" s="37" t="str">
        <f t="shared" si="59"/>
        <v>신세계인터내셔날</v>
      </c>
      <c r="K673" s="37" t="str">
        <f t="shared" si="60"/>
        <v>A031430</v>
      </c>
    </row>
    <row r="674" spans="1:11" x14ac:dyDescent="0.4">
      <c r="A674" s="49"/>
      <c r="B674" s="54" t="s">
        <v>1922</v>
      </c>
      <c r="C674" s="37" t="s">
        <v>1923</v>
      </c>
      <c r="D674" s="55" t="s">
        <v>805</v>
      </c>
      <c r="E674" s="58">
        <v>200.98</v>
      </c>
      <c r="F674" s="57">
        <v>1.0900000000000001</v>
      </c>
      <c r="G674" s="57"/>
      <c r="H674" s="49"/>
      <c r="I674" s="49" t="str">
        <f t="shared" si="61"/>
        <v/>
      </c>
      <c r="J674" s="37" t="str">
        <f t="shared" si="59"/>
        <v>신세계푸드</v>
      </c>
      <c r="K674" s="37" t="str">
        <f t="shared" si="60"/>
        <v>A031440</v>
      </c>
    </row>
    <row r="675" spans="1:11" x14ac:dyDescent="0.4">
      <c r="A675" s="49"/>
      <c r="B675" s="54" t="s">
        <v>1924</v>
      </c>
      <c r="C675" s="37" t="s">
        <v>1925</v>
      </c>
      <c r="D675" s="55" t="s">
        <v>820</v>
      </c>
      <c r="E675" s="56">
        <v>29.82</v>
      </c>
      <c r="F675" s="55">
        <v>0.05</v>
      </c>
      <c r="G675" s="55"/>
      <c r="J675" s="37" t="str">
        <f t="shared" si="59"/>
        <v>오스템</v>
      </c>
      <c r="K675" s="37" t="str">
        <f t="shared" si="60"/>
        <v>A031510</v>
      </c>
    </row>
    <row r="676" spans="1:11" x14ac:dyDescent="0.4">
      <c r="A676" s="49"/>
      <c r="B676" s="54" t="s">
        <v>1926</v>
      </c>
      <c r="C676" s="37" t="s">
        <v>1927</v>
      </c>
      <c r="D676" s="55" t="s">
        <v>805</v>
      </c>
      <c r="E676" s="58">
        <v>100.35</v>
      </c>
      <c r="F676" s="57">
        <v>0.52</v>
      </c>
      <c r="G676" s="57"/>
      <c r="H676" s="49"/>
      <c r="I676" s="49" t="str">
        <f t="shared" ref="I676:I682" si="62">IF((G676&gt;$G$8),E676+ROW()/100000,"")</f>
        <v/>
      </c>
      <c r="J676" s="37" t="str">
        <f t="shared" si="59"/>
        <v>아이티센씨티에스</v>
      </c>
      <c r="K676" s="37" t="str">
        <f t="shared" si="60"/>
        <v>A031820</v>
      </c>
    </row>
    <row r="677" spans="1:11" x14ac:dyDescent="0.4">
      <c r="A677" s="49"/>
      <c r="B677" s="54" t="s">
        <v>1928</v>
      </c>
      <c r="C677" s="37" t="s">
        <v>1929</v>
      </c>
      <c r="D677" s="55" t="s">
        <v>820</v>
      </c>
      <c r="E677" s="58">
        <v>6.51</v>
      </c>
      <c r="F677" s="57">
        <v>0.38</v>
      </c>
      <c r="G677" s="57"/>
      <c r="H677" s="49"/>
      <c r="I677" s="49" t="str">
        <f t="shared" si="62"/>
        <v/>
      </c>
      <c r="J677" s="37" t="str">
        <f t="shared" si="59"/>
        <v>디에이치엑스컴퍼니</v>
      </c>
      <c r="K677" s="37" t="str">
        <f t="shared" si="60"/>
        <v>A031860</v>
      </c>
    </row>
    <row r="678" spans="1:11" x14ac:dyDescent="0.4">
      <c r="A678" s="49"/>
      <c r="B678" s="54" t="s">
        <v>479</v>
      </c>
      <c r="C678" s="37" t="s">
        <v>480</v>
      </c>
      <c r="D678" s="55" t="s">
        <v>820</v>
      </c>
      <c r="E678" s="58">
        <v>1880.24</v>
      </c>
      <c r="F678" s="57">
        <v>14.08</v>
      </c>
      <c r="G678" s="57">
        <v>3</v>
      </c>
      <c r="H678" s="49"/>
      <c r="I678" s="49">
        <f t="shared" si="62"/>
        <v>1880.2467799999999</v>
      </c>
      <c r="J678" s="37" t="str">
        <f t="shared" si="59"/>
        <v>피에스케이홀딩스</v>
      </c>
      <c r="K678" s="37" t="str">
        <f t="shared" si="60"/>
        <v>A031980</v>
      </c>
    </row>
    <row r="679" spans="1:11" x14ac:dyDescent="0.4">
      <c r="A679" s="49"/>
      <c r="B679" s="54" t="s">
        <v>1930</v>
      </c>
      <c r="C679" s="37" t="s">
        <v>1931</v>
      </c>
      <c r="D679" s="55" t="s">
        <v>820</v>
      </c>
      <c r="E679" s="58">
        <v>28.13</v>
      </c>
      <c r="F679" s="57">
        <v>0.06</v>
      </c>
      <c r="G679" s="57"/>
      <c r="H679" s="49"/>
      <c r="I679" s="49" t="str">
        <f t="shared" si="62"/>
        <v/>
      </c>
      <c r="J679" s="37" t="str">
        <f t="shared" si="59"/>
        <v>아즈텍WB</v>
      </c>
      <c r="K679" s="37" t="str">
        <f t="shared" si="60"/>
        <v>A032080</v>
      </c>
    </row>
    <row r="680" spans="1:11" x14ac:dyDescent="0.4">
      <c r="A680" s="49"/>
      <c r="B680" s="54" t="s">
        <v>759</v>
      </c>
      <c r="C680" s="37" t="s">
        <v>760</v>
      </c>
      <c r="D680" s="55" t="s">
        <v>820</v>
      </c>
      <c r="E680" s="58">
        <v>1014.95</v>
      </c>
      <c r="F680" s="57">
        <v>3.8</v>
      </c>
      <c r="G680" s="57"/>
      <c r="H680" s="49"/>
      <c r="I680" s="49" t="str">
        <f t="shared" si="62"/>
        <v/>
      </c>
      <c r="J680" s="37" t="str">
        <f t="shared" si="59"/>
        <v>다우데이타</v>
      </c>
      <c r="K680" s="37" t="str">
        <f t="shared" si="60"/>
        <v>A032190</v>
      </c>
    </row>
    <row r="681" spans="1:11" x14ac:dyDescent="0.4">
      <c r="A681" s="49"/>
      <c r="B681" s="54" t="s">
        <v>1932</v>
      </c>
      <c r="C681" s="37" t="s">
        <v>1933</v>
      </c>
      <c r="D681" s="55" t="s">
        <v>820</v>
      </c>
      <c r="E681" s="58">
        <v>22.62</v>
      </c>
      <c r="F681" s="57">
        <v>7.0000000000000007E-2</v>
      </c>
      <c r="G681" s="57"/>
      <c r="H681" s="49"/>
      <c r="I681" s="49" t="str">
        <f t="shared" si="62"/>
        <v/>
      </c>
      <c r="J681" s="37" t="str">
        <f t="shared" si="59"/>
        <v>삼일</v>
      </c>
      <c r="K681" s="37" t="str">
        <f t="shared" si="60"/>
        <v>A032280</v>
      </c>
    </row>
    <row r="682" spans="1:11" x14ac:dyDescent="0.4">
      <c r="A682" s="49"/>
      <c r="B682" s="54" t="s">
        <v>1934</v>
      </c>
      <c r="C682" s="37" t="s">
        <v>1935</v>
      </c>
      <c r="D682" s="55" t="s">
        <v>820</v>
      </c>
      <c r="E682" s="58">
        <v>148.88</v>
      </c>
      <c r="F682" s="57">
        <v>0.39</v>
      </c>
      <c r="G682" s="57"/>
      <c r="H682" s="49"/>
      <c r="I682" s="49" t="str">
        <f t="shared" si="62"/>
        <v/>
      </c>
      <c r="J682" s="37" t="str">
        <f t="shared" si="59"/>
        <v>한국파마</v>
      </c>
      <c r="K682" s="37" t="str">
        <f t="shared" si="60"/>
        <v>A032300</v>
      </c>
    </row>
    <row r="683" spans="1:11" x14ac:dyDescent="0.4">
      <c r="B683" s="54" t="s">
        <v>1936</v>
      </c>
      <c r="C683" s="37" t="s">
        <v>1937</v>
      </c>
      <c r="D683" s="55" t="s">
        <v>805</v>
      </c>
      <c r="E683" s="56">
        <v>1842.77</v>
      </c>
      <c r="F683" s="55">
        <v>23.18</v>
      </c>
      <c r="G683" s="55">
        <v>9</v>
      </c>
      <c r="J683" s="37" t="str">
        <f t="shared" si="59"/>
        <v>롯데관광개발</v>
      </c>
      <c r="K683" s="37" t="str">
        <f t="shared" si="60"/>
        <v>A032350</v>
      </c>
    </row>
    <row r="684" spans="1:11" x14ac:dyDescent="0.4">
      <c r="A684" s="49"/>
      <c r="B684" s="54" t="s">
        <v>1938</v>
      </c>
      <c r="C684" s="37" t="s">
        <v>1939</v>
      </c>
      <c r="D684" s="55" t="s">
        <v>820</v>
      </c>
      <c r="E684" s="56">
        <v>770.58</v>
      </c>
      <c r="F684" s="55">
        <v>4.09</v>
      </c>
      <c r="G684" s="55">
        <v>1</v>
      </c>
      <c r="I684" s="49">
        <f t="shared" ref="I684:I710" si="63">IF((G684&gt;$G$8),E684+ROW()/100000,"")</f>
        <v>770.58684000000005</v>
      </c>
      <c r="J684" s="37" t="str">
        <f t="shared" si="59"/>
        <v>케이엠더블유</v>
      </c>
      <c r="K684" s="37" t="str">
        <f t="shared" si="60"/>
        <v>A032500</v>
      </c>
    </row>
    <row r="685" spans="1:11" x14ac:dyDescent="0.4">
      <c r="A685" s="49"/>
      <c r="B685" s="54" t="s">
        <v>1940</v>
      </c>
      <c r="C685" s="37" t="s">
        <v>1941</v>
      </c>
      <c r="D685" s="55" t="s">
        <v>820</v>
      </c>
      <c r="E685" s="56">
        <v>89.16</v>
      </c>
      <c r="F685" s="55">
        <v>0.06</v>
      </c>
      <c r="G685" s="55"/>
      <c r="I685" s="49" t="str">
        <f t="shared" si="63"/>
        <v/>
      </c>
      <c r="J685" s="37" t="str">
        <f t="shared" si="59"/>
        <v>TJ미디어</v>
      </c>
      <c r="K685" s="37" t="str">
        <f t="shared" si="60"/>
        <v>A032540</v>
      </c>
    </row>
    <row r="686" spans="1:11" x14ac:dyDescent="0.4">
      <c r="A686" s="49"/>
      <c r="B686" s="54" t="s">
        <v>1942</v>
      </c>
      <c r="C686" s="37" t="s">
        <v>1943</v>
      </c>
      <c r="D686" s="55" t="s">
        <v>805</v>
      </c>
      <c r="E686" s="58">
        <v>107.27</v>
      </c>
      <c r="F686" s="57">
        <v>0.16</v>
      </c>
      <c r="G686" s="57"/>
      <c r="H686" s="49"/>
      <c r="I686" s="49" t="str">
        <f t="shared" si="63"/>
        <v/>
      </c>
      <c r="J686" s="37" t="str">
        <f t="shared" si="59"/>
        <v>황금에스티</v>
      </c>
      <c r="K686" s="37" t="str">
        <f t="shared" si="60"/>
        <v>A032560</v>
      </c>
    </row>
    <row r="687" spans="1:11" x14ac:dyDescent="0.4">
      <c r="A687" s="49"/>
      <c r="B687" s="54" t="s">
        <v>1944</v>
      </c>
      <c r="C687" s="37" t="s">
        <v>1945</v>
      </c>
      <c r="D687" s="55" t="s">
        <v>820</v>
      </c>
      <c r="E687" s="58">
        <v>36.11</v>
      </c>
      <c r="F687" s="57">
        <v>1.89</v>
      </c>
      <c r="G687" s="57"/>
      <c r="H687" s="49"/>
      <c r="I687" s="49" t="str">
        <f t="shared" si="63"/>
        <v/>
      </c>
      <c r="J687" s="37" t="str">
        <f t="shared" si="59"/>
        <v>피델릭스</v>
      </c>
      <c r="K687" s="37" t="str">
        <f t="shared" si="60"/>
        <v>A032580</v>
      </c>
    </row>
    <row r="688" spans="1:11" x14ac:dyDescent="0.4">
      <c r="A688" s="49"/>
      <c r="B688" s="54" t="s">
        <v>1946</v>
      </c>
      <c r="C688" s="37" t="s">
        <v>5174</v>
      </c>
      <c r="D688" s="55" t="s">
        <v>820</v>
      </c>
      <c r="E688" s="56">
        <v>213.49</v>
      </c>
      <c r="F688" s="55">
        <v>0.85</v>
      </c>
      <c r="G688" s="55"/>
      <c r="I688" s="49" t="str">
        <f t="shared" si="63"/>
        <v/>
      </c>
      <c r="J688" s="37" t="str">
        <f t="shared" si="59"/>
        <v>GC메디아이</v>
      </c>
      <c r="K688" s="37" t="str">
        <f t="shared" si="60"/>
        <v>A032620</v>
      </c>
    </row>
    <row r="689" spans="1:11" x14ac:dyDescent="0.4">
      <c r="A689" s="49"/>
      <c r="B689" s="54" t="s">
        <v>190</v>
      </c>
      <c r="C689" s="37" t="s">
        <v>191</v>
      </c>
      <c r="D689" s="55" t="s">
        <v>805</v>
      </c>
      <c r="E689" s="56">
        <v>7109.36</v>
      </c>
      <c r="F689" s="57">
        <v>15.92</v>
      </c>
      <c r="G689" s="57">
        <v>17</v>
      </c>
      <c r="H689" s="49"/>
      <c r="I689" s="49">
        <f t="shared" si="63"/>
        <v>7109.3668899999993</v>
      </c>
      <c r="J689" s="37" t="str">
        <f t="shared" si="59"/>
        <v>LG유플러스</v>
      </c>
      <c r="K689" s="37" t="str">
        <f t="shared" si="60"/>
        <v>A032640</v>
      </c>
    </row>
    <row r="690" spans="1:11" x14ac:dyDescent="0.4">
      <c r="A690" s="49"/>
      <c r="B690" s="54" t="s">
        <v>1947</v>
      </c>
      <c r="C690" s="37" t="s">
        <v>1948</v>
      </c>
      <c r="D690" s="55" t="s">
        <v>820</v>
      </c>
      <c r="E690" s="58">
        <v>29.67</v>
      </c>
      <c r="F690" s="57">
        <v>0.46</v>
      </c>
      <c r="G690" s="57"/>
      <c r="H690" s="49"/>
      <c r="I690" s="49" t="str">
        <f t="shared" si="63"/>
        <v/>
      </c>
      <c r="J690" s="37" t="str">
        <f t="shared" si="59"/>
        <v>소프트센</v>
      </c>
      <c r="K690" s="37" t="str">
        <f t="shared" si="60"/>
        <v>A032680</v>
      </c>
    </row>
    <row r="691" spans="1:11" x14ac:dyDescent="0.4">
      <c r="A691" s="49"/>
      <c r="B691" s="54" t="s">
        <v>1949</v>
      </c>
      <c r="C691" s="37" t="s">
        <v>1950</v>
      </c>
      <c r="D691" s="55" t="s">
        <v>820</v>
      </c>
      <c r="E691" s="58">
        <v>32.020000000000003</v>
      </c>
      <c r="F691" s="57">
        <v>7.0000000000000007E-2</v>
      </c>
      <c r="G691" s="57"/>
      <c r="H691" s="49"/>
      <c r="I691" s="49" t="str">
        <f t="shared" si="63"/>
        <v/>
      </c>
      <c r="J691" s="37" t="str">
        <f t="shared" si="59"/>
        <v>삼진</v>
      </c>
      <c r="K691" s="37" t="str">
        <f t="shared" si="60"/>
        <v>A032750</v>
      </c>
    </row>
    <row r="692" spans="1:11" x14ac:dyDescent="0.4">
      <c r="A692" s="49"/>
      <c r="B692" s="54" t="s">
        <v>1951</v>
      </c>
      <c r="C692" s="37" t="s">
        <v>1952</v>
      </c>
      <c r="D692" s="55" t="s">
        <v>820</v>
      </c>
      <c r="E692" s="58">
        <v>36.770000000000003</v>
      </c>
      <c r="F692" s="57">
        <v>0.43</v>
      </c>
      <c r="G692" s="57"/>
      <c r="H692" s="49"/>
      <c r="I692" s="49" t="str">
        <f t="shared" si="63"/>
        <v/>
      </c>
      <c r="J692" s="37" t="str">
        <f t="shared" si="59"/>
        <v>엠젠솔루션</v>
      </c>
      <c r="K692" s="37" t="str">
        <f t="shared" si="60"/>
        <v>A032790</v>
      </c>
    </row>
    <row r="693" spans="1:11" x14ac:dyDescent="0.4">
      <c r="A693" s="49"/>
      <c r="B693" s="54" t="s">
        <v>1953</v>
      </c>
      <c r="C693" s="37" t="s">
        <v>1954</v>
      </c>
      <c r="D693" s="55" t="s">
        <v>820</v>
      </c>
      <c r="E693" s="58">
        <v>16.13</v>
      </c>
      <c r="F693" s="57">
        <v>0.12</v>
      </c>
      <c r="G693" s="57"/>
      <c r="H693" s="49"/>
      <c r="I693" s="49" t="str">
        <f t="shared" si="63"/>
        <v/>
      </c>
      <c r="J693" s="37" t="str">
        <f t="shared" si="59"/>
        <v>판타지오</v>
      </c>
      <c r="K693" s="37" t="str">
        <f t="shared" si="60"/>
        <v>A032800</v>
      </c>
    </row>
    <row r="694" spans="1:11" x14ac:dyDescent="0.4">
      <c r="A694" s="49"/>
      <c r="B694" s="54" t="s">
        <v>1955</v>
      </c>
      <c r="C694" s="37" t="s">
        <v>1956</v>
      </c>
      <c r="D694" s="55" t="s">
        <v>820</v>
      </c>
      <c r="E694" s="58">
        <v>2853.5</v>
      </c>
      <c r="F694" s="57">
        <v>125.05</v>
      </c>
      <c r="G694" s="57"/>
      <c r="H694" s="49"/>
      <c r="I694" s="49" t="str">
        <f t="shared" si="63"/>
        <v/>
      </c>
      <c r="J694" s="37" t="str">
        <f t="shared" si="59"/>
        <v>우리기술</v>
      </c>
      <c r="K694" s="37" t="str">
        <f t="shared" si="60"/>
        <v>A032820</v>
      </c>
    </row>
    <row r="695" spans="1:11" x14ac:dyDescent="0.4">
      <c r="A695" s="49"/>
      <c r="B695" s="54" t="s">
        <v>108</v>
      </c>
      <c r="C695" s="37" t="s">
        <v>109</v>
      </c>
      <c r="D695" s="55" t="s">
        <v>805</v>
      </c>
      <c r="E695" s="58">
        <v>46000</v>
      </c>
      <c r="F695" s="57">
        <v>56.37</v>
      </c>
      <c r="G695" s="57">
        <v>12</v>
      </c>
      <c r="H695" s="49"/>
      <c r="I695" s="49">
        <f t="shared" si="63"/>
        <v>46000.006950000003</v>
      </c>
      <c r="J695" s="37" t="str">
        <f t="shared" si="59"/>
        <v>삼성생명</v>
      </c>
      <c r="K695" s="37" t="str">
        <f t="shared" si="60"/>
        <v>A032830</v>
      </c>
    </row>
    <row r="696" spans="1:11" x14ac:dyDescent="0.4">
      <c r="A696" s="49"/>
      <c r="B696" s="54" t="s">
        <v>1957</v>
      </c>
      <c r="C696" s="37" t="s">
        <v>1958</v>
      </c>
      <c r="D696" s="55" t="s">
        <v>820</v>
      </c>
      <c r="E696" s="56">
        <v>94.09</v>
      </c>
      <c r="F696" s="55">
        <v>0.52</v>
      </c>
      <c r="G696" s="55"/>
      <c r="I696" s="49" t="str">
        <f t="shared" si="63"/>
        <v/>
      </c>
      <c r="J696" s="37" t="str">
        <f t="shared" si="59"/>
        <v>비트컴퓨터</v>
      </c>
      <c r="K696" s="37" t="str">
        <f t="shared" si="60"/>
        <v>A032850</v>
      </c>
    </row>
    <row r="697" spans="1:11" x14ac:dyDescent="0.4">
      <c r="A697" s="49"/>
      <c r="B697" s="54" t="s">
        <v>1959</v>
      </c>
      <c r="C697" s="37" t="s">
        <v>1960</v>
      </c>
      <c r="D697" s="55" t="s">
        <v>820</v>
      </c>
      <c r="E697" s="58">
        <v>57.12</v>
      </c>
      <c r="F697" s="57">
        <v>0.67</v>
      </c>
      <c r="G697" s="57"/>
      <c r="H697" s="49"/>
      <c r="I697" s="49" t="str">
        <f t="shared" si="63"/>
        <v/>
      </c>
      <c r="J697" s="37" t="str">
        <f t="shared" si="59"/>
        <v>더라미</v>
      </c>
      <c r="K697" s="37" t="str">
        <f t="shared" si="60"/>
        <v>A032860</v>
      </c>
    </row>
    <row r="698" spans="1:11" x14ac:dyDescent="0.4">
      <c r="A698" s="49"/>
      <c r="B698" s="54" t="s">
        <v>1961</v>
      </c>
      <c r="C698" s="37" t="s">
        <v>1962</v>
      </c>
      <c r="D698" s="55" t="s">
        <v>820</v>
      </c>
      <c r="E698" s="56">
        <v>215.95</v>
      </c>
      <c r="F698" s="55">
        <v>10.46</v>
      </c>
      <c r="G698" s="55"/>
      <c r="I698" s="49" t="str">
        <f t="shared" si="63"/>
        <v/>
      </c>
      <c r="J698" s="37" t="str">
        <f t="shared" si="59"/>
        <v>원익</v>
      </c>
      <c r="K698" s="37" t="str">
        <f t="shared" si="60"/>
        <v>A032940</v>
      </c>
    </row>
    <row r="699" spans="1:11" x14ac:dyDescent="0.4">
      <c r="A699" s="49"/>
      <c r="B699" s="54" t="s">
        <v>1963</v>
      </c>
      <c r="C699" s="37" t="s">
        <v>1964</v>
      </c>
      <c r="D699" s="55" t="s">
        <v>820</v>
      </c>
      <c r="E699" s="56">
        <v>55.52</v>
      </c>
      <c r="F699" s="55">
        <v>0.6</v>
      </c>
      <c r="G699" s="55"/>
      <c r="I699" s="49" t="str">
        <f t="shared" si="63"/>
        <v/>
      </c>
      <c r="J699" s="37" t="str">
        <f t="shared" si="59"/>
        <v>동일기연</v>
      </c>
      <c r="K699" s="37" t="str">
        <f t="shared" si="60"/>
        <v>A032960</v>
      </c>
    </row>
    <row r="700" spans="1:11" x14ac:dyDescent="0.4">
      <c r="A700" s="49"/>
      <c r="B700" s="54" t="s">
        <v>1965</v>
      </c>
      <c r="C700" s="37" t="s">
        <v>1966</v>
      </c>
      <c r="D700" s="55" t="s">
        <v>820</v>
      </c>
      <c r="E700" s="56">
        <v>18.350000000000001</v>
      </c>
      <c r="F700" s="55">
        <v>0</v>
      </c>
      <c r="G700" s="55"/>
      <c r="I700" s="49" t="str">
        <f t="shared" si="63"/>
        <v/>
      </c>
      <c r="J700" s="37" t="str">
        <f t="shared" si="59"/>
        <v>바이온</v>
      </c>
      <c r="K700" s="37" t="str">
        <f t="shared" si="60"/>
        <v>A032980</v>
      </c>
    </row>
    <row r="701" spans="1:11" x14ac:dyDescent="0.4">
      <c r="A701" s="49"/>
      <c r="B701" s="54" t="s">
        <v>1967</v>
      </c>
      <c r="C701" s="37" t="s">
        <v>1968</v>
      </c>
      <c r="D701" s="55" t="s">
        <v>820</v>
      </c>
      <c r="E701" s="58">
        <v>29.68</v>
      </c>
      <c r="F701" s="57">
        <v>0.03</v>
      </c>
      <c r="G701" s="57"/>
      <c r="H701" s="49"/>
      <c r="I701" s="49" t="str">
        <f t="shared" si="63"/>
        <v/>
      </c>
      <c r="J701" s="37" t="str">
        <f t="shared" si="59"/>
        <v>제이엠아이</v>
      </c>
      <c r="K701" s="37" t="str">
        <f t="shared" si="60"/>
        <v>A033050</v>
      </c>
    </row>
    <row r="702" spans="1:11" x14ac:dyDescent="0.4">
      <c r="A702" s="49"/>
      <c r="B702" s="54" t="s">
        <v>1969</v>
      </c>
      <c r="C702" s="37" t="s">
        <v>1970</v>
      </c>
      <c r="D702" s="55" t="s">
        <v>820</v>
      </c>
      <c r="E702" s="59">
        <v>896.28</v>
      </c>
      <c r="F702" s="57">
        <v>13.12</v>
      </c>
      <c r="G702" s="57"/>
      <c r="H702" s="49"/>
      <c r="I702" s="49" t="str">
        <f t="shared" si="63"/>
        <v/>
      </c>
      <c r="J702" s="37" t="str">
        <f t="shared" si="59"/>
        <v>제룡전기</v>
      </c>
      <c r="K702" s="37" t="str">
        <f t="shared" si="60"/>
        <v>A033100</v>
      </c>
    </row>
    <row r="703" spans="1:11" x14ac:dyDescent="0.4">
      <c r="A703" s="49"/>
      <c r="B703" s="54" t="s">
        <v>1971</v>
      </c>
      <c r="C703" s="37" t="s">
        <v>1972</v>
      </c>
      <c r="D703" s="55" t="s">
        <v>820</v>
      </c>
      <c r="E703" s="58">
        <v>92.42</v>
      </c>
      <c r="F703" s="57">
        <v>0.45</v>
      </c>
      <c r="G703" s="57"/>
      <c r="H703" s="49"/>
      <c r="I703" s="49" t="str">
        <f t="shared" si="63"/>
        <v/>
      </c>
      <c r="J703" s="37" t="str">
        <f t="shared" si="59"/>
        <v>디지틀조선</v>
      </c>
      <c r="K703" s="37" t="str">
        <f t="shared" si="60"/>
        <v>A033130</v>
      </c>
    </row>
    <row r="704" spans="1:11" x14ac:dyDescent="0.4">
      <c r="A704" s="49"/>
      <c r="B704" s="54" t="s">
        <v>1973</v>
      </c>
      <c r="C704" s="37" t="s">
        <v>1974</v>
      </c>
      <c r="D704" s="55" t="s">
        <v>820</v>
      </c>
      <c r="E704" s="56">
        <v>227.46</v>
      </c>
      <c r="F704" s="55">
        <v>2.72</v>
      </c>
      <c r="G704" s="55"/>
      <c r="I704" s="49" t="str">
        <f t="shared" si="63"/>
        <v/>
      </c>
      <c r="J704" s="37" t="str">
        <f t="shared" si="59"/>
        <v>엠케이전자</v>
      </c>
      <c r="K704" s="37" t="str">
        <f t="shared" si="60"/>
        <v>A033160</v>
      </c>
    </row>
    <row r="705" spans="1:11" x14ac:dyDescent="0.4">
      <c r="A705" s="49"/>
      <c r="B705" s="54" t="s">
        <v>1975</v>
      </c>
      <c r="C705" s="37" t="s">
        <v>1976</v>
      </c>
      <c r="D705" s="55" t="s">
        <v>820</v>
      </c>
      <c r="E705" s="58">
        <v>74.760000000000005</v>
      </c>
      <c r="F705" s="57">
        <v>1.59</v>
      </c>
      <c r="G705" s="57"/>
      <c r="H705" s="49"/>
      <c r="I705" s="49" t="str">
        <f t="shared" si="63"/>
        <v/>
      </c>
      <c r="J705" s="37" t="str">
        <f t="shared" si="59"/>
        <v>시그네틱스</v>
      </c>
      <c r="K705" s="37" t="str">
        <f t="shared" si="60"/>
        <v>A033170</v>
      </c>
    </row>
    <row r="706" spans="1:11" x14ac:dyDescent="0.4">
      <c r="A706" s="49"/>
      <c r="B706" s="54" t="s">
        <v>1977</v>
      </c>
      <c r="C706" s="37" t="s">
        <v>1978</v>
      </c>
      <c r="D706" s="55" t="s">
        <v>820</v>
      </c>
      <c r="E706" s="56">
        <v>56.97</v>
      </c>
      <c r="F706" s="55">
        <v>0.11</v>
      </c>
      <c r="G706" s="55"/>
      <c r="I706" s="49" t="str">
        <f t="shared" si="63"/>
        <v/>
      </c>
      <c r="J706" s="37" t="str">
        <f t="shared" si="59"/>
        <v>모아텍</v>
      </c>
      <c r="K706" s="37" t="str">
        <f t="shared" si="60"/>
        <v>A033200</v>
      </c>
    </row>
    <row r="707" spans="1:11" x14ac:dyDescent="0.4">
      <c r="A707" s="49"/>
      <c r="B707" s="54" t="s">
        <v>1979</v>
      </c>
      <c r="C707" s="37" t="s">
        <v>1980</v>
      </c>
      <c r="D707" s="55" t="s">
        <v>820</v>
      </c>
      <c r="E707" s="56">
        <v>83.15</v>
      </c>
      <c r="F707" s="55">
        <v>2.2200000000000002</v>
      </c>
      <c r="G707" s="55"/>
      <c r="I707" s="49" t="str">
        <f t="shared" si="63"/>
        <v/>
      </c>
      <c r="J707" s="37" t="str">
        <f t="shared" si="59"/>
        <v>인성정보</v>
      </c>
      <c r="K707" s="37" t="str">
        <f t="shared" si="60"/>
        <v>A033230</v>
      </c>
    </row>
    <row r="708" spans="1:11" x14ac:dyDescent="0.4">
      <c r="A708" s="49"/>
      <c r="B708" s="54" t="s">
        <v>1981</v>
      </c>
      <c r="C708" s="37" t="s">
        <v>1982</v>
      </c>
      <c r="D708" s="55" t="s">
        <v>805</v>
      </c>
      <c r="E708" s="58">
        <v>909.43</v>
      </c>
      <c r="F708" s="57">
        <v>7.26</v>
      </c>
      <c r="G708" s="57">
        <v>1</v>
      </c>
      <c r="H708" s="49"/>
      <c r="I708" s="49">
        <f t="shared" si="63"/>
        <v>909.43707999999992</v>
      </c>
      <c r="J708" s="37" t="str">
        <f t="shared" si="59"/>
        <v>자화전자</v>
      </c>
      <c r="K708" s="37" t="str">
        <f t="shared" si="60"/>
        <v>A033240</v>
      </c>
    </row>
    <row r="709" spans="1:11" x14ac:dyDescent="0.4">
      <c r="A709" s="49"/>
      <c r="B709" s="54" t="s">
        <v>1983</v>
      </c>
      <c r="C709" s="37" t="s">
        <v>1984</v>
      </c>
      <c r="D709" s="55" t="s">
        <v>805</v>
      </c>
      <c r="E709" s="56">
        <v>32.700000000000003</v>
      </c>
      <c r="F709" s="56">
        <v>0.24</v>
      </c>
      <c r="G709" s="55"/>
      <c r="I709" s="49" t="str">
        <f t="shared" si="63"/>
        <v/>
      </c>
      <c r="J709" s="37" t="str">
        <f t="shared" si="59"/>
        <v>체시스</v>
      </c>
      <c r="K709" s="37" t="str">
        <f t="shared" si="60"/>
        <v>A033250</v>
      </c>
    </row>
    <row r="710" spans="1:11" x14ac:dyDescent="0.4">
      <c r="A710" s="49"/>
      <c r="B710" s="54" t="s">
        <v>1985</v>
      </c>
      <c r="C710" s="37" t="s">
        <v>1986</v>
      </c>
      <c r="D710" s="55" t="s">
        <v>805</v>
      </c>
      <c r="E710" s="58">
        <v>327.49</v>
      </c>
      <c r="F710" s="57">
        <v>0.74</v>
      </c>
      <c r="G710" s="57"/>
      <c r="H710" s="49"/>
      <c r="I710" s="49" t="str">
        <f t="shared" si="63"/>
        <v/>
      </c>
      <c r="J710" s="37" t="str">
        <f t="shared" si="59"/>
        <v>유나이티드제약</v>
      </c>
      <c r="K710" s="37" t="str">
        <f t="shared" si="60"/>
        <v>A033270</v>
      </c>
    </row>
    <row r="711" spans="1:11" x14ac:dyDescent="0.4">
      <c r="B711" s="54" t="s">
        <v>1987</v>
      </c>
      <c r="C711" s="37" t="s">
        <v>1988</v>
      </c>
      <c r="D711" s="55" t="s">
        <v>820</v>
      </c>
      <c r="E711" s="56">
        <v>117.93</v>
      </c>
      <c r="F711" s="55">
        <v>0.28000000000000003</v>
      </c>
      <c r="G711" s="55"/>
      <c r="J711" s="37" t="str">
        <f t="shared" si="59"/>
        <v>로젠</v>
      </c>
      <c r="K711" s="37" t="str">
        <f t="shared" si="60"/>
        <v>A033290</v>
      </c>
    </row>
    <row r="712" spans="1:11" x14ac:dyDescent="0.4">
      <c r="A712" s="49"/>
      <c r="B712" s="54" t="s">
        <v>1989</v>
      </c>
      <c r="C712" s="37" t="s">
        <v>1990</v>
      </c>
      <c r="D712" s="55" t="s">
        <v>820</v>
      </c>
      <c r="E712" s="58">
        <v>76.45</v>
      </c>
      <c r="F712" s="57">
        <v>0.51</v>
      </c>
      <c r="G712" s="57"/>
      <c r="H712" s="49"/>
      <c r="I712" s="49" t="str">
        <f t="shared" ref="I712:I717" si="64">IF((G712&gt;$G$8),E712+ROW()/100000,"")</f>
        <v/>
      </c>
      <c r="J712" s="37" t="str">
        <f t="shared" si="59"/>
        <v>엠투엔</v>
      </c>
      <c r="K712" s="37" t="str">
        <f t="shared" si="60"/>
        <v>A033310</v>
      </c>
    </row>
    <row r="713" spans="1:11" x14ac:dyDescent="0.4">
      <c r="A713" s="49"/>
      <c r="B713" s="54" t="s">
        <v>1991</v>
      </c>
      <c r="C713" s="37" t="s">
        <v>1992</v>
      </c>
      <c r="D713" s="55" t="s">
        <v>820</v>
      </c>
      <c r="E713" s="59">
        <v>86.21</v>
      </c>
      <c r="F713" s="57">
        <v>0.85</v>
      </c>
      <c r="G713" s="57"/>
      <c r="H713" s="49"/>
      <c r="I713" s="49" t="str">
        <f t="shared" si="64"/>
        <v/>
      </c>
      <c r="J713" s="37" t="str">
        <f t="shared" si="59"/>
        <v>제이씨현시스템</v>
      </c>
      <c r="K713" s="37" t="str">
        <f t="shared" si="60"/>
        <v>A033320</v>
      </c>
    </row>
    <row r="714" spans="1:11" x14ac:dyDescent="0.4">
      <c r="A714" s="49"/>
      <c r="B714" s="54" t="s">
        <v>1993</v>
      </c>
      <c r="C714" s="37" t="s">
        <v>1994</v>
      </c>
      <c r="D714" s="55" t="s">
        <v>820</v>
      </c>
      <c r="E714" s="57">
        <v>202.14</v>
      </c>
      <c r="F714" s="55">
        <v>10.7</v>
      </c>
      <c r="G714" s="55"/>
      <c r="I714" s="49" t="str">
        <f t="shared" si="64"/>
        <v/>
      </c>
      <c r="J714" s="37" t="str">
        <f t="shared" si="59"/>
        <v>좋은사람들</v>
      </c>
      <c r="K714" s="37" t="str">
        <f t="shared" si="60"/>
        <v>A033340</v>
      </c>
    </row>
    <row r="715" spans="1:11" x14ac:dyDescent="0.4">
      <c r="A715" s="49"/>
      <c r="B715" s="54" t="s">
        <v>368</v>
      </c>
      <c r="C715" s="37" t="s">
        <v>369</v>
      </c>
      <c r="D715" s="55" t="s">
        <v>820</v>
      </c>
      <c r="E715" s="58">
        <v>883.19</v>
      </c>
      <c r="F715" s="57">
        <v>6.86</v>
      </c>
      <c r="G715" s="57">
        <v>1</v>
      </c>
      <c r="H715" s="49"/>
      <c r="I715" s="49">
        <f t="shared" si="64"/>
        <v>883.19715000000008</v>
      </c>
      <c r="J715" s="37" t="str">
        <f t="shared" si="59"/>
        <v>동성화인텍</v>
      </c>
      <c r="K715" s="37" t="str">
        <f t="shared" si="60"/>
        <v>A033500</v>
      </c>
    </row>
    <row r="716" spans="1:11" x14ac:dyDescent="0.4">
      <c r="A716" s="49"/>
      <c r="B716" s="54" t="s">
        <v>1995</v>
      </c>
      <c r="C716" s="37" t="s">
        <v>1996</v>
      </c>
      <c r="D716" s="55" t="s">
        <v>805</v>
      </c>
      <c r="E716" s="56">
        <v>279.04000000000002</v>
      </c>
      <c r="F716" s="55">
        <v>12.27</v>
      </c>
      <c r="G716" s="55"/>
      <c r="I716" s="49" t="str">
        <f t="shared" si="64"/>
        <v/>
      </c>
      <c r="J716" s="37" t="str">
        <f t="shared" si="59"/>
        <v>SJG세종</v>
      </c>
      <c r="K716" s="37" t="str">
        <f t="shared" si="60"/>
        <v>A033530</v>
      </c>
    </row>
    <row r="717" spans="1:11" x14ac:dyDescent="0.4">
      <c r="A717" s="49"/>
      <c r="B717" s="54" t="s">
        <v>1997</v>
      </c>
      <c r="C717" s="37" t="s">
        <v>1998</v>
      </c>
      <c r="D717" s="55" t="s">
        <v>820</v>
      </c>
      <c r="E717" s="58">
        <v>44.82</v>
      </c>
      <c r="F717" s="57">
        <v>0.94</v>
      </c>
      <c r="G717" s="57"/>
      <c r="H717" s="49"/>
      <c r="I717" s="49" t="str">
        <f t="shared" si="64"/>
        <v/>
      </c>
      <c r="J717" s="37" t="str">
        <f t="shared" si="59"/>
        <v>파라텍</v>
      </c>
      <c r="K717" s="37" t="str">
        <f t="shared" si="60"/>
        <v>A033540</v>
      </c>
    </row>
    <row r="718" spans="1:11" x14ac:dyDescent="0.4">
      <c r="B718" s="54" t="s">
        <v>1999</v>
      </c>
      <c r="C718" s="37" t="s">
        <v>2000</v>
      </c>
      <c r="D718" s="55" t="s">
        <v>820</v>
      </c>
      <c r="E718" s="56">
        <v>52.84</v>
      </c>
      <c r="F718" s="55">
        <v>0.1</v>
      </c>
      <c r="G718" s="55"/>
      <c r="J718" s="37" t="str">
        <f t="shared" ref="J718:J781" si="65">C718</f>
        <v>블루콤</v>
      </c>
      <c r="K718" s="37" t="str">
        <f t="shared" ref="K718:K781" si="66">B718</f>
        <v>A033560</v>
      </c>
    </row>
    <row r="719" spans="1:11" x14ac:dyDescent="0.4">
      <c r="A719" s="49"/>
      <c r="B719" s="54" t="s">
        <v>2001</v>
      </c>
      <c r="C719" s="37" t="s">
        <v>2002</v>
      </c>
      <c r="D719" s="55" t="s">
        <v>820</v>
      </c>
      <c r="E719" s="58">
        <v>431.9</v>
      </c>
      <c r="F719" s="57">
        <v>2.5499999999999998</v>
      </c>
      <c r="G719" s="57">
        <v>1</v>
      </c>
      <c r="H719" s="49"/>
      <c r="I719" s="49">
        <f t="shared" ref="I719:I727" si="67">IF((G719&gt;$G$8),E719+ROW()/100000,"")</f>
        <v>431.90718999999996</v>
      </c>
      <c r="J719" s="37" t="str">
        <f t="shared" si="65"/>
        <v>네패스</v>
      </c>
      <c r="K719" s="37" t="str">
        <f t="shared" si="66"/>
        <v>A033640</v>
      </c>
    </row>
    <row r="720" spans="1:11" x14ac:dyDescent="0.4">
      <c r="A720" s="49"/>
      <c r="B720" s="54" t="s">
        <v>133</v>
      </c>
      <c r="C720" s="37" t="s">
        <v>134</v>
      </c>
      <c r="D720" s="55" t="s">
        <v>805</v>
      </c>
      <c r="E720" s="58">
        <v>19241.990000000002</v>
      </c>
      <c r="F720" s="57">
        <v>48.86</v>
      </c>
      <c r="G720" s="57">
        <v>19</v>
      </c>
      <c r="H720" s="49"/>
      <c r="I720" s="49">
        <f t="shared" si="67"/>
        <v>19241.997200000002</v>
      </c>
      <c r="J720" s="37" t="str">
        <f t="shared" si="65"/>
        <v>KT&amp;G</v>
      </c>
      <c r="K720" s="37" t="str">
        <f t="shared" si="66"/>
        <v>A033780</v>
      </c>
    </row>
    <row r="721" spans="1:11" x14ac:dyDescent="0.4">
      <c r="A721" s="49"/>
      <c r="B721" s="54" t="s">
        <v>2003</v>
      </c>
      <c r="C721" s="37" t="s">
        <v>2004</v>
      </c>
      <c r="D721" s="55" t="s">
        <v>820</v>
      </c>
      <c r="E721" s="58">
        <v>407.54</v>
      </c>
      <c r="F721" s="57">
        <v>2.33</v>
      </c>
      <c r="G721" s="57"/>
      <c r="H721" s="49"/>
      <c r="I721" s="49" t="str">
        <f t="shared" si="67"/>
        <v/>
      </c>
      <c r="J721" s="37" t="str">
        <f t="shared" si="65"/>
        <v>피노</v>
      </c>
      <c r="K721" s="37" t="str">
        <f t="shared" si="66"/>
        <v>A033790</v>
      </c>
    </row>
    <row r="722" spans="1:11" x14ac:dyDescent="0.4">
      <c r="A722" s="49"/>
      <c r="B722" s="54" t="s">
        <v>2005</v>
      </c>
      <c r="C722" s="37" t="s">
        <v>2006</v>
      </c>
      <c r="D722" s="55" t="s">
        <v>820</v>
      </c>
      <c r="E722" s="58">
        <v>63</v>
      </c>
      <c r="F722" s="57">
        <v>0.09</v>
      </c>
      <c r="G722" s="57"/>
      <c r="H722" s="49"/>
      <c r="I722" s="49" t="str">
        <f t="shared" si="67"/>
        <v/>
      </c>
      <c r="J722" s="37" t="str">
        <f t="shared" si="65"/>
        <v>티비씨</v>
      </c>
      <c r="K722" s="37" t="str">
        <f t="shared" si="66"/>
        <v>A033830</v>
      </c>
    </row>
    <row r="723" spans="1:11" x14ac:dyDescent="0.4">
      <c r="A723" s="49"/>
      <c r="B723" s="54" t="s">
        <v>2007</v>
      </c>
      <c r="C723" s="37" t="s">
        <v>2008</v>
      </c>
      <c r="D723" s="55" t="s">
        <v>805</v>
      </c>
      <c r="E723" s="58">
        <v>271.04000000000002</v>
      </c>
      <c r="F723" s="57">
        <v>0.64</v>
      </c>
      <c r="G723" s="57"/>
      <c r="H723" s="49"/>
      <c r="I723" s="49" t="str">
        <f t="shared" si="67"/>
        <v/>
      </c>
      <c r="J723" s="37" t="str">
        <f t="shared" si="65"/>
        <v>무학</v>
      </c>
      <c r="K723" s="37" t="str">
        <f t="shared" si="66"/>
        <v>A033920</v>
      </c>
    </row>
    <row r="724" spans="1:11" x14ac:dyDescent="0.4">
      <c r="A724" s="49"/>
      <c r="B724" s="54" t="s">
        <v>17</v>
      </c>
      <c r="C724" s="37" t="s">
        <v>18</v>
      </c>
      <c r="D724" s="55" t="s">
        <v>805</v>
      </c>
      <c r="E724" s="58">
        <v>68091.649999999994</v>
      </c>
      <c r="F724" s="57">
        <v>527.64</v>
      </c>
      <c r="G724" s="57">
        <v>11</v>
      </c>
      <c r="H724" s="49"/>
      <c r="I724" s="49">
        <f t="shared" si="67"/>
        <v>68091.65724</v>
      </c>
      <c r="J724" s="37" t="str">
        <f t="shared" si="65"/>
        <v>두산에너빌리티</v>
      </c>
      <c r="K724" s="37" t="str">
        <f t="shared" si="66"/>
        <v>A034020</v>
      </c>
    </row>
    <row r="725" spans="1:11" x14ac:dyDescent="0.4">
      <c r="A725" s="49"/>
      <c r="B725" s="54" t="s">
        <v>2009</v>
      </c>
      <c r="C725" s="37" t="s">
        <v>2010</v>
      </c>
      <c r="D725" s="55" t="s">
        <v>805</v>
      </c>
      <c r="E725" s="58">
        <v>342.83</v>
      </c>
      <c r="F725" s="57">
        <v>0.79</v>
      </c>
      <c r="G725" s="57">
        <v>5</v>
      </c>
      <c r="H725" s="49"/>
      <c r="I725" s="49">
        <f t="shared" si="67"/>
        <v>342.83724999999998</v>
      </c>
      <c r="J725" s="37" t="str">
        <f t="shared" si="65"/>
        <v>SBS</v>
      </c>
      <c r="K725" s="37" t="str">
        <f t="shared" si="66"/>
        <v>A034120</v>
      </c>
    </row>
    <row r="726" spans="1:11" x14ac:dyDescent="0.4">
      <c r="A726" s="49"/>
      <c r="B726" s="54" t="s">
        <v>2011</v>
      </c>
      <c r="C726" s="37" t="s">
        <v>2012</v>
      </c>
      <c r="D726" s="55" t="s">
        <v>805</v>
      </c>
      <c r="E726" s="56">
        <v>7170</v>
      </c>
      <c r="F726" s="55">
        <v>43</v>
      </c>
      <c r="G726" s="55">
        <v>8</v>
      </c>
      <c r="I726" s="49">
        <f t="shared" si="67"/>
        <v>7170.0072600000003</v>
      </c>
      <c r="J726" s="37" t="str">
        <f t="shared" si="65"/>
        <v>LG디스플레이</v>
      </c>
      <c r="K726" s="37" t="str">
        <f t="shared" si="66"/>
        <v>A034220</v>
      </c>
    </row>
    <row r="727" spans="1:11" x14ac:dyDescent="0.4">
      <c r="A727" s="49"/>
      <c r="B727" s="54" t="s">
        <v>281</v>
      </c>
      <c r="C727" s="37" t="s">
        <v>282</v>
      </c>
      <c r="D727" s="55" t="s">
        <v>805</v>
      </c>
      <c r="E727" s="58">
        <v>1843.49</v>
      </c>
      <c r="F727" s="57">
        <v>24.09</v>
      </c>
      <c r="G727" s="57">
        <v>9</v>
      </c>
      <c r="H727" s="49"/>
      <c r="I727" s="49">
        <f t="shared" si="67"/>
        <v>1843.4972700000001</v>
      </c>
      <c r="J727" s="37" t="str">
        <f t="shared" si="65"/>
        <v>파라다이스</v>
      </c>
      <c r="K727" s="37" t="str">
        <f t="shared" si="66"/>
        <v>A034230</v>
      </c>
    </row>
    <row r="728" spans="1:11" x14ac:dyDescent="0.4">
      <c r="B728" s="54" t="s">
        <v>2013</v>
      </c>
      <c r="C728" s="37" t="s">
        <v>2014</v>
      </c>
      <c r="D728" s="55" t="s">
        <v>805</v>
      </c>
      <c r="E728" s="56">
        <v>550.99</v>
      </c>
      <c r="F728" s="55">
        <v>1.02</v>
      </c>
      <c r="G728" s="55"/>
      <c r="J728" s="37" t="str">
        <f t="shared" si="65"/>
        <v>NICE</v>
      </c>
      <c r="K728" s="37" t="str">
        <f t="shared" si="66"/>
        <v>A034310</v>
      </c>
    </row>
    <row r="729" spans="1:11" x14ac:dyDescent="0.4">
      <c r="A729" s="49"/>
      <c r="B729" s="54" t="s">
        <v>2015</v>
      </c>
      <c r="C729" s="37" t="s">
        <v>2016</v>
      </c>
      <c r="D729" s="55" t="s">
        <v>805</v>
      </c>
      <c r="E729" s="58">
        <v>118.77</v>
      </c>
      <c r="F729" s="57">
        <v>0.08</v>
      </c>
      <c r="G729" s="57"/>
      <c r="H729" s="49"/>
      <c r="I729" s="49" t="str">
        <f>IF((G729&gt;$G$8),E729+ROW()/100000,"")</f>
        <v/>
      </c>
      <c r="J729" s="37" t="str">
        <f t="shared" si="65"/>
        <v>인천도시가스</v>
      </c>
      <c r="K729" s="37" t="str">
        <f t="shared" si="66"/>
        <v>A034590</v>
      </c>
    </row>
    <row r="730" spans="1:11" x14ac:dyDescent="0.4">
      <c r="A730" s="49"/>
      <c r="B730" s="54" t="s">
        <v>303</v>
      </c>
      <c r="C730" s="37" t="s">
        <v>304</v>
      </c>
      <c r="D730" s="55" t="s">
        <v>805</v>
      </c>
      <c r="E730" s="58">
        <v>29073.58</v>
      </c>
      <c r="F730" s="57">
        <v>65.53</v>
      </c>
      <c r="G730" s="57">
        <v>8</v>
      </c>
      <c r="H730" s="49"/>
      <c r="I730" s="49">
        <f>IF((G730&gt;$G$8),E730+ROW()/100000,"")</f>
        <v>29073.587300000003</v>
      </c>
      <c r="J730" s="37" t="str">
        <f t="shared" si="65"/>
        <v>SK</v>
      </c>
      <c r="K730" s="37" t="str">
        <f t="shared" si="66"/>
        <v>A034730</v>
      </c>
    </row>
    <row r="731" spans="1:11" x14ac:dyDescent="0.4">
      <c r="A731" s="49"/>
      <c r="B731" s="54" t="s">
        <v>2017</v>
      </c>
      <c r="C731" s="37" t="s">
        <v>2018</v>
      </c>
      <c r="D731" s="55" t="s">
        <v>820</v>
      </c>
      <c r="E731" s="56">
        <v>276.41000000000003</v>
      </c>
      <c r="F731" s="55">
        <v>0.65</v>
      </c>
      <c r="G731" s="55"/>
      <c r="I731" s="49" t="str">
        <f>IF((G731&gt;$G$8),E731+ROW()/100000,"")</f>
        <v/>
      </c>
      <c r="J731" s="37" t="str">
        <f t="shared" si="65"/>
        <v>해성산업</v>
      </c>
      <c r="K731" s="37" t="str">
        <f t="shared" si="66"/>
        <v>A034810</v>
      </c>
    </row>
    <row r="732" spans="1:11" x14ac:dyDescent="0.4">
      <c r="A732" s="49"/>
      <c r="B732" s="54" t="s">
        <v>729</v>
      </c>
      <c r="C732" s="37" t="s">
        <v>730</v>
      </c>
      <c r="D732" s="55" t="s">
        <v>805</v>
      </c>
      <c r="E732" s="58">
        <v>406.26</v>
      </c>
      <c r="F732" s="57">
        <v>1.85</v>
      </c>
      <c r="G732" s="57">
        <v>2</v>
      </c>
      <c r="H732" s="49"/>
      <c r="I732" s="49">
        <f>IF((G732&gt;$G$8),E732+ROW()/100000,"")</f>
        <v>406.26731999999998</v>
      </c>
      <c r="J732" s="37" t="str">
        <f t="shared" si="65"/>
        <v>한국토지신탁</v>
      </c>
      <c r="K732" s="37" t="str">
        <f t="shared" si="66"/>
        <v>A034830</v>
      </c>
    </row>
    <row r="733" spans="1:11" x14ac:dyDescent="0.4">
      <c r="B733" s="54" t="s">
        <v>2019</v>
      </c>
      <c r="C733" s="37" t="s">
        <v>2020</v>
      </c>
      <c r="D733" s="55" t="s">
        <v>820</v>
      </c>
      <c r="E733" s="56">
        <v>30.73</v>
      </c>
      <c r="F733" s="55">
        <v>0.66</v>
      </c>
      <c r="G733" s="55"/>
      <c r="J733" s="37" t="str">
        <f t="shared" si="65"/>
        <v>조아제약</v>
      </c>
      <c r="K733" s="37" t="str">
        <f t="shared" si="66"/>
        <v>A034940</v>
      </c>
    </row>
    <row r="734" spans="1:11" x14ac:dyDescent="0.4">
      <c r="A734" s="49"/>
      <c r="B734" s="54" t="s">
        <v>2021</v>
      </c>
      <c r="C734" s="37" t="s">
        <v>2022</v>
      </c>
      <c r="D734" s="55" t="s">
        <v>820</v>
      </c>
      <c r="E734" s="58">
        <v>465.4</v>
      </c>
      <c r="F734" s="57">
        <v>0.31</v>
      </c>
      <c r="G734" s="57"/>
      <c r="H734" s="49"/>
      <c r="I734" s="49" t="str">
        <f t="shared" ref="I734:I754" si="68">IF((G734&gt;$G$8),E734+ROW()/100000,"")</f>
        <v/>
      </c>
      <c r="J734" s="37" t="str">
        <f t="shared" si="65"/>
        <v>한국기업평가</v>
      </c>
      <c r="K734" s="37" t="str">
        <f t="shared" si="66"/>
        <v>A034950</v>
      </c>
    </row>
    <row r="735" spans="1:11" x14ac:dyDescent="0.4">
      <c r="A735" s="49"/>
      <c r="B735" s="54" t="s">
        <v>2023</v>
      </c>
      <c r="C735" s="37" t="s">
        <v>2024</v>
      </c>
      <c r="D735" s="55" t="s">
        <v>805</v>
      </c>
      <c r="E735" s="56">
        <v>142.47</v>
      </c>
      <c r="F735" s="55">
        <v>0.21</v>
      </c>
      <c r="G735" s="55"/>
      <c r="I735" s="49" t="str">
        <f t="shared" si="68"/>
        <v/>
      </c>
      <c r="J735" s="37" t="str">
        <f t="shared" si="65"/>
        <v>HS애드</v>
      </c>
      <c r="K735" s="37" t="str">
        <f t="shared" si="66"/>
        <v>A035000</v>
      </c>
    </row>
    <row r="736" spans="1:11" x14ac:dyDescent="0.4">
      <c r="A736" s="49"/>
      <c r="B736" s="54" t="s">
        <v>2025</v>
      </c>
      <c r="C736" s="37" t="s">
        <v>2026</v>
      </c>
      <c r="D736" s="55" t="s">
        <v>820</v>
      </c>
      <c r="E736" s="58">
        <v>149.62</v>
      </c>
      <c r="F736" s="57">
        <v>0.25</v>
      </c>
      <c r="G736" s="57"/>
      <c r="H736" s="49"/>
      <c r="I736" s="49" t="str">
        <f t="shared" si="68"/>
        <v/>
      </c>
      <c r="J736" s="37" t="str">
        <f t="shared" si="65"/>
        <v>그래디언트</v>
      </c>
      <c r="K736" s="37" t="str">
        <f t="shared" si="66"/>
        <v>A035080</v>
      </c>
    </row>
    <row r="737" spans="1:11" x14ac:dyDescent="0.4">
      <c r="A737" s="49"/>
      <c r="B737" s="54" t="s">
        <v>2027</v>
      </c>
      <c r="C737" s="37" t="s">
        <v>2028</v>
      </c>
      <c r="D737" s="55" t="s">
        <v>805</v>
      </c>
      <c r="E737" s="58">
        <v>270.52999999999997</v>
      </c>
      <c r="F737" s="57">
        <v>0.55000000000000004</v>
      </c>
      <c r="G737" s="57">
        <v>1</v>
      </c>
      <c r="H737" s="49"/>
      <c r="I737" s="49">
        <f t="shared" si="68"/>
        <v>270.53736999999995</v>
      </c>
      <c r="J737" s="37" t="str">
        <f t="shared" si="65"/>
        <v>백산</v>
      </c>
      <c r="K737" s="37" t="str">
        <f t="shared" si="66"/>
        <v>A035150</v>
      </c>
    </row>
    <row r="738" spans="1:11" x14ac:dyDescent="0.4">
      <c r="A738" s="49"/>
      <c r="B738" s="54" t="s">
        <v>2029</v>
      </c>
      <c r="C738" s="37" t="s">
        <v>2030</v>
      </c>
      <c r="D738" s="55" t="s">
        <v>820</v>
      </c>
      <c r="E738" s="58">
        <v>34.74</v>
      </c>
      <c r="F738" s="57">
        <v>0.23</v>
      </c>
      <c r="G738" s="57"/>
      <c r="H738" s="49"/>
      <c r="I738" s="49" t="str">
        <f t="shared" si="68"/>
        <v/>
      </c>
      <c r="J738" s="37" t="str">
        <f t="shared" si="65"/>
        <v>프럼파스트</v>
      </c>
      <c r="K738" s="37" t="str">
        <f t="shared" si="66"/>
        <v>A035200</v>
      </c>
    </row>
    <row r="739" spans="1:11" x14ac:dyDescent="0.4">
      <c r="A739" s="49"/>
      <c r="B739" s="54" t="s">
        <v>168</v>
      </c>
      <c r="C739" s="37" t="s">
        <v>169</v>
      </c>
      <c r="D739" s="55" t="s">
        <v>805</v>
      </c>
      <c r="E739" s="56">
        <v>4075.57</v>
      </c>
      <c r="F739" s="55">
        <v>9.64</v>
      </c>
      <c r="G739" s="55">
        <v>6</v>
      </c>
      <c r="I739" s="49">
        <f t="shared" si="68"/>
        <v>4075.5773900000004</v>
      </c>
      <c r="J739" s="37" t="str">
        <f t="shared" si="65"/>
        <v>강원랜드</v>
      </c>
      <c r="K739" s="37" t="str">
        <f t="shared" si="66"/>
        <v>A035250</v>
      </c>
    </row>
    <row r="740" spans="1:11" x14ac:dyDescent="0.4">
      <c r="A740" s="49"/>
      <c r="B740" s="54" t="s">
        <v>2031</v>
      </c>
      <c r="C740" s="37" t="s">
        <v>2032</v>
      </c>
      <c r="D740" s="55" t="s">
        <v>820</v>
      </c>
      <c r="E740" s="56">
        <v>15.23</v>
      </c>
      <c r="F740" s="55">
        <v>0.4</v>
      </c>
      <c r="G740" s="55"/>
      <c r="I740" s="49" t="str">
        <f t="shared" si="68"/>
        <v/>
      </c>
      <c r="J740" s="37" t="str">
        <f t="shared" si="65"/>
        <v>골드앤에스</v>
      </c>
      <c r="K740" s="37" t="str">
        <f t="shared" si="66"/>
        <v>A035290</v>
      </c>
    </row>
    <row r="741" spans="1:11" x14ac:dyDescent="0.4">
      <c r="A741" s="49"/>
      <c r="B741" s="54" t="s">
        <v>98</v>
      </c>
      <c r="C741" s="37" t="s">
        <v>99</v>
      </c>
      <c r="D741" s="55" t="s">
        <v>805</v>
      </c>
      <c r="E741" s="58">
        <v>39919</v>
      </c>
      <c r="F741" s="57">
        <v>385.35</v>
      </c>
      <c r="G741" s="57">
        <v>18</v>
      </c>
      <c r="H741" s="49"/>
      <c r="I741" s="49">
        <f t="shared" si="68"/>
        <v>39919.007409999998</v>
      </c>
      <c r="J741" s="37" t="str">
        <f t="shared" si="65"/>
        <v>NAVER</v>
      </c>
      <c r="K741" s="37" t="str">
        <f t="shared" si="66"/>
        <v>A035420</v>
      </c>
    </row>
    <row r="742" spans="1:11" x14ac:dyDescent="0.4">
      <c r="A742" s="49"/>
      <c r="B742" s="54" t="s">
        <v>2033</v>
      </c>
      <c r="C742" s="37" t="s">
        <v>2034</v>
      </c>
      <c r="D742" s="55" t="s">
        <v>820</v>
      </c>
      <c r="E742" s="58">
        <v>31.34</v>
      </c>
      <c r="F742" s="57">
        <v>0.09</v>
      </c>
      <c r="G742" s="57"/>
      <c r="H742" s="49"/>
      <c r="I742" s="49" t="str">
        <f t="shared" si="68"/>
        <v/>
      </c>
      <c r="J742" s="37" t="str">
        <f t="shared" si="65"/>
        <v>기산텔레콤</v>
      </c>
      <c r="K742" s="37" t="str">
        <f t="shared" si="66"/>
        <v>A035460</v>
      </c>
    </row>
    <row r="743" spans="1:11" x14ac:dyDescent="0.4">
      <c r="A743" s="49"/>
      <c r="B743" s="54" t="s">
        <v>2035</v>
      </c>
      <c r="C743" s="37" t="s">
        <v>2036</v>
      </c>
      <c r="D743" s="55" t="s">
        <v>805</v>
      </c>
      <c r="E743" s="58">
        <v>244.11</v>
      </c>
      <c r="F743" s="57">
        <v>3.28</v>
      </c>
      <c r="G743" s="57"/>
      <c r="H743" s="49"/>
      <c r="I743" s="49" t="str">
        <f t="shared" si="68"/>
        <v/>
      </c>
      <c r="J743" s="37" t="str">
        <f t="shared" si="65"/>
        <v>신세계 I&amp;C</v>
      </c>
      <c r="K743" s="37" t="str">
        <f t="shared" si="66"/>
        <v>A035510</v>
      </c>
    </row>
    <row r="744" spans="1:11" x14ac:dyDescent="0.4">
      <c r="A744" s="49"/>
      <c r="B744" s="54" t="s">
        <v>2037</v>
      </c>
      <c r="C744" s="37" t="s">
        <v>2038</v>
      </c>
      <c r="D744" s="55" t="s">
        <v>820</v>
      </c>
      <c r="E744" s="58">
        <v>317.43</v>
      </c>
      <c r="F744" s="57">
        <v>1.69</v>
      </c>
      <c r="G744" s="57">
        <v>2</v>
      </c>
      <c r="H744" s="49"/>
      <c r="I744" s="49">
        <f t="shared" si="68"/>
        <v>317.43743999999998</v>
      </c>
      <c r="J744" s="37" t="str">
        <f t="shared" si="65"/>
        <v>KG이니시스</v>
      </c>
      <c r="K744" s="37" t="str">
        <f t="shared" si="66"/>
        <v>A035600</v>
      </c>
    </row>
    <row r="745" spans="1:11" x14ac:dyDescent="0.4">
      <c r="A745" s="49"/>
      <c r="B745" s="54" t="s">
        <v>2039</v>
      </c>
      <c r="C745" s="37" t="s">
        <v>2040</v>
      </c>
      <c r="D745" s="55" t="s">
        <v>820</v>
      </c>
      <c r="E745" s="56">
        <v>109.38</v>
      </c>
      <c r="F745" s="55">
        <v>0.19</v>
      </c>
      <c r="G745" s="55"/>
      <c r="I745" s="49" t="str">
        <f t="shared" si="68"/>
        <v/>
      </c>
      <c r="J745" s="37" t="str">
        <f t="shared" si="65"/>
        <v>솔본</v>
      </c>
      <c r="K745" s="37" t="str">
        <f t="shared" si="66"/>
        <v>A035610</v>
      </c>
    </row>
    <row r="746" spans="1:11" x14ac:dyDescent="0.4">
      <c r="A746" s="49"/>
      <c r="B746" s="54" t="s">
        <v>2041</v>
      </c>
      <c r="C746" s="37" t="s">
        <v>2042</v>
      </c>
      <c r="D746" s="55" t="s">
        <v>820</v>
      </c>
      <c r="E746" s="58">
        <v>20.99</v>
      </c>
      <c r="F746" s="57">
        <v>0.11</v>
      </c>
      <c r="G746" s="57"/>
      <c r="H746" s="49"/>
      <c r="I746" s="49" t="str">
        <f t="shared" si="68"/>
        <v/>
      </c>
      <c r="J746" s="37" t="str">
        <f t="shared" si="65"/>
        <v>바른손이앤에이</v>
      </c>
      <c r="K746" s="37" t="str">
        <f t="shared" si="66"/>
        <v>A035620</v>
      </c>
    </row>
    <row r="747" spans="1:11" x14ac:dyDescent="0.4">
      <c r="A747" s="49"/>
      <c r="B747" s="54" t="s">
        <v>234</v>
      </c>
      <c r="C747" s="37" t="s">
        <v>235</v>
      </c>
      <c r="D747" s="55" t="s">
        <v>805</v>
      </c>
      <c r="E747" s="58">
        <v>27574.33</v>
      </c>
      <c r="F747" s="57">
        <v>185.93</v>
      </c>
      <c r="G747" s="57">
        <v>17</v>
      </c>
      <c r="H747" s="49"/>
      <c r="I747" s="49">
        <f t="shared" si="68"/>
        <v>27574.337470000002</v>
      </c>
      <c r="J747" s="37" t="str">
        <f t="shared" si="65"/>
        <v>카카오</v>
      </c>
      <c r="K747" s="37" t="str">
        <f t="shared" si="66"/>
        <v>A035720</v>
      </c>
    </row>
    <row r="748" spans="1:11" x14ac:dyDescent="0.4">
      <c r="A748" s="49"/>
      <c r="B748" s="54" t="s">
        <v>277</v>
      </c>
      <c r="C748" s="37" t="s">
        <v>278</v>
      </c>
      <c r="D748" s="55" t="s">
        <v>820</v>
      </c>
      <c r="E748" s="58">
        <v>1592.06</v>
      </c>
      <c r="F748" s="57">
        <v>5.09</v>
      </c>
      <c r="G748" s="57">
        <v>14</v>
      </c>
      <c r="H748" s="49"/>
      <c r="I748" s="49">
        <f t="shared" si="68"/>
        <v>1592.0674799999999</v>
      </c>
      <c r="J748" s="37" t="str">
        <f t="shared" si="65"/>
        <v>CJ ENM</v>
      </c>
      <c r="K748" s="37" t="str">
        <f t="shared" si="66"/>
        <v>A035760</v>
      </c>
    </row>
    <row r="749" spans="1:11" x14ac:dyDescent="0.4">
      <c r="A749" s="49"/>
      <c r="B749" s="54" t="s">
        <v>2043</v>
      </c>
      <c r="C749" s="37" t="s">
        <v>2044</v>
      </c>
      <c r="D749" s="55" t="s">
        <v>820</v>
      </c>
      <c r="E749" s="58">
        <v>523.23</v>
      </c>
      <c r="F749" s="57">
        <v>2.34</v>
      </c>
      <c r="G749" s="57">
        <v>1</v>
      </c>
      <c r="H749" s="49"/>
      <c r="I749" s="49">
        <f t="shared" si="68"/>
        <v>523.23748999999998</v>
      </c>
      <c r="J749" s="37" t="str">
        <f t="shared" si="65"/>
        <v>이지홀딩스</v>
      </c>
      <c r="K749" s="37" t="str">
        <f t="shared" si="66"/>
        <v>A035810</v>
      </c>
    </row>
    <row r="750" spans="1:11" x14ac:dyDescent="0.4">
      <c r="A750" s="49"/>
      <c r="B750" s="54" t="s">
        <v>2045</v>
      </c>
      <c r="C750" s="37" t="s">
        <v>2046</v>
      </c>
      <c r="D750" s="55" t="s">
        <v>820</v>
      </c>
      <c r="E750" s="58">
        <v>372.98</v>
      </c>
      <c r="F750" s="57">
        <v>0</v>
      </c>
      <c r="G750" s="57"/>
      <c r="H750" s="49"/>
      <c r="I750" s="49" t="str">
        <f t="shared" si="68"/>
        <v/>
      </c>
      <c r="J750" s="37" t="str">
        <f t="shared" si="65"/>
        <v>서희건설</v>
      </c>
      <c r="K750" s="37" t="str">
        <f t="shared" si="66"/>
        <v>A035890</v>
      </c>
    </row>
    <row r="751" spans="1:11" x14ac:dyDescent="0.4">
      <c r="A751" s="49"/>
      <c r="B751" s="54" t="s">
        <v>215</v>
      </c>
      <c r="C751" s="37" t="s">
        <v>216</v>
      </c>
      <c r="D751" s="55" t="s">
        <v>820</v>
      </c>
      <c r="E751" s="56">
        <v>2480.17</v>
      </c>
      <c r="F751" s="55">
        <v>30.18</v>
      </c>
      <c r="G751" s="55">
        <v>9</v>
      </c>
      <c r="I751" s="49">
        <f t="shared" si="68"/>
        <v>2480.17751</v>
      </c>
      <c r="J751" s="37" t="str">
        <f t="shared" si="65"/>
        <v>JYP Ent.</v>
      </c>
      <c r="K751" s="37" t="str">
        <f t="shared" si="66"/>
        <v>A035900</v>
      </c>
    </row>
    <row r="752" spans="1:11" x14ac:dyDescent="0.4">
      <c r="A752" s="49"/>
      <c r="B752" s="54" t="s">
        <v>2047</v>
      </c>
      <c r="C752" s="37" t="s">
        <v>2048</v>
      </c>
      <c r="D752" s="55" t="s">
        <v>820</v>
      </c>
      <c r="E752" s="58">
        <v>74.06</v>
      </c>
      <c r="F752" s="57">
        <v>0.89</v>
      </c>
      <c r="G752" s="57"/>
      <c r="H752" s="49"/>
      <c r="I752" s="49" t="str">
        <f t="shared" si="68"/>
        <v/>
      </c>
      <c r="J752" s="37" t="str">
        <f t="shared" si="65"/>
        <v>예림당</v>
      </c>
      <c r="K752" s="37" t="str">
        <f t="shared" si="66"/>
        <v>A036000</v>
      </c>
    </row>
    <row r="753" spans="1:11" x14ac:dyDescent="0.4">
      <c r="A753" s="49"/>
      <c r="B753" s="54" t="s">
        <v>2049</v>
      </c>
      <c r="C753" s="37" t="s">
        <v>2050</v>
      </c>
      <c r="D753" s="55" t="s">
        <v>820</v>
      </c>
      <c r="E753" s="58">
        <v>114.98</v>
      </c>
      <c r="F753" s="57">
        <v>1.06</v>
      </c>
      <c r="G753" s="57"/>
      <c r="H753" s="49"/>
      <c r="I753" s="49" t="str">
        <f t="shared" si="68"/>
        <v/>
      </c>
      <c r="J753" s="37" t="str">
        <f t="shared" si="65"/>
        <v>아비코전자</v>
      </c>
      <c r="K753" s="37" t="str">
        <f t="shared" si="66"/>
        <v>A036010</v>
      </c>
    </row>
    <row r="754" spans="1:11" x14ac:dyDescent="0.4">
      <c r="A754" s="49"/>
      <c r="B754" s="54" t="s">
        <v>2051</v>
      </c>
      <c r="C754" s="37" t="s">
        <v>2052</v>
      </c>
      <c r="D754" s="55" t="s">
        <v>820</v>
      </c>
      <c r="E754" s="58">
        <v>239.21</v>
      </c>
      <c r="F754" s="57">
        <v>0.35</v>
      </c>
      <c r="G754" s="57"/>
      <c r="H754" s="49"/>
      <c r="I754" s="49" t="str">
        <f t="shared" si="68"/>
        <v/>
      </c>
      <c r="J754" s="37" t="str">
        <f t="shared" si="65"/>
        <v>케이티알파</v>
      </c>
      <c r="K754" s="37" t="str">
        <f t="shared" si="66"/>
        <v>A036030</v>
      </c>
    </row>
    <row r="755" spans="1:11" x14ac:dyDescent="0.4">
      <c r="B755" s="54" t="s">
        <v>2053</v>
      </c>
      <c r="C755" s="37" t="s">
        <v>2054</v>
      </c>
      <c r="D755" s="55" t="s">
        <v>820</v>
      </c>
      <c r="E755" s="56">
        <v>81.22</v>
      </c>
      <c r="F755" s="55">
        <v>0.35</v>
      </c>
      <c r="G755" s="55"/>
      <c r="J755" s="37" t="str">
        <f t="shared" si="65"/>
        <v>위지트</v>
      </c>
      <c r="K755" s="37" t="str">
        <f t="shared" si="66"/>
        <v>A036090</v>
      </c>
    </row>
    <row r="756" spans="1:11" x14ac:dyDescent="0.4">
      <c r="A756" s="49"/>
      <c r="B756" s="54" t="s">
        <v>2055</v>
      </c>
      <c r="C756" s="37" t="s">
        <v>2056</v>
      </c>
      <c r="D756" s="55" t="s">
        <v>820</v>
      </c>
      <c r="E756" s="58">
        <v>73.84</v>
      </c>
      <c r="F756" s="57">
        <v>0.36</v>
      </c>
      <c r="G756" s="57">
        <v>1</v>
      </c>
      <c r="H756" s="49"/>
      <c r="I756" s="49">
        <f>IF((G756&gt;$G$8),E756+ROW()/100000,"")</f>
        <v>73.847560000000001</v>
      </c>
      <c r="J756" s="37" t="str">
        <f t="shared" si="65"/>
        <v>서울평가정보</v>
      </c>
      <c r="K756" s="37" t="str">
        <f t="shared" si="66"/>
        <v>A036120</v>
      </c>
    </row>
    <row r="757" spans="1:11" x14ac:dyDescent="0.4">
      <c r="A757" s="49"/>
      <c r="B757" s="54" t="s">
        <v>2057</v>
      </c>
      <c r="C757" s="37" t="s">
        <v>2058</v>
      </c>
      <c r="D757" s="55" t="s">
        <v>820</v>
      </c>
      <c r="E757" s="56">
        <v>155.56</v>
      </c>
      <c r="F757" s="55">
        <v>1.78</v>
      </c>
      <c r="G757" s="55"/>
      <c r="I757" s="49" t="str">
        <f>IF((G757&gt;$G$8),E757+ROW()/100000,"")</f>
        <v/>
      </c>
      <c r="J757" s="37" t="str">
        <f t="shared" si="65"/>
        <v>에이치엠넥스</v>
      </c>
      <c r="K757" s="37" t="str">
        <f t="shared" si="66"/>
        <v>A036170</v>
      </c>
    </row>
    <row r="758" spans="1:11" x14ac:dyDescent="0.4">
      <c r="A758" s="49"/>
      <c r="B758" s="54" t="s">
        <v>2059</v>
      </c>
      <c r="C758" s="37" t="s">
        <v>2060</v>
      </c>
      <c r="D758" s="55" t="s">
        <v>5159</v>
      </c>
      <c r="E758" s="56">
        <v>53.93</v>
      </c>
      <c r="F758" s="55">
        <v>0</v>
      </c>
      <c r="G758" s="55"/>
      <c r="J758" s="37" t="str">
        <f t="shared" si="65"/>
        <v>지더블유바이텍</v>
      </c>
      <c r="K758" s="37" t="str">
        <f t="shared" si="66"/>
        <v>A036180</v>
      </c>
    </row>
    <row r="759" spans="1:11" x14ac:dyDescent="0.4">
      <c r="A759" s="49"/>
      <c r="B759" s="54" t="s">
        <v>2061</v>
      </c>
      <c r="C759" s="37" t="s">
        <v>2062</v>
      </c>
      <c r="D759" s="55" t="s">
        <v>820</v>
      </c>
      <c r="E759" s="58">
        <v>215.1</v>
      </c>
      <c r="F759" s="57">
        <v>0.37</v>
      </c>
      <c r="G759" s="57"/>
      <c r="H759" s="49"/>
      <c r="I759" s="49" t="str">
        <f>IF((G759&gt;$G$8),E759+ROW()/100000,"")</f>
        <v/>
      </c>
      <c r="J759" s="37" t="str">
        <f t="shared" si="65"/>
        <v>금화피에스시</v>
      </c>
      <c r="K759" s="37" t="str">
        <f t="shared" si="66"/>
        <v>A036190</v>
      </c>
    </row>
    <row r="760" spans="1:11" x14ac:dyDescent="0.4">
      <c r="B760" s="54" t="s">
        <v>2063</v>
      </c>
      <c r="C760" s="37" t="s">
        <v>2064</v>
      </c>
      <c r="D760" s="55" t="s">
        <v>820</v>
      </c>
      <c r="E760" s="56">
        <v>335.16</v>
      </c>
      <c r="F760" s="55">
        <v>7.05</v>
      </c>
      <c r="G760" s="55">
        <v>2</v>
      </c>
      <c r="J760" s="37" t="str">
        <f t="shared" si="65"/>
        <v>유니셈</v>
      </c>
      <c r="K760" s="37" t="str">
        <f t="shared" si="66"/>
        <v>A036200</v>
      </c>
    </row>
    <row r="761" spans="1:11" x14ac:dyDescent="0.4">
      <c r="A761" s="49"/>
      <c r="B761" s="54" t="s">
        <v>2065</v>
      </c>
      <c r="C761" s="37" t="s">
        <v>2066</v>
      </c>
      <c r="D761" s="55" t="s">
        <v>820</v>
      </c>
      <c r="E761" s="58">
        <v>154.24</v>
      </c>
      <c r="F761" s="57">
        <v>0.33</v>
      </c>
      <c r="G761" s="57"/>
      <c r="H761" s="49"/>
      <c r="I761" s="49" t="str">
        <f t="shared" ref="I761:I772" si="69">IF((G761&gt;$G$8),E761+ROW()/100000,"")</f>
        <v/>
      </c>
      <c r="J761" s="37" t="str">
        <f t="shared" si="65"/>
        <v>오상헬스케어</v>
      </c>
      <c r="K761" s="37" t="str">
        <f t="shared" si="66"/>
        <v>A036220</v>
      </c>
    </row>
    <row r="762" spans="1:11" x14ac:dyDescent="0.4">
      <c r="A762" s="49"/>
      <c r="B762" s="54" t="s">
        <v>2067</v>
      </c>
      <c r="C762" s="37" t="s">
        <v>2068</v>
      </c>
      <c r="D762" s="55" t="s">
        <v>805</v>
      </c>
      <c r="E762" s="58">
        <v>134.26</v>
      </c>
      <c r="F762" s="57">
        <v>0.71</v>
      </c>
      <c r="G762" s="57">
        <v>6</v>
      </c>
      <c r="H762" s="49"/>
      <c r="I762" s="49">
        <f t="shared" si="69"/>
        <v>134.26761999999999</v>
      </c>
      <c r="J762" s="37" t="str">
        <f t="shared" si="65"/>
        <v>콘텐트리중앙</v>
      </c>
      <c r="K762" s="37" t="str">
        <f t="shared" si="66"/>
        <v>A036420</v>
      </c>
    </row>
    <row r="763" spans="1:11" x14ac:dyDescent="0.4">
      <c r="A763" s="49"/>
      <c r="B763" s="54" t="s">
        <v>2069</v>
      </c>
      <c r="C763" s="37" t="s">
        <v>2070</v>
      </c>
      <c r="D763" s="55" t="s">
        <v>805</v>
      </c>
      <c r="E763" s="58">
        <v>3803.3</v>
      </c>
      <c r="F763" s="57">
        <v>12.4</v>
      </c>
      <c r="G763" s="57">
        <v>7</v>
      </c>
      <c r="H763" s="49"/>
      <c r="I763" s="49">
        <f t="shared" si="69"/>
        <v>3803.3076300000002</v>
      </c>
      <c r="J763" s="37" t="str">
        <f t="shared" si="65"/>
        <v>한국가스공사</v>
      </c>
      <c r="K763" s="37" t="str">
        <f t="shared" si="66"/>
        <v>A036460</v>
      </c>
    </row>
    <row r="764" spans="1:11" x14ac:dyDescent="0.4">
      <c r="A764" s="49"/>
      <c r="B764" s="54" t="s">
        <v>2071</v>
      </c>
      <c r="C764" s="37" t="s">
        <v>2072</v>
      </c>
      <c r="D764" s="55" t="s">
        <v>820</v>
      </c>
      <c r="E764" s="58">
        <v>26.75</v>
      </c>
      <c r="F764" s="57">
        <v>0.22</v>
      </c>
      <c r="G764" s="57"/>
      <c r="H764" s="49"/>
      <c r="I764" s="49" t="str">
        <f t="shared" si="69"/>
        <v/>
      </c>
      <c r="J764" s="37" t="str">
        <f t="shared" si="65"/>
        <v>대성미생물</v>
      </c>
      <c r="K764" s="37" t="str">
        <f t="shared" si="66"/>
        <v>A036480</v>
      </c>
    </row>
    <row r="765" spans="1:11" x14ac:dyDescent="0.4">
      <c r="A765" s="49"/>
      <c r="B765" s="54" t="s">
        <v>2073</v>
      </c>
      <c r="C765" s="37" t="s">
        <v>2074</v>
      </c>
      <c r="D765" s="55" t="s">
        <v>805</v>
      </c>
      <c r="E765" s="58">
        <v>1022.25</v>
      </c>
      <c r="F765" s="57">
        <v>1.88</v>
      </c>
      <c r="G765" s="57">
        <v>1</v>
      </c>
      <c r="H765" s="49"/>
      <c r="I765" s="49">
        <f t="shared" si="69"/>
        <v>1022.25765</v>
      </c>
      <c r="J765" s="37" t="str">
        <f t="shared" si="65"/>
        <v>SNT홀딩스</v>
      </c>
      <c r="K765" s="37" t="str">
        <f t="shared" si="66"/>
        <v>A036530</v>
      </c>
    </row>
    <row r="766" spans="1:11" x14ac:dyDescent="0.4">
      <c r="A766" s="49"/>
      <c r="B766" s="54" t="s">
        <v>2075</v>
      </c>
      <c r="C766" s="37" t="s">
        <v>2076</v>
      </c>
      <c r="D766" s="55" t="s">
        <v>820</v>
      </c>
      <c r="E766" s="58">
        <v>1299.24</v>
      </c>
      <c r="F766" s="57">
        <v>18.489999999999998</v>
      </c>
      <c r="G766" s="57">
        <v>1</v>
      </c>
      <c r="H766" s="49"/>
      <c r="I766" s="49">
        <f t="shared" si="69"/>
        <v>1299.24766</v>
      </c>
      <c r="J766" s="37" t="str">
        <f t="shared" si="65"/>
        <v>SFA반도체</v>
      </c>
      <c r="K766" s="37" t="str">
        <f t="shared" si="66"/>
        <v>A036540</v>
      </c>
    </row>
    <row r="767" spans="1:11" x14ac:dyDescent="0.4">
      <c r="A767" s="49"/>
      <c r="B767" s="54" t="s">
        <v>2077</v>
      </c>
      <c r="C767" s="37" t="s">
        <v>2078</v>
      </c>
      <c r="D767" s="55" t="s">
        <v>820</v>
      </c>
      <c r="E767" s="58">
        <v>223.18</v>
      </c>
      <c r="F767" s="57">
        <v>0.34</v>
      </c>
      <c r="G767" s="57"/>
      <c r="H767" s="49"/>
      <c r="I767" s="49" t="str">
        <f t="shared" si="69"/>
        <v/>
      </c>
      <c r="J767" s="37" t="str">
        <f t="shared" si="65"/>
        <v>KZ정밀</v>
      </c>
      <c r="K767" s="37" t="str">
        <f t="shared" si="66"/>
        <v>A036560</v>
      </c>
    </row>
    <row r="768" spans="1:11" x14ac:dyDescent="0.4">
      <c r="A768" s="49"/>
      <c r="B768" s="54" t="s">
        <v>313</v>
      </c>
      <c r="C768" s="37" t="s">
        <v>5177</v>
      </c>
      <c r="D768" s="55" t="s">
        <v>805</v>
      </c>
      <c r="E768" s="58">
        <v>4976.67</v>
      </c>
      <c r="F768" s="57">
        <v>32.700000000000003</v>
      </c>
      <c r="G768" s="57">
        <v>19</v>
      </c>
      <c r="H768" s="49"/>
      <c r="I768" s="49">
        <f t="shared" si="69"/>
        <v>4976.6776799999998</v>
      </c>
      <c r="J768" s="37" t="str">
        <f t="shared" si="65"/>
        <v>NC</v>
      </c>
      <c r="K768" s="37" t="str">
        <f t="shared" si="66"/>
        <v>A036570</v>
      </c>
    </row>
    <row r="769" spans="1:11" x14ac:dyDescent="0.4">
      <c r="A769" s="49"/>
      <c r="B769" s="54" t="s">
        <v>2079</v>
      </c>
      <c r="C769" s="37" t="s">
        <v>2080</v>
      </c>
      <c r="D769" s="55" t="s">
        <v>805</v>
      </c>
      <c r="E769" s="58">
        <v>137.91</v>
      </c>
      <c r="F769" s="57">
        <v>0.55000000000000004</v>
      </c>
      <c r="G769" s="57"/>
      <c r="H769" s="49"/>
      <c r="I769" s="49" t="str">
        <f t="shared" si="69"/>
        <v/>
      </c>
      <c r="J769" s="37" t="str">
        <f t="shared" si="65"/>
        <v>팜스코</v>
      </c>
      <c r="K769" s="37" t="str">
        <f t="shared" si="66"/>
        <v>A036580</v>
      </c>
    </row>
    <row r="770" spans="1:11" x14ac:dyDescent="0.4">
      <c r="A770" s="49"/>
      <c r="B770" s="54" t="s">
        <v>2081</v>
      </c>
      <c r="C770" s="37" t="s">
        <v>2082</v>
      </c>
      <c r="D770" s="55" t="s">
        <v>820</v>
      </c>
      <c r="E770" s="58">
        <v>544.83000000000004</v>
      </c>
      <c r="F770" s="57">
        <v>6.16</v>
      </c>
      <c r="G770" s="57">
        <v>2</v>
      </c>
      <c r="H770" s="49"/>
      <c r="I770" s="49">
        <f t="shared" si="69"/>
        <v>544.83770000000004</v>
      </c>
      <c r="J770" s="37" t="str">
        <f t="shared" si="65"/>
        <v>감성코퍼레이션</v>
      </c>
      <c r="K770" s="37" t="str">
        <f t="shared" si="66"/>
        <v>A036620</v>
      </c>
    </row>
    <row r="771" spans="1:11" x14ac:dyDescent="0.4">
      <c r="A771" s="49"/>
      <c r="B771" s="54" t="s">
        <v>2083</v>
      </c>
      <c r="C771" s="37" t="s">
        <v>2084</v>
      </c>
      <c r="D771" s="55" t="s">
        <v>820</v>
      </c>
      <c r="E771" s="58">
        <v>77.3</v>
      </c>
      <c r="F771" s="57">
        <v>1.81</v>
      </c>
      <c r="G771" s="57"/>
      <c r="H771" s="49"/>
      <c r="I771" s="49" t="str">
        <f t="shared" si="69"/>
        <v/>
      </c>
      <c r="J771" s="37" t="str">
        <f t="shared" si="65"/>
        <v>세종텔레콤</v>
      </c>
      <c r="K771" s="37" t="str">
        <f t="shared" si="66"/>
        <v>A036630</v>
      </c>
    </row>
    <row r="772" spans="1:11" x14ac:dyDescent="0.4">
      <c r="A772" s="49"/>
      <c r="B772" s="54" t="s">
        <v>2085</v>
      </c>
      <c r="C772" s="37" t="s">
        <v>2086</v>
      </c>
      <c r="D772" s="55" t="s">
        <v>820</v>
      </c>
      <c r="E772" s="56">
        <v>84.55</v>
      </c>
      <c r="F772" s="55">
        <v>0.4</v>
      </c>
      <c r="G772" s="55">
        <v>1</v>
      </c>
      <c r="I772" s="49">
        <f t="shared" si="69"/>
        <v>84.557720000000003</v>
      </c>
      <c r="J772" s="37" t="str">
        <f t="shared" si="65"/>
        <v>HRS</v>
      </c>
      <c r="K772" s="37" t="str">
        <f t="shared" si="66"/>
        <v>A036640</v>
      </c>
    </row>
    <row r="773" spans="1:11" x14ac:dyDescent="0.4">
      <c r="B773" s="54" t="s">
        <v>2087</v>
      </c>
      <c r="C773" s="37" t="s">
        <v>2088</v>
      </c>
      <c r="D773" s="55" t="s">
        <v>820</v>
      </c>
      <c r="E773" s="56">
        <v>71.56</v>
      </c>
      <c r="F773" s="55">
        <v>0.24</v>
      </c>
      <c r="G773" s="55"/>
      <c r="J773" s="37" t="str">
        <f t="shared" si="65"/>
        <v>삼양케이씨아이</v>
      </c>
      <c r="K773" s="37" t="str">
        <f t="shared" si="66"/>
        <v>A036670</v>
      </c>
    </row>
    <row r="774" spans="1:11" x14ac:dyDescent="0.4">
      <c r="A774" s="49"/>
      <c r="B774" s="54" t="s">
        <v>2089</v>
      </c>
      <c r="C774" s="37" t="s">
        <v>2090</v>
      </c>
      <c r="D774" s="55" t="s">
        <v>820</v>
      </c>
      <c r="E774" s="57">
        <v>125.69</v>
      </c>
      <c r="F774" s="55">
        <v>0</v>
      </c>
      <c r="G774" s="55"/>
      <c r="I774" s="49" t="str">
        <f t="shared" ref="I774:I807" si="70">IF((G774&gt;$G$8),E774+ROW()/100000,"")</f>
        <v/>
      </c>
      <c r="J774" s="37" t="str">
        <f t="shared" si="65"/>
        <v>코맥스</v>
      </c>
      <c r="K774" s="37" t="str">
        <f t="shared" si="66"/>
        <v>A036690</v>
      </c>
    </row>
    <row r="775" spans="1:11" x14ac:dyDescent="0.4">
      <c r="A775" s="49"/>
      <c r="B775" s="54" t="s">
        <v>2091</v>
      </c>
      <c r="C775" s="37" t="s">
        <v>2092</v>
      </c>
      <c r="D775" s="55" t="s">
        <v>820</v>
      </c>
      <c r="E775" s="58">
        <v>138.13999999999999</v>
      </c>
      <c r="F775" s="57">
        <v>2.79</v>
      </c>
      <c r="G775" s="57"/>
      <c r="H775" s="49"/>
      <c r="I775" s="49" t="str">
        <f t="shared" si="70"/>
        <v/>
      </c>
      <c r="J775" s="37" t="str">
        <f t="shared" si="65"/>
        <v>심텍홀딩스</v>
      </c>
      <c r="K775" s="37" t="str">
        <f t="shared" si="66"/>
        <v>A036710</v>
      </c>
    </row>
    <row r="776" spans="1:11" x14ac:dyDescent="0.4">
      <c r="A776" s="49"/>
      <c r="B776" s="54" t="s">
        <v>2093</v>
      </c>
      <c r="C776" s="37" t="s">
        <v>2094</v>
      </c>
      <c r="D776" s="55" t="s">
        <v>820</v>
      </c>
      <c r="E776" s="58">
        <v>265</v>
      </c>
      <c r="F776" s="57">
        <v>0.31</v>
      </c>
      <c r="G776" s="57">
        <v>1</v>
      </c>
      <c r="H776" s="49"/>
      <c r="I776" s="49">
        <f t="shared" si="70"/>
        <v>265.00776000000002</v>
      </c>
      <c r="J776" s="37" t="str">
        <f t="shared" si="65"/>
        <v>나이스정보통신</v>
      </c>
      <c r="K776" s="37" t="str">
        <f t="shared" si="66"/>
        <v>A036800</v>
      </c>
    </row>
    <row r="777" spans="1:11" x14ac:dyDescent="0.4">
      <c r="A777" s="49"/>
      <c r="B777" s="54" t="s">
        <v>491</v>
      </c>
      <c r="C777" s="37" t="s">
        <v>492</v>
      </c>
      <c r="D777" s="55" t="s">
        <v>820</v>
      </c>
      <c r="E777" s="58">
        <v>967.18</v>
      </c>
      <c r="F777" s="57">
        <v>13.49</v>
      </c>
      <c r="G777" s="57"/>
      <c r="H777" s="49"/>
      <c r="I777" s="49" t="str">
        <f t="shared" si="70"/>
        <v/>
      </c>
      <c r="J777" s="37" t="str">
        <f t="shared" si="65"/>
        <v>에프에스티</v>
      </c>
      <c r="K777" s="37" t="str">
        <f t="shared" si="66"/>
        <v>A036810</v>
      </c>
    </row>
    <row r="778" spans="1:11" x14ac:dyDescent="0.4">
      <c r="A778" s="49"/>
      <c r="B778" s="54" t="s">
        <v>701</v>
      </c>
      <c r="C778" s="37" t="s">
        <v>702</v>
      </c>
      <c r="D778" s="55" t="s">
        <v>820</v>
      </c>
      <c r="E778" s="56">
        <v>1167.7</v>
      </c>
      <c r="F778" s="55">
        <v>3.31</v>
      </c>
      <c r="G778" s="55"/>
      <c r="I778" s="49" t="str">
        <f t="shared" si="70"/>
        <v/>
      </c>
      <c r="J778" s="37" t="str">
        <f t="shared" si="65"/>
        <v>솔브레인홀딩스</v>
      </c>
      <c r="K778" s="37" t="str">
        <f t="shared" si="66"/>
        <v>A036830</v>
      </c>
    </row>
    <row r="779" spans="1:11" x14ac:dyDescent="0.4">
      <c r="A779" s="49"/>
      <c r="B779" s="54" t="s">
        <v>2095</v>
      </c>
      <c r="C779" s="37" t="s">
        <v>2096</v>
      </c>
      <c r="D779" s="55" t="s">
        <v>820</v>
      </c>
      <c r="E779" s="58">
        <v>336</v>
      </c>
      <c r="F779" s="57">
        <v>2.4900000000000002</v>
      </c>
      <c r="G779" s="57"/>
      <c r="H779" s="49"/>
      <c r="I779" s="49" t="str">
        <f t="shared" si="70"/>
        <v/>
      </c>
      <c r="J779" s="37" t="str">
        <f t="shared" si="65"/>
        <v>진성티이씨</v>
      </c>
      <c r="K779" s="37" t="str">
        <f t="shared" si="66"/>
        <v>A036890</v>
      </c>
    </row>
    <row r="780" spans="1:11" x14ac:dyDescent="0.4">
      <c r="A780" s="49"/>
      <c r="B780" s="54" t="s">
        <v>493</v>
      </c>
      <c r="C780" s="37" t="s">
        <v>494</v>
      </c>
      <c r="D780" s="55" t="s">
        <v>820</v>
      </c>
      <c r="E780" s="56">
        <v>2651.75</v>
      </c>
      <c r="F780" s="55">
        <v>25.32</v>
      </c>
      <c r="G780" s="55">
        <v>5</v>
      </c>
      <c r="I780" s="49">
        <f t="shared" si="70"/>
        <v>2651.7577999999999</v>
      </c>
      <c r="J780" s="37" t="str">
        <f t="shared" si="65"/>
        <v>주성엔지니어링</v>
      </c>
      <c r="K780" s="37" t="str">
        <f t="shared" si="66"/>
        <v>A036930</v>
      </c>
    </row>
    <row r="781" spans="1:11" x14ac:dyDescent="0.4">
      <c r="A781" s="49"/>
      <c r="B781" s="54" t="s">
        <v>2097</v>
      </c>
      <c r="C781" s="37" t="s">
        <v>2098</v>
      </c>
      <c r="D781" s="55" t="s">
        <v>820</v>
      </c>
      <c r="E781" s="56">
        <v>77.11</v>
      </c>
      <c r="F781" s="55">
        <v>0.72</v>
      </c>
      <c r="G781" s="55"/>
      <c r="I781" s="49" t="str">
        <f t="shared" si="70"/>
        <v/>
      </c>
      <c r="J781" s="37" t="str">
        <f t="shared" si="65"/>
        <v>파워넷</v>
      </c>
      <c r="K781" s="37" t="str">
        <f t="shared" si="66"/>
        <v>A037030</v>
      </c>
    </row>
    <row r="782" spans="1:11" x14ac:dyDescent="0.4">
      <c r="A782" s="49"/>
      <c r="B782" s="54" t="s">
        <v>2099</v>
      </c>
      <c r="C782" s="37" t="s">
        <v>2100</v>
      </c>
      <c r="D782" s="55" t="s">
        <v>820</v>
      </c>
      <c r="E782" s="58">
        <v>164.2</v>
      </c>
      <c r="F782" s="57">
        <v>0.43</v>
      </c>
      <c r="G782" s="57"/>
      <c r="H782" s="49"/>
      <c r="I782" s="49" t="str">
        <f t="shared" si="70"/>
        <v/>
      </c>
      <c r="J782" s="37" t="str">
        <f t="shared" ref="J782:J845" si="71">C782</f>
        <v>파세코</v>
      </c>
      <c r="K782" s="37" t="str">
        <f t="shared" ref="K782:K845" si="72">B782</f>
        <v>A037070</v>
      </c>
    </row>
    <row r="783" spans="1:11" x14ac:dyDescent="0.4">
      <c r="A783" s="49"/>
      <c r="B783" s="54" t="s">
        <v>2101</v>
      </c>
      <c r="C783" s="37" t="s">
        <v>2102</v>
      </c>
      <c r="D783" s="55" t="s">
        <v>820</v>
      </c>
      <c r="E783" s="58">
        <v>59.57</v>
      </c>
      <c r="F783" s="57">
        <v>0.12</v>
      </c>
      <c r="G783" s="57"/>
      <c r="H783" s="49"/>
      <c r="I783" s="49" t="str">
        <f t="shared" si="70"/>
        <v/>
      </c>
      <c r="J783" s="37" t="str">
        <f t="shared" si="71"/>
        <v>한국팩키지</v>
      </c>
      <c r="K783" s="37" t="str">
        <f t="shared" si="72"/>
        <v>A037230</v>
      </c>
    </row>
    <row r="784" spans="1:11" x14ac:dyDescent="0.4">
      <c r="A784" s="49"/>
      <c r="B784" s="54" t="s">
        <v>2103</v>
      </c>
      <c r="C784" s="37" t="s">
        <v>2104</v>
      </c>
      <c r="D784" s="55" t="s">
        <v>805</v>
      </c>
      <c r="E784" s="58">
        <v>443.73</v>
      </c>
      <c r="F784" s="57">
        <v>10.88</v>
      </c>
      <c r="G784" s="57"/>
      <c r="H784" s="49"/>
      <c r="I784" s="49" t="str">
        <f t="shared" si="70"/>
        <v/>
      </c>
      <c r="J784" s="37" t="str">
        <f t="shared" si="71"/>
        <v>YG PLUS</v>
      </c>
      <c r="K784" s="37" t="str">
        <f t="shared" si="72"/>
        <v>A037270</v>
      </c>
    </row>
    <row r="785" spans="1:11" x14ac:dyDescent="0.4">
      <c r="A785" s="49"/>
      <c r="B785" s="54" t="s">
        <v>2105</v>
      </c>
      <c r="C785" s="37" t="s">
        <v>2106</v>
      </c>
      <c r="D785" s="55" t="s">
        <v>820</v>
      </c>
      <c r="E785" s="58">
        <v>66</v>
      </c>
      <c r="F785" s="57">
        <v>0.09</v>
      </c>
      <c r="G785" s="57"/>
      <c r="H785" s="49"/>
      <c r="I785" s="49" t="str">
        <f t="shared" si="70"/>
        <v/>
      </c>
      <c r="J785" s="37" t="str">
        <f t="shared" si="71"/>
        <v>인지디스플레</v>
      </c>
      <c r="K785" s="37" t="str">
        <f t="shared" si="72"/>
        <v>A037330</v>
      </c>
    </row>
    <row r="786" spans="1:11" x14ac:dyDescent="0.4">
      <c r="A786" s="49"/>
      <c r="B786" s="54" t="s">
        <v>2107</v>
      </c>
      <c r="C786" s="37" t="s">
        <v>2108</v>
      </c>
      <c r="D786" s="55" t="s">
        <v>820</v>
      </c>
      <c r="E786" s="58">
        <v>165.64</v>
      </c>
      <c r="F786" s="57">
        <v>1.25</v>
      </c>
      <c r="G786" s="57"/>
      <c r="H786" s="49"/>
      <c r="I786" s="49" t="str">
        <f t="shared" si="70"/>
        <v/>
      </c>
      <c r="J786" s="37" t="str">
        <f t="shared" si="71"/>
        <v>성도이엔지</v>
      </c>
      <c r="K786" s="37" t="str">
        <f t="shared" si="72"/>
        <v>A037350</v>
      </c>
    </row>
    <row r="787" spans="1:11" x14ac:dyDescent="0.4">
      <c r="A787" s="49"/>
      <c r="B787" s="54" t="s">
        <v>2109</v>
      </c>
      <c r="C787" s="37" t="s">
        <v>2110</v>
      </c>
      <c r="D787" s="55" t="s">
        <v>820</v>
      </c>
      <c r="E787" s="58">
        <v>49.77</v>
      </c>
      <c r="F787" s="57">
        <v>0.71</v>
      </c>
      <c r="G787" s="57"/>
      <c r="H787" s="49"/>
      <c r="I787" s="49" t="str">
        <f t="shared" si="70"/>
        <v/>
      </c>
      <c r="J787" s="37" t="str">
        <f t="shared" si="71"/>
        <v>EG</v>
      </c>
      <c r="K787" s="37" t="str">
        <f t="shared" si="72"/>
        <v>A037370</v>
      </c>
    </row>
    <row r="788" spans="1:11" x14ac:dyDescent="0.4">
      <c r="A788" s="49"/>
      <c r="B788" s="54" t="s">
        <v>2111</v>
      </c>
      <c r="C788" s="37" t="s">
        <v>2112</v>
      </c>
      <c r="D788" s="55" t="s">
        <v>820</v>
      </c>
      <c r="E788" s="56">
        <v>25.91</v>
      </c>
      <c r="F788" s="55">
        <v>0.11</v>
      </c>
      <c r="G788" s="55"/>
      <c r="I788" s="49" t="str">
        <f t="shared" si="70"/>
        <v/>
      </c>
      <c r="J788" s="37" t="str">
        <f t="shared" si="71"/>
        <v>우리엔터프라이즈</v>
      </c>
      <c r="K788" s="37" t="str">
        <f t="shared" si="72"/>
        <v>A037400</v>
      </c>
    </row>
    <row r="789" spans="1:11" x14ac:dyDescent="0.4">
      <c r="A789" s="49"/>
      <c r="B789" s="54" t="s">
        <v>2113</v>
      </c>
      <c r="C789" s="37" t="s">
        <v>2114</v>
      </c>
      <c r="D789" s="55" t="s">
        <v>820</v>
      </c>
      <c r="E789" s="56">
        <v>59.38</v>
      </c>
      <c r="F789" s="55">
        <v>0.35</v>
      </c>
      <c r="G789" s="55"/>
      <c r="I789" s="49" t="str">
        <f t="shared" si="70"/>
        <v/>
      </c>
      <c r="J789" s="37" t="str">
        <f t="shared" si="71"/>
        <v>희림</v>
      </c>
      <c r="K789" s="37" t="str">
        <f t="shared" si="72"/>
        <v>A037440</v>
      </c>
    </row>
    <row r="790" spans="1:11" x14ac:dyDescent="0.4">
      <c r="A790" s="49"/>
      <c r="B790" s="54" t="s">
        <v>2115</v>
      </c>
      <c r="C790" s="37" t="s">
        <v>2116</v>
      </c>
      <c r="D790" s="55" t="s">
        <v>820</v>
      </c>
      <c r="E790" s="56">
        <v>383.49</v>
      </c>
      <c r="F790" s="55">
        <v>1.8</v>
      </c>
      <c r="G790" s="55"/>
      <c r="I790" s="49" t="str">
        <f t="shared" si="70"/>
        <v/>
      </c>
      <c r="J790" s="37" t="str">
        <f t="shared" si="71"/>
        <v>삼지전자</v>
      </c>
      <c r="K790" s="37" t="str">
        <f t="shared" si="72"/>
        <v>A037460</v>
      </c>
    </row>
    <row r="791" spans="1:11" x14ac:dyDescent="0.4">
      <c r="A791" s="49"/>
      <c r="B791" s="54" t="s">
        <v>2117</v>
      </c>
      <c r="C791" s="37" t="s">
        <v>2118</v>
      </c>
      <c r="D791" s="55" t="s">
        <v>805</v>
      </c>
      <c r="E791" s="58">
        <v>188.58</v>
      </c>
      <c r="F791" s="57">
        <v>0.35</v>
      </c>
      <c r="G791" s="57">
        <v>3</v>
      </c>
      <c r="H791" s="49"/>
      <c r="I791" s="49">
        <f t="shared" si="70"/>
        <v>188.58791000000002</v>
      </c>
      <c r="J791" s="37" t="str">
        <f t="shared" si="71"/>
        <v>LG헬로비전</v>
      </c>
      <c r="K791" s="37" t="str">
        <f t="shared" si="72"/>
        <v>A037560</v>
      </c>
    </row>
    <row r="792" spans="1:11" x14ac:dyDescent="0.4">
      <c r="A792" s="49"/>
      <c r="B792" s="54" t="s">
        <v>2119</v>
      </c>
      <c r="C792" s="37" t="s">
        <v>2120</v>
      </c>
      <c r="D792" s="55" t="s">
        <v>805</v>
      </c>
      <c r="E792" s="58">
        <v>310.73</v>
      </c>
      <c r="F792" s="57">
        <v>0.54</v>
      </c>
      <c r="G792" s="57"/>
      <c r="H792" s="49"/>
      <c r="I792" s="49" t="str">
        <f t="shared" si="70"/>
        <v/>
      </c>
      <c r="J792" s="37" t="str">
        <f t="shared" si="71"/>
        <v>광주신세계</v>
      </c>
      <c r="K792" s="37" t="str">
        <f t="shared" si="72"/>
        <v>A037710</v>
      </c>
    </row>
    <row r="793" spans="1:11" x14ac:dyDescent="0.4">
      <c r="A793" s="49"/>
      <c r="B793" s="54" t="s">
        <v>2121</v>
      </c>
      <c r="C793" s="37" t="s">
        <v>2122</v>
      </c>
      <c r="D793" s="55" t="s">
        <v>820</v>
      </c>
      <c r="E793" s="56">
        <v>61.91</v>
      </c>
      <c r="F793" s="55">
        <v>0.04</v>
      </c>
      <c r="G793" s="55"/>
      <c r="I793" s="49" t="str">
        <f t="shared" si="70"/>
        <v/>
      </c>
      <c r="J793" s="37" t="str">
        <f t="shared" si="71"/>
        <v>쎄니트</v>
      </c>
      <c r="K793" s="37" t="str">
        <f t="shared" si="72"/>
        <v>A037760</v>
      </c>
    </row>
    <row r="794" spans="1:11" x14ac:dyDescent="0.4">
      <c r="A794" s="49"/>
      <c r="B794" s="54" t="s">
        <v>2123</v>
      </c>
      <c r="C794" s="37" t="s">
        <v>2124</v>
      </c>
      <c r="D794" s="55" t="s">
        <v>820</v>
      </c>
      <c r="E794" s="58">
        <v>64.430000000000007</v>
      </c>
      <c r="F794" s="57">
        <v>0.53</v>
      </c>
      <c r="G794" s="57"/>
      <c r="H794" s="49"/>
      <c r="I794" s="49" t="str">
        <f t="shared" si="70"/>
        <v/>
      </c>
      <c r="J794" s="37" t="str">
        <f t="shared" si="71"/>
        <v>엘컴텍</v>
      </c>
      <c r="K794" s="37" t="str">
        <f t="shared" si="72"/>
        <v>A037950</v>
      </c>
    </row>
    <row r="795" spans="1:11" x14ac:dyDescent="0.4">
      <c r="A795" s="49"/>
      <c r="B795" s="54" t="s">
        <v>2125</v>
      </c>
      <c r="C795" s="37" t="s">
        <v>2126</v>
      </c>
      <c r="D795" s="55" t="s">
        <v>820</v>
      </c>
      <c r="E795" s="58">
        <v>55.62</v>
      </c>
      <c r="F795" s="57">
        <v>0.39</v>
      </c>
      <c r="G795" s="57"/>
      <c r="H795" s="49"/>
      <c r="I795" s="49" t="str">
        <f t="shared" si="70"/>
        <v/>
      </c>
      <c r="J795" s="37" t="str">
        <f t="shared" si="71"/>
        <v>제일테크노스</v>
      </c>
      <c r="K795" s="37" t="str">
        <f t="shared" si="72"/>
        <v>A038010</v>
      </c>
    </row>
    <row r="796" spans="1:11" x14ac:dyDescent="0.4">
      <c r="A796" s="49"/>
      <c r="B796" s="54" t="s">
        <v>2127</v>
      </c>
      <c r="C796" s="37" t="s">
        <v>2128</v>
      </c>
      <c r="D796" s="55" t="s">
        <v>820</v>
      </c>
      <c r="E796" s="58">
        <v>34.44</v>
      </c>
      <c r="F796" s="57">
        <v>0.19</v>
      </c>
      <c r="G796" s="57"/>
      <c r="H796" s="49"/>
      <c r="I796" s="49" t="str">
        <f t="shared" si="70"/>
        <v/>
      </c>
      <c r="J796" s="37" t="str">
        <f t="shared" si="71"/>
        <v>루멘스</v>
      </c>
      <c r="K796" s="37" t="str">
        <f t="shared" si="72"/>
        <v>A038060</v>
      </c>
    </row>
    <row r="797" spans="1:11" x14ac:dyDescent="0.4">
      <c r="A797" s="49"/>
      <c r="B797" s="54" t="s">
        <v>2129</v>
      </c>
      <c r="C797" s="37" t="s">
        <v>2130</v>
      </c>
      <c r="D797" s="55" t="s">
        <v>820</v>
      </c>
      <c r="E797" s="58">
        <v>59.88</v>
      </c>
      <c r="F797" s="57">
        <v>0.57999999999999996</v>
      </c>
      <c r="G797" s="57"/>
      <c r="H797" s="49"/>
      <c r="I797" s="49" t="str">
        <f t="shared" si="70"/>
        <v/>
      </c>
      <c r="J797" s="37" t="str">
        <f t="shared" si="71"/>
        <v>서린바이오</v>
      </c>
      <c r="K797" s="37" t="str">
        <f t="shared" si="72"/>
        <v>A038070</v>
      </c>
    </row>
    <row r="798" spans="1:11" x14ac:dyDescent="0.4">
      <c r="A798" s="49"/>
      <c r="B798" s="54" t="s">
        <v>2131</v>
      </c>
      <c r="C798" s="37" t="s">
        <v>2132</v>
      </c>
      <c r="D798" s="55" t="s">
        <v>820</v>
      </c>
      <c r="E798" s="57">
        <v>139.15</v>
      </c>
      <c r="F798" s="55">
        <v>2.0099999999999998</v>
      </c>
      <c r="G798" s="55"/>
      <c r="I798" s="49" t="str">
        <f t="shared" si="70"/>
        <v/>
      </c>
      <c r="J798" s="37" t="str">
        <f t="shared" si="71"/>
        <v>에코플라스틱</v>
      </c>
      <c r="K798" s="37" t="str">
        <f t="shared" si="72"/>
        <v>A038110</v>
      </c>
    </row>
    <row r="799" spans="1:11" x14ac:dyDescent="0.4">
      <c r="A799" s="49"/>
      <c r="B799" s="54" t="s">
        <v>2133</v>
      </c>
      <c r="C799" s="37" t="s">
        <v>2134</v>
      </c>
      <c r="D799" s="55" t="s">
        <v>820</v>
      </c>
      <c r="E799" s="58">
        <v>191.89</v>
      </c>
      <c r="F799" s="57">
        <v>0.79</v>
      </c>
      <c r="G799" s="57">
        <v>1</v>
      </c>
      <c r="H799" s="49"/>
      <c r="I799" s="49">
        <f t="shared" si="70"/>
        <v>191.89798999999999</v>
      </c>
      <c r="J799" s="37" t="str">
        <f t="shared" si="71"/>
        <v>마크로젠</v>
      </c>
      <c r="K799" s="37" t="str">
        <f t="shared" si="72"/>
        <v>A038290</v>
      </c>
    </row>
    <row r="800" spans="1:11" x14ac:dyDescent="0.4">
      <c r="A800" s="49"/>
      <c r="B800" s="54" t="s">
        <v>2135</v>
      </c>
      <c r="C800" s="37" t="s">
        <v>2136</v>
      </c>
      <c r="D800" s="55" t="s">
        <v>820</v>
      </c>
      <c r="E800" s="58">
        <v>198.31</v>
      </c>
      <c r="F800" s="57">
        <v>0.62</v>
      </c>
      <c r="G800" s="57"/>
      <c r="H800" s="49"/>
      <c r="I800" s="49" t="str">
        <f t="shared" si="70"/>
        <v/>
      </c>
      <c r="J800" s="37" t="str">
        <f t="shared" si="71"/>
        <v>레드캡투어</v>
      </c>
      <c r="K800" s="37" t="str">
        <f t="shared" si="72"/>
        <v>A038390</v>
      </c>
    </row>
    <row r="801" spans="1:11" x14ac:dyDescent="0.4">
      <c r="A801" s="49"/>
      <c r="B801" s="54" t="s">
        <v>2137</v>
      </c>
      <c r="C801" s="37" t="s">
        <v>2138</v>
      </c>
      <c r="D801" s="55" t="s">
        <v>820</v>
      </c>
      <c r="E801" s="56">
        <v>132.65</v>
      </c>
      <c r="F801" s="55">
        <v>7.23</v>
      </c>
      <c r="G801" s="55"/>
      <c r="I801" s="49" t="str">
        <f t="shared" si="70"/>
        <v/>
      </c>
      <c r="J801" s="37" t="str">
        <f t="shared" si="71"/>
        <v>바이오스마트</v>
      </c>
      <c r="K801" s="37" t="str">
        <f t="shared" si="72"/>
        <v>A038460</v>
      </c>
    </row>
    <row r="802" spans="1:11" x14ac:dyDescent="0.4">
      <c r="A802" s="49"/>
      <c r="B802" s="54" t="s">
        <v>2139</v>
      </c>
      <c r="C802" s="37" t="s">
        <v>2140</v>
      </c>
      <c r="D802" s="55" t="s">
        <v>820</v>
      </c>
      <c r="E802" s="58">
        <v>1872.35</v>
      </c>
      <c r="F802" s="57">
        <v>63.55</v>
      </c>
      <c r="G802" s="57"/>
      <c r="H802" s="49"/>
      <c r="I802" s="49" t="str">
        <f t="shared" si="70"/>
        <v/>
      </c>
      <c r="J802" s="37" t="str">
        <f t="shared" si="71"/>
        <v>삼표시멘트</v>
      </c>
      <c r="K802" s="37" t="str">
        <f t="shared" si="72"/>
        <v>A038500</v>
      </c>
    </row>
    <row r="803" spans="1:11" x14ac:dyDescent="0.4">
      <c r="A803" s="49"/>
      <c r="B803" s="54" t="s">
        <v>2141</v>
      </c>
      <c r="C803" s="37" t="s">
        <v>5189</v>
      </c>
      <c r="D803" s="55" t="s">
        <v>820</v>
      </c>
      <c r="E803" s="58">
        <v>43.62</v>
      </c>
      <c r="F803" s="57">
        <v>2.5099999999999998</v>
      </c>
      <c r="G803" s="57"/>
      <c r="H803" s="49"/>
      <c r="I803" s="49" t="str">
        <f t="shared" si="70"/>
        <v/>
      </c>
      <c r="J803" s="37" t="str">
        <f t="shared" si="71"/>
        <v>케이바이오랩스</v>
      </c>
      <c r="K803" s="37" t="str">
        <f t="shared" si="72"/>
        <v>A038530</v>
      </c>
    </row>
    <row r="804" spans="1:11" x14ac:dyDescent="0.4">
      <c r="A804" s="49"/>
      <c r="B804" s="54" t="s">
        <v>2142</v>
      </c>
      <c r="C804" s="37" t="s">
        <v>2143</v>
      </c>
      <c r="D804" s="55" t="s">
        <v>820</v>
      </c>
      <c r="E804" s="58">
        <v>117.85</v>
      </c>
      <c r="F804" s="57">
        <v>0.25</v>
      </c>
      <c r="G804" s="57"/>
      <c r="H804" s="49"/>
      <c r="I804" s="49" t="str">
        <f t="shared" si="70"/>
        <v/>
      </c>
      <c r="J804" s="37" t="str">
        <f t="shared" si="71"/>
        <v>상상인</v>
      </c>
      <c r="K804" s="37" t="str">
        <f t="shared" si="72"/>
        <v>A038540</v>
      </c>
    </row>
    <row r="805" spans="1:11" x14ac:dyDescent="0.4">
      <c r="A805" s="49"/>
      <c r="B805" s="54" t="s">
        <v>2144</v>
      </c>
      <c r="C805" s="37" t="s">
        <v>2145</v>
      </c>
      <c r="D805" s="55" t="s">
        <v>820</v>
      </c>
      <c r="E805" s="58">
        <v>44.6</v>
      </c>
      <c r="F805" s="57">
        <v>0.18</v>
      </c>
      <c r="G805" s="57"/>
      <c r="H805" s="49"/>
      <c r="I805" s="49" t="str">
        <f t="shared" si="70"/>
        <v/>
      </c>
      <c r="J805" s="37" t="str">
        <f t="shared" si="71"/>
        <v>위즈코프</v>
      </c>
      <c r="K805" s="37" t="str">
        <f t="shared" si="72"/>
        <v>A038620</v>
      </c>
    </row>
    <row r="806" spans="1:11" x14ac:dyDescent="0.4">
      <c r="A806" s="49"/>
      <c r="B806" s="54" t="s">
        <v>2146</v>
      </c>
      <c r="C806" s="37" t="s">
        <v>2147</v>
      </c>
      <c r="D806" s="55" t="s">
        <v>820</v>
      </c>
      <c r="E806" s="58">
        <v>64.02</v>
      </c>
      <c r="F806" s="57">
        <v>0.23</v>
      </c>
      <c r="G806" s="57"/>
      <c r="H806" s="49"/>
      <c r="I806" s="49" t="str">
        <f t="shared" si="70"/>
        <v/>
      </c>
      <c r="J806" s="37" t="str">
        <f t="shared" si="71"/>
        <v>에스넷</v>
      </c>
      <c r="K806" s="37" t="str">
        <f t="shared" si="72"/>
        <v>A038680</v>
      </c>
    </row>
    <row r="807" spans="1:11" x14ac:dyDescent="0.4">
      <c r="A807" s="49"/>
      <c r="B807" s="54" t="s">
        <v>2148</v>
      </c>
      <c r="C807" s="37" t="s">
        <v>5183</v>
      </c>
      <c r="D807" s="55" t="s">
        <v>820</v>
      </c>
      <c r="E807" s="56">
        <v>40.78</v>
      </c>
      <c r="F807" s="55">
        <v>0.9</v>
      </c>
      <c r="G807" s="55"/>
      <c r="I807" s="49" t="str">
        <f t="shared" si="70"/>
        <v/>
      </c>
      <c r="J807" s="37" t="str">
        <f t="shared" si="71"/>
        <v>에코심플렉스</v>
      </c>
      <c r="K807" s="37" t="str">
        <f t="shared" si="72"/>
        <v>A038870</v>
      </c>
    </row>
    <row r="808" spans="1:11" x14ac:dyDescent="0.4">
      <c r="A808" s="49"/>
      <c r="B808" s="54" t="s">
        <v>2149</v>
      </c>
      <c r="C808" s="37" t="s">
        <v>2150</v>
      </c>
      <c r="D808" s="55" t="s">
        <v>820</v>
      </c>
      <c r="E808" s="56">
        <v>53.35</v>
      </c>
      <c r="F808" s="55">
        <v>0.35</v>
      </c>
      <c r="G808" s="55"/>
      <c r="J808" s="37" t="str">
        <f t="shared" si="71"/>
        <v>아이에이</v>
      </c>
      <c r="K808" s="37" t="str">
        <f t="shared" si="72"/>
        <v>A038880</v>
      </c>
    </row>
    <row r="809" spans="1:11" x14ac:dyDescent="0.4">
      <c r="A809" s="49"/>
      <c r="B809" s="54" t="s">
        <v>2151</v>
      </c>
      <c r="C809" s="37" t="s">
        <v>2152</v>
      </c>
      <c r="D809" s="55" t="s">
        <v>820</v>
      </c>
      <c r="E809" s="58">
        <v>30.68</v>
      </c>
      <c r="F809" s="57">
        <v>0.04</v>
      </c>
      <c r="G809" s="57"/>
      <c r="H809" s="49"/>
      <c r="I809" s="49" t="str">
        <f>IF((G809&gt;$G$8),E809+ROW()/100000,"")</f>
        <v/>
      </c>
      <c r="J809" s="37" t="str">
        <f t="shared" si="71"/>
        <v>파인디지털</v>
      </c>
      <c r="K809" s="37" t="str">
        <f t="shared" si="72"/>
        <v>A038950</v>
      </c>
    </row>
    <row r="810" spans="1:11" x14ac:dyDescent="0.4">
      <c r="A810" s="49"/>
      <c r="B810" s="54" t="s">
        <v>2153</v>
      </c>
      <c r="C810" s="37" t="s">
        <v>2154</v>
      </c>
      <c r="D810" s="55" t="s">
        <v>820</v>
      </c>
      <c r="E810" s="58">
        <v>79.180000000000007</v>
      </c>
      <c r="F810" s="57">
        <v>0.62</v>
      </c>
      <c r="G810" s="57"/>
      <c r="H810" s="49"/>
      <c r="I810" s="49" t="str">
        <f>IF((G810&gt;$G$8),E810+ROW()/100000,"")</f>
        <v/>
      </c>
      <c r="J810" s="37" t="str">
        <f t="shared" si="71"/>
        <v>현대에이치티</v>
      </c>
      <c r="K810" s="37" t="str">
        <f t="shared" si="72"/>
        <v>A039010</v>
      </c>
    </row>
    <row r="811" spans="1:11" x14ac:dyDescent="0.4">
      <c r="A811" s="49"/>
      <c r="B811" s="54" t="s">
        <v>2155</v>
      </c>
      <c r="C811" s="37" t="s">
        <v>2156</v>
      </c>
      <c r="D811" s="55" t="s">
        <v>820</v>
      </c>
      <c r="E811" s="58">
        <v>78.260000000000005</v>
      </c>
      <c r="F811" s="57">
        <v>1.1599999999999999</v>
      </c>
      <c r="G811" s="57"/>
      <c r="H811" s="49"/>
      <c r="I811" s="49" t="str">
        <f>IF((G811&gt;$G$8),E811+ROW()/100000,"")</f>
        <v/>
      </c>
      <c r="J811" s="37" t="str">
        <f t="shared" si="71"/>
        <v>이건홀딩스</v>
      </c>
      <c r="K811" s="37" t="str">
        <f t="shared" si="72"/>
        <v>A039020</v>
      </c>
    </row>
    <row r="812" spans="1:11" x14ac:dyDescent="0.4">
      <c r="A812" s="49"/>
      <c r="B812" s="54" t="s">
        <v>349</v>
      </c>
      <c r="C812" s="37" t="s">
        <v>350</v>
      </c>
      <c r="D812" s="55" t="s">
        <v>820</v>
      </c>
      <c r="E812" s="56">
        <v>5155.7299999999996</v>
      </c>
      <c r="F812" s="55">
        <v>38.89</v>
      </c>
      <c r="G812" s="55">
        <v>1</v>
      </c>
      <c r="I812" s="49">
        <f>IF((G812&gt;$G$8),E812+ROW()/100000,"")</f>
        <v>5155.73812</v>
      </c>
      <c r="J812" s="37" t="str">
        <f t="shared" si="71"/>
        <v>이오테크닉스</v>
      </c>
      <c r="K812" s="37" t="str">
        <f t="shared" si="72"/>
        <v>A039030</v>
      </c>
    </row>
    <row r="813" spans="1:11" x14ac:dyDescent="0.4">
      <c r="A813" s="49"/>
      <c r="B813" s="54" t="s">
        <v>2157</v>
      </c>
      <c r="C813" s="37" t="s">
        <v>2158</v>
      </c>
      <c r="D813" s="55" t="s">
        <v>805</v>
      </c>
      <c r="E813" s="58">
        <v>745.07</v>
      </c>
      <c r="F813" s="57">
        <v>4.47</v>
      </c>
      <c r="G813" s="57">
        <v>5</v>
      </c>
      <c r="H813" s="49"/>
      <c r="I813" s="49">
        <f>IF((G813&gt;$G$8),E813+ROW()/100000,"")</f>
        <v>745.0781300000001</v>
      </c>
      <c r="J813" s="37" t="str">
        <f t="shared" si="71"/>
        <v>하나투어</v>
      </c>
      <c r="K813" s="37" t="str">
        <f t="shared" si="72"/>
        <v>A039130</v>
      </c>
    </row>
    <row r="814" spans="1:11" x14ac:dyDescent="0.4">
      <c r="B814" s="54" t="s">
        <v>57</v>
      </c>
      <c r="C814" s="37" t="s">
        <v>58</v>
      </c>
      <c r="D814" s="55" t="s">
        <v>820</v>
      </c>
      <c r="E814" s="56">
        <v>2000.9</v>
      </c>
      <c r="F814" s="55">
        <v>23.06</v>
      </c>
      <c r="G814" s="55">
        <v>3</v>
      </c>
      <c r="J814" s="37" t="str">
        <f t="shared" si="71"/>
        <v>오스코텍</v>
      </c>
      <c r="K814" s="37" t="str">
        <f t="shared" si="72"/>
        <v>A039200</v>
      </c>
    </row>
    <row r="815" spans="1:11" x14ac:dyDescent="0.4">
      <c r="A815" s="49"/>
      <c r="B815" s="54" t="s">
        <v>2159</v>
      </c>
      <c r="C815" s="37" t="s">
        <v>2160</v>
      </c>
      <c r="D815" s="55" t="s">
        <v>820</v>
      </c>
      <c r="E815" s="58">
        <v>70.42</v>
      </c>
      <c r="F815" s="57">
        <v>0.4</v>
      </c>
      <c r="G815" s="57"/>
      <c r="H815" s="49"/>
      <c r="I815" s="49" t="str">
        <f t="shared" ref="I815:I821" si="73">IF((G815&gt;$G$8),E815+ROW()/100000,"")</f>
        <v/>
      </c>
      <c r="J815" s="37" t="str">
        <f t="shared" si="71"/>
        <v>경남스틸</v>
      </c>
      <c r="K815" s="37" t="str">
        <f t="shared" si="72"/>
        <v>A039240</v>
      </c>
    </row>
    <row r="816" spans="1:11" x14ac:dyDescent="0.4">
      <c r="A816" s="49"/>
      <c r="B816" s="54" t="s">
        <v>2161</v>
      </c>
      <c r="C816" s="37" t="s">
        <v>2162</v>
      </c>
      <c r="D816" s="55" t="s">
        <v>820</v>
      </c>
      <c r="E816" s="58">
        <v>45.56</v>
      </c>
      <c r="F816" s="57">
        <v>0.34</v>
      </c>
      <c r="G816" s="57"/>
      <c r="H816" s="49"/>
      <c r="I816" s="49" t="str">
        <f t="shared" si="73"/>
        <v/>
      </c>
      <c r="J816" s="37" t="str">
        <f t="shared" si="71"/>
        <v>인포뱅크</v>
      </c>
      <c r="K816" s="37" t="str">
        <f t="shared" si="72"/>
        <v>A039290</v>
      </c>
    </row>
    <row r="817" spans="1:11" x14ac:dyDescent="0.4">
      <c r="A817" s="49"/>
      <c r="B817" s="54" t="s">
        <v>2163</v>
      </c>
      <c r="C817" s="37" t="s">
        <v>2164</v>
      </c>
      <c r="D817" s="55" t="s">
        <v>820</v>
      </c>
      <c r="E817" s="58">
        <v>24.23</v>
      </c>
      <c r="F817" s="57">
        <v>0.05</v>
      </c>
      <c r="G817" s="57"/>
      <c r="H817" s="49"/>
      <c r="I817" s="49" t="str">
        <f t="shared" si="73"/>
        <v/>
      </c>
      <c r="J817" s="37" t="str">
        <f t="shared" si="71"/>
        <v>세중</v>
      </c>
      <c r="K817" s="37" t="str">
        <f t="shared" si="72"/>
        <v>A039310</v>
      </c>
    </row>
    <row r="818" spans="1:11" x14ac:dyDescent="0.4">
      <c r="A818" s="49"/>
      <c r="B818" s="54" t="s">
        <v>2165</v>
      </c>
      <c r="C818" s="37" t="s">
        <v>2166</v>
      </c>
      <c r="D818" s="55" t="s">
        <v>820</v>
      </c>
      <c r="E818" s="58">
        <v>136.35</v>
      </c>
      <c r="F818" s="57">
        <v>0.09</v>
      </c>
      <c r="G818" s="57"/>
      <c r="H818" s="49"/>
      <c r="I818" s="49" t="str">
        <f t="shared" si="73"/>
        <v/>
      </c>
      <c r="J818" s="37" t="str">
        <f t="shared" si="71"/>
        <v>한국경제TV</v>
      </c>
      <c r="K818" s="37" t="str">
        <f t="shared" si="72"/>
        <v>A039340</v>
      </c>
    </row>
    <row r="819" spans="1:11" x14ac:dyDescent="0.4">
      <c r="A819" s="49"/>
      <c r="B819" s="54" t="s">
        <v>2167</v>
      </c>
      <c r="C819" s="37" t="s">
        <v>2168</v>
      </c>
      <c r="D819" s="55" t="s">
        <v>820</v>
      </c>
      <c r="E819" s="58">
        <v>68.599999999999994</v>
      </c>
      <c r="F819" s="57">
        <v>0.22</v>
      </c>
      <c r="G819" s="57"/>
      <c r="H819" s="49"/>
      <c r="I819" s="49" t="str">
        <f t="shared" si="73"/>
        <v/>
      </c>
      <c r="J819" s="37" t="str">
        <f t="shared" si="71"/>
        <v>케이엘넷</v>
      </c>
      <c r="K819" s="37" t="str">
        <f t="shared" si="72"/>
        <v>A039420</v>
      </c>
    </row>
    <row r="820" spans="1:11" x14ac:dyDescent="0.4">
      <c r="A820" s="49"/>
      <c r="B820" s="54" t="s">
        <v>579</v>
      </c>
      <c r="C820" s="37" t="s">
        <v>580</v>
      </c>
      <c r="D820" s="55" t="s">
        <v>820</v>
      </c>
      <c r="E820" s="58">
        <v>591.59</v>
      </c>
      <c r="F820" s="57">
        <v>10.52</v>
      </c>
      <c r="G820" s="57">
        <v>1</v>
      </c>
      <c r="H820" s="49"/>
      <c r="I820" s="49">
        <f t="shared" si="73"/>
        <v>591.59820000000002</v>
      </c>
      <c r="J820" s="37" t="str">
        <f t="shared" si="71"/>
        <v>에스티아이</v>
      </c>
      <c r="K820" s="37" t="str">
        <f t="shared" si="72"/>
        <v>A039440</v>
      </c>
    </row>
    <row r="821" spans="1:11" x14ac:dyDescent="0.4">
      <c r="A821" s="49"/>
      <c r="B821" s="54" t="s">
        <v>82</v>
      </c>
      <c r="C821" s="37" t="s">
        <v>83</v>
      </c>
      <c r="D821" s="55" t="s">
        <v>805</v>
      </c>
      <c r="E821" s="58">
        <v>12634.26</v>
      </c>
      <c r="F821" s="57">
        <v>45.33</v>
      </c>
      <c r="G821" s="57">
        <v>14</v>
      </c>
      <c r="H821" s="49"/>
      <c r="I821" s="49">
        <f t="shared" si="73"/>
        <v>12634.26821</v>
      </c>
      <c r="J821" s="37" t="str">
        <f t="shared" si="71"/>
        <v>키움증권</v>
      </c>
      <c r="K821" s="37" t="str">
        <f t="shared" si="72"/>
        <v>A039490</v>
      </c>
    </row>
    <row r="822" spans="1:11" x14ac:dyDescent="0.4">
      <c r="B822" s="54" t="s">
        <v>2169</v>
      </c>
      <c r="C822" s="37" t="s">
        <v>2170</v>
      </c>
      <c r="D822" s="55" t="s">
        <v>820</v>
      </c>
      <c r="E822" s="56">
        <v>153.11000000000001</v>
      </c>
      <c r="F822" s="55">
        <v>1.03</v>
      </c>
      <c r="G822" s="55"/>
      <c r="J822" s="37" t="str">
        <f t="shared" si="71"/>
        <v>다산네트웍스</v>
      </c>
      <c r="K822" s="37" t="str">
        <f t="shared" si="72"/>
        <v>A039560</v>
      </c>
    </row>
    <row r="823" spans="1:11" x14ac:dyDescent="0.4">
      <c r="A823" s="49"/>
      <c r="B823" s="54" t="s">
        <v>2171</v>
      </c>
      <c r="C823" s="37" t="s">
        <v>2172</v>
      </c>
      <c r="D823" s="55" t="s">
        <v>805</v>
      </c>
      <c r="E823" s="57">
        <v>217.01</v>
      </c>
      <c r="F823" s="55">
        <v>0.13</v>
      </c>
      <c r="G823" s="55"/>
      <c r="I823" s="49" t="str">
        <f>IF((G823&gt;$G$8),E823+ROW()/100000,"")</f>
        <v/>
      </c>
      <c r="J823" s="37" t="str">
        <f t="shared" si="71"/>
        <v>HDC랩스</v>
      </c>
      <c r="K823" s="37" t="str">
        <f t="shared" si="72"/>
        <v>A039570</v>
      </c>
    </row>
    <row r="824" spans="1:11" x14ac:dyDescent="0.4">
      <c r="A824" s="49"/>
      <c r="B824" s="54" t="s">
        <v>2173</v>
      </c>
      <c r="C824" s="37" t="s">
        <v>2174</v>
      </c>
      <c r="D824" s="55" t="s">
        <v>820</v>
      </c>
      <c r="E824" s="56">
        <v>85.16</v>
      </c>
      <c r="F824" s="55">
        <v>1.52</v>
      </c>
      <c r="G824" s="55"/>
      <c r="I824" s="49" t="str">
        <f>IF((G824&gt;$G$8),E824+ROW()/100000,"")</f>
        <v/>
      </c>
      <c r="J824" s="37" t="str">
        <f t="shared" si="71"/>
        <v>화성밸브</v>
      </c>
      <c r="K824" s="37" t="str">
        <f t="shared" si="72"/>
        <v>A039610</v>
      </c>
    </row>
    <row r="825" spans="1:11" x14ac:dyDescent="0.4">
      <c r="A825" s="49"/>
      <c r="B825" s="54" t="s">
        <v>2175</v>
      </c>
      <c r="C825" s="37" t="s">
        <v>2176</v>
      </c>
      <c r="D825" s="55" t="s">
        <v>820</v>
      </c>
      <c r="E825" s="58">
        <v>24.38</v>
      </c>
      <c r="F825" s="57">
        <v>0.27</v>
      </c>
      <c r="G825" s="57"/>
      <c r="H825" s="49"/>
      <c r="I825" s="49" t="str">
        <f>IF((G825&gt;$G$8),E825+ROW()/100000,"")</f>
        <v/>
      </c>
      <c r="J825" s="37" t="str">
        <f t="shared" si="71"/>
        <v>한국정보공학</v>
      </c>
      <c r="K825" s="37" t="str">
        <f t="shared" si="72"/>
        <v>A039740</v>
      </c>
    </row>
    <row r="826" spans="1:11" x14ac:dyDescent="0.4">
      <c r="A826" s="49"/>
      <c r="B826" s="54" t="s">
        <v>2177</v>
      </c>
      <c r="C826" s="37" t="s">
        <v>2178</v>
      </c>
      <c r="D826" s="55" t="s">
        <v>820</v>
      </c>
      <c r="E826" s="58">
        <v>146.27000000000001</v>
      </c>
      <c r="F826" s="57">
        <v>3.17</v>
      </c>
      <c r="G826" s="57"/>
      <c r="H826" s="49"/>
      <c r="I826" s="49" t="str">
        <f>IF((G826&gt;$G$8),E826+ROW()/100000,"")</f>
        <v/>
      </c>
      <c r="J826" s="37" t="str">
        <f t="shared" si="71"/>
        <v>오로라</v>
      </c>
      <c r="K826" s="37" t="str">
        <f t="shared" si="72"/>
        <v>A039830</v>
      </c>
    </row>
    <row r="827" spans="1:11" x14ac:dyDescent="0.4">
      <c r="A827" s="49"/>
      <c r="B827" s="54" t="s">
        <v>2179</v>
      </c>
      <c r="C827" s="37" t="s">
        <v>2180</v>
      </c>
      <c r="D827" s="55" t="s">
        <v>820</v>
      </c>
      <c r="E827" s="58">
        <v>256.45</v>
      </c>
      <c r="F827" s="57">
        <v>0.63</v>
      </c>
      <c r="G827" s="57">
        <v>3</v>
      </c>
      <c r="H827" s="49"/>
      <c r="I827" s="49">
        <f>IF((G827&gt;$G$8),E827+ROW()/100000,"")</f>
        <v>256.45826999999997</v>
      </c>
      <c r="J827" s="37" t="str">
        <f t="shared" si="71"/>
        <v>디오</v>
      </c>
      <c r="K827" s="37" t="str">
        <f t="shared" si="72"/>
        <v>A039840</v>
      </c>
    </row>
    <row r="828" spans="1:11" x14ac:dyDescent="0.4">
      <c r="B828" s="54" t="s">
        <v>2181</v>
      </c>
      <c r="C828" s="37" t="s">
        <v>2182</v>
      </c>
      <c r="D828" s="55" t="s">
        <v>820</v>
      </c>
      <c r="E828" s="56">
        <v>260.18</v>
      </c>
      <c r="F828" s="55">
        <v>8.34</v>
      </c>
      <c r="G828" s="55">
        <v>1</v>
      </c>
      <c r="J828" s="37" t="str">
        <f t="shared" si="71"/>
        <v>나노엔텍</v>
      </c>
      <c r="K828" s="37" t="str">
        <f t="shared" si="72"/>
        <v>A039860</v>
      </c>
    </row>
    <row r="829" spans="1:11" x14ac:dyDescent="0.4">
      <c r="A829" s="49"/>
      <c r="B829" s="54" t="s">
        <v>2183</v>
      </c>
      <c r="C829" s="37" t="s">
        <v>2184</v>
      </c>
      <c r="D829" s="55" t="s">
        <v>820</v>
      </c>
      <c r="E829" s="58">
        <v>108.66</v>
      </c>
      <c r="F829" s="57">
        <v>3.31</v>
      </c>
      <c r="G829" s="57"/>
      <c r="H829" s="49"/>
      <c r="I829" s="49" t="str">
        <f t="shared" ref="I829:I837" si="74">IF((G829&gt;$G$8),E829+ROW()/100000,"")</f>
        <v/>
      </c>
      <c r="J829" s="37" t="str">
        <f t="shared" si="71"/>
        <v>폴라리스AI</v>
      </c>
      <c r="K829" s="37" t="str">
        <f t="shared" si="72"/>
        <v>A039980</v>
      </c>
    </row>
    <row r="830" spans="1:11" x14ac:dyDescent="0.4">
      <c r="A830" s="49"/>
      <c r="B830" s="54" t="s">
        <v>2185</v>
      </c>
      <c r="C830" s="37" t="s">
        <v>2186</v>
      </c>
      <c r="D830" s="55" t="s">
        <v>820</v>
      </c>
      <c r="E830" s="58">
        <v>111.75</v>
      </c>
      <c r="F830" s="57">
        <v>0.35</v>
      </c>
      <c r="G830" s="57"/>
      <c r="H830" s="49"/>
      <c r="I830" s="49" t="str">
        <f t="shared" si="74"/>
        <v/>
      </c>
      <c r="J830" s="37" t="str">
        <f t="shared" si="71"/>
        <v>누리플렉스</v>
      </c>
      <c r="K830" s="37" t="str">
        <f t="shared" si="72"/>
        <v>A040160</v>
      </c>
    </row>
    <row r="831" spans="1:11" x14ac:dyDescent="0.4">
      <c r="A831" s="49"/>
      <c r="B831" s="54" t="s">
        <v>2187</v>
      </c>
      <c r="C831" s="37" t="s">
        <v>2188</v>
      </c>
      <c r="D831" s="55" t="s">
        <v>820</v>
      </c>
      <c r="E831" s="58">
        <v>168.06</v>
      </c>
      <c r="F831" s="57">
        <v>7.06</v>
      </c>
      <c r="G831" s="57"/>
      <c r="H831" s="49"/>
      <c r="I831" s="49" t="str">
        <f t="shared" si="74"/>
        <v/>
      </c>
      <c r="J831" s="37" t="str">
        <f t="shared" si="71"/>
        <v>YTN</v>
      </c>
      <c r="K831" s="37" t="str">
        <f t="shared" si="72"/>
        <v>A040300</v>
      </c>
    </row>
    <row r="832" spans="1:11" x14ac:dyDescent="0.4">
      <c r="A832" s="49"/>
      <c r="B832" s="54" t="s">
        <v>2189</v>
      </c>
      <c r="C832" s="37" t="s">
        <v>2190</v>
      </c>
      <c r="D832" s="55" t="s">
        <v>820</v>
      </c>
      <c r="E832" s="58">
        <v>88.23</v>
      </c>
      <c r="F832" s="57">
        <v>0.74</v>
      </c>
      <c r="G832" s="57"/>
      <c r="H832" s="49"/>
      <c r="I832" s="49" t="str">
        <f t="shared" si="74"/>
        <v/>
      </c>
      <c r="J832" s="37" t="str">
        <f t="shared" si="71"/>
        <v>크레오에스지</v>
      </c>
      <c r="K832" s="37" t="str">
        <f t="shared" si="72"/>
        <v>A040350</v>
      </c>
    </row>
    <row r="833" spans="1:11" x14ac:dyDescent="0.4">
      <c r="A833" s="49"/>
      <c r="B833" s="54" t="s">
        <v>2191</v>
      </c>
      <c r="C833" s="37" t="s">
        <v>2192</v>
      </c>
      <c r="D833" s="55" t="s">
        <v>820</v>
      </c>
      <c r="E833" s="56">
        <v>91.56</v>
      </c>
      <c r="F833" s="55">
        <v>0.2</v>
      </c>
      <c r="G833" s="55"/>
      <c r="I833" s="49" t="str">
        <f t="shared" si="74"/>
        <v/>
      </c>
      <c r="J833" s="37" t="str">
        <f t="shared" si="71"/>
        <v>정상제이엘에스</v>
      </c>
      <c r="K833" s="37" t="str">
        <f t="shared" si="72"/>
        <v>A040420</v>
      </c>
    </row>
    <row r="834" spans="1:11" x14ac:dyDescent="0.4">
      <c r="A834" s="49"/>
      <c r="B834" s="54" t="s">
        <v>2193</v>
      </c>
      <c r="C834" s="37" t="s">
        <v>2194</v>
      </c>
      <c r="D834" s="55" t="s">
        <v>820</v>
      </c>
      <c r="E834" s="58">
        <v>72.260000000000005</v>
      </c>
      <c r="F834" s="57">
        <v>0.3</v>
      </c>
      <c r="G834" s="57"/>
      <c r="H834" s="49"/>
      <c r="I834" s="49" t="str">
        <f t="shared" si="74"/>
        <v/>
      </c>
      <c r="J834" s="37" t="str">
        <f t="shared" si="71"/>
        <v>SG&amp;G</v>
      </c>
      <c r="K834" s="37" t="str">
        <f t="shared" si="72"/>
        <v>A040610</v>
      </c>
    </row>
    <row r="835" spans="1:11" x14ac:dyDescent="0.4">
      <c r="A835" s="49"/>
      <c r="B835" s="54" t="s">
        <v>2195</v>
      </c>
      <c r="C835" s="37" t="s">
        <v>2196</v>
      </c>
      <c r="D835" s="55" t="s">
        <v>820</v>
      </c>
      <c r="E835" s="58">
        <v>100.3</v>
      </c>
      <c r="F835" s="57">
        <v>0.23</v>
      </c>
      <c r="G835" s="57"/>
      <c r="H835" s="49"/>
      <c r="I835" s="49" t="str">
        <f t="shared" si="74"/>
        <v/>
      </c>
      <c r="J835" s="37" t="str">
        <f t="shared" si="71"/>
        <v>아이씨디</v>
      </c>
      <c r="K835" s="37" t="str">
        <f t="shared" si="72"/>
        <v>A040910</v>
      </c>
    </row>
    <row r="836" spans="1:11" x14ac:dyDescent="0.4">
      <c r="A836" s="49"/>
      <c r="B836" s="54" t="s">
        <v>2197</v>
      </c>
      <c r="C836" s="37" t="s">
        <v>2198</v>
      </c>
      <c r="D836" s="55" t="s">
        <v>820</v>
      </c>
      <c r="E836" s="58">
        <v>213.07</v>
      </c>
      <c r="F836" s="57">
        <v>2.2799999999999998</v>
      </c>
      <c r="G836" s="57"/>
      <c r="H836" s="49"/>
      <c r="I836" s="49" t="str">
        <f t="shared" si="74"/>
        <v/>
      </c>
      <c r="J836" s="37" t="str">
        <f t="shared" si="71"/>
        <v>폴라리스오피스</v>
      </c>
      <c r="K836" s="37" t="str">
        <f t="shared" si="72"/>
        <v>A041020</v>
      </c>
    </row>
    <row r="837" spans="1:11" x14ac:dyDescent="0.4">
      <c r="A837" s="49"/>
      <c r="B837" s="54" t="s">
        <v>2199</v>
      </c>
      <c r="C837" s="37" t="s">
        <v>2200</v>
      </c>
      <c r="D837" s="55" t="s">
        <v>820</v>
      </c>
      <c r="E837" s="56">
        <v>661.08</v>
      </c>
      <c r="F837" s="55">
        <v>14.87</v>
      </c>
      <c r="G837" s="55"/>
      <c r="I837" s="49" t="str">
        <f t="shared" si="74"/>
        <v/>
      </c>
      <c r="J837" s="37" t="str">
        <f t="shared" si="71"/>
        <v>우리기술투자</v>
      </c>
      <c r="K837" s="37" t="str">
        <f t="shared" si="72"/>
        <v>A041190</v>
      </c>
    </row>
    <row r="838" spans="1:11" x14ac:dyDescent="0.4">
      <c r="A838" s="49"/>
      <c r="B838" s="54" t="s">
        <v>2201</v>
      </c>
      <c r="C838" s="37" t="s">
        <v>2202</v>
      </c>
      <c r="D838" s="55" t="s">
        <v>820</v>
      </c>
      <c r="E838" s="56">
        <v>157.66</v>
      </c>
      <c r="F838" s="55">
        <v>2.39</v>
      </c>
      <c r="G838" s="55"/>
      <c r="J838" s="37" t="str">
        <f t="shared" si="71"/>
        <v>현대에버다임</v>
      </c>
      <c r="K838" s="37" t="str">
        <f t="shared" si="72"/>
        <v>A041440</v>
      </c>
    </row>
    <row r="839" spans="1:11" x14ac:dyDescent="0.4">
      <c r="A839" s="49"/>
      <c r="B839" s="54" t="s">
        <v>2203</v>
      </c>
      <c r="C839" s="37" t="s">
        <v>2204</v>
      </c>
      <c r="D839" s="55" t="s">
        <v>820</v>
      </c>
      <c r="E839" s="56">
        <v>77.33</v>
      </c>
      <c r="F839" s="55">
        <v>0.45</v>
      </c>
      <c r="G839" s="55"/>
      <c r="I839" s="49" t="str">
        <f>IF((G839&gt;$G$8),E839+ROW()/100000,"")</f>
        <v/>
      </c>
      <c r="J839" s="37" t="str">
        <f t="shared" si="71"/>
        <v>한국전자인증</v>
      </c>
      <c r="K839" s="37" t="str">
        <f t="shared" si="72"/>
        <v>A041460</v>
      </c>
    </row>
    <row r="840" spans="1:11" x14ac:dyDescent="0.4">
      <c r="A840" s="49"/>
      <c r="B840" s="54" t="s">
        <v>273</v>
      </c>
      <c r="C840" s="37" t="s">
        <v>274</v>
      </c>
      <c r="D840" s="55" t="s">
        <v>820</v>
      </c>
      <c r="E840" s="56">
        <v>2644.34</v>
      </c>
      <c r="F840" s="55">
        <v>21.76</v>
      </c>
      <c r="G840" s="55">
        <v>15</v>
      </c>
      <c r="I840" s="49">
        <f>IF((G840&gt;$G$8),E840+ROW()/100000,"")</f>
        <v>2644.3484000000003</v>
      </c>
      <c r="J840" s="37" t="str">
        <f t="shared" si="71"/>
        <v>에스엠</v>
      </c>
      <c r="K840" s="37" t="str">
        <f t="shared" si="72"/>
        <v>A041510</v>
      </c>
    </row>
    <row r="841" spans="1:11" x14ac:dyDescent="0.4">
      <c r="A841" s="49"/>
      <c r="B841" s="54" t="s">
        <v>2205</v>
      </c>
      <c r="C841" s="37" t="s">
        <v>2206</v>
      </c>
      <c r="D841" s="55" t="s">
        <v>820</v>
      </c>
      <c r="E841" s="58">
        <v>101.41</v>
      </c>
      <c r="F841" s="57">
        <v>0.15</v>
      </c>
      <c r="G841" s="57"/>
      <c r="H841" s="49"/>
      <c r="I841" s="49" t="str">
        <f>IF((G841&gt;$G$8),E841+ROW()/100000,"")</f>
        <v/>
      </c>
      <c r="J841" s="37" t="str">
        <f t="shared" si="71"/>
        <v>이엘씨</v>
      </c>
      <c r="K841" s="37" t="str">
        <f t="shared" si="72"/>
        <v>A041520</v>
      </c>
    </row>
    <row r="842" spans="1:11" x14ac:dyDescent="0.4">
      <c r="A842" s="49"/>
      <c r="B842" s="54" t="s">
        <v>2207</v>
      </c>
      <c r="C842" s="37" t="s">
        <v>2208</v>
      </c>
      <c r="D842" s="55" t="s">
        <v>820</v>
      </c>
      <c r="E842" s="58">
        <v>116.06</v>
      </c>
      <c r="F842" s="57">
        <v>0</v>
      </c>
      <c r="G842" s="57"/>
      <c r="H842" s="49"/>
      <c r="I842" s="49" t="str">
        <f>IF((G842&gt;$G$8),E842+ROW()/100000,"")</f>
        <v/>
      </c>
      <c r="J842" s="37" t="str">
        <f t="shared" si="71"/>
        <v>플래스크</v>
      </c>
      <c r="K842" s="37" t="str">
        <f t="shared" si="72"/>
        <v>A041590</v>
      </c>
    </row>
    <row r="843" spans="1:11" x14ac:dyDescent="0.4">
      <c r="A843" s="49"/>
      <c r="B843" s="54" t="s">
        <v>2209</v>
      </c>
      <c r="C843" s="37" t="s">
        <v>2210</v>
      </c>
      <c r="D843" s="55" t="s">
        <v>805</v>
      </c>
      <c r="E843" s="56">
        <v>59.05</v>
      </c>
      <c r="F843" s="55">
        <v>0.18</v>
      </c>
      <c r="G843" s="55"/>
      <c r="J843" s="37" t="str">
        <f t="shared" si="71"/>
        <v>상신브레이크</v>
      </c>
      <c r="K843" s="37" t="str">
        <f t="shared" si="72"/>
        <v>A041650</v>
      </c>
    </row>
    <row r="844" spans="1:11" x14ac:dyDescent="0.4">
      <c r="B844" s="54" t="s">
        <v>202</v>
      </c>
      <c r="C844" s="37" t="s">
        <v>203</v>
      </c>
      <c r="D844" s="55" t="s">
        <v>820</v>
      </c>
      <c r="E844" s="56">
        <v>431.39</v>
      </c>
      <c r="F844" s="55">
        <v>1.75</v>
      </c>
      <c r="G844" s="55">
        <v>2</v>
      </c>
      <c r="J844" s="37" t="str">
        <f t="shared" si="71"/>
        <v>인바디</v>
      </c>
      <c r="K844" s="37" t="str">
        <f t="shared" si="72"/>
        <v>A041830</v>
      </c>
    </row>
    <row r="845" spans="1:11" x14ac:dyDescent="0.4">
      <c r="A845" s="49"/>
      <c r="B845" s="54" t="s">
        <v>2211</v>
      </c>
      <c r="C845" s="37" t="s">
        <v>2212</v>
      </c>
      <c r="D845" s="55" t="s">
        <v>820</v>
      </c>
      <c r="E845" s="58">
        <v>89.52</v>
      </c>
      <c r="F845" s="57">
        <v>1.95</v>
      </c>
      <c r="G845" s="57"/>
      <c r="H845" s="49"/>
      <c r="I845" s="49" t="str">
        <f>IF((G845&gt;$G$8),E845+ROW()/100000,"")</f>
        <v/>
      </c>
      <c r="J845" s="37" t="str">
        <f t="shared" si="71"/>
        <v>폴라리스AI파마</v>
      </c>
      <c r="K845" s="37" t="str">
        <f t="shared" si="72"/>
        <v>A041910</v>
      </c>
    </row>
    <row r="846" spans="1:11" x14ac:dyDescent="0.4">
      <c r="A846" s="49"/>
      <c r="B846" s="54" t="s">
        <v>2213</v>
      </c>
      <c r="C846" s="37" t="s">
        <v>2214</v>
      </c>
      <c r="D846" s="55" t="s">
        <v>820</v>
      </c>
      <c r="E846" s="58">
        <v>383.12</v>
      </c>
      <c r="F846" s="57">
        <v>7.2</v>
      </c>
      <c r="G846" s="57">
        <v>1</v>
      </c>
      <c r="H846" s="49"/>
      <c r="I846" s="49">
        <f>IF((G846&gt;$G$8),E846+ROW()/100000,"")</f>
        <v>383.12846000000002</v>
      </c>
      <c r="J846" s="37" t="str">
        <f t="shared" ref="J846:J909" si="75">C846</f>
        <v>메디아나</v>
      </c>
      <c r="K846" s="37" t="str">
        <f t="shared" ref="K846:K909" si="76">B846</f>
        <v>A041920</v>
      </c>
    </row>
    <row r="847" spans="1:11" x14ac:dyDescent="0.4">
      <c r="A847" s="49"/>
      <c r="B847" s="54" t="s">
        <v>2215</v>
      </c>
      <c r="C847" s="37" t="s">
        <v>5204</v>
      </c>
      <c r="D847" s="55" t="s">
        <v>820</v>
      </c>
      <c r="E847" s="58">
        <v>108.39</v>
      </c>
      <c r="F847" s="57">
        <v>1.06</v>
      </c>
      <c r="G847" s="57"/>
      <c r="H847" s="49"/>
      <c r="I847" s="49" t="str">
        <f>IF((G847&gt;$G$8),E847+ROW()/100000,"")</f>
        <v/>
      </c>
      <c r="J847" s="37" t="str">
        <f t="shared" si="75"/>
        <v>SY동아</v>
      </c>
      <c r="K847" s="37" t="str">
        <f t="shared" si="76"/>
        <v>A041930</v>
      </c>
    </row>
    <row r="848" spans="1:11" x14ac:dyDescent="0.4">
      <c r="A848" s="49"/>
      <c r="B848" s="54" t="s">
        <v>2216</v>
      </c>
      <c r="C848" s="37" t="s">
        <v>2217</v>
      </c>
      <c r="D848" s="55" t="s">
        <v>820</v>
      </c>
      <c r="E848" s="58">
        <v>664.24</v>
      </c>
      <c r="F848" s="57">
        <v>2.04</v>
      </c>
      <c r="G848" s="57"/>
      <c r="H848" s="49"/>
      <c r="I848" s="49" t="str">
        <f>IF((G848&gt;$G$8),E848+ROW()/100000,"")</f>
        <v/>
      </c>
      <c r="J848" s="37" t="str">
        <f t="shared" si="75"/>
        <v>코미팜</v>
      </c>
      <c r="K848" s="37" t="str">
        <f t="shared" si="76"/>
        <v>A041960</v>
      </c>
    </row>
    <row r="849" spans="1:11" x14ac:dyDescent="0.4">
      <c r="A849" s="49"/>
      <c r="B849" s="54" t="s">
        <v>2218</v>
      </c>
      <c r="C849" s="37" t="s">
        <v>2219</v>
      </c>
      <c r="D849" s="55" t="s">
        <v>820</v>
      </c>
      <c r="E849" s="56">
        <v>803.99</v>
      </c>
      <c r="F849" s="55">
        <v>4.75</v>
      </c>
      <c r="G849" s="55">
        <v>1</v>
      </c>
      <c r="J849" s="37" t="str">
        <f t="shared" si="75"/>
        <v>카페24</v>
      </c>
      <c r="K849" s="37" t="str">
        <f t="shared" si="76"/>
        <v>A042000</v>
      </c>
    </row>
    <row r="850" spans="1:11" x14ac:dyDescent="0.4">
      <c r="B850" s="54" t="s">
        <v>2220</v>
      </c>
      <c r="C850" s="37" t="s">
        <v>2221</v>
      </c>
      <c r="D850" s="55" t="s">
        <v>820</v>
      </c>
      <c r="E850" s="56">
        <v>32.590000000000003</v>
      </c>
      <c r="F850" s="55">
        <v>0.17</v>
      </c>
      <c r="G850" s="55"/>
      <c r="J850" s="37" t="str">
        <f t="shared" si="75"/>
        <v>케이피엠테크</v>
      </c>
      <c r="K850" s="37" t="str">
        <f t="shared" si="76"/>
        <v>A042040</v>
      </c>
    </row>
    <row r="851" spans="1:11" x14ac:dyDescent="0.4">
      <c r="A851" s="49"/>
      <c r="B851" s="54" t="s">
        <v>2222</v>
      </c>
      <c r="C851" s="37" t="s">
        <v>2223</v>
      </c>
      <c r="D851" s="55" t="s">
        <v>820</v>
      </c>
      <c r="E851" s="58">
        <v>65.58</v>
      </c>
      <c r="F851" s="57">
        <v>0.2</v>
      </c>
      <c r="G851" s="57"/>
      <c r="H851" s="49"/>
      <c r="I851" s="49" t="str">
        <f t="shared" ref="I851:I867" si="77">IF((G851&gt;$G$8),E851+ROW()/100000,"")</f>
        <v/>
      </c>
      <c r="J851" s="37" t="str">
        <f t="shared" si="75"/>
        <v>에스씨디</v>
      </c>
      <c r="K851" s="37" t="str">
        <f t="shared" si="76"/>
        <v>A042110</v>
      </c>
    </row>
    <row r="852" spans="1:11" x14ac:dyDescent="0.4">
      <c r="A852" s="49"/>
      <c r="B852" s="54" t="s">
        <v>2224</v>
      </c>
      <c r="C852" s="37" t="s">
        <v>2225</v>
      </c>
      <c r="D852" s="55" t="s">
        <v>820</v>
      </c>
      <c r="E852" s="58">
        <v>275.10000000000002</v>
      </c>
      <c r="F852" s="57">
        <v>5.68</v>
      </c>
      <c r="G852" s="57"/>
      <c r="H852" s="49"/>
      <c r="I852" s="49" t="str">
        <f t="shared" si="77"/>
        <v/>
      </c>
      <c r="J852" s="37" t="str">
        <f t="shared" si="75"/>
        <v>비츠로테크</v>
      </c>
      <c r="K852" s="37" t="str">
        <f t="shared" si="76"/>
        <v>A042370</v>
      </c>
    </row>
    <row r="853" spans="1:11" x14ac:dyDescent="0.4">
      <c r="A853" s="49"/>
      <c r="B853" s="54" t="s">
        <v>2226</v>
      </c>
      <c r="C853" s="37" t="s">
        <v>2227</v>
      </c>
      <c r="D853" s="55" t="s">
        <v>820</v>
      </c>
      <c r="E853" s="58">
        <v>221.71</v>
      </c>
      <c r="F853" s="57">
        <v>0.32</v>
      </c>
      <c r="G853" s="57"/>
      <c r="H853" s="49"/>
      <c r="I853" s="49" t="str">
        <f t="shared" si="77"/>
        <v/>
      </c>
      <c r="J853" s="37" t="str">
        <f t="shared" si="75"/>
        <v>네오위즈홀딩스</v>
      </c>
      <c r="K853" s="37" t="str">
        <f t="shared" si="76"/>
        <v>A042420</v>
      </c>
    </row>
    <row r="854" spans="1:11" x14ac:dyDescent="0.4">
      <c r="A854" s="49"/>
      <c r="B854" s="54" t="s">
        <v>2228</v>
      </c>
      <c r="C854" s="37" t="s">
        <v>2229</v>
      </c>
      <c r="D854" s="55" t="s">
        <v>820</v>
      </c>
      <c r="E854" s="58">
        <v>85.38</v>
      </c>
      <c r="F854" s="57">
        <v>0.39</v>
      </c>
      <c r="G854" s="57"/>
      <c r="H854" s="49"/>
      <c r="I854" s="49" t="str">
        <f t="shared" si="77"/>
        <v/>
      </c>
      <c r="J854" s="37" t="str">
        <f t="shared" si="75"/>
        <v>링네트</v>
      </c>
      <c r="K854" s="37" t="str">
        <f t="shared" si="76"/>
        <v>A042500</v>
      </c>
    </row>
    <row r="855" spans="1:11" x14ac:dyDescent="0.4">
      <c r="A855" s="49"/>
      <c r="B855" s="54" t="s">
        <v>2230</v>
      </c>
      <c r="C855" s="37" t="s">
        <v>2231</v>
      </c>
      <c r="D855" s="55" t="s">
        <v>820</v>
      </c>
      <c r="E855" s="58">
        <v>104.54</v>
      </c>
      <c r="F855" s="57">
        <v>0.84</v>
      </c>
      <c r="G855" s="57"/>
      <c r="H855" s="49"/>
      <c r="I855" s="49" t="str">
        <f t="shared" si="77"/>
        <v/>
      </c>
      <c r="J855" s="37" t="str">
        <f t="shared" si="75"/>
        <v>라온시큐어</v>
      </c>
      <c r="K855" s="37" t="str">
        <f t="shared" si="76"/>
        <v>A042510</v>
      </c>
    </row>
    <row r="856" spans="1:11" x14ac:dyDescent="0.4">
      <c r="A856" s="49"/>
      <c r="B856" s="54" t="s">
        <v>510</v>
      </c>
      <c r="C856" s="37" t="s">
        <v>511</v>
      </c>
      <c r="D856" s="55" t="s">
        <v>820</v>
      </c>
      <c r="E856" s="56">
        <v>718.77</v>
      </c>
      <c r="F856" s="55">
        <v>15.91</v>
      </c>
      <c r="G856" s="55">
        <v>2</v>
      </c>
      <c r="I856" s="49">
        <f t="shared" si="77"/>
        <v>718.77855999999997</v>
      </c>
      <c r="J856" s="37" t="str">
        <f t="shared" si="75"/>
        <v>한스바이오메드</v>
      </c>
      <c r="K856" s="37" t="str">
        <f t="shared" si="76"/>
        <v>A042520</v>
      </c>
    </row>
    <row r="857" spans="1:11" x14ac:dyDescent="0.4">
      <c r="A857" s="49"/>
      <c r="B857" s="54" t="s">
        <v>2232</v>
      </c>
      <c r="C857" s="37" t="s">
        <v>2233</v>
      </c>
      <c r="D857" s="55" t="s">
        <v>820</v>
      </c>
      <c r="E857" s="58">
        <v>167.72</v>
      </c>
      <c r="F857" s="57">
        <v>1.63</v>
      </c>
      <c r="G857" s="57"/>
      <c r="H857" s="49"/>
      <c r="I857" s="49" t="str">
        <f t="shared" si="77"/>
        <v/>
      </c>
      <c r="J857" s="37" t="str">
        <f t="shared" si="75"/>
        <v>새로닉스</v>
      </c>
      <c r="K857" s="37" t="str">
        <f t="shared" si="76"/>
        <v>A042600</v>
      </c>
    </row>
    <row r="858" spans="1:11" x14ac:dyDescent="0.4">
      <c r="A858" s="49"/>
      <c r="B858" s="54" t="s">
        <v>301</v>
      </c>
      <c r="C858" s="37" t="s">
        <v>302</v>
      </c>
      <c r="D858" s="55" t="s">
        <v>805</v>
      </c>
      <c r="E858" s="56">
        <v>43265.57</v>
      </c>
      <c r="F858" s="55">
        <v>318.91000000000003</v>
      </c>
      <c r="G858" s="55">
        <v>19</v>
      </c>
      <c r="I858" s="49">
        <f t="shared" si="77"/>
        <v>43265.578580000001</v>
      </c>
      <c r="J858" s="37" t="str">
        <f t="shared" si="75"/>
        <v>한화오션</v>
      </c>
      <c r="K858" s="37" t="str">
        <f t="shared" si="76"/>
        <v>A042660</v>
      </c>
    </row>
    <row r="859" spans="1:11" x14ac:dyDescent="0.4">
      <c r="A859" s="49"/>
      <c r="B859" s="54" t="s">
        <v>699</v>
      </c>
      <c r="C859" s="37" t="s">
        <v>700</v>
      </c>
      <c r="D859" s="55" t="s">
        <v>805</v>
      </c>
      <c r="E859" s="58">
        <v>30833.5</v>
      </c>
      <c r="F859" s="57">
        <v>274.14</v>
      </c>
      <c r="G859" s="57">
        <v>2</v>
      </c>
      <c r="H859" s="49"/>
      <c r="I859" s="49">
        <f t="shared" si="77"/>
        <v>30833.508590000001</v>
      </c>
      <c r="J859" s="37" t="str">
        <f t="shared" si="75"/>
        <v>한미반도체</v>
      </c>
      <c r="K859" s="37" t="str">
        <f t="shared" si="76"/>
        <v>A042700</v>
      </c>
    </row>
    <row r="860" spans="1:11" x14ac:dyDescent="0.4">
      <c r="A860" s="49"/>
      <c r="B860" s="54" t="s">
        <v>2234</v>
      </c>
      <c r="C860" s="37" t="s">
        <v>2235</v>
      </c>
      <c r="D860" s="55" t="s">
        <v>820</v>
      </c>
      <c r="E860" s="56">
        <v>65.760000000000005</v>
      </c>
      <c r="F860" s="55">
        <v>6.19</v>
      </c>
      <c r="G860" s="55"/>
      <c r="I860" s="49" t="str">
        <f t="shared" si="77"/>
        <v/>
      </c>
      <c r="J860" s="37" t="str">
        <f t="shared" si="75"/>
        <v>상지건설</v>
      </c>
      <c r="K860" s="37" t="str">
        <f t="shared" si="76"/>
        <v>A042940</v>
      </c>
    </row>
    <row r="861" spans="1:11" x14ac:dyDescent="0.4">
      <c r="A861" s="49"/>
      <c r="B861" s="54" t="s">
        <v>2236</v>
      </c>
      <c r="C861" s="37" t="s">
        <v>2237</v>
      </c>
      <c r="D861" s="55" t="s">
        <v>820</v>
      </c>
      <c r="E861" s="58">
        <v>4.72</v>
      </c>
      <c r="F861" s="57">
        <v>0</v>
      </c>
      <c r="G861" s="57"/>
      <c r="H861" s="49"/>
      <c r="I861" s="49" t="str">
        <f t="shared" si="77"/>
        <v/>
      </c>
      <c r="J861" s="37" t="str">
        <f t="shared" si="75"/>
        <v>더테크놀로지</v>
      </c>
      <c r="K861" s="37" t="str">
        <f t="shared" si="76"/>
        <v>A043090</v>
      </c>
    </row>
    <row r="862" spans="1:11" x14ac:dyDescent="0.4">
      <c r="A862" s="49"/>
      <c r="B862" s="54" t="s">
        <v>2238</v>
      </c>
      <c r="C862" s="37" t="s">
        <v>2239</v>
      </c>
      <c r="D862" s="55" t="s">
        <v>820</v>
      </c>
      <c r="E862" s="58">
        <v>28.15</v>
      </c>
      <c r="F862" s="57">
        <v>1.59</v>
      </c>
      <c r="G862" s="57"/>
      <c r="H862" s="49"/>
      <c r="I862" s="49" t="str">
        <f t="shared" si="77"/>
        <v/>
      </c>
      <c r="J862" s="37" t="str">
        <f t="shared" si="75"/>
        <v>알파AI</v>
      </c>
      <c r="K862" s="37" t="str">
        <f t="shared" si="76"/>
        <v>A043100</v>
      </c>
    </row>
    <row r="863" spans="1:11" x14ac:dyDescent="0.4">
      <c r="A863" s="49"/>
      <c r="B863" s="54" t="s">
        <v>2240</v>
      </c>
      <c r="C863" s="37" t="s">
        <v>2241</v>
      </c>
      <c r="D863" s="55" t="s">
        <v>820</v>
      </c>
      <c r="E863" s="59">
        <v>406.26</v>
      </c>
      <c r="F863" s="57">
        <v>0.73</v>
      </c>
      <c r="G863" s="57">
        <v>3</v>
      </c>
      <c r="H863" s="49"/>
      <c r="I863" s="49">
        <f t="shared" si="77"/>
        <v>406.26862999999997</v>
      </c>
      <c r="J863" s="37" t="str">
        <f t="shared" si="75"/>
        <v>바텍</v>
      </c>
      <c r="K863" s="37" t="str">
        <f t="shared" si="76"/>
        <v>A043150</v>
      </c>
    </row>
    <row r="864" spans="1:11" x14ac:dyDescent="0.4">
      <c r="A864" s="49"/>
      <c r="B864" s="54" t="s">
        <v>2242</v>
      </c>
      <c r="C864" s="37" t="s">
        <v>2243</v>
      </c>
      <c r="D864" s="55" t="s">
        <v>820</v>
      </c>
      <c r="E864" s="58">
        <v>37.869999999999997</v>
      </c>
      <c r="F864" s="57">
        <v>1.31</v>
      </c>
      <c r="G864" s="57"/>
      <c r="H864" s="49"/>
      <c r="I864" s="49" t="str">
        <f t="shared" si="77"/>
        <v/>
      </c>
      <c r="J864" s="37" t="str">
        <f t="shared" si="75"/>
        <v>파루</v>
      </c>
      <c r="K864" s="37" t="str">
        <f t="shared" si="76"/>
        <v>A043200</v>
      </c>
    </row>
    <row r="865" spans="1:11" x14ac:dyDescent="0.4">
      <c r="A865" s="49"/>
      <c r="B865" s="54" t="s">
        <v>2244</v>
      </c>
      <c r="C865" s="37" t="s">
        <v>2245</v>
      </c>
      <c r="D865" s="55" t="s">
        <v>820</v>
      </c>
      <c r="E865" s="58">
        <v>27.23</v>
      </c>
      <c r="F865" s="57">
        <v>0</v>
      </c>
      <c r="G865" s="57"/>
      <c r="H865" s="49"/>
      <c r="I865" s="49" t="str">
        <f t="shared" si="77"/>
        <v/>
      </c>
      <c r="J865" s="37" t="str">
        <f t="shared" si="75"/>
        <v>티에스넥스젠</v>
      </c>
      <c r="K865" s="37" t="str">
        <f t="shared" si="76"/>
        <v>A043220</v>
      </c>
    </row>
    <row r="866" spans="1:11" x14ac:dyDescent="0.4">
      <c r="A866" s="49"/>
      <c r="B866" s="54" t="s">
        <v>2246</v>
      </c>
      <c r="C866" s="37" t="s">
        <v>2247</v>
      </c>
      <c r="D866" s="55" t="s">
        <v>820</v>
      </c>
      <c r="E866" s="58">
        <v>1833.35</v>
      </c>
      <c r="F866" s="57">
        <v>17.82</v>
      </c>
      <c r="G866" s="57"/>
      <c r="H866" s="49"/>
      <c r="I866" s="49" t="str">
        <f t="shared" si="77"/>
        <v/>
      </c>
      <c r="J866" s="37" t="str">
        <f t="shared" si="75"/>
        <v>성호전자</v>
      </c>
      <c r="K866" s="37" t="str">
        <f t="shared" si="76"/>
        <v>A043260</v>
      </c>
    </row>
    <row r="867" spans="1:11" x14ac:dyDescent="0.4">
      <c r="A867" s="49"/>
      <c r="B867" s="54" t="s">
        <v>2248</v>
      </c>
      <c r="C867" s="37" t="s">
        <v>2249</v>
      </c>
      <c r="D867" s="55" t="s">
        <v>820</v>
      </c>
      <c r="E867" s="56">
        <v>56.81</v>
      </c>
      <c r="F867" s="55">
        <v>0.34</v>
      </c>
      <c r="G867" s="55"/>
      <c r="I867" s="49" t="str">
        <f t="shared" si="77"/>
        <v/>
      </c>
      <c r="J867" s="37" t="str">
        <f t="shared" si="75"/>
        <v>에쎈테크</v>
      </c>
      <c r="K867" s="37" t="str">
        <f t="shared" si="76"/>
        <v>A043340</v>
      </c>
    </row>
    <row r="868" spans="1:11" x14ac:dyDescent="0.4">
      <c r="B868" s="54" t="s">
        <v>2250</v>
      </c>
      <c r="C868" s="37" t="s">
        <v>2251</v>
      </c>
      <c r="D868" s="55" t="s">
        <v>820</v>
      </c>
      <c r="E868" s="56">
        <v>24.3</v>
      </c>
      <c r="F868" s="55">
        <v>0.06</v>
      </c>
      <c r="G868" s="55"/>
      <c r="J868" s="37" t="str">
        <f t="shared" si="75"/>
        <v>디지아이</v>
      </c>
      <c r="K868" s="37" t="str">
        <f t="shared" si="76"/>
        <v>A043360</v>
      </c>
    </row>
    <row r="869" spans="1:11" x14ac:dyDescent="0.4">
      <c r="A869" s="49"/>
      <c r="B869" s="54" t="s">
        <v>2252</v>
      </c>
      <c r="C869" s="37" t="s">
        <v>2253</v>
      </c>
      <c r="D869" s="55" t="s">
        <v>820</v>
      </c>
      <c r="E869" s="58">
        <v>285.39</v>
      </c>
      <c r="F869" s="57">
        <v>1.1399999999999999</v>
      </c>
      <c r="G869" s="57"/>
      <c r="H869" s="49"/>
      <c r="I869" s="49" t="str">
        <f t="shared" ref="I869:I891" si="78">IF((G869&gt;$G$8),E869+ROW()/100000,"")</f>
        <v/>
      </c>
      <c r="J869" s="37" t="str">
        <f t="shared" si="75"/>
        <v>피에이치에이</v>
      </c>
      <c r="K869" s="37" t="str">
        <f t="shared" si="76"/>
        <v>A043370</v>
      </c>
    </row>
    <row r="870" spans="1:11" x14ac:dyDescent="0.4">
      <c r="A870" s="49"/>
      <c r="B870" s="54" t="s">
        <v>2254</v>
      </c>
      <c r="C870" s="37" t="s">
        <v>2255</v>
      </c>
      <c r="D870" s="55" t="s">
        <v>820</v>
      </c>
      <c r="E870" s="58">
        <v>18.91</v>
      </c>
      <c r="F870" s="57">
        <v>0.27</v>
      </c>
      <c r="G870" s="57"/>
      <c r="H870" s="49"/>
      <c r="I870" s="49" t="str">
        <f t="shared" si="78"/>
        <v/>
      </c>
      <c r="J870" s="37" t="str">
        <f t="shared" si="75"/>
        <v>웰킵스하이텍</v>
      </c>
      <c r="K870" s="37" t="str">
        <f t="shared" si="76"/>
        <v>A043590</v>
      </c>
    </row>
    <row r="871" spans="1:11" x14ac:dyDescent="0.4">
      <c r="A871" s="49"/>
      <c r="B871" s="54" t="s">
        <v>2256</v>
      </c>
      <c r="C871" s="37" t="s">
        <v>2257</v>
      </c>
      <c r="D871" s="55" t="s">
        <v>820</v>
      </c>
      <c r="E871" s="58">
        <v>105.07</v>
      </c>
      <c r="F871" s="57">
        <v>0.19</v>
      </c>
      <c r="G871" s="57"/>
      <c r="H871" s="49"/>
      <c r="I871" s="49" t="str">
        <f t="shared" si="78"/>
        <v/>
      </c>
      <c r="J871" s="37" t="str">
        <f t="shared" si="75"/>
        <v>KT지니뮤직</v>
      </c>
      <c r="K871" s="37" t="str">
        <f t="shared" si="76"/>
        <v>A043610</v>
      </c>
    </row>
    <row r="872" spans="1:11" x14ac:dyDescent="0.4">
      <c r="A872" s="49"/>
      <c r="B872" s="54" t="s">
        <v>2258</v>
      </c>
      <c r="C872" s="37" t="s">
        <v>2259</v>
      </c>
      <c r="D872" s="55" t="s">
        <v>820</v>
      </c>
      <c r="E872" s="58">
        <v>77.510000000000005</v>
      </c>
      <c r="F872" s="57">
        <v>0.14000000000000001</v>
      </c>
      <c r="G872" s="57"/>
      <c r="H872" s="49"/>
      <c r="I872" s="49" t="str">
        <f t="shared" si="78"/>
        <v/>
      </c>
      <c r="J872" s="37" t="str">
        <f t="shared" si="75"/>
        <v>국순당</v>
      </c>
      <c r="K872" s="37" t="str">
        <f t="shared" si="76"/>
        <v>A043650</v>
      </c>
    </row>
    <row r="873" spans="1:11" x14ac:dyDescent="0.4">
      <c r="A873" s="49"/>
      <c r="B873" s="54" t="s">
        <v>2260</v>
      </c>
      <c r="C873" s="37" t="s">
        <v>5209</v>
      </c>
      <c r="D873" s="55" t="s">
        <v>820</v>
      </c>
      <c r="E873" s="58">
        <v>74.88</v>
      </c>
      <c r="F873" s="57">
        <v>0.14000000000000001</v>
      </c>
      <c r="G873" s="57"/>
      <c r="H873" s="49"/>
      <c r="I873" s="49" t="str">
        <f t="shared" si="78"/>
        <v/>
      </c>
      <c r="J873" s="37" t="str">
        <f t="shared" si="75"/>
        <v>코스리거글로벌</v>
      </c>
      <c r="K873" s="37" t="str">
        <f t="shared" si="76"/>
        <v>A043710</v>
      </c>
    </row>
    <row r="874" spans="1:11" x14ac:dyDescent="0.4">
      <c r="A874" s="49"/>
      <c r="B874" s="54" t="s">
        <v>2261</v>
      </c>
      <c r="C874" s="37" t="s">
        <v>2262</v>
      </c>
      <c r="D874" s="55" t="s">
        <v>820</v>
      </c>
      <c r="E874" s="58">
        <v>62.03</v>
      </c>
      <c r="F874" s="57">
        <v>0.55000000000000004</v>
      </c>
      <c r="G874" s="57"/>
      <c r="H874" s="49"/>
      <c r="I874" s="49" t="str">
        <f t="shared" si="78"/>
        <v/>
      </c>
      <c r="J874" s="37" t="str">
        <f t="shared" si="75"/>
        <v>자연과환경</v>
      </c>
      <c r="K874" s="37" t="str">
        <f t="shared" si="76"/>
        <v>A043910</v>
      </c>
    </row>
    <row r="875" spans="1:11" x14ac:dyDescent="0.4">
      <c r="A875" s="49"/>
      <c r="B875" s="54" t="s">
        <v>2263</v>
      </c>
      <c r="C875" s="37" t="s">
        <v>2264</v>
      </c>
      <c r="D875" s="55" t="s">
        <v>820</v>
      </c>
      <c r="E875" s="58">
        <v>8.34</v>
      </c>
      <c r="F875" s="57">
        <v>2.35</v>
      </c>
      <c r="G875" s="57"/>
      <c r="H875" s="49"/>
      <c r="I875" s="49" t="str">
        <f t="shared" si="78"/>
        <v/>
      </c>
      <c r="J875" s="37" t="str">
        <f t="shared" si="75"/>
        <v>KD</v>
      </c>
      <c r="K875" s="37" t="str">
        <f t="shared" si="76"/>
        <v>A044180</v>
      </c>
    </row>
    <row r="876" spans="1:11" x14ac:dyDescent="0.4">
      <c r="A876" s="49"/>
      <c r="B876" s="54" t="s">
        <v>2265</v>
      </c>
      <c r="C876" s="37" t="s">
        <v>2266</v>
      </c>
      <c r="D876" s="55" t="s">
        <v>820</v>
      </c>
      <c r="E876" s="58">
        <v>90.8</v>
      </c>
      <c r="F876" s="57">
        <v>0.14000000000000001</v>
      </c>
      <c r="G876" s="57"/>
      <c r="H876" s="49"/>
      <c r="I876" s="49" t="str">
        <f t="shared" si="78"/>
        <v/>
      </c>
      <c r="J876" s="37" t="str">
        <f t="shared" si="75"/>
        <v>위닉스</v>
      </c>
      <c r="K876" s="37" t="str">
        <f t="shared" si="76"/>
        <v>A044340</v>
      </c>
    </row>
    <row r="877" spans="1:11" x14ac:dyDescent="0.4">
      <c r="A877" s="49"/>
      <c r="B877" s="54" t="s">
        <v>2267</v>
      </c>
      <c r="C877" s="37" t="s">
        <v>2268</v>
      </c>
      <c r="D877" s="55" t="s">
        <v>805</v>
      </c>
      <c r="E877" s="58">
        <v>23.79</v>
      </c>
      <c r="F877" s="57">
        <v>0.1</v>
      </c>
      <c r="G877" s="57"/>
      <c r="H877" s="49"/>
      <c r="I877" s="49" t="str">
        <f t="shared" si="78"/>
        <v/>
      </c>
      <c r="J877" s="37" t="str">
        <f t="shared" si="75"/>
        <v>주연테크</v>
      </c>
      <c r="K877" s="37" t="str">
        <f t="shared" si="76"/>
        <v>A044380</v>
      </c>
    </row>
    <row r="878" spans="1:11" x14ac:dyDescent="0.4">
      <c r="B878" s="54" t="s">
        <v>378</v>
      </c>
      <c r="C878" s="37" t="s">
        <v>379</v>
      </c>
      <c r="D878" s="55" t="s">
        <v>805</v>
      </c>
      <c r="E878" s="56">
        <v>249.79</v>
      </c>
      <c r="F878" s="55">
        <v>0.72</v>
      </c>
      <c r="G878" s="55"/>
      <c r="I878" s="49" t="str">
        <f t="shared" si="78"/>
        <v/>
      </c>
      <c r="J878" s="37" t="str">
        <f t="shared" si="75"/>
        <v>KSS해운</v>
      </c>
      <c r="K878" s="37" t="str">
        <f t="shared" si="76"/>
        <v>A044450</v>
      </c>
    </row>
    <row r="879" spans="1:11" x14ac:dyDescent="0.4">
      <c r="A879" s="49"/>
      <c r="B879" s="54" t="s">
        <v>2269</v>
      </c>
      <c r="C879" s="37" t="s">
        <v>2270</v>
      </c>
      <c r="D879" s="55" t="s">
        <v>820</v>
      </c>
      <c r="E879" s="58">
        <v>18.96</v>
      </c>
      <c r="F879" s="57">
        <v>2.62</v>
      </c>
      <c r="G879" s="57"/>
      <c r="H879" s="49"/>
      <c r="I879" s="49" t="str">
        <f t="shared" si="78"/>
        <v/>
      </c>
      <c r="J879" s="37" t="str">
        <f t="shared" si="75"/>
        <v>빌리언스</v>
      </c>
      <c r="K879" s="37" t="str">
        <f t="shared" si="76"/>
        <v>A044480</v>
      </c>
    </row>
    <row r="880" spans="1:11" x14ac:dyDescent="0.4">
      <c r="A880" s="49"/>
      <c r="B880" s="54" t="s">
        <v>223</v>
      </c>
      <c r="C880" s="37" t="s">
        <v>224</v>
      </c>
      <c r="D880" s="55" t="s">
        <v>820</v>
      </c>
      <c r="E880" s="56">
        <v>710.26</v>
      </c>
      <c r="F880" s="55">
        <v>8.65</v>
      </c>
      <c r="G880" s="55">
        <v>2</v>
      </c>
      <c r="I880" s="49">
        <f t="shared" si="78"/>
        <v>710.26879999999994</v>
      </c>
      <c r="J880" s="37" t="str">
        <f t="shared" si="75"/>
        <v>태웅</v>
      </c>
      <c r="K880" s="37" t="str">
        <f t="shared" si="76"/>
        <v>A044490</v>
      </c>
    </row>
    <row r="881" spans="1:11" x14ac:dyDescent="0.4">
      <c r="A881" s="49"/>
      <c r="B881" s="54" t="s">
        <v>2271</v>
      </c>
      <c r="C881" s="37" t="s">
        <v>2272</v>
      </c>
      <c r="D881" s="55" t="s">
        <v>820</v>
      </c>
      <c r="E881" s="58">
        <v>25.57</v>
      </c>
      <c r="F881" s="57">
        <v>0.06</v>
      </c>
      <c r="G881" s="57"/>
      <c r="H881" s="49"/>
      <c r="I881" s="49" t="str">
        <f t="shared" si="78"/>
        <v/>
      </c>
      <c r="J881" s="37" t="str">
        <f t="shared" si="75"/>
        <v>에이치케이</v>
      </c>
      <c r="K881" s="37" t="str">
        <f t="shared" si="76"/>
        <v>A044780</v>
      </c>
    </row>
    <row r="882" spans="1:11" x14ac:dyDescent="0.4">
      <c r="A882" s="49"/>
      <c r="B882" s="54" t="s">
        <v>2273</v>
      </c>
      <c r="C882" s="37" t="s">
        <v>2274</v>
      </c>
      <c r="D882" s="55" t="s">
        <v>805</v>
      </c>
      <c r="E882" s="58">
        <v>144.91999999999999</v>
      </c>
      <c r="F882" s="57">
        <v>0.44</v>
      </c>
      <c r="G882" s="57"/>
      <c r="H882" s="49"/>
      <c r="I882" s="49" t="str">
        <f t="shared" si="78"/>
        <v/>
      </c>
      <c r="J882" s="37" t="str">
        <f t="shared" si="75"/>
        <v>코스맥스비티아이</v>
      </c>
      <c r="K882" s="37" t="str">
        <f t="shared" si="76"/>
        <v>A044820</v>
      </c>
    </row>
    <row r="883" spans="1:11" x14ac:dyDescent="0.4">
      <c r="A883" s="49"/>
      <c r="B883" s="54" t="s">
        <v>2275</v>
      </c>
      <c r="C883" s="37" t="s">
        <v>2276</v>
      </c>
      <c r="D883" s="55" t="s">
        <v>820</v>
      </c>
      <c r="E883" s="58">
        <v>51.83</v>
      </c>
      <c r="F883" s="57">
        <v>0.9</v>
      </c>
      <c r="G883" s="57"/>
      <c r="H883" s="49"/>
      <c r="I883" s="49" t="str">
        <f t="shared" si="78"/>
        <v/>
      </c>
      <c r="J883" s="37" t="str">
        <f t="shared" si="75"/>
        <v>이글벳</v>
      </c>
      <c r="K883" s="37" t="str">
        <f t="shared" si="76"/>
        <v>A044960</v>
      </c>
    </row>
    <row r="884" spans="1:11" x14ac:dyDescent="0.4">
      <c r="A884" s="49"/>
      <c r="B884" s="54" t="s">
        <v>2277</v>
      </c>
      <c r="C884" s="37" t="s">
        <v>2278</v>
      </c>
      <c r="D884" s="55" t="s">
        <v>820</v>
      </c>
      <c r="E884" s="58">
        <v>127.65</v>
      </c>
      <c r="F884" s="57">
        <v>2.3199999999999998</v>
      </c>
      <c r="G884" s="57"/>
      <c r="H884" s="49"/>
      <c r="I884" s="49" t="str">
        <f t="shared" si="78"/>
        <v/>
      </c>
      <c r="J884" s="37" t="str">
        <f t="shared" si="75"/>
        <v>에이치엔에스하이텍</v>
      </c>
      <c r="K884" s="37" t="str">
        <f t="shared" si="76"/>
        <v>A044990</v>
      </c>
    </row>
    <row r="885" spans="1:11" x14ac:dyDescent="0.4">
      <c r="A885" s="49"/>
      <c r="B885" s="54" t="s">
        <v>2279</v>
      </c>
      <c r="C885" s="37" t="s">
        <v>2280</v>
      </c>
      <c r="D885" s="55" t="s">
        <v>820</v>
      </c>
      <c r="E885" s="58">
        <v>39.9</v>
      </c>
      <c r="F885" s="57">
        <v>0.08</v>
      </c>
      <c r="G885" s="57"/>
      <c r="H885" s="49"/>
      <c r="I885" s="49" t="str">
        <f t="shared" si="78"/>
        <v/>
      </c>
      <c r="J885" s="37" t="str">
        <f t="shared" si="75"/>
        <v>오공</v>
      </c>
      <c r="K885" s="37" t="str">
        <f t="shared" si="76"/>
        <v>A045060</v>
      </c>
    </row>
    <row r="886" spans="1:11" x14ac:dyDescent="0.4">
      <c r="A886" s="49"/>
      <c r="B886" s="54" t="s">
        <v>2281</v>
      </c>
      <c r="C886" s="37" t="s">
        <v>2282</v>
      </c>
      <c r="D886" s="55" t="s">
        <v>820</v>
      </c>
      <c r="E886" s="58">
        <v>601.20000000000005</v>
      </c>
      <c r="F886" s="57">
        <v>2.99</v>
      </c>
      <c r="G886" s="57"/>
      <c r="H886" s="49"/>
      <c r="I886" s="49" t="str">
        <f t="shared" si="78"/>
        <v/>
      </c>
      <c r="J886" s="37" t="str">
        <f t="shared" si="75"/>
        <v>한양이엔지</v>
      </c>
      <c r="K886" s="37" t="str">
        <f t="shared" si="76"/>
        <v>A045100</v>
      </c>
    </row>
    <row r="887" spans="1:11" x14ac:dyDescent="0.4">
      <c r="A887" s="49"/>
      <c r="B887" s="54" t="s">
        <v>2283</v>
      </c>
      <c r="C887" s="37" t="s">
        <v>2284</v>
      </c>
      <c r="D887" s="55" t="s">
        <v>820</v>
      </c>
      <c r="E887" s="58">
        <v>32.54</v>
      </c>
      <c r="F887" s="57">
        <v>0.11</v>
      </c>
      <c r="G887" s="57"/>
      <c r="H887" s="49"/>
      <c r="I887" s="49" t="str">
        <f t="shared" si="78"/>
        <v/>
      </c>
      <c r="J887" s="37" t="str">
        <f t="shared" si="75"/>
        <v>성우테크론</v>
      </c>
      <c r="K887" s="37" t="str">
        <f t="shared" si="76"/>
        <v>A045300</v>
      </c>
    </row>
    <row r="888" spans="1:11" x14ac:dyDescent="0.4">
      <c r="A888" s="49"/>
      <c r="B888" s="54" t="s">
        <v>2285</v>
      </c>
      <c r="C888" s="37" t="s">
        <v>2286</v>
      </c>
      <c r="D888" s="55" t="s">
        <v>820</v>
      </c>
      <c r="E888" s="58">
        <v>62.47</v>
      </c>
      <c r="F888" s="57">
        <v>0.7</v>
      </c>
      <c r="G888" s="57"/>
      <c r="H888" s="49"/>
      <c r="I888" s="49" t="str">
        <f t="shared" si="78"/>
        <v/>
      </c>
      <c r="J888" s="37" t="str">
        <f t="shared" si="75"/>
        <v>토탈소프트</v>
      </c>
      <c r="K888" s="37" t="str">
        <f t="shared" si="76"/>
        <v>A045340</v>
      </c>
    </row>
    <row r="889" spans="1:11" x14ac:dyDescent="0.4">
      <c r="A889" s="49"/>
      <c r="B889" s="54" t="s">
        <v>2287</v>
      </c>
      <c r="C889" s="37" t="s">
        <v>2288</v>
      </c>
      <c r="D889" s="55" t="s">
        <v>820</v>
      </c>
      <c r="E889" s="58">
        <v>331.22</v>
      </c>
      <c r="F889" s="57">
        <v>4.37</v>
      </c>
      <c r="G889" s="57"/>
      <c r="H889" s="49"/>
      <c r="I889" s="49" t="str">
        <f t="shared" si="78"/>
        <v/>
      </c>
      <c r="J889" s="37" t="str">
        <f t="shared" si="75"/>
        <v>대아티아이</v>
      </c>
      <c r="K889" s="37" t="str">
        <f t="shared" si="76"/>
        <v>A045390</v>
      </c>
    </row>
    <row r="890" spans="1:11" x14ac:dyDescent="0.4">
      <c r="A890" s="49"/>
      <c r="B890" s="54" t="s">
        <v>2289</v>
      </c>
      <c r="C890" s="37" t="s">
        <v>2290</v>
      </c>
      <c r="D890" s="55" t="s">
        <v>820</v>
      </c>
      <c r="E890" s="58">
        <v>26.44</v>
      </c>
      <c r="F890" s="57">
        <v>0.04</v>
      </c>
      <c r="G890" s="57"/>
      <c r="H890" s="49"/>
      <c r="I890" s="49" t="str">
        <f t="shared" si="78"/>
        <v/>
      </c>
      <c r="J890" s="37" t="str">
        <f t="shared" si="75"/>
        <v>정원엔시스</v>
      </c>
      <c r="K890" s="37" t="str">
        <f t="shared" si="76"/>
        <v>A045510</v>
      </c>
    </row>
    <row r="891" spans="1:11" x14ac:dyDescent="0.4">
      <c r="A891" s="49"/>
      <c r="B891" s="54" t="s">
        <v>2291</v>
      </c>
      <c r="C891" s="37" t="s">
        <v>2292</v>
      </c>
      <c r="D891" s="55" t="s">
        <v>820</v>
      </c>
      <c r="E891" s="56">
        <v>22.3</v>
      </c>
      <c r="F891" s="55">
        <v>0.08</v>
      </c>
      <c r="G891" s="55"/>
      <c r="I891" s="49" t="str">
        <f t="shared" si="78"/>
        <v/>
      </c>
      <c r="J891" s="37" t="str">
        <f t="shared" si="75"/>
        <v>크린앤사이언스</v>
      </c>
      <c r="K891" s="37" t="str">
        <f t="shared" si="76"/>
        <v>A045520</v>
      </c>
    </row>
    <row r="892" spans="1:11" x14ac:dyDescent="0.4">
      <c r="B892" s="54" t="s">
        <v>2293</v>
      </c>
      <c r="C892" s="37" t="s">
        <v>2294</v>
      </c>
      <c r="D892" s="55" t="s">
        <v>820</v>
      </c>
      <c r="E892" s="56">
        <v>85.16</v>
      </c>
      <c r="F892" s="55">
        <v>0.42</v>
      </c>
      <c r="G892" s="55"/>
      <c r="J892" s="37" t="str">
        <f t="shared" si="75"/>
        <v>에이텍</v>
      </c>
      <c r="K892" s="37" t="str">
        <f t="shared" si="76"/>
        <v>A045660</v>
      </c>
    </row>
    <row r="893" spans="1:11" x14ac:dyDescent="0.4">
      <c r="A893" s="49"/>
      <c r="B893" s="54" t="s">
        <v>2295</v>
      </c>
      <c r="C893" s="37" t="s">
        <v>2296</v>
      </c>
      <c r="D893" s="55" t="s">
        <v>820</v>
      </c>
      <c r="E893" s="58">
        <v>144.21</v>
      </c>
      <c r="F893" s="57">
        <v>2.86</v>
      </c>
      <c r="G893" s="57"/>
      <c r="H893" s="49"/>
      <c r="I893" s="49" t="str">
        <f t="shared" ref="I893:I898" si="79">IF((G893&gt;$G$8),E893+ROW()/100000,"")</f>
        <v/>
      </c>
      <c r="J893" s="37" t="str">
        <f t="shared" si="75"/>
        <v>코아시아</v>
      </c>
      <c r="K893" s="37" t="str">
        <f t="shared" si="76"/>
        <v>A045970</v>
      </c>
    </row>
    <row r="894" spans="1:11" x14ac:dyDescent="0.4">
      <c r="A894" s="49"/>
      <c r="B894" s="54" t="s">
        <v>2297</v>
      </c>
      <c r="C894" s="37" t="s">
        <v>2298</v>
      </c>
      <c r="D894" s="55" t="s">
        <v>820</v>
      </c>
      <c r="E894" s="58">
        <v>159.19999999999999</v>
      </c>
      <c r="F894" s="57">
        <v>0</v>
      </c>
      <c r="G894" s="57"/>
      <c r="H894" s="49"/>
      <c r="I894" s="49" t="str">
        <f t="shared" si="79"/>
        <v/>
      </c>
      <c r="J894" s="37" t="str">
        <f t="shared" si="75"/>
        <v>코다코</v>
      </c>
      <c r="K894" s="37" t="str">
        <f t="shared" si="76"/>
        <v>A046070</v>
      </c>
    </row>
    <row r="895" spans="1:11" x14ac:dyDescent="0.4">
      <c r="A895" s="49"/>
      <c r="B895" s="54" t="s">
        <v>2299</v>
      </c>
      <c r="C895" s="37" t="s">
        <v>2300</v>
      </c>
      <c r="D895" s="55" t="s">
        <v>820</v>
      </c>
      <c r="E895" s="58">
        <v>197.38</v>
      </c>
      <c r="F895" s="57">
        <v>8.86</v>
      </c>
      <c r="G895" s="57"/>
      <c r="H895" s="49"/>
      <c r="I895" s="49" t="str">
        <f t="shared" si="79"/>
        <v/>
      </c>
      <c r="J895" s="37" t="str">
        <f t="shared" si="75"/>
        <v>오르비텍</v>
      </c>
      <c r="K895" s="37" t="str">
        <f t="shared" si="76"/>
        <v>A046120</v>
      </c>
    </row>
    <row r="896" spans="1:11" x14ac:dyDescent="0.4">
      <c r="A896" s="49"/>
      <c r="B896" s="54" t="s">
        <v>2301</v>
      </c>
      <c r="C896" s="37" t="s">
        <v>2302</v>
      </c>
      <c r="D896" s="55" t="s">
        <v>820</v>
      </c>
      <c r="E896" s="56">
        <v>90.85</v>
      </c>
      <c r="F896" s="55">
        <v>0.36</v>
      </c>
      <c r="G896" s="55"/>
      <c r="I896" s="49" t="str">
        <f t="shared" si="79"/>
        <v/>
      </c>
      <c r="J896" s="37" t="str">
        <f t="shared" si="75"/>
        <v>HLB파나진</v>
      </c>
      <c r="K896" s="37" t="str">
        <f t="shared" si="76"/>
        <v>A046210</v>
      </c>
    </row>
    <row r="897" spans="1:11" x14ac:dyDescent="0.4">
      <c r="A897" s="49"/>
      <c r="B897" s="54" t="s">
        <v>2303</v>
      </c>
      <c r="C897" s="37" t="s">
        <v>2304</v>
      </c>
      <c r="D897" s="55" t="s">
        <v>820</v>
      </c>
      <c r="E897" s="58">
        <v>56.23</v>
      </c>
      <c r="F897" s="57">
        <v>0.79</v>
      </c>
      <c r="G897" s="57"/>
      <c r="H897" s="49"/>
      <c r="I897" s="49" t="str">
        <f t="shared" si="79"/>
        <v/>
      </c>
      <c r="J897" s="37" t="str">
        <f t="shared" si="75"/>
        <v>백금T&amp;A</v>
      </c>
      <c r="K897" s="37" t="str">
        <f t="shared" si="76"/>
        <v>A046310</v>
      </c>
    </row>
    <row r="898" spans="1:11" x14ac:dyDescent="0.4">
      <c r="A898" s="49"/>
      <c r="B898" s="54" t="s">
        <v>2305</v>
      </c>
      <c r="C898" s="37" t="s">
        <v>2306</v>
      </c>
      <c r="D898" s="55" t="s">
        <v>820</v>
      </c>
      <c r="E898" s="58">
        <v>36.35</v>
      </c>
      <c r="F898" s="57">
        <v>1.35</v>
      </c>
      <c r="G898" s="57"/>
      <c r="H898" s="49"/>
      <c r="I898" s="49" t="str">
        <f t="shared" si="79"/>
        <v/>
      </c>
      <c r="J898" s="37" t="str">
        <f t="shared" si="75"/>
        <v>삼화네트웍스</v>
      </c>
      <c r="K898" s="37" t="str">
        <f t="shared" si="76"/>
        <v>A046390</v>
      </c>
    </row>
    <row r="899" spans="1:11" x14ac:dyDescent="0.4">
      <c r="B899" s="54" t="s">
        <v>2307</v>
      </c>
      <c r="C899" s="37" t="s">
        <v>5178</v>
      </c>
      <c r="D899" s="55" t="s">
        <v>820</v>
      </c>
      <c r="E899" s="56">
        <v>202.22</v>
      </c>
      <c r="F899" s="55">
        <v>0.98</v>
      </c>
      <c r="G899" s="55">
        <v>1</v>
      </c>
      <c r="J899" s="37" t="str">
        <f t="shared" si="75"/>
        <v>KG파이낸셜</v>
      </c>
      <c r="K899" s="37" t="str">
        <f t="shared" si="76"/>
        <v>A046440</v>
      </c>
    </row>
    <row r="900" spans="1:11" x14ac:dyDescent="0.4">
      <c r="A900" s="49"/>
      <c r="B900" s="54" t="s">
        <v>2308</v>
      </c>
      <c r="C900" s="37" t="s">
        <v>2309</v>
      </c>
      <c r="D900" s="55" t="s">
        <v>820</v>
      </c>
      <c r="E900" s="58">
        <v>670.51</v>
      </c>
      <c r="F900" s="57">
        <v>3.47</v>
      </c>
      <c r="G900" s="57">
        <v>1</v>
      </c>
      <c r="H900" s="49"/>
      <c r="I900" s="49">
        <f t="shared" ref="I900:I905" si="80">IF((G900&gt;$G$8),E900+ROW()/100000,"")</f>
        <v>670.51900000000001</v>
      </c>
      <c r="J900" s="37" t="str">
        <f t="shared" si="75"/>
        <v>서울반도체</v>
      </c>
      <c r="K900" s="37" t="str">
        <f t="shared" si="76"/>
        <v>A046890</v>
      </c>
    </row>
    <row r="901" spans="1:11" x14ac:dyDescent="0.4">
      <c r="A901" s="49"/>
      <c r="B901" s="54" t="s">
        <v>2310</v>
      </c>
      <c r="C901" s="37" t="s">
        <v>2311</v>
      </c>
      <c r="D901" s="55" t="s">
        <v>820</v>
      </c>
      <c r="E901" s="57">
        <v>90.73</v>
      </c>
      <c r="F901" s="55">
        <v>0.81</v>
      </c>
      <c r="G901" s="55"/>
      <c r="I901" s="49" t="str">
        <f t="shared" si="80"/>
        <v/>
      </c>
      <c r="J901" s="37" t="str">
        <f t="shared" si="75"/>
        <v>우원개발</v>
      </c>
      <c r="K901" s="37" t="str">
        <f t="shared" si="76"/>
        <v>A046940</v>
      </c>
    </row>
    <row r="902" spans="1:11" x14ac:dyDescent="0.4">
      <c r="A902" s="49"/>
      <c r="B902" s="54" t="s">
        <v>2312</v>
      </c>
      <c r="C902" s="37" t="s">
        <v>2313</v>
      </c>
      <c r="D902" s="55" t="s">
        <v>820</v>
      </c>
      <c r="E902" s="58">
        <v>63.46</v>
      </c>
      <c r="F902" s="57">
        <v>2.27</v>
      </c>
      <c r="G902" s="57"/>
      <c r="H902" s="49"/>
      <c r="I902" s="49" t="str">
        <f t="shared" si="80"/>
        <v/>
      </c>
      <c r="J902" s="37" t="str">
        <f t="shared" si="75"/>
        <v>우리로</v>
      </c>
      <c r="K902" s="37" t="str">
        <f t="shared" si="76"/>
        <v>A046970</v>
      </c>
    </row>
    <row r="903" spans="1:11" x14ac:dyDescent="0.4">
      <c r="A903" s="49"/>
      <c r="B903" s="54" t="s">
        <v>340</v>
      </c>
      <c r="C903" s="37" t="s">
        <v>341</v>
      </c>
      <c r="D903" s="55" t="s">
        <v>805</v>
      </c>
      <c r="E903" s="56">
        <v>4214.41</v>
      </c>
      <c r="F903" s="55">
        <v>35.659999999999997</v>
      </c>
      <c r="G903" s="55">
        <v>20</v>
      </c>
      <c r="I903" s="49">
        <f t="shared" si="80"/>
        <v>4214.41903</v>
      </c>
      <c r="J903" s="37" t="str">
        <f t="shared" si="75"/>
        <v>대우건설</v>
      </c>
      <c r="K903" s="37" t="str">
        <f t="shared" si="76"/>
        <v>A047040</v>
      </c>
    </row>
    <row r="904" spans="1:11" x14ac:dyDescent="0.4">
      <c r="A904" s="49"/>
      <c r="B904" s="54" t="s">
        <v>182</v>
      </c>
      <c r="C904" s="37" t="s">
        <v>183</v>
      </c>
      <c r="D904" s="55" t="s">
        <v>805</v>
      </c>
      <c r="E904" s="58">
        <v>12701.63</v>
      </c>
      <c r="F904" s="57">
        <v>34.979999999999997</v>
      </c>
      <c r="G904" s="57">
        <v>12</v>
      </c>
      <c r="H904" s="49"/>
      <c r="I904" s="49">
        <f t="shared" si="80"/>
        <v>12701.63904</v>
      </c>
      <c r="J904" s="37" t="str">
        <f t="shared" si="75"/>
        <v>포스코인터내셔널</v>
      </c>
      <c r="K904" s="37" t="str">
        <f t="shared" si="76"/>
        <v>A047050</v>
      </c>
    </row>
    <row r="905" spans="1:11" x14ac:dyDescent="0.4">
      <c r="A905" s="49"/>
      <c r="B905" s="54" t="s">
        <v>2314</v>
      </c>
      <c r="C905" s="37" t="s">
        <v>2315</v>
      </c>
      <c r="D905" s="55" t="s">
        <v>820</v>
      </c>
      <c r="E905" s="58">
        <v>29.76</v>
      </c>
      <c r="F905" s="57">
        <v>0.06</v>
      </c>
      <c r="G905" s="57"/>
      <c r="H905" s="49"/>
      <c r="I905" s="49" t="str">
        <f t="shared" si="80"/>
        <v/>
      </c>
      <c r="J905" s="37" t="str">
        <f t="shared" si="75"/>
        <v>한빛소프트</v>
      </c>
      <c r="K905" s="37" t="str">
        <f t="shared" si="76"/>
        <v>A047080</v>
      </c>
    </row>
    <row r="906" spans="1:11" x14ac:dyDescent="0.4">
      <c r="B906" s="54" t="s">
        <v>2316</v>
      </c>
      <c r="C906" s="37" t="s">
        <v>2317</v>
      </c>
      <c r="D906" s="55" t="s">
        <v>820</v>
      </c>
      <c r="E906" s="56">
        <v>225.16</v>
      </c>
      <c r="F906" s="55">
        <v>4.2300000000000004</v>
      </c>
      <c r="G906" s="55"/>
      <c r="J906" s="37" t="str">
        <f t="shared" si="75"/>
        <v>파워로직스</v>
      </c>
      <c r="K906" s="37" t="str">
        <f t="shared" si="76"/>
        <v>A047310</v>
      </c>
    </row>
    <row r="907" spans="1:11" x14ac:dyDescent="0.4">
      <c r="A907" s="49"/>
      <c r="B907" s="54" t="s">
        <v>2318</v>
      </c>
      <c r="C907" s="37" t="s">
        <v>2319</v>
      </c>
      <c r="D907" s="55" t="s">
        <v>805</v>
      </c>
      <c r="E907" s="58">
        <v>62.96</v>
      </c>
      <c r="F907" s="57">
        <v>4.21</v>
      </c>
      <c r="G907" s="57"/>
      <c r="H907" s="49"/>
      <c r="I907" s="49" t="str">
        <f t="shared" ref="I907:I921" si="81">IF((G907&gt;$G$8),E907+ROW()/100000,"")</f>
        <v/>
      </c>
      <c r="J907" s="37" t="str">
        <f t="shared" si="75"/>
        <v>유니온머티리얼</v>
      </c>
      <c r="K907" s="37" t="str">
        <f t="shared" si="76"/>
        <v>A047400</v>
      </c>
    </row>
    <row r="908" spans="1:11" x14ac:dyDescent="0.4">
      <c r="A908" s="49"/>
      <c r="B908" s="54" t="s">
        <v>2320</v>
      </c>
      <c r="C908" s="37" t="s">
        <v>2321</v>
      </c>
      <c r="D908" s="55" t="s">
        <v>820</v>
      </c>
      <c r="E908" s="58">
        <v>184.02</v>
      </c>
      <c r="F908" s="57">
        <v>1.74</v>
      </c>
      <c r="G908" s="57"/>
      <c r="H908" s="49"/>
      <c r="I908" s="49" t="str">
        <f t="shared" si="81"/>
        <v/>
      </c>
      <c r="J908" s="37" t="str">
        <f t="shared" si="75"/>
        <v>이스트소프트</v>
      </c>
      <c r="K908" s="37" t="str">
        <f t="shared" si="76"/>
        <v>A047560</v>
      </c>
    </row>
    <row r="909" spans="1:11" x14ac:dyDescent="0.4">
      <c r="A909" s="49"/>
      <c r="B909" s="54" t="s">
        <v>2322</v>
      </c>
      <c r="C909" s="37" t="s">
        <v>2323</v>
      </c>
      <c r="D909" s="55" t="s">
        <v>820</v>
      </c>
      <c r="E909" s="58">
        <v>203.97</v>
      </c>
      <c r="F909" s="57">
        <v>17.63</v>
      </c>
      <c r="G909" s="57"/>
      <c r="H909" s="49"/>
      <c r="I909" s="49" t="str">
        <f t="shared" si="81"/>
        <v/>
      </c>
      <c r="J909" s="37" t="str">
        <f t="shared" si="75"/>
        <v>코데즈컴바인</v>
      </c>
      <c r="K909" s="37" t="str">
        <f t="shared" si="76"/>
        <v>A047770</v>
      </c>
    </row>
    <row r="910" spans="1:11" x14ac:dyDescent="0.4">
      <c r="A910" s="49"/>
      <c r="B910" s="54" t="s">
        <v>553</v>
      </c>
      <c r="C910" s="37" t="s">
        <v>554</v>
      </c>
      <c r="D910" s="55" t="s">
        <v>805</v>
      </c>
      <c r="E910" s="56">
        <v>18666.48</v>
      </c>
      <c r="F910" s="55">
        <v>112.39</v>
      </c>
      <c r="G910" s="55">
        <v>18</v>
      </c>
      <c r="I910" s="49">
        <f t="shared" si="81"/>
        <v>18666.489099999999</v>
      </c>
      <c r="J910" s="37" t="str">
        <f t="shared" ref="J910:J973" si="82">C910</f>
        <v>한국항공우주</v>
      </c>
      <c r="K910" s="37" t="str">
        <f t="shared" ref="K910:K973" si="83">B910</f>
        <v>A047810</v>
      </c>
    </row>
    <row r="911" spans="1:11" x14ac:dyDescent="0.4">
      <c r="A911" s="49"/>
      <c r="B911" s="54" t="s">
        <v>2324</v>
      </c>
      <c r="C911" s="37" t="s">
        <v>2325</v>
      </c>
      <c r="D911" s="55" t="s">
        <v>820</v>
      </c>
      <c r="E911" s="56">
        <v>113.1</v>
      </c>
      <c r="F911" s="55">
        <v>0.93</v>
      </c>
      <c r="G911" s="55"/>
      <c r="I911" s="49" t="str">
        <f t="shared" si="81"/>
        <v/>
      </c>
      <c r="J911" s="37" t="str">
        <f t="shared" si="82"/>
        <v>초록뱀미디어</v>
      </c>
      <c r="K911" s="37" t="str">
        <f t="shared" si="83"/>
        <v>A047820</v>
      </c>
    </row>
    <row r="912" spans="1:11" x14ac:dyDescent="0.4">
      <c r="A912" s="49"/>
      <c r="B912" s="54" t="s">
        <v>2326</v>
      </c>
      <c r="C912" s="37" t="s">
        <v>2327</v>
      </c>
      <c r="D912" s="55" t="s">
        <v>820</v>
      </c>
      <c r="E912" s="56">
        <v>508.72</v>
      </c>
      <c r="F912" s="55">
        <v>3.16</v>
      </c>
      <c r="G912" s="55"/>
      <c r="I912" s="49" t="str">
        <f t="shared" si="81"/>
        <v/>
      </c>
      <c r="J912" s="37" t="str">
        <f t="shared" si="82"/>
        <v>HLB제약</v>
      </c>
      <c r="K912" s="37" t="str">
        <f t="shared" si="83"/>
        <v>A047920</v>
      </c>
    </row>
    <row r="913" spans="1:11" x14ac:dyDescent="0.4">
      <c r="A913" s="49"/>
      <c r="B913" s="54" t="s">
        <v>2328</v>
      </c>
      <c r="C913" s="37" t="s">
        <v>2329</v>
      </c>
      <c r="D913" s="55" t="s">
        <v>820</v>
      </c>
      <c r="E913" s="58">
        <v>1505.92</v>
      </c>
      <c r="F913" s="57">
        <v>21.5</v>
      </c>
      <c r="G913" s="57"/>
      <c r="H913" s="49"/>
      <c r="I913" s="49" t="str">
        <f t="shared" si="81"/>
        <v/>
      </c>
      <c r="J913" s="37" t="str">
        <f t="shared" si="82"/>
        <v>현대바이오</v>
      </c>
      <c r="K913" s="37" t="str">
        <f t="shared" si="83"/>
        <v>A048410</v>
      </c>
    </row>
    <row r="914" spans="1:11" x14ac:dyDescent="0.4">
      <c r="A914" s="49"/>
      <c r="B914" s="54" t="s">
        <v>2330</v>
      </c>
      <c r="C914" s="37" t="s">
        <v>2331</v>
      </c>
      <c r="D914" s="55" t="s">
        <v>820</v>
      </c>
      <c r="E914" s="58">
        <v>93.31</v>
      </c>
      <c r="F914" s="57">
        <v>0.28000000000000003</v>
      </c>
      <c r="G914" s="57"/>
      <c r="H914" s="49"/>
      <c r="I914" s="49" t="str">
        <f t="shared" si="81"/>
        <v/>
      </c>
      <c r="J914" s="37" t="str">
        <f t="shared" si="82"/>
        <v>유라테크</v>
      </c>
      <c r="K914" s="37" t="str">
        <f t="shared" si="83"/>
        <v>A048430</v>
      </c>
    </row>
    <row r="915" spans="1:11" x14ac:dyDescent="0.4">
      <c r="A915" s="49"/>
      <c r="B915" s="54" t="s">
        <v>2332</v>
      </c>
      <c r="C915" s="37" t="s">
        <v>2333</v>
      </c>
      <c r="D915" s="55" t="s">
        <v>820</v>
      </c>
      <c r="E915" s="56">
        <v>33.049999999999997</v>
      </c>
      <c r="F915" s="55">
        <v>0.74</v>
      </c>
      <c r="G915" s="55"/>
      <c r="I915" s="49" t="str">
        <f t="shared" si="81"/>
        <v/>
      </c>
      <c r="J915" s="37" t="str">
        <f t="shared" si="82"/>
        <v>대동스틸</v>
      </c>
      <c r="K915" s="37" t="str">
        <f t="shared" si="83"/>
        <v>A048470</v>
      </c>
    </row>
    <row r="916" spans="1:11" x14ac:dyDescent="0.4">
      <c r="A916" s="49"/>
      <c r="B916" s="54" t="s">
        <v>2334</v>
      </c>
      <c r="C916" s="37" t="s">
        <v>2335</v>
      </c>
      <c r="D916" s="55" t="s">
        <v>820</v>
      </c>
      <c r="E916" s="56">
        <v>137.91</v>
      </c>
      <c r="F916" s="56">
        <v>1.52</v>
      </c>
      <c r="G916" s="55"/>
      <c r="I916" s="49" t="str">
        <f t="shared" si="81"/>
        <v/>
      </c>
      <c r="J916" s="37" t="str">
        <f t="shared" si="82"/>
        <v>인트론바이오</v>
      </c>
      <c r="K916" s="37" t="str">
        <f t="shared" si="83"/>
        <v>A048530</v>
      </c>
    </row>
    <row r="917" spans="1:11" x14ac:dyDescent="0.4">
      <c r="A917" s="49"/>
      <c r="B917" s="54" t="s">
        <v>2336</v>
      </c>
      <c r="C917" s="37" t="s">
        <v>2337</v>
      </c>
      <c r="D917" s="55" t="s">
        <v>820</v>
      </c>
      <c r="E917" s="58">
        <v>115.77</v>
      </c>
      <c r="F917" s="57">
        <v>1.26</v>
      </c>
      <c r="G917" s="57"/>
      <c r="H917" s="49"/>
      <c r="I917" s="49" t="str">
        <f t="shared" si="81"/>
        <v/>
      </c>
      <c r="J917" s="37" t="str">
        <f t="shared" si="82"/>
        <v>SM C&amp;C</v>
      </c>
      <c r="K917" s="37" t="str">
        <f t="shared" si="83"/>
        <v>A048550</v>
      </c>
    </row>
    <row r="918" spans="1:11" x14ac:dyDescent="0.4">
      <c r="A918" s="49"/>
      <c r="B918" s="54" t="s">
        <v>2338</v>
      </c>
      <c r="C918" s="37" t="s">
        <v>5184</v>
      </c>
      <c r="D918" s="55" t="s">
        <v>820</v>
      </c>
      <c r="E918" s="58">
        <v>52.9</v>
      </c>
      <c r="F918" s="57">
        <v>2.27</v>
      </c>
      <c r="G918" s="57"/>
      <c r="H918" s="49"/>
      <c r="I918" s="49" t="str">
        <f t="shared" si="81"/>
        <v/>
      </c>
      <c r="J918" s="37" t="str">
        <f t="shared" si="82"/>
        <v>TPC로보틱스</v>
      </c>
      <c r="K918" s="37" t="str">
        <f t="shared" si="83"/>
        <v>A048770</v>
      </c>
    </row>
    <row r="919" spans="1:11" x14ac:dyDescent="0.4">
      <c r="A919" s="49"/>
      <c r="B919" s="54" t="s">
        <v>2339</v>
      </c>
      <c r="C919" s="37" t="s">
        <v>2340</v>
      </c>
      <c r="D919" s="55" t="s">
        <v>820</v>
      </c>
      <c r="E919" s="58">
        <v>17.43</v>
      </c>
      <c r="F919" s="57">
        <v>0.25</v>
      </c>
      <c r="G919" s="57"/>
      <c r="H919" s="49"/>
      <c r="I919" s="49" t="str">
        <f t="shared" si="81"/>
        <v/>
      </c>
      <c r="J919" s="37" t="str">
        <f t="shared" si="82"/>
        <v>엔피케이</v>
      </c>
      <c r="K919" s="37" t="str">
        <f t="shared" si="83"/>
        <v>A048830</v>
      </c>
    </row>
    <row r="920" spans="1:11" x14ac:dyDescent="0.4">
      <c r="A920" s="49"/>
      <c r="B920" s="54" t="s">
        <v>2341</v>
      </c>
      <c r="C920" s="37" t="s">
        <v>2342</v>
      </c>
      <c r="D920" s="55" t="s">
        <v>820</v>
      </c>
      <c r="E920" s="56">
        <v>194.28</v>
      </c>
      <c r="F920" s="55">
        <v>0.79</v>
      </c>
      <c r="G920" s="55"/>
      <c r="I920" s="49" t="str">
        <f t="shared" si="81"/>
        <v/>
      </c>
      <c r="J920" s="37" t="str">
        <f t="shared" si="82"/>
        <v>시너지이노베이션</v>
      </c>
      <c r="K920" s="37" t="str">
        <f t="shared" si="83"/>
        <v>A048870</v>
      </c>
    </row>
    <row r="921" spans="1:11" x14ac:dyDescent="0.4">
      <c r="A921" s="49"/>
      <c r="B921" s="54" t="s">
        <v>2343</v>
      </c>
      <c r="C921" s="37" t="s">
        <v>2344</v>
      </c>
      <c r="D921" s="55" t="s">
        <v>820</v>
      </c>
      <c r="E921" s="59">
        <v>100</v>
      </c>
      <c r="F921" s="57">
        <v>0.45</v>
      </c>
      <c r="G921" s="57"/>
      <c r="H921" s="49"/>
      <c r="I921" s="49" t="str">
        <f t="shared" si="81"/>
        <v/>
      </c>
      <c r="J921" s="37" t="str">
        <f t="shared" si="82"/>
        <v>대원미디어</v>
      </c>
      <c r="K921" s="37" t="str">
        <f t="shared" si="83"/>
        <v>A048910</v>
      </c>
    </row>
    <row r="922" spans="1:11" x14ac:dyDescent="0.4">
      <c r="B922" s="54" t="s">
        <v>2345</v>
      </c>
      <c r="C922" s="37" t="s">
        <v>2346</v>
      </c>
      <c r="D922" s="55" t="s">
        <v>820</v>
      </c>
      <c r="E922" s="56">
        <v>338.84</v>
      </c>
      <c r="F922" s="55">
        <v>3.93</v>
      </c>
      <c r="G922" s="55">
        <v>1</v>
      </c>
      <c r="J922" s="37" t="str">
        <f t="shared" si="82"/>
        <v>인탑스</v>
      </c>
      <c r="K922" s="37" t="str">
        <f t="shared" si="83"/>
        <v>A049070</v>
      </c>
    </row>
    <row r="923" spans="1:11" x14ac:dyDescent="0.4">
      <c r="A923" s="49"/>
      <c r="B923" s="54" t="s">
        <v>2347</v>
      </c>
      <c r="C923" s="37" t="s">
        <v>2348</v>
      </c>
      <c r="D923" s="55" t="s">
        <v>820</v>
      </c>
      <c r="E923" s="58">
        <v>42.36</v>
      </c>
      <c r="F923" s="57">
        <v>0.39</v>
      </c>
      <c r="G923" s="57"/>
      <c r="H923" s="49"/>
      <c r="I923" s="49" t="str">
        <f t="shared" ref="I923:I948" si="84">IF((G923&gt;$G$8),E923+ROW()/100000,"")</f>
        <v/>
      </c>
      <c r="J923" s="37" t="str">
        <f t="shared" si="82"/>
        <v>기가레인</v>
      </c>
      <c r="K923" s="37" t="str">
        <f t="shared" si="83"/>
        <v>A049080</v>
      </c>
    </row>
    <row r="924" spans="1:11" x14ac:dyDescent="0.4">
      <c r="A924" s="49"/>
      <c r="B924" s="54" t="s">
        <v>2349</v>
      </c>
      <c r="C924" s="37" t="s">
        <v>2350</v>
      </c>
      <c r="D924" s="55" t="s">
        <v>820</v>
      </c>
      <c r="E924" s="58">
        <v>29.47</v>
      </c>
      <c r="F924" s="57">
        <v>0.08</v>
      </c>
      <c r="G924" s="57"/>
      <c r="H924" s="49"/>
      <c r="I924" s="49" t="str">
        <f t="shared" si="84"/>
        <v/>
      </c>
      <c r="J924" s="37" t="str">
        <f t="shared" si="82"/>
        <v>파인디앤씨</v>
      </c>
      <c r="K924" s="37" t="str">
        <f t="shared" si="83"/>
        <v>A049120</v>
      </c>
    </row>
    <row r="925" spans="1:11" x14ac:dyDescent="0.4">
      <c r="A925" s="49"/>
      <c r="B925" s="54" t="s">
        <v>2351</v>
      </c>
      <c r="C925" s="37" t="s">
        <v>2352</v>
      </c>
      <c r="D925" s="55" t="s">
        <v>820</v>
      </c>
      <c r="E925" s="58">
        <v>118.31</v>
      </c>
      <c r="F925" s="57">
        <v>5.0199999999999996</v>
      </c>
      <c r="G925" s="57"/>
      <c r="H925" s="49"/>
      <c r="I925" s="49" t="str">
        <f t="shared" si="84"/>
        <v/>
      </c>
      <c r="J925" s="37" t="str">
        <f t="shared" si="82"/>
        <v>셀루메드</v>
      </c>
      <c r="K925" s="37" t="str">
        <f t="shared" si="83"/>
        <v>A049180</v>
      </c>
    </row>
    <row r="926" spans="1:11" x14ac:dyDescent="0.4">
      <c r="A926" s="49"/>
      <c r="B926" s="54" t="s">
        <v>2353</v>
      </c>
      <c r="C926" s="37" t="s">
        <v>2354</v>
      </c>
      <c r="D926" s="55" t="s">
        <v>820</v>
      </c>
      <c r="E926" s="58">
        <v>142.13999999999999</v>
      </c>
      <c r="F926" s="57">
        <v>0.41</v>
      </c>
      <c r="G926" s="57">
        <v>1</v>
      </c>
      <c r="H926" s="49"/>
      <c r="I926" s="49">
        <f t="shared" si="84"/>
        <v>142.14926</v>
      </c>
      <c r="J926" s="37" t="str">
        <f t="shared" si="82"/>
        <v>코메론</v>
      </c>
      <c r="K926" s="37" t="str">
        <f t="shared" si="83"/>
        <v>A049430</v>
      </c>
    </row>
    <row r="927" spans="1:11" x14ac:dyDescent="0.4">
      <c r="A927" s="49"/>
      <c r="B927" s="54" t="s">
        <v>2355</v>
      </c>
      <c r="C927" s="37" t="s">
        <v>2356</v>
      </c>
      <c r="D927" s="55" t="s">
        <v>820</v>
      </c>
      <c r="E927" s="58">
        <v>74.400000000000006</v>
      </c>
      <c r="F927" s="57">
        <v>4.38</v>
      </c>
      <c r="G927" s="57"/>
      <c r="H927" s="49"/>
      <c r="I927" s="49" t="str">
        <f t="shared" si="84"/>
        <v/>
      </c>
      <c r="J927" s="37" t="str">
        <f t="shared" si="82"/>
        <v>비트플래닛</v>
      </c>
      <c r="K927" s="37" t="str">
        <f t="shared" si="83"/>
        <v>A049470</v>
      </c>
    </row>
    <row r="928" spans="1:11" x14ac:dyDescent="0.4">
      <c r="A928" s="49"/>
      <c r="B928" s="54" t="s">
        <v>2357</v>
      </c>
      <c r="C928" s="37" t="s">
        <v>2358</v>
      </c>
      <c r="D928" s="55" t="s">
        <v>820</v>
      </c>
      <c r="E928" s="58">
        <v>72.900000000000006</v>
      </c>
      <c r="F928" s="57">
        <v>0.83</v>
      </c>
      <c r="G928" s="57"/>
      <c r="H928" s="49"/>
      <c r="I928" s="49" t="str">
        <f t="shared" si="84"/>
        <v/>
      </c>
      <c r="J928" s="37" t="str">
        <f t="shared" si="82"/>
        <v>오픈베이스</v>
      </c>
      <c r="K928" s="37" t="str">
        <f t="shared" si="83"/>
        <v>A049480</v>
      </c>
    </row>
    <row r="929" spans="1:11" x14ac:dyDescent="0.4">
      <c r="A929" s="49"/>
      <c r="B929" s="54" t="s">
        <v>2359</v>
      </c>
      <c r="C929" s="37" t="s">
        <v>2360</v>
      </c>
      <c r="D929" s="55" t="s">
        <v>820</v>
      </c>
      <c r="E929" s="58">
        <v>130.6</v>
      </c>
      <c r="F929" s="57">
        <v>0.48</v>
      </c>
      <c r="G929" s="57"/>
      <c r="H929" s="49"/>
      <c r="I929" s="49" t="str">
        <f t="shared" si="84"/>
        <v/>
      </c>
      <c r="J929" s="37" t="str">
        <f t="shared" si="82"/>
        <v>유아이엘</v>
      </c>
      <c r="K929" s="37" t="str">
        <f t="shared" si="83"/>
        <v>A049520</v>
      </c>
    </row>
    <row r="930" spans="1:11" x14ac:dyDescent="0.4">
      <c r="A930" s="49"/>
      <c r="B930" s="54" t="s">
        <v>2361</v>
      </c>
      <c r="C930" s="37" t="s">
        <v>2362</v>
      </c>
      <c r="D930" s="55" t="s">
        <v>820</v>
      </c>
      <c r="E930" s="58">
        <v>64.7</v>
      </c>
      <c r="F930" s="57">
        <v>0.18</v>
      </c>
      <c r="G930" s="57"/>
      <c r="H930" s="49"/>
      <c r="I930" s="49" t="str">
        <f t="shared" si="84"/>
        <v/>
      </c>
      <c r="J930" s="37" t="str">
        <f t="shared" si="82"/>
        <v>잉크테크</v>
      </c>
      <c r="K930" s="37" t="str">
        <f t="shared" si="83"/>
        <v>A049550</v>
      </c>
    </row>
    <row r="931" spans="1:11" x14ac:dyDescent="0.4">
      <c r="A931" s="49"/>
      <c r="B931" s="54" t="s">
        <v>2363</v>
      </c>
      <c r="C931" s="37" t="s">
        <v>2364</v>
      </c>
      <c r="D931" s="55" t="s">
        <v>820</v>
      </c>
      <c r="E931" s="56">
        <v>474.6</v>
      </c>
      <c r="F931" s="55">
        <v>44.54</v>
      </c>
      <c r="G931" s="55"/>
      <c r="I931" s="49" t="str">
        <f t="shared" si="84"/>
        <v/>
      </c>
      <c r="J931" s="37" t="str">
        <f t="shared" si="82"/>
        <v>재영솔루텍</v>
      </c>
      <c r="K931" s="37" t="str">
        <f t="shared" si="83"/>
        <v>A049630</v>
      </c>
    </row>
    <row r="932" spans="1:11" x14ac:dyDescent="0.4">
      <c r="A932" s="49"/>
      <c r="B932" s="54" t="s">
        <v>2365</v>
      </c>
      <c r="C932" s="37" t="s">
        <v>2366</v>
      </c>
      <c r="D932" s="55" t="s">
        <v>820</v>
      </c>
      <c r="E932" s="56">
        <v>150.87</v>
      </c>
      <c r="F932" s="55">
        <v>0.65</v>
      </c>
      <c r="G932" s="55"/>
      <c r="I932" s="49" t="str">
        <f t="shared" si="84"/>
        <v/>
      </c>
      <c r="J932" s="37" t="str">
        <f t="shared" si="82"/>
        <v>고려신용정보</v>
      </c>
      <c r="K932" s="37" t="str">
        <f t="shared" si="83"/>
        <v>A049720</v>
      </c>
    </row>
    <row r="933" spans="1:11" x14ac:dyDescent="0.4">
      <c r="A933" s="49"/>
      <c r="B933" s="54" t="s">
        <v>2367</v>
      </c>
      <c r="C933" s="37" t="s">
        <v>2368</v>
      </c>
      <c r="D933" s="55" t="s">
        <v>805</v>
      </c>
      <c r="E933" s="58">
        <v>57.7</v>
      </c>
      <c r="F933" s="57">
        <v>0.19</v>
      </c>
      <c r="G933" s="57"/>
      <c r="H933" s="49"/>
      <c r="I933" s="49" t="str">
        <f t="shared" si="84"/>
        <v/>
      </c>
      <c r="J933" s="37" t="str">
        <f t="shared" si="82"/>
        <v>우진플라임</v>
      </c>
      <c r="K933" s="37" t="str">
        <f t="shared" si="83"/>
        <v>A049800</v>
      </c>
    </row>
    <row r="934" spans="1:11" x14ac:dyDescent="0.4">
      <c r="A934" s="49"/>
      <c r="B934" s="54" t="s">
        <v>2369</v>
      </c>
      <c r="C934" s="37" t="s">
        <v>2370</v>
      </c>
      <c r="D934" s="55" t="s">
        <v>820</v>
      </c>
      <c r="E934" s="58">
        <v>48.44</v>
      </c>
      <c r="F934" s="57">
        <v>0.02</v>
      </c>
      <c r="G934" s="57"/>
      <c r="H934" s="49"/>
      <c r="I934" s="49" t="str">
        <f t="shared" si="84"/>
        <v/>
      </c>
      <c r="J934" s="37" t="str">
        <f t="shared" si="82"/>
        <v>승일</v>
      </c>
      <c r="K934" s="37" t="str">
        <f t="shared" si="83"/>
        <v>A049830</v>
      </c>
    </row>
    <row r="935" spans="1:11" x14ac:dyDescent="0.4">
      <c r="A935" s="49"/>
      <c r="B935" s="54" t="s">
        <v>2371</v>
      </c>
      <c r="C935" s="37" t="s">
        <v>2372</v>
      </c>
      <c r="D935" s="55" t="s">
        <v>820</v>
      </c>
      <c r="E935" s="56">
        <v>152.02000000000001</v>
      </c>
      <c r="F935" s="55">
        <v>1.76</v>
      </c>
      <c r="G935" s="55"/>
      <c r="I935" s="49" t="str">
        <f t="shared" si="84"/>
        <v/>
      </c>
      <c r="J935" s="37" t="str">
        <f t="shared" si="82"/>
        <v>미래컴퍼니</v>
      </c>
      <c r="K935" s="37" t="str">
        <f t="shared" si="83"/>
        <v>A049950</v>
      </c>
    </row>
    <row r="936" spans="1:11" x14ac:dyDescent="0.4">
      <c r="A936" s="49"/>
      <c r="B936" s="54" t="s">
        <v>2373</v>
      </c>
      <c r="C936" s="37" t="s">
        <v>2374</v>
      </c>
      <c r="D936" s="55" t="s">
        <v>820</v>
      </c>
      <c r="E936" s="56">
        <v>135.74</v>
      </c>
      <c r="F936" s="55">
        <v>0.27</v>
      </c>
      <c r="G936" s="55"/>
      <c r="I936" s="49" t="str">
        <f t="shared" si="84"/>
        <v/>
      </c>
      <c r="J936" s="37" t="str">
        <f t="shared" si="82"/>
        <v>쎌바이오텍</v>
      </c>
      <c r="K936" s="37" t="str">
        <f t="shared" si="83"/>
        <v>A049960</v>
      </c>
    </row>
    <row r="937" spans="1:11" x14ac:dyDescent="0.4">
      <c r="A937" s="49"/>
      <c r="B937" s="54" t="s">
        <v>2375</v>
      </c>
      <c r="C937" s="37" t="s">
        <v>2376</v>
      </c>
      <c r="D937" s="55" t="s">
        <v>820</v>
      </c>
      <c r="E937" s="58">
        <v>14.48</v>
      </c>
      <c r="F937" s="57">
        <v>0.34</v>
      </c>
      <c r="G937" s="57"/>
      <c r="H937" s="49"/>
      <c r="I937" s="49" t="str">
        <f t="shared" si="84"/>
        <v/>
      </c>
      <c r="J937" s="37" t="str">
        <f t="shared" si="82"/>
        <v>비케이홀딩스</v>
      </c>
      <c r="K937" s="37" t="str">
        <f t="shared" si="83"/>
        <v>A050090</v>
      </c>
    </row>
    <row r="938" spans="1:11" x14ac:dyDescent="0.4">
      <c r="A938" s="49"/>
      <c r="B938" s="54" t="s">
        <v>2377</v>
      </c>
      <c r="C938" s="37" t="s">
        <v>2378</v>
      </c>
      <c r="D938" s="55" t="s">
        <v>820</v>
      </c>
      <c r="E938" s="58">
        <v>34.619999999999997</v>
      </c>
      <c r="F938" s="57">
        <v>1.1100000000000001</v>
      </c>
      <c r="G938" s="57"/>
      <c r="H938" s="49"/>
      <c r="I938" s="49" t="str">
        <f t="shared" si="84"/>
        <v/>
      </c>
      <c r="J938" s="37" t="str">
        <f t="shared" si="82"/>
        <v>캠시스</v>
      </c>
      <c r="K938" s="37" t="str">
        <f t="shared" si="83"/>
        <v>A050110</v>
      </c>
    </row>
    <row r="939" spans="1:11" x14ac:dyDescent="0.4">
      <c r="A939" s="49"/>
      <c r="B939" s="54" t="s">
        <v>2379</v>
      </c>
      <c r="C939" s="37" t="s">
        <v>2380</v>
      </c>
      <c r="D939" s="55" t="s">
        <v>820</v>
      </c>
      <c r="E939" s="56">
        <v>35.4</v>
      </c>
      <c r="F939" s="55">
        <v>0.31</v>
      </c>
      <c r="G939" s="55"/>
      <c r="I939" s="49" t="str">
        <f t="shared" si="84"/>
        <v/>
      </c>
      <c r="J939" s="37" t="str">
        <f t="shared" si="82"/>
        <v>ES큐브</v>
      </c>
      <c r="K939" s="37" t="str">
        <f t="shared" si="83"/>
        <v>A050120</v>
      </c>
    </row>
    <row r="940" spans="1:11" x14ac:dyDescent="0.4">
      <c r="A940" s="49"/>
      <c r="B940" s="54" t="s">
        <v>2381</v>
      </c>
      <c r="C940" s="37" t="s">
        <v>2382</v>
      </c>
      <c r="D940" s="55" t="s">
        <v>820</v>
      </c>
      <c r="E940" s="58">
        <v>20.190000000000001</v>
      </c>
      <c r="F940" s="57">
        <v>0.13</v>
      </c>
      <c r="G940" s="57"/>
      <c r="H940" s="49"/>
      <c r="I940" s="49" t="str">
        <f t="shared" si="84"/>
        <v/>
      </c>
      <c r="J940" s="37" t="str">
        <f t="shared" si="82"/>
        <v>에스폴리텍</v>
      </c>
      <c r="K940" s="37" t="str">
        <f t="shared" si="83"/>
        <v>A050760</v>
      </c>
    </row>
    <row r="941" spans="1:11" x14ac:dyDescent="0.4">
      <c r="A941" s="49"/>
      <c r="B941" s="54" t="s">
        <v>2383</v>
      </c>
      <c r="C941" s="37" t="s">
        <v>2384</v>
      </c>
      <c r="D941" s="55" t="s">
        <v>820</v>
      </c>
      <c r="E941" s="58">
        <v>47.25</v>
      </c>
      <c r="F941" s="57">
        <v>0.08</v>
      </c>
      <c r="G941" s="57"/>
      <c r="H941" s="49"/>
      <c r="I941" s="49" t="str">
        <f t="shared" si="84"/>
        <v/>
      </c>
      <c r="J941" s="37" t="str">
        <f t="shared" si="82"/>
        <v>아세아텍</v>
      </c>
      <c r="K941" s="37" t="str">
        <f t="shared" si="83"/>
        <v>A050860</v>
      </c>
    </row>
    <row r="942" spans="1:11" x14ac:dyDescent="0.4">
      <c r="A942" s="49"/>
      <c r="B942" s="54" t="s">
        <v>2385</v>
      </c>
      <c r="C942" s="37" t="s">
        <v>2386</v>
      </c>
      <c r="D942" s="55" t="s">
        <v>820</v>
      </c>
      <c r="E942" s="56">
        <v>510.96</v>
      </c>
      <c r="F942" s="55">
        <v>11.27</v>
      </c>
      <c r="G942" s="55">
        <v>1</v>
      </c>
      <c r="I942" s="49">
        <f t="shared" si="84"/>
        <v>510.96941999999996</v>
      </c>
      <c r="J942" s="37" t="str">
        <f t="shared" si="82"/>
        <v>쏠리드</v>
      </c>
      <c r="K942" s="37" t="str">
        <f t="shared" si="83"/>
        <v>A050890</v>
      </c>
    </row>
    <row r="943" spans="1:11" x14ac:dyDescent="0.4">
      <c r="A943" s="49"/>
      <c r="B943" s="54" t="s">
        <v>2387</v>
      </c>
      <c r="C943" s="37" t="s">
        <v>2388</v>
      </c>
      <c r="D943" s="55" t="s">
        <v>820</v>
      </c>
      <c r="E943" s="58">
        <v>62.11</v>
      </c>
      <c r="F943" s="57">
        <v>0.17</v>
      </c>
      <c r="G943" s="57"/>
      <c r="H943" s="49"/>
      <c r="I943" s="49" t="str">
        <f t="shared" si="84"/>
        <v/>
      </c>
      <c r="J943" s="37" t="str">
        <f t="shared" si="82"/>
        <v>수산아이앤티</v>
      </c>
      <c r="K943" s="37" t="str">
        <f t="shared" si="83"/>
        <v>A050960</v>
      </c>
    </row>
    <row r="944" spans="1:11" x14ac:dyDescent="0.4">
      <c r="A944" s="49"/>
      <c r="B944" s="54" t="s">
        <v>2389</v>
      </c>
      <c r="C944" s="37" t="s">
        <v>2390</v>
      </c>
      <c r="D944" s="55" t="s">
        <v>820</v>
      </c>
      <c r="E944" s="59">
        <v>113.12</v>
      </c>
      <c r="F944" s="57">
        <v>0.85</v>
      </c>
      <c r="G944" s="57"/>
      <c r="H944" s="49"/>
      <c r="I944" s="49" t="str">
        <f t="shared" si="84"/>
        <v/>
      </c>
      <c r="J944" s="37" t="str">
        <f t="shared" si="82"/>
        <v>지어소프트</v>
      </c>
      <c r="K944" s="37" t="str">
        <f t="shared" si="83"/>
        <v>A051160</v>
      </c>
    </row>
    <row r="945" spans="1:11" x14ac:dyDescent="0.4">
      <c r="A945" s="49"/>
      <c r="B945" s="54" t="s">
        <v>2391</v>
      </c>
      <c r="C945" s="37" t="s">
        <v>2392</v>
      </c>
      <c r="D945" s="55" t="s">
        <v>820</v>
      </c>
      <c r="E945" s="58">
        <v>234.44</v>
      </c>
      <c r="F945" s="57">
        <v>1.3</v>
      </c>
      <c r="G945" s="57"/>
      <c r="H945" s="49"/>
      <c r="I945" s="49" t="str">
        <f t="shared" si="84"/>
        <v/>
      </c>
      <c r="J945" s="37" t="str">
        <f t="shared" si="82"/>
        <v>토비스</v>
      </c>
      <c r="K945" s="37" t="str">
        <f t="shared" si="83"/>
        <v>A051360</v>
      </c>
    </row>
    <row r="946" spans="1:11" x14ac:dyDescent="0.4">
      <c r="A946" s="49"/>
      <c r="B946" s="54" t="s">
        <v>2393</v>
      </c>
      <c r="C946" s="37" t="s">
        <v>2394</v>
      </c>
      <c r="D946" s="55" t="s">
        <v>820</v>
      </c>
      <c r="E946" s="58">
        <v>277.60000000000002</v>
      </c>
      <c r="F946" s="57">
        <v>2.21</v>
      </c>
      <c r="G946" s="57"/>
      <c r="H946" s="49"/>
      <c r="I946" s="49" t="str">
        <f t="shared" si="84"/>
        <v/>
      </c>
      <c r="J946" s="37" t="str">
        <f t="shared" si="82"/>
        <v>인터플렉스</v>
      </c>
      <c r="K946" s="37" t="str">
        <f t="shared" si="83"/>
        <v>A051370</v>
      </c>
    </row>
    <row r="947" spans="1:11" x14ac:dyDescent="0.4">
      <c r="A947" s="49"/>
      <c r="B947" s="54" t="s">
        <v>2395</v>
      </c>
      <c r="C947" s="37" t="s">
        <v>2396</v>
      </c>
      <c r="D947" s="55" t="s">
        <v>820</v>
      </c>
      <c r="E947" s="58">
        <v>28.73</v>
      </c>
      <c r="F947" s="57">
        <v>0.4</v>
      </c>
      <c r="G947" s="57"/>
      <c r="H947" s="49"/>
      <c r="I947" s="49" t="str">
        <f t="shared" si="84"/>
        <v/>
      </c>
      <c r="J947" s="37" t="str">
        <f t="shared" si="82"/>
        <v>피씨디렉트</v>
      </c>
      <c r="K947" s="37" t="str">
        <f t="shared" si="83"/>
        <v>A051380</v>
      </c>
    </row>
    <row r="948" spans="1:11" x14ac:dyDescent="0.4">
      <c r="A948" s="49"/>
      <c r="B948" s="54" t="s">
        <v>2397</v>
      </c>
      <c r="C948" s="37" t="s">
        <v>2398</v>
      </c>
      <c r="D948" s="55" t="s">
        <v>820</v>
      </c>
      <c r="E948" s="56">
        <v>47.81</v>
      </c>
      <c r="F948" s="55">
        <v>0.04</v>
      </c>
      <c r="G948" s="55"/>
      <c r="I948" s="49" t="str">
        <f t="shared" si="84"/>
        <v/>
      </c>
      <c r="J948" s="37" t="str">
        <f t="shared" si="82"/>
        <v>YW</v>
      </c>
      <c r="K948" s="37" t="str">
        <f t="shared" si="83"/>
        <v>A051390</v>
      </c>
    </row>
    <row r="949" spans="1:11" x14ac:dyDescent="0.4">
      <c r="A949" s="49"/>
      <c r="B949" s="54" t="s">
        <v>2399</v>
      </c>
      <c r="C949" s="37" t="s">
        <v>2400</v>
      </c>
      <c r="D949" s="55" t="s">
        <v>820</v>
      </c>
      <c r="E949" s="56">
        <v>56.73</v>
      </c>
      <c r="F949" s="55">
        <v>0.28000000000000003</v>
      </c>
      <c r="G949" s="55"/>
      <c r="J949" s="37" t="str">
        <f t="shared" si="82"/>
        <v>나라엠앤디</v>
      </c>
      <c r="K949" s="37" t="str">
        <f t="shared" si="83"/>
        <v>A051490</v>
      </c>
    </row>
    <row r="950" spans="1:11" x14ac:dyDescent="0.4">
      <c r="A950" s="49"/>
      <c r="B950" s="54" t="s">
        <v>2401</v>
      </c>
      <c r="C950" s="37" t="s">
        <v>2402</v>
      </c>
      <c r="D950" s="55" t="s">
        <v>820</v>
      </c>
      <c r="E950" s="58">
        <v>396.51</v>
      </c>
      <c r="F950" s="57">
        <v>0.97</v>
      </c>
      <c r="G950" s="57">
        <v>8</v>
      </c>
      <c r="H950" s="49"/>
      <c r="I950" s="49">
        <f t="shared" ref="I950:I971" si="85">IF((G950&gt;$G$8),E950+ROW()/100000,"")</f>
        <v>396.51949999999999</v>
      </c>
      <c r="J950" s="37" t="str">
        <f t="shared" si="82"/>
        <v>CJ프레시웨이</v>
      </c>
      <c r="K950" s="37" t="str">
        <f t="shared" si="83"/>
        <v>A051500</v>
      </c>
    </row>
    <row r="951" spans="1:11" x14ac:dyDescent="0.4">
      <c r="A951" s="49"/>
      <c r="B951" s="54" t="s">
        <v>23</v>
      </c>
      <c r="C951" s="37" t="s">
        <v>24</v>
      </c>
      <c r="D951" s="55" t="s">
        <v>805</v>
      </c>
      <c r="E951" s="58">
        <v>2790</v>
      </c>
      <c r="F951" s="57">
        <v>13.11</v>
      </c>
      <c r="G951" s="57">
        <v>9</v>
      </c>
      <c r="H951" s="49"/>
      <c r="I951" s="49">
        <f t="shared" si="85"/>
        <v>2790.0095099999999</v>
      </c>
      <c r="J951" s="37" t="str">
        <f t="shared" si="82"/>
        <v>한전KPS</v>
      </c>
      <c r="K951" s="37" t="str">
        <f t="shared" si="83"/>
        <v>A051600</v>
      </c>
    </row>
    <row r="952" spans="1:11" x14ac:dyDescent="0.4">
      <c r="A952" s="49"/>
      <c r="B952" s="54" t="s">
        <v>2403</v>
      </c>
      <c r="C952" s="37" t="s">
        <v>2404</v>
      </c>
      <c r="D952" s="55" t="s">
        <v>805</v>
      </c>
      <c r="E952" s="58">
        <v>50.46</v>
      </c>
      <c r="F952" s="57">
        <v>0.49</v>
      </c>
      <c r="G952" s="57"/>
      <c r="H952" s="49"/>
      <c r="I952" s="49" t="str">
        <f t="shared" si="85"/>
        <v/>
      </c>
      <c r="J952" s="37" t="str">
        <f t="shared" si="82"/>
        <v>진양화학</v>
      </c>
      <c r="K952" s="37" t="str">
        <f t="shared" si="83"/>
        <v>A051630</v>
      </c>
    </row>
    <row r="953" spans="1:11" x14ac:dyDescent="0.4">
      <c r="A953" s="49"/>
      <c r="B953" s="54" t="s">
        <v>2405</v>
      </c>
      <c r="C953" s="37" t="s">
        <v>2406</v>
      </c>
      <c r="D953" s="55" t="s">
        <v>820</v>
      </c>
      <c r="E953" s="58">
        <v>22.56</v>
      </c>
      <c r="F953" s="57">
        <v>1.95</v>
      </c>
      <c r="G953" s="57"/>
      <c r="H953" s="49"/>
      <c r="I953" s="49" t="str">
        <f t="shared" si="85"/>
        <v/>
      </c>
      <c r="J953" s="37" t="str">
        <f t="shared" si="82"/>
        <v>큐로홀딩스</v>
      </c>
      <c r="K953" s="37" t="str">
        <f t="shared" si="83"/>
        <v>A051780</v>
      </c>
    </row>
    <row r="954" spans="1:11" x14ac:dyDescent="0.4">
      <c r="A954" s="49"/>
      <c r="B954" s="54" t="s">
        <v>2407</v>
      </c>
      <c r="C954" s="37" t="s">
        <v>2408</v>
      </c>
      <c r="D954" s="55" t="s">
        <v>805</v>
      </c>
      <c r="E954" s="58">
        <v>4085.76</v>
      </c>
      <c r="F954" s="57">
        <v>20.04</v>
      </c>
      <c r="G954" s="57">
        <v>14</v>
      </c>
      <c r="H954" s="49"/>
      <c r="I954" s="49">
        <f t="shared" si="85"/>
        <v>4085.7695400000002</v>
      </c>
      <c r="J954" s="37" t="str">
        <f t="shared" si="82"/>
        <v>LG생활건강</v>
      </c>
      <c r="K954" s="37" t="str">
        <f t="shared" si="83"/>
        <v>A051900</v>
      </c>
    </row>
    <row r="955" spans="1:11" x14ac:dyDescent="0.4">
      <c r="A955" s="49"/>
      <c r="B955" s="54" t="s">
        <v>186</v>
      </c>
      <c r="C955" s="37" t="s">
        <v>187</v>
      </c>
      <c r="D955" s="55" t="s">
        <v>805</v>
      </c>
      <c r="E955" s="56">
        <v>29472.3</v>
      </c>
      <c r="F955" s="55">
        <v>122.18</v>
      </c>
      <c r="G955" s="55">
        <v>16</v>
      </c>
      <c r="I955" s="49">
        <f t="shared" si="85"/>
        <v>29472.309549999998</v>
      </c>
      <c r="J955" s="37" t="str">
        <f t="shared" si="82"/>
        <v>LG화학</v>
      </c>
      <c r="K955" s="37" t="str">
        <f t="shared" si="83"/>
        <v>A051910</v>
      </c>
    </row>
    <row r="956" spans="1:11" x14ac:dyDescent="0.4">
      <c r="A956" s="49"/>
      <c r="B956" s="54" t="s">
        <v>2409</v>
      </c>
      <c r="C956" s="37" t="s">
        <v>2410</v>
      </c>
      <c r="D956" s="55" t="s">
        <v>820</v>
      </c>
      <c r="E956" s="58">
        <v>244.96</v>
      </c>
      <c r="F956" s="57">
        <v>11.13</v>
      </c>
      <c r="G956" s="57"/>
      <c r="H956" s="49"/>
      <c r="I956" s="49" t="str">
        <f t="shared" si="85"/>
        <v/>
      </c>
      <c r="J956" s="37" t="str">
        <f t="shared" si="82"/>
        <v>중앙첨단소재</v>
      </c>
      <c r="K956" s="37" t="str">
        <f t="shared" si="83"/>
        <v>A051980</v>
      </c>
    </row>
    <row r="957" spans="1:11" x14ac:dyDescent="0.4">
      <c r="A957" s="49"/>
      <c r="B957" s="54" t="s">
        <v>2411</v>
      </c>
      <c r="C957" s="37" t="s">
        <v>2412</v>
      </c>
      <c r="D957" s="55" t="s">
        <v>820</v>
      </c>
      <c r="E957" s="58">
        <v>607.09</v>
      </c>
      <c r="F957" s="57">
        <v>2.69</v>
      </c>
      <c r="G957" s="57"/>
      <c r="H957" s="49"/>
      <c r="I957" s="49" t="str">
        <f t="shared" si="85"/>
        <v/>
      </c>
      <c r="J957" s="37" t="str">
        <f t="shared" si="82"/>
        <v>에스티큐브</v>
      </c>
      <c r="K957" s="37" t="str">
        <f t="shared" si="83"/>
        <v>A052020</v>
      </c>
    </row>
    <row r="958" spans="1:11" x14ac:dyDescent="0.4">
      <c r="A958" s="49"/>
      <c r="B958" s="54" t="s">
        <v>2413</v>
      </c>
      <c r="C958" s="37" t="s">
        <v>2414</v>
      </c>
      <c r="D958" s="55" t="s">
        <v>820</v>
      </c>
      <c r="E958" s="58">
        <v>75.900000000000006</v>
      </c>
      <c r="F958" s="57">
        <v>2.13</v>
      </c>
      <c r="G958" s="57"/>
      <c r="H958" s="49"/>
      <c r="I958" s="49" t="str">
        <f t="shared" si="85"/>
        <v/>
      </c>
      <c r="J958" s="37" t="str">
        <f t="shared" si="82"/>
        <v>iMBC</v>
      </c>
      <c r="K958" s="37" t="str">
        <f t="shared" si="83"/>
        <v>A052220</v>
      </c>
    </row>
    <row r="959" spans="1:11" x14ac:dyDescent="0.4">
      <c r="A959" s="49"/>
      <c r="B959" s="54" t="s">
        <v>2415</v>
      </c>
      <c r="C959" s="37" t="s">
        <v>2416</v>
      </c>
      <c r="D959" s="55" t="s">
        <v>820</v>
      </c>
      <c r="E959" s="58">
        <v>133.94999999999999</v>
      </c>
      <c r="F959" s="57">
        <v>0.47</v>
      </c>
      <c r="G959" s="57"/>
      <c r="H959" s="49"/>
      <c r="I959" s="49" t="str">
        <f t="shared" si="85"/>
        <v/>
      </c>
      <c r="J959" s="37" t="str">
        <f t="shared" si="82"/>
        <v>현대바이오랜드</v>
      </c>
      <c r="K959" s="37" t="str">
        <f t="shared" si="83"/>
        <v>A052260</v>
      </c>
    </row>
    <row r="960" spans="1:11" x14ac:dyDescent="0.4">
      <c r="A960" s="49"/>
      <c r="B960" s="54" t="s">
        <v>2417</v>
      </c>
      <c r="C960" s="37" t="s">
        <v>2418</v>
      </c>
      <c r="D960" s="55" t="s">
        <v>820</v>
      </c>
      <c r="E960" s="58">
        <v>37.78</v>
      </c>
      <c r="F960" s="57">
        <v>0.15</v>
      </c>
      <c r="G960" s="57"/>
      <c r="H960" s="49"/>
      <c r="I960" s="49" t="str">
        <f t="shared" si="85"/>
        <v/>
      </c>
      <c r="J960" s="37" t="str">
        <f t="shared" si="82"/>
        <v>오션인더블유</v>
      </c>
      <c r="K960" s="37" t="str">
        <f t="shared" si="83"/>
        <v>A052300</v>
      </c>
    </row>
    <row r="961" spans="1:11" x14ac:dyDescent="0.4">
      <c r="A961" s="49"/>
      <c r="B961" s="54" t="s">
        <v>2419</v>
      </c>
      <c r="C961" s="37" t="s">
        <v>2420</v>
      </c>
      <c r="D961" s="55" t="s">
        <v>820</v>
      </c>
      <c r="E961" s="58">
        <v>179.92</v>
      </c>
      <c r="F961" s="57">
        <v>0.27</v>
      </c>
      <c r="G961" s="57"/>
      <c r="H961" s="49"/>
      <c r="I961" s="49" t="str">
        <f t="shared" si="85"/>
        <v/>
      </c>
      <c r="J961" s="37" t="str">
        <f t="shared" si="82"/>
        <v>코텍</v>
      </c>
      <c r="K961" s="37" t="str">
        <f t="shared" si="83"/>
        <v>A052330</v>
      </c>
    </row>
    <row r="962" spans="1:11" x14ac:dyDescent="0.4">
      <c r="A962" s="49"/>
      <c r="B962" s="54" t="s">
        <v>516</v>
      </c>
      <c r="C962" s="37" t="s">
        <v>517</v>
      </c>
      <c r="D962" s="55" t="s">
        <v>820</v>
      </c>
      <c r="E962" s="58">
        <v>972.83</v>
      </c>
      <c r="F962" s="57">
        <v>8.42</v>
      </c>
      <c r="G962" s="57"/>
      <c r="H962" s="49"/>
      <c r="I962" s="49" t="str">
        <f t="shared" si="85"/>
        <v/>
      </c>
      <c r="J962" s="37" t="str">
        <f t="shared" si="82"/>
        <v>코나아이</v>
      </c>
      <c r="K962" s="37" t="str">
        <f t="shared" si="83"/>
        <v>A052400</v>
      </c>
    </row>
    <row r="963" spans="1:11" x14ac:dyDescent="0.4">
      <c r="A963" s="49"/>
      <c r="B963" s="54" t="s">
        <v>2421</v>
      </c>
      <c r="C963" s="37" t="s">
        <v>2422</v>
      </c>
      <c r="D963" s="55" t="s">
        <v>820</v>
      </c>
      <c r="E963" s="58">
        <v>143.15</v>
      </c>
      <c r="F963" s="57">
        <v>7.18</v>
      </c>
      <c r="G963" s="57"/>
      <c r="H963" s="49"/>
      <c r="I963" s="49" t="str">
        <f t="shared" si="85"/>
        <v/>
      </c>
      <c r="J963" s="37" t="str">
        <f t="shared" si="82"/>
        <v>오성첨단소재</v>
      </c>
      <c r="K963" s="37" t="str">
        <f t="shared" si="83"/>
        <v>A052420</v>
      </c>
    </row>
    <row r="964" spans="1:11" x14ac:dyDescent="0.4">
      <c r="A964" s="49"/>
      <c r="B964" s="54" t="s">
        <v>2423</v>
      </c>
      <c r="C964" s="37" t="s">
        <v>2424</v>
      </c>
      <c r="D964" s="55" t="s">
        <v>820</v>
      </c>
      <c r="E964" s="58">
        <v>49.52</v>
      </c>
      <c r="F964" s="57">
        <v>0.49</v>
      </c>
      <c r="G964" s="57"/>
      <c r="H964" s="49"/>
      <c r="I964" s="49" t="str">
        <f t="shared" si="85"/>
        <v/>
      </c>
      <c r="J964" s="37" t="str">
        <f t="shared" si="82"/>
        <v>아이크래프트</v>
      </c>
      <c r="K964" s="37" t="str">
        <f t="shared" si="83"/>
        <v>A052460</v>
      </c>
    </row>
    <row r="965" spans="1:11" x14ac:dyDescent="0.4">
      <c r="A965" s="49"/>
      <c r="B965" s="54" t="s">
        <v>2425</v>
      </c>
      <c r="C965" s="37" t="s">
        <v>2426</v>
      </c>
      <c r="D965" s="55" t="s">
        <v>820</v>
      </c>
      <c r="E965" s="58">
        <v>41.22</v>
      </c>
      <c r="F965" s="57">
        <v>0.14000000000000001</v>
      </c>
      <c r="G965" s="57"/>
      <c r="H965" s="49"/>
      <c r="I965" s="49" t="str">
        <f t="shared" si="85"/>
        <v/>
      </c>
      <c r="J965" s="37" t="str">
        <f t="shared" si="82"/>
        <v>한네트</v>
      </c>
      <c r="K965" s="37" t="str">
        <f t="shared" si="83"/>
        <v>A052600</v>
      </c>
    </row>
    <row r="966" spans="1:11" x14ac:dyDescent="0.4">
      <c r="A966" s="49"/>
      <c r="B966" s="54" t="s">
        <v>25</v>
      </c>
      <c r="C966" s="37" t="s">
        <v>26</v>
      </c>
      <c r="D966" s="55" t="s">
        <v>805</v>
      </c>
      <c r="E966" s="58">
        <v>6692.32</v>
      </c>
      <c r="F966" s="57">
        <v>52.09</v>
      </c>
      <c r="G966" s="57">
        <v>9</v>
      </c>
      <c r="H966" s="49"/>
      <c r="I966" s="49">
        <f t="shared" si="85"/>
        <v>6692.3296599999994</v>
      </c>
      <c r="J966" s="37" t="str">
        <f t="shared" si="82"/>
        <v>한전기술</v>
      </c>
      <c r="K966" s="37" t="str">
        <f t="shared" si="83"/>
        <v>A052690</v>
      </c>
    </row>
    <row r="967" spans="1:11" x14ac:dyDescent="0.4">
      <c r="A967" s="49"/>
      <c r="B967" s="54" t="s">
        <v>745</v>
      </c>
      <c r="C967" s="37" t="s">
        <v>746</v>
      </c>
      <c r="D967" s="55" t="s">
        <v>820</v>
      </c>
      <c r="E967" s="56">
        <v>192.63</v>
      </c>
      <c r="F967" s="55">
        <v>3.33</v>
      </c>
      <c r="G967" s="55">
        <v>2</v>
      </c>
      <c r="I967" s="49">
        <f t="shared" si="85"/>
        <v>192.63967</v>
      </c>
      <c r="J967" s="37" t="str">
        <f t="shared" si="82"/>
        <v>아모텍</v>
      </c>
      <c r="K967" s="37" t="str">
        <f t="shared" si="83"/>
        <v>A052710</v>
      </c>
    </row>
    <row r="968" spans="1:11" x14ac:dyDescent="0.4">
      <c r="A968" s="49"/>
      <c r="B968" s="54" t="s">
        <v>2427</v>
      </c>
      <c r="C968" s="37" t="s">
        <v>2428</v>
      </c>
      <c r="D968" s="55" t="s">
        <v>820</v>
      </c>
      <c r="E968" s="58">
        <v>7.17</v>
      </c>
      <c r="F968" s="57">
        <v>0.83</v>
      </c>
      <c r="G968" s="57"/>
      <c r="H968" s="49"/>
      <c r="I968" s="49" t="str">
        <f t="shared" si="85"/>
        <v/>
      </c>
      <c r="J968" s="37" t="str">
        <f t="shared" si="82"/>
        <v>아이톡시</v>
      </c>
      <c r="K968" s="37" t="str">
        <f t="shared" si="83"/>
        <v>A052770</v>
      </c>
    </row>
    <row r="969" spans="1:11" x14ac:dyDescent="0.4">
      <c r="A969" s="49"/>
      <c r="B969" s="54" t="s">
        <v>2429</v>
      </c>
      <c r="C969" s="37" t="s">
        <v>2430</v>
      </c>
      <c r="D969" s="55" t="s">
        <v>820</v>
      </c>
      <c r="E969" s="58">
        <v>65.94</v>
      </c>
      <c r="F969" s="57">
        <v>0.41</v>
      </c>
      <c r="G969" s="57"/>
      <c r="H969" s="49"/>
      <c r="I969" s="49" t="str">
        <f t="shared" si="85"/>
        <v/>
      </c>
      <c r="J969" s="37" t="str">
        <f t="shared" si="82"/>
        <v>액토즈소프트</v>
      </c>
      <c r="K969" s="37" t="str">
        <f t="shared" si="83"/>
        <v>A052790</v>
      </c>
    </row>
    <row r="970" spans="1:11" x14ac:dyDescent="0.4">
      <c r="A970" s="49"/>
      <c r="B970" s="54" t="s">
        <v>2431</v>
      </c>
      <c r="C970" s="37" t="s">
        <v>2432</v>
      </c>
      <c r="D970" s="55" t="s">
        <v>820</v>
      </c>
      <c r="E970" s="58">
        <v>61.89</v>
      </c>
      <c r="F970" s="57">
        <v>0.66</v>
      </c>
      <c r="G970" s="57"/>
      <c r="H970" s="49"/>
      <c r="I970" s="49" t="str">
        <f t="shared" si="85"/>
        <v/>
      </c>
      <c r="J970" s="37" t="str">
        <f t="shared" si="82"/>
        <v>아이앤씨</v>
      </c>
      <c r="K970" s="37" t="str">
        <f t="shared" si="83"/>
        <v>A052860</v>
      </c>
    </row>
    <row r="971" spans="1:11" x14ac:dyDescent="0.4">
      <c r="A971" s="49"/>
      <c r="B971" s="54" t="s">
        <v>2433</v>
      </c>
      <c r="C971" s="37" t="s">
        <v>2434</v>
      </c>
      <c r="D971" s="55" t="s">
        <v>820</v>
      </c>
      <c r="E971" s="58">
        <v>84.92</v>
      </c>
      <c r="F971" s="57">
        <v>1.05</v>
      </c>
      <c r="G971" s="57"/>
      <c r="H971" s="49"/>
      <c r="I971" s="49" t="str">
        <f t="shared" si="85"/>
        <v/>
      </c>
      <c r="J971" s="37" t="str">
        <f t="shared" si="82"/>
        <v>KX하이텍</v>
      </c>
      <c r="K971" s="37" t="str">
        <f t="shared" si="83"/>
        <v>A052900</v>
      </c>
    </row>
    <row r="972" spans="1:11" x14ac:dyDescent="0.4">
      <c r="B972" s="54" t="s">
        <v>2435</v>
      </c>
      <c r="C972" s="37" t="s">
        <v>2436</v>
      </c>
      <c r="D972" s="55" t="s">
        <v>820</v>
      </c>
      <c r="E972" s="56">
        <v>519.35</v>
      </c>
      <c r="F972" s="55">
        <v>4.84</v>
      </c>
      <c r="G972" s="55">
        <v>2</v>
      </c>
      <c r="J972" s="37" t="str">
        <f t="shared" si="82"/>
        <v>바이넥스</v>
      </c>
      <c r="K972" s="37" t="str">
        <f t="shared" si="83"/>
        <v>A053030</v>
      </c>
    </row>
    <row r="973" spans="1:11" x14ac:dyDescent="0.4">
      <c r="A973" s="49"/>
      <c r="B973" s="54" t="s">
        <v>2437</v>
      </c>
      <c r="C973" s="37" t="s">
        <v>2438</v>
      </c>
      <c r="D973" s="55" t="s">
        <v>820</v>
      </c>
      <c r="E973" s="58">
        <v>71.37</v>
      </c>
      <c r="F973" s="57">
        <v>0.62</v>
      </c>
      <c r="G973" s="57"/>
      <c r="H973" s="49"/>
      <c r="I973" s="49" t="str">
        <f>IF((G973&gt;$G$8),E973+ROW()/100000,"")</f>
        <v/>
      </c>
      <c r="J973" s="37" t="str">
        <f t="shared" si="82"/>
        <v>지에스이</v>
      </c>
      <c r="K973" s="37" t="str">
        <f t="shared" si="83"/>
        <v>A053050</v>
      </c>
    </row>
    <row r="974" spans="1:11" x14ac:dyDescent="0.4">
      <c r="A974" s="49"/>
      <c r="B974" s="54" t="s">
        <v>2439</v>
      </c>
      <c r="C974" s="37" t="s">
        <v>2440</v>
      </c>
      <c r="D974" s="55" t="s">
        <v>820</v>
      </c>
      <c r="E974" s="58">
        <v>23.22</v>
      </c>
      <c r="F974" s="57">
        <v>0.39</v>
      </c>
      <c r="G974" s="57"/>
      <c r="H974" s="49"/>
      <c r="I974" s="49" t="str">
        <f>IF((G974&gt;$G$8),E974+ROW()/100000,"")</f>
        <v/>
      </c>
      <c r="J974" s="37" t="str">
        <f t="shared" ref="J974:J1037" si="86">C974</f>
        <v>세동</v>
      </c>
      <c r="K974" s="37" t="str">
        <f t="shared" ref="K974:K1037" si="87">B974</f>
        <v>A053060</v>
      </c>
    </row>
    <row r="975" spans="1:11" x14ac:dyDescent="0.4">
      <c r="A975" s="49"/>
      <c r="B975" s="54" t="s">
        <v>2441</v>
      </c>
      <c r="C975" s="37" t="s">
        <v>2442</v>
      </c>
      <c r="D975" s="55" t="s">
        <v>820</v>
      </c>
      <c r="E975" s="58">
        <v>196.43</v>
      </c>
      <c r="F975" s="57">
        <v>1.22</v>
      </c>
      <c r="G975" s="57"/>
      <c r="H975" s="49"/>
      <c r="I975" s="49" t="str">
        <f>IF((G975&gt;$G$8),E975+ROW()/100000,"")</f>
        <v/>
      </c>
      <c r="J975" s="37" t="str">
        <f t="shared" si="86"/>
        <v>케이엔솔</v>
      </c>
      <c r="K975" s="37" t="str">
        <f t="shared" si="87"/>
        <v>A053080</v>
      </c>
    </row>
    <row r="976" spans="1:11" x14ac:dyDescent="0.4">
      <c r="A976" s="49"/>
      <c r="B976" s="54" t="s">
        <v>2443</v>
      </c>
      <c r="C976" s="37" t="s">
        <v>2444</v>
      </c>
      <c r="D976" s="55" t="s">
        <v>820</v>
      </c>
      <c r="E976" s="56">
        <v>45.72</v>
      </c>
      <c r="F976" s="55">
        <v>0.18</v>
      </c>
      <c r="G976" s="55"/>
      <c r="I976" s="49" t="str">
        <f>IF((G976&gt;$G$8),E976+ROW()/100000,"")</f>
        <v/>
      </c>
      <c r="J976" s="37" t="str">
        <f t="shared" si="86"/>
        <v>프리엠스</v>
      </c>
      <c r="K976" s="37" t="str">
        <f t="shared" si="87"/>
        <v>A053160</v>
      </c>
    </row>
    <row r="977" spans="1:11" x14ac:dyDescent="0.4">
      <c r="A977" s="49"/>
      <c r="B977" s="54" t="s">
        <v>2445</v>
      </c>
      <c r="C977" s="37" t="s">
        <v>2446</v>
      </c>
      <c r="D977" s="55" t="s">
        <v>805</v>
      </c>
      <c r="E977" s="56">
        <v>242.37</v>
      </c>
      <c r="F977" s="55">
        <v>0.27</v>
      </c>
      <c r="G977" s="55">
        <v>3</v>
      </c>
      <c r="J977" s="37" t="str">
        <f t="shared" si="86"/>
        <v>스카이라이프</v>
      </c>
      <c r="K977" s="37" t="str">
        <f t="shared" si="87"/>
        <v>A053210</v>
      </c>
    </row>
    <row r="978" spans="1:11" x14ac:dyDescent="0.4">
      <c r="A978" s="49"/>
      <c r="B978" s="54" t="s">
        <v>2447</v>
      </c>
      <c r="C978" s="37" t="s">
        <v>2448</v>
      </c>
      <c r="D978" s="55" t="s">
        <v>820</v>
      </c>
      <c r="E978" s="58">
        <v>80.12</v>
      </c>
      <c r="F978" s="57">
        <v>1.02</v>
      </c>
      <c r="G978" s="57"/>
      <c r="H978" s="49"/>
      <c r="I978" s="49" t="str">
        <f t="shared" ref="I978:I991" si="88">IF((G978&gt;$G$8),E978+ROW()/100000,"")</f>
        <v/>
      </c>
      <c r="J978" s="37" t="str">
        <f t="shared" si="86"/>
        <v>금강철강</v>
      </c>
      <c r="K978" s="37" t="str">
        <f t="shared" si="87"/>
        <v>A053260</v>
      </c>
    </row>
    <row r="979" spans="1:11" x14ac:dyDescent="0.4">
      <c r="A979" s="49"/>
      <c r="B979" s="54" t="s">
        <v>2449</v>
      </c>
      <c r="C979" s="37" t="s">
        <v>2450</v>
      </c>
      <c r="D979" s="55" t="s">
        <v>820</v>
      </c>
      <c r="E979" s="56">
        <v>68.53</v>
      </c>
      <c r="F979" s="55">
        <v>1.39</v>
      </c>
      <c r="G979" s="55"/>
      <c r="I979" s="49" t="str">
        <f t="shared" si="88"/>
        <v/>
      </c>
      <c r="J979" s="37" t="str">
        <f t="shared" si="86"/>
        <v>구영테크</v>
      </c>
      <c r="K979" s="37" t="str">
        <f t="shared" si="87"/>
        <v>A053270</v>
      </c>
    </row>
    <row r="980" spans="1:11" x14ac:dyDescent="0.4">
      <c r="A980" s="49"/>
      <c r="B980" s="54" t="s">
        <v>2451</v>
      </c>
      <c r="C980" s="37" t="s">
        <v>2452</v>
      </c>
      <c r="D980" s="55" t="s">
        <v>820</v>
      </c>
      <c r="E980" s="58">
        <v>92.38</v>
      </c>
      <c r="F980" s="57">
        <v>0.19</v>
      </c>
      <c r="G980" s="57"/>
      <c r="H980" s="49"/>
      <c r="I980" s="49" t="str">
        <f t="shared" si="88"/>
        <v/>
      </c>
      <c r="J980" s="37" t="str">
        <f t="shared" si="86"/>
        <v>예스24</v>
      </c>
      <c r="K980" s="37" t="str">
        <f t="shared" si="87"/>
        <v>A053280</v>
      </c>
    </row>
    <row r="981" spans="1:11" x14ac:dyDescent="0.4">
      <c r="A981" s="49"/>
      <c r="B981" s="54" t="s">
        <v>2453</v>
      </c>
      <c r="C981" s="37" t="s">
        <v>2454</v>
      </c>
      <c r="D981" s="55" t="s">
        <v>820</v>
      </c>
      <c r="E981" s="58">
        <v>32.21</v>
      </c>
      <c r="F981" s="57">
        <v>0.08</v>
      </c>
      <c r="G981" s="57"/>
      <c r="H981" s="49"/>
      <c r="I981" s="49" t="str">
        <f t="shared" si="88"/>
        <v/>
      </c>
      <c r="J981" s="37" t="str">
        <f t="shared" si="86"/>
        <v>NE능률</v>
      </c>
      <c r="K981" s="37" t="str">
        <f t="shared" si="87"/>
        <v>A053290</v>
      </c>
    </row>
    <row r="982" spans="1:11" x14ac:dyDescent="0.4">
      <c r="A982" s="49"/>
      <c r="B982" s="54" t="s">
        <v>2455</v>
      </c>
      <c r="C982" s="37" t="s">
        <v>2456</v>
      </c>
      <c r="D982" s="55" t="s">
        <v>820</v>
      </c>
      <c r="E982" s="58">
        <v>275.87</v>
      </c>
      <c r="F982" s="57">
        <v>2.5099999999999998</v>
      </c>
      <c r="G982" s="57"/>
      <c r="H982" s="49"/>
      <c r="I982" s="49" t="str">
        <f t="shared" si="88"/>
        <v/>
      </c>
      <c r="J982" s="37" t="str">
        <f t="shared" si="86"/>
        <v>한국정보인증</v>
      </c>
      <c r="K982" s="37" t="str">
        <f t="shared" si="87"/>
        <v>A053300</v>
      </c>
    </row>
    <row r="983" spans="1:11" x14ac:dyDescent="0.4">
      <c r="A983" s="49"/>
      <c r="B983" s="54" t="s">
        <v>2457</v>
      </c>
      <c r="C983" s="37" t="s">
        <v>2458</v>
      </c>
      <c r="D983" s="55" t="s">
        <v>820</v>
      </c>
      <c r="E983" s="56">
        <v>78.39</v>
      </c>
      <c r="F983" s="55">
        <v>1.07</v>
      </c>
      <c r="G983" s="55"/>
      <c r="I983" s="49" t="str">
        <f t="shared" si="88"/>
        <v/>
      </c>
      <c r="J983" s="37" t="str">
        <f t="shared" si="86"/>
        <v>이니텍</v>
      </c>
      <c r="K983" s="37" t="str">
        <f t="shared" si="87"/>
        <v>A053350</v>
      </c>
    </row>
    <row r="984" spans="1:11" x14ac:dyDescent="0.4">
      <c r="A984" s="49"/>
      <c r="B984" s="54" t="s">
        <v>2459</v>
      </c>
      <c r="C984" s="37" t="s">
        <v>2460</v>
      </c>
      <c r="D984" s="55" t="s">
        <v>820</v>
      </c>
      <c r="E984" s="58">
        <v>84.02</v>
      </c>
      <c r="F984" s="57">
        <v>2.62</v>
      </c>
      <c r="G984" s="57"/>
      <c r="H984" s="49"/>
      <c r="I984" s="49" t="str">
        <f t="shared" si="88"/>
        <v/>
      </c>
      <c r="J984" s="37" t="str">
        <f t="shared" si="86"/>
        <v>세코닉스</v>
      </c>
      <c r="K984" s="37" t="str">
        <f t="shared" si="87"/>
        <v>A053450</v>
      </c>
    </row>
    <row r="985" spans="1:11" x14ac:dyDescent="0.4">
      <c r="A985" s="49"/>
      <c r="B985" s="54" t="s">
        <v>2461</v>
      </c>
      <c r="C985" s="37" t="s">
        <v>2462</v>
      </c>
      <c r="D985" s="55" t="s">
        <v>820</v>
      </c>
      <c r="E985" s="56">
        <v>124.64</v>
      </c>
      <c r="F985" s="55">
        <v>0.53</v>
      </c>
      <c r="G985" s="55"/>
      <c r="I985" s="49" t="str">
        <f t="shared" si="88"/>
        <v/>
      </c>
      <c r="J985" s="37" t="str">
        <f t="shared" si="86"/>
        <v>웹케시</v>
      </c>
      <c r="K985" s="37" t="str">
        <f t="shared" si="87"/>
        <v>A053580</v>
      </c>
    </row>
    <row r="986" spans="1:11" x14ac:dyDescent="0.4">
      <c r="A986" s="49"/>
      <c r="B986" s="54" t="s">
        <v>747</v>
      </c>
      <c r="C986" s="37" t="s">
        <v>748</v>
      </c>
      <c r="D986" s="55" t="s">
        <v>820</v>
      </c>
      <c r="E986" s="58">
        <v>644.6</v>
      </c>
      <c r="F986" s="57">
        <v>3.05</v>
      </c>
      <c r="G986" s="57">
        <v>2</v>
      </c>
      <c r="H986" s="49"/>
      <c r="I986" s="49">
        <f t="shared" si="88"/>
        <v>644.60986000000003</v>
      </c>
      <c r="J986" s="37" t="str">
        <f t="shared" si="86"/>
        <v>프로텍</v>
      </c>
      <c r="K986" s="37" t="str">
        <f t="shared" si="87"/>
        <v>A053610</v>
      </c>
    </row>
    <row r="987" spans="1:11" x14ac:dyDescent="0.4">
      <c r="A987" s="49"/>
      <c r="B987" s="54" t="s">
        <v>2463</v>
      </c>
      <c r="C987" s="37" t="s">
        <v>2464</v>
      </c>
      <c r="D987" s="55" t="s">
        <v>820</v>
      </c>
      <c r="E987" s="58">
        <v>59.94</v>
      </c>
      <c r="F987" s="57">
        <v>0.03</v>
      </c>
      <c r="G987" s="57"/>
      <c r="H987" s="49"/>
      <c r="I987" s="49" t="str">
        <f t="shared" si="88"/>
        <v/>
      </c>
      <c r="J987" s="37" t="str">
        <f t="shared" si="86"/>
        <v>태양</v>
      </c>
      <c r="K987" s="37" t="str">
        <f t="shared" si="87"/>
        <v>A053620</v>
      </c>
    </row>
    <row r="988" spans="1:11" x14ac:dyDescent="0.4">
      <c r="A988" s="49"/>
      <c r="B988" s="54" t="s">
        <v>2465</v>
      </c>
      <c r="C988" s="37" t="s">
        <v>2466</v>
      </c>
      <c r="D988" s="55" t="s">
        <v>805</v>
      </c>
      <c r="E988" s="58">
        <v>221.34</v>
      </c>
      <c r="F988" s="57">
        <v>2.66</v>
      </c>
      <c r="G988" s="57">
        <v>2</v>
      </c>
      <c r="H988" s="49"/>
      <c r="I988" s="49">
        <f t="shared" si="88"/>
        <v>221.34988000000001</v>
      </c>
      <c r="J988" s="37" t="str">
        <f t="shared" si="86"/>
        <v>한미글로벌</v>
      </c>
      <c r="K988" s="37" t="str">
        <f t="shared" si="87"/>
        <v>A053690</v>
      </c>
    </row>
    <row r="989" spans="1:11" x14ac:dyDescent="0.4">
      <c r="A989" s="49"/>
      <c r="B989" s="54" t="s">
        <v>2467</v>
      </c>
      <c r="C989" s="37" t="s">
        <v>2468</v>
      </c>
      <c r="D989" s="55" t="s">
        <v>820</v>
      </c>
      <c r="E989" s="58">
        <v>199.79</v>
      </c>
      <c r="F989" s="57">
        <v>8.08</v>
      </c>
      <c r="G989" s="57"/>
      <c r="H989" s="49"/>
      <c r="I989" s="49" t="str">
        <f t="shared" si="88"/>
        <v/>
      </c>
      <c r="J989" s="37" t="str">
        <f t="shared" si="86"/>
        <v>삼보모터스</v>
      </c>
      <c r="K989" s="37" t="str">
        <f t="shared" si="87"/>
        <v>A053700</v>
      </c>
    </row>
    <row r="990" spans="1:11" x14ac:dyDescent="0.4">
      <c r="A990" s="49"/>
      <c r="B990" s="54" t="s">
        <v>2469</v>
      </c>
      <c r="C990" s="37" t="s">
        <v>2470</v>
      </c>
      <c r="D990" s="55" t="s">
        <v>820</v>
      </c>
      <c r="E990" s="58">
        <v>725.45</v>
      </c>
      <c r="F990" s="57">
        <v>2.92</v>
      </c>
      <c r="G990" s="57"/>
      <c r="H990" s="49"/>
      <c r="I990" s="49" t="str">
        <f t="shared" si="88"/>
        <v/>
      </c>
      <c r="J990" s="37" t="str">
        <f t="shared" si="86"/>
        <v>안랩</v>
      </c>
      <c r="K990" s="37" t="str">
        <f t="shared" si="87"/>
        <v>A053800</v>
      </c>
    </row>
    <row r="991" spans="1:11" x14ac:dyDescent="0.4">
      <c r="A991" s="49"/>
      <c r="B991" s="54" t="s">
        <v>2471</v>
      </c>
      <c r="C991" s="37" t="s">
        <v>2472</v>
      </c>
      <c r="D991" s="55" t="s">
        <v>820</v>
      </c>
      <c r="E991" s="58">
        <v>61.74</v>
      </c>
      <c r="F991" s="57">
        <v>2.83</v>
      </c>
      <c r="G991" s="57"/>
      <c r="H991" s="49"/>
      <c r="I991" s="49" t="str">
        <f t="shared" si="88"/>
        <v/>
      </c>
      <c r="J991" s="37" t="str">
        <f t="shared" si="86"/>
        <v>경남제약</v>
      </c>
      <c r="K991" s="37" t="str">
        <f t="shared" si="87"/>
        <v>A053950</v>
      </c>
    </row>
    <row r="992" spans="1:11" x14ac:dyDescent="0.4">
      <c r="B992" s="54" t="s">
        <v>2473</v>
      </c>
      <c r="C992" s="37" t="s">
        <v>2474</v>
      </c>
      <c r="D992" s="55" t="s">
        <v>820</v>
      </c>
      <c r="E992" s="56">
        <v>64.069999999999993</v>
      </c>
      <c r="F992" s="55">
        <v>0.2</v>
      </c>
      <c r="G992" s="55"/>
      <c r="J992" s="37" t="str">
        <f t="shared" si="86"/>
        <v>오상자이엘</v>
      </c>
      <c r="K992" s="37" t="str">
        <f t="shared" si="87"/>
        <v>A053980</v>
      </c>
    </row>
    <row r="993" spans="1:11" x14ac:dyDescent="0.4">
      <c r="A993" s="49"/>
      <c r="B993" s="54" t="s">
        <v>2475</v>
      </c>
      <c r="C993" s="37" t="s">
        <v>2476</v>
      </c>
      <c r="D993" s="55" t="s">
        <v>820</v>
      </c>
      <c r="E993" s="58">
        <v>88.71</v>
      </c>
      <c r="F993" s="57">
        <v>0.26</v>
      </c>
      <c r="G993" s="57"/>
      <c r="H993" s="49"/>
      <c r="I993" s="49" t="str">
        <f t="shared" ref="I993:I1022" si="89">IF((G993&gt;$G$8),E993+ROW()/100000,"")</f>
        <v/>
      </c>
      <c r="J993" s="37" t="str">
        <f t="shared" si="86"/>
        <v>한국컴퓨터</v>
      </c>
      <c r="K993" s="37" t="str">
        <f t="shared" si="87"/>
        <v>A054040</v>
      </c>
    </row>
    <row r="994" spans="1:11" x14ac:dyDescent="0.4">
      <c r="A994" s="49"/>
      <c r="B994" s="54" t="s">
        <v>2477</v>
      </c>
      <c r="C994" s="37" t="s">
        <v>5212</v>
      </c>
      <c r="D994" s="55" t="s">
        <v>820</v>
      </c>
      <c r="E994" s="58">
        <v>131.61000000000001</v>
      </c>
      <c r="F994" s="57">
        <v>0.41</v>
      </c>
      <c r="G994" s="57"/>
      <c r="H994" s="49"/>
      <c r="I994" s="49" t="str">
        <f t="shared" si="89"/>
        <v/>
      </c>
      <c r="J994" s="37" t="str">
        <f t="shared" si="86"/>
        <v>NH농우바이오</v>
      </c>
      <c r="K994" s="37" t="str">
        <f t="shared" si="87"/>
        <v>A054050</v>
      </c>
    </row>
    <row r="995" spans="1:11" x14ac:dyDescent="0.4">
      <c r="A995" s="49"/>
      <c r="B995" s="54" t="s">
        <v>2478</v>
      </c>
      <c r="C995" s="37" t="s">
        <v>2479</v>
      </c>
      <c r="D995" s="55" t="s">
        <v>820</v>
      </c>
      <c r="E995" s="58">
        <v>18.72</v>
      </c>
      <c r="F995" s="57">
        <v>0.09</v>
      </c>
      <c r="G995" s="57"/>
      <c r="H995" s="49"/>
      <c r="I995" s="49" t="str">
        <f t="shared" si="89"/>
        <v/>
      </c>
      <c r="J995" s="37" t="str">
        <f t="shared" si="86"/>
        <v>삼진엘앤디</v>
      </c>
      <c r="K995" s="37" t="str">
        <f t="shared" si="87"/>
        <v>A054090</v>
      </c>
    </row>
    <row r="996" spans="1:11" x14ac:dyDescent="0.4">
      <c r="A996" s="49"/>
      <c r="B996" s="54" t="s">
        <v>2480</v>
      </c>
      <c r="C996" s="37" t="s">
        <v>2481</v>
      </c>
      <c r="D996" s="55" t="s">
        <v>820</v>
      </c>
      <c r="E996" s="58">
        <v>12.69</v>
      </c>
      <c r="F996" s="57">
        <v>0</v>
      </c>
      <c r="G996" s="57"/>
      <c r="H996" s="49"/>
      <c r="I996" s="49" t="str">
        <f t="shared" si="89"/>
        <v/>
      </c>
      <c r="J996" s="37" t="str">
        <f t="shared" si="86"/>
        <v>메디콕스</v>
      </c>
      <c r="K996" s="37" t="str">
        <f t="shared" si="87"/>
        <v>A054180</v>
      </c>
    </row>
    <row r="997" spans="1:11" x14ac:dyDescent="0.4">
      <c r="A997" s="49"/>
      <c r="B997" s="54" t="s">
        <v>2482</v>
      </c>
      <c r="C997" s="37" t="s">
        <v>2483</v>
      </c>
      <c r="D997" s="55" t="s">
        <v>820</v>
      </c>
      <c r="E997" s="56">
        <v>298.94</v>
      </c>
      <c r="F997" s="55">
        <v>2.66</v>
      </c>
      <c r="G997" s="55">
        <v>1</v>
      </c>
      <c r="I997" s="49">
        <f t="shared" si="89"/>
        <v>298.94997000000001</v>
      </c>
      <c r="J997" s="37" t="str">
        <f t="shared" si="86"/>
        <v>이랜텍</v>
      </c>
      <c r="K997" s="37" t="str">
        <f t="shared" si="87"/>
        <v>A054210</v>
      </c>
    </row>
    <row r="998" spans="1:11" x14ac:dyDescent="0.4">
      <c r="A998" s="49"/>
      <c r="B998" s="54" t="s">
        <v>2484</v>
      </c>
      <c r="C998" s="37" t="s">
        <v>2485</v>
      </c>
      <c r="D998" s="55" t="s">
        <v>820</v>
      </c>
      <c r="E998" s="58">
        <v>40.35</v>
      </c>
      <c r="F998" s="57">
        <v>1.1399999999999999</v>
      </c>
      <c r="G998" s="57"/>
      <c r="H998" s="49"/>
      <c r="I998" s="49" t="str">
        <f t="shared" si="89"/>
        <v/>
      </c>
      <c r="J998" s="37" t="str">
        <f t="shared" si="86"/>
        <v>비츠로시스</v>
      </c>
      <c r="K998" s="37" t="str">
        <f t="shared" si="87"/>
        <v>A054220</v>
      </c>
    </row>
    <row r="999" spans="1:11" x14ac:dyDescent="0.4">
      <c r="A999" s="49"/>
      <c r="B999" s="54" t="s">
        <v>2486</v>
      </c>
      <c r="C999" s="37" t="s">
        <v>2487</v>
      </c>
      <c r="D999" s="55" t="s">
        <v>820</v>
      </c>
      <c r="E999" s="58">
        <v>85.76</v>
      </c>
      <c r="F999" s="57">
        <v>1.22</v>
      </c>
      <c r="G999" s="57"/>
      <c r="H999" s="49"/>
      <c r="I999" s="49" t="str">
        <f t="shared" si="89"/>
        <v/>
      </c>
      <c r="J999" s="37" t="str">
        <f t="shared" si="86"/>
        <v>팬스타엔터프라이즈</v>
      </c>
      <c r="K999" s="37" t="str">
        <f t="shared" si="87"/>
        <v>A054300</v>
      </c>
    </row>
    <row r="1000" spans="1:11" x14ac:dyDescent="0.4">
      <c r="A1000" s="49"/>
      <c r="B1000" s="54" t="s">
        <v>2488</v>
      </c>
      <c r="C1000" s="37" t="s">
        <v>2489</v>
      </c>
      <c r="D1000" s="55" t="s">
        <v>820</v>
      </c>
      <c r="E1000" s="56">
        <v>19.61</v>
      </c>
      <c r="F1000" s="55">
        <v>0.04</v>
      </c>
      <c r="G1000" s="55"/>
      <c r="I1000" s="49" t="str">
        <f t="shared" si="89"/>
        <v/>
      </c>
      <c r="J1000" s="37" t="str">
        <f t="shared" si="86"/>
        <v>케이피티유</v>
      </c>
      <c r="K1000" s="37" t="str">
        <f t="shared" si="87"/>
        <v>A054410</v>
      </c>
    </row>
    <row r="1001" spans="1:11" x14ac:dyDescent="0.4">
      <c r="A1001" s="49"/>
      <c r="B1001" s="54" t="s">
        <v>2490</v>
      </c>
      <c r="C1001" s="37" t="s">
        <v>2491</v>
      </c>
      <c r="D1001" s="55" t="s">
        <v>820</v>
      </c>
      <c r="E1001" s="56">
        <v>215.5</v>
      </c>
      <c r="F1001" s="55">
        <v>4.72</v>
      </c>
      <c r="G1001" s="55">
        <v>1</v>
      </c>
      <c r="I1001" s="49">
        <f t="shared" si="89"/>
        <v>215.51000999999999</v>
      </c>
      <c r="J1001" s="37" t="str">
        <f t="shared" si="86"/>
        <v>텔레칩스</v>
      </c>
      <c r="K1001" s="37" t="str">
        <f t="shared" si="87"/>
        <v>A054450</v>
      </c>
    </row>
    <row r="1002" spans="1:11" x14ac:dyDescent="0.4">
      <c r="A1002" s="49"/>
      <c r="B1002" s="54" t="s">
        <v>2492</v>
      </c>
      <c r="C1002" s="37" t="s">
        <v>2493</v>
      </c>
      <c r="D1002" s="55" t="s">
        <v>820</v>
      </c>
      <c r="E1002" s="58">
        <v>176.8</v>
      </c>
      <c r="F1002" s="57">
        <v>41.14</v>
      </c>
      <c r="G1002" s="57"/>
      <c r="H1002" s="49"/>
      <c r="I1002" s="49" t="str">
        <f t="shared" si="89"/>
        <v/>
      </c>
      <c r="J1002" s="37" t="str">
        <f t="shared" si="86"/>
        <v>삼영엠텍</v>
      </c>
      <c r="K1002" s="37" t="str">
        <f t="shared" si="87"/>
        <v>A054540</v>
      </c>
    </row>
    <row r="1003" spans="1:11" x14ac:dyDescent="0.4">
      <c r="A1003" s="49"/>
      <c r="B1003" s="54" t="s">
        <v>2494</v>
      </c>
      <c r="C1003" s="37" t="s">
        <v>2495</v>
      </c>
      <c r="D1003" s="55" t="s">
        <v>820</v>
      </c>
      <c r="E1003" s="58">
        <v>119.56</v>
      </c>
      <c r="F1003" s="57">
        <v>0.45</v>
      </c>
      <c r="G1003" s="57"/>
      <c r="H1003" s="49"/>
      <c r="I1003" s="49" t="str">
        <f t="shared" si="89"/>
        <v/>
      </c>
      <c r="J1003" s="37" t="str">
        <f t="shared" si="86"/>
        <v>APS</v>
      </c>
      <c r="K1003" s="37" t="str">
        <f t="shared" si="87"/>
        <v>A054620</v>
      </c>
    </row>
    <row r="1004" spans="1:11" x14ac:dyDescent="0.4">
      <c r="A1004" s="49"/>
      <c r="B1004" s="54" t="s">
        <v>2496</v>
      </c>
      <c r="C1004" s="37" t="s">
        <v>2497</v>
      </c>
      <c r="D1004" s="55" t="s">
        <v>820</v>
      </c>
      <c r="E1004" s="58">
        <v>95.17</v>
      </c>
      <c r="F1004" s="57">
        <v>0.32</v>
      </c>
      <c r="G1004" s="57"/>
      <c r="H1004" s="49"/>
      <c r="I1004" s="49" t="str">
        <f t="shared" si="89"/>
        <v/>
      </c>
      <c r="J1004" s="37" t="str">
        <f t="shared" si="86"/>
        <v>대한뉴팜</v>
      </c>
      <c r="K1004" s="37" t="str">
        <f t="shared" si="87"/>
        <v>A054670</v>
      </c>
    </row>
    <row r="1005" spans="1:11" x14ac:dyDescent="0.4">
      <c r="A1005" s="49"/>
      <c r="B1005" s="54" t="s">
        <v>2498</v>
      </c>
      <c r="C1005" s="37" t="s">
        <v>2499</v>
      </c>
      <c r="D1005" s="55" t="s">
        <v>820</v>
      </c>
      <c r="E1005" s="59">
        <v>50.23</v>
      </c>
      <c r="F1005" s="57">
        <v>0.82</v>
      </c>
      <c r="G1005" s="57"/>
      <c r="H1005" s="49"/>
      <c r="I1005" s="49" t="str">
        <f t="shared" si="89"/>
        <v/>
      </c>
      <c r="J1005" s="37" t="str">
        <f t="shared" si="86"/>
        <v>키이스트</v>
      </c>
      <c r="K1005" s="37" t="str">
        <f t="shared" si="87"/>
        <v>A054780</v>
      </c>
    </row>
    <row r="1006" spans="1:11" x14ac:dyDescent="0.4">
      <c r="A1006" s="49"/>
      <c r="B1006" s="54" t="s">
        <v>2500</v>
      </c>
      <c r="C1006" s="37" t="s">
        <v>2501</v>
      </c>
      <c r="D1006" s="55" t="s">
        <v>820</v>
      </c>
      <c r="E1006" s="56">
        <v>157.38999999999999</v>
      </c>
      <c r="F1006" s="55">
        <v>0.17</v>
      </c>
      <c r="G1006" s="55"/>
      <c r="I1006" s="49" t="str">
        <f t="shared" si="89"/>
        <v/>
      </c>
      <c r="J1006" s="37" t="str">
        <f t="shared" si="86"/>
        <v>아이디스홀딩스</v>
      </c>
      <c r="K1006" s="37" t="str">
        <f t="shared" si="87"/>
        <v>A054800</v>
      </c>
    </row>
    <row r="1007" spans="1:11" x14ac:dyDescent="0.4">
      <c r="A1007" s="49"/>
      <c r="B1007" s="54" t="s">
        <v>2502</v>
      </c>
      <c r="C1007" s="37" t="s">
        <v>2503</v>
      </c>
      <c r="D1007" s="55" t="s">
        <v>820</v>
      </c>
      <c r="E1007" s="58">
        <v>138.55000000000001</v>
      </c>
      <c r="F1007" s="57">
        <v>8.02</v>
      </c>
      <c r="G1007" s="57"/>
      <c r="H1007" s="49"/>
      <c r="I1007" s="49" t="str">
        <f t="shared" si="89"/>
        <v/>
      </c>
      <c r="J1007" s="37" t="str">
        <f t="shared" si="86"/>
        <v>한컴위드</v>
      </c>
      <c r="K1007" s="37" t="str">
        <f t="shared" si="87"/>
        <v>A054920</v>
      </c>
    </row>
    <row r="1008" spans="1:11" x14ac:dyDescent="0.4">
      <c r="A1008" s="49"/>
      <c r="B1008" s="54" t="s">
        <v>2504</v>
      </c>
      <c r="C1008" s="37" t="s">
        <v>2505</v>
      </c>
      <c r="D1008" s="55" t="s">
        <v>820</v>
      </c>
      <c r="E1008" s="58">
        <v>74.099999999999994</v>
      </c>
      <c r="F1008" s="57">
        <v>0.5</v>
      </c>
      <c r="G1008" s="57"/>
      <c r="H1008" s="49"/>
      <c r="I1008" s="49" t="str">
        <f t="shared" si="89"/>
        <v/>
      </c>
      <c r="J1008" s="37" t="str">
        <f t="shared" si="86"/>
        <v>유신</v>
      </c>
      <c r="K1008" s="37" t="str">
        <f t="shared" si="87"/>
        <v>A054930</v>
      </c>
    </row>
    <row r="1009" spans="1:11" x14ac:dyDescent="0.4">
      <c r="A1009" s="49"/>
      <c r="B1009" s="54" t="s">
        <v>2506</v>
      </c>
      <c r="C1009" s="37" t="s">
        <v>2507</v>
      </c>
      <c r="D1009" s="55" t="s">
        <v>820</v>
      </c>
      <c r="E1009" s="58">
        <v>23.09</v>
      </c>
      <c r="F1009" s="57">
        <v>0.55000000000000004</v>
      </c>
      <c r="G1009" s="57"/>
      <c r="H1009" s="49"/>
      <c r="I1009" s="49" t="str">
        <f t="shared" si="89"/>
        <v/>
      </c>
      <c r="J1009" s="37" t="str">
        <f t="shared" si="86"/>
        <v>엑사이엔씨</v>
      </c>
      <c r="K1009" s="37" t="str">
        <f t="shared" si="87"/>
        <v>A054940</v>
      </c>
    </row>
    <row r="1010" spans="1:11" x14ac:dyDescent="0.4">
      <c r="A1010" s="49"/>
      <c r="B1010" s="54" t="s">
        <v>258</v>
      </c>
      <c r="C1010" s="37" t="s">
        <v>259</v>
      </c>
      <c r="D1010" s="55" t="s">
        <v>820</v>
      </c>
      <c r="E1010" s="58">
        <v>308.29000000000002</v>
      </c>
      <c r="F1010" s="57">
        <v>2.44</v>
      </c>
      <c r="G1010" s="57">
        <v>5</v>
      </c>
      <c r="H1010" s="49"/>
      <c r="I1010" s="49">
        <f t="shared" si="89"/>
        <v>308.30010000000004</v>
      </c>
      <c r="J1010" s="37" t="str">
        <f t="shared" si="86"/>
        <v>제이브이엠</v>
      </c>
      <c r="K1010" s="37" t="str">
        <f t="shared" si="87"/>
        <v>A054950</v>
      </c>
    </row>
    <row r="1011" spans="1:11" x14ac:dyDescent="0.4">
      <c r="A1011" s="49"/>
      <c r="B1011" s="54" t="s">
        <v>2508</v>
      </c>
      <c r="C1011" s="37" t="s">
        <v>2509</v>
      </c>
      <c r="D1011" s="55" t="s">
        <v>805</v>
      </c>
      <c r="E1011" s="58">
        <v>75.36</v>
      </c>
      <c r="F1011" s="57">
        <v>0.38</v>
      </c>
      <c r="G1011" s="57"/>
      <c r="H1011" s="49"/>
      <c r="I1011" s="49" t="str">
        <f t="shared" si="89"/>
        <v/>
      </c>
      <c r="J1011" s="37" t="str">
        <f t="shared" si="86"/>
        <v>테이팩스</v>
      </c>
      <c r="K1011" s="37" t="str">
        <f t="shared" si="87"/>
        <v>A055490</v>
      </c>
    </row>
    <row r="1012" spans="1:11" x14ac:dyDescent="0.4">
      <c r="A1012" s="49"/>
      <c r="B1012" s="54" t="s">
        <v>114</v>
      </c>
      <c r="C1012" s="37" t="s">
        <v>115</v>
      </c>
      <c r="D1012" s="55" t="s">
        <v>805</v>
      </c>
      <c r="E1012" s="58">
        <v>45994.01</v>
      </c>
      <c r="F1012" s="57">
        <v>106.14</v>
      </c>
      <c r="G1012" s="57">
        <v>17</v>
      </c>
      <c r="H1012" s="49"/>
      <c r="I1012" s="49">
        <f t="shared" si="89"/>
        <v>45994.020120000001</v>
      </c>
      <c r="J1012" s="37" t="str">
        <f t="shared" si="86"/>
        <v>신한지주</v>
      </c>
      <c r="K1012" s="37" t="str">
        <f t="shared" si="87"/>
        <v>A055550</v>
      </c>
    </row>
    <row r="1013" spans="1:11" x14ac:dyDescent="0.4">
      <c r="A1013" s="49"/>
      <c r="B1013" s="54" t="s">
        <v>254</v>
      </c>
      <c r="C1013" s="37" t="s">
        <v>255</v>
      </c>
      <c r="D1013" s="55" t="s">
        <v>820</v>
      </c>
      <c r="E1013" s="58">
        <v>1371.07</v>
      </c>
      <c r="F1013" s="57">
        <v>55.83</v>
      </c>
      <c r="G1013" s="57"/>
      <c r="H1013" s="49"/>
      <c r="I1013" s="49" t="str">
        <f t="shared" si="89"/>
        <v/>
      </c>
      <c r="J1013" s="37" t="str">
        <f t="shared" si="86"/>
        <v>유진로봇</v>
      </c>
      <c r="K1013" s="37" t="str">
        <f t="shared" si="87"/>
        <v>A056080</v>
      </c>
    </row>
    <row r="1014" spans="1:11" x14ac:dyDescent="0.4">
      <c r="A1014" s="49"/>
      <c r="B1014" s="54" t="s">
        <v>2510</v>
      </c>
      <c r="C1014" s="37" t="s">
        <v>2511</v>
      </c>
      <c r="D1014" s="55" t="s">
        <v>820</v>
      </c>
      <c r="E1014" s="57">
        <v>277.25</v>
      </c>
      <c r="F1014" s="55">
        <v>3.41</v>
      </c>
      <c r="G1014" s="55">
        <v>2</v>
      </c>
      <c r="I1014" s="49">
        <f t="shared" si="89"/>
        <v>277.26013999999998</v>
      </c>
      <c r="J1014" s="37" t="str">
        <f t="shared" si="86"/>
        <v>시지메드텍</v>
      </c>
      <c r="K1014" s="37" t="str">
        <f t="shared" si="87"/>
        <v>A056090</v>
      </c>
    </row>
    <row r="1015" spans="1:11" x14ac:dyDescent="0.4">
      <c r="A1015" s="49"/>
      <c r="B1015" s="54" t="s">
        <v>2512</v>
      </c>
      <c r="C1015" s="37" t="s">
        <v>2513</v>
      </c>
      <c r="D1015" s="55" t="s">
        <v>820</v>
      </c>
      <c r="E1015" s="56">
        <v>1213.72</v>
      </c>
      <c r="F1015" s="55">
        <v>3.31</v>
      </c>
      <c r="G1015" s="55">
        <v>2</v>
      </c>
      <c r="I1015" s="49">
        <f t="shared" si="89"/>
        <v>1213.7301500000001</v>
      </c>
      <c r="J1015" s="37" t="str">
        <f t="shared" si="86"/>
        <v>에스에프에이</v>
      </c>
      <c r="K1015" s="37" t="str">
        <f t="shared" si="87"/>
        <v>A056190</v>
      </c>
    </row>
    <row r="1016" spans="1:11" x14ac:dyDescent="0.4">
      <c r="A1016" s="49"/>
      <c r="B1016" s="54" t="s">
        <v>2514</v>
      </c>
      <c r="C1016" s="37" t="s">
        <v>2515</v>
      </c>
      <c r="D1016" s="55" t="s">
        <v>820</v>
      </c>
      <c r="E1016" s="58">
        <v>51.92</v>
      </c>
      <c r="F1016" s="57">
        <v>0.99</v>
      </c>
      <c r="G1016" s="57"/>
      <c r="H1016" s="49"/>
      <c r="I1016" s="49" t="str">
        <f t="shared" si="89"/>
        <v/>
      </c>
      <c r="J1016" s="37" t="str">
        <f t="shared" si="86"/>
        <v>코위버</v>
      </c>
      <c r="K1016" s="37" t="str">
        <f t="shared" si="87"/>
        <v>A056360</v>
      </c>
    </row>
    <row r="1017" spans="1:11" x14ac:dyDescent="0.4">
      <c r="A1017" s="49"/>
      <c r="B1017" s="54" t="s">
        <v>2516</v>
      </c>
      <c r="C1017" s="37" t="s">
        <v>2517</v>
      </c>
      <c r="D1017" s="55" t="s">
        <v>820</v>
      </c>
      <c r="E1017" s="58">
        <v>54.74</v>
      </c>
      <c r="F1017" s="57">
        <v>0.14000000000000001</v>
      </c>
      <c r="G1017" s="57"/>
      <c r="H1017" s="49"/>
      <c r="I1017" s="49" t="str">
        <f t="shared" si="89"/>
        <v/>
      </c>
      <c r="J1017" s="37" t="str">
        <f t="shared" si="86"/>
        <v>신화인터텍</v>
      </c>
      <c r="K1017" s="37" t="str">
        <f t="shared" si="87"/>
        <v>A056700</v>
      </c>
    </row>
    <row r="1018" spans="1:11" x14ac:dyDescent="0.4">
      <c r="A1018" s="49"/>
      <c r="B1018" s="54" t="s">
        <v>2518</v>
      </c>
      <c r="C1018" s="37" t="s">
        <v>2519</v>
      </c>
      <c r="D1018" s="55" t="s">
        <v>820</v>
      </c>
      <c r="E1018" s="56">
        <v>37.28</v>
      </c>
      <c r="F1018" s="55">
        <v>0.02</v>
      </c>
      <c r="G1018" s="55"/>
      <c r="I1018" s="49" t="str">
        <f t="shared" si="89"/>
        <v/>
      </c>
      <c r="J1018" s="37" t="str">
        <f t="shared" si="86"/>
        <v>CNT85</v>
      </c>
      <c r="K1018" s="37" t="str">
        <f t="shared" si="87"/>
        <v>A056730</v>
      </c>
    </row>
    <row r="1019" spans="1:11" x14ac:dyDescent="0.4">
      <c r="A1019" s="49"/>
      <c r="B1019" s="54" t="s">
        <v>2520</v>
      </c>
      <c r="C1019" s="37" t="s">
        <v>2521</v>
      </c>
      <c r="D1019" s="55" t="s">
        <v>820</v>
      </c>
      <c r="E1019" s="58">
        <v>46.57</v>
      </c>
      <c r="F1019" s="57">
        <v>0.13</v>
      </c>
      <c r="G1019" s="57"/>
      <c r="H1019" s="49"/>
      <c r="I1019" s="49" t="str">
        <f t="shared" si="89"/>
        <v/>
      </c>
      <c r="J1019" s="37" t="str">
        <f t="shared" si="86"/>
        <v>YBM넷</v>
      </c>
      <c r="K1019" s="37" t="str">
        <f t="shared" si="87"/>
        <v>A057030</v>
      </c>
    </row>
    <row r="1020" spans="1:11" x14ac:dyDescent="0.4">
      <c r="A1020" s="49"/>
      <c r="B1020" s="54" t="s">
        <v>176</v>
      </c>
      <c r="C1020" s="37" t="s">
        <v>177</v>
      </c>
      <c r="D1020" s="55" t="s">
        <v>805</v>
      </c>
      <c r="E1020" s="58">
        <v>1020</v>
      </c>
      <c r="F1020" s="57">
        <v>1.41</v>
      </c>
      <c r="G1020" s="57">
        <v>1</v>
      </c>
      <c r="H1020" s="49"/>
      <c r="I1020" s="49">
        <f t="shared" si="89"/>
        <v>1020.0102000000001</v>
      </c>
      <c r="J1020" s="37" t="str">
        <f t="shared" si="86"/>
        <v>현대홈쇼핑</v>
      </c>
      <c r="K1020" s="37" t="str">
        <f t="shared" si="87"/>
        <v>A057050</v>
      </c>
    </row>
    <row r="1021" spans="1:11" x14ac:dyDescent="0.4">
      <c r="A1021" s="49"/>
      <c r="B1021" s="54" t="s">
        <v>2522</v>
      </c>
      <c r="C1021" s="37" t="s">
        <v>2523</v>
      </c>
      <c r="D1021" s="55" t="s">
        <v>820</v>
      </c>
      <c r="E1021" s="58">
        <v>52.97</v>
      </c>
      <c r="F1021" s="57">
        <v>0.25</v>
      </c>
      <c r="G1021" s="57"/>
      <c r="H1021" s="49"/>
      <c r="I1021" s="49" t="str">
        <f t="shared" si="89"/>
        <v/>
      </c>
      <c r="J1021" s="37" t="str">
        <f t="shared" si="86"/>
        <v>옴니시스템</v>
      </c>
      <c r="K1021" s="37" t="str">
        <f t="shared" si="87"/>
        <v>A057540</v>
      </c>
    </row>
    <row r="1022" spans="1:11" x14ac:dyDescent="0.4">
      <c r="A1022" s="49"/>
      <c r="B1022" s="54" t="s">
        <v>2524</v>
      </c>
      <c r="C1022" s="37" t="s">
        <v>2525</v>
      </c>
      <c r="D1022" s="55" t="s">
        <v>820</v>
      </c>
      <c r="E1022" s="58">
        <v>44.89</v>
      </c>
      <c r="F1022" s="57">
        <v>0.34</v>
      </c>
      <c r="G1022" s="57"/>
      <c r="H1022" s="49"/>
      <c r="I1022" s="49" t="str">
        <f t="shared" si="89"/>
        <v/>
      </c>
      <c r="J1022" s="37" t="str">
        <f t="shared" si="86"/>
        <v>티사이언티픽</v>
      </c>
      <c r="K1022" s="37" t="str">
        <f t="shared" si="87"/>
        <v>A057680</v>
      </c>
    </row>
    <row r="1023" spans="1:11" x14ac:dyDescent="0.4">
      <c r="B1023" s="54" t="s">
        <v>2526</v>
      </c>
      <c r="C1023" s="37" t="s">
        <v>2527</v>
      </c>
      <c r="D1023" s="55" t="s">
        <v>820</v>
      </c>
      <c r="E1023" s="56">
        <v>26.58</v>
      </c>
      <c r="F1023" s="55">
        <v>0.18</v>
      </c>
      <c r="G1023" s="55"/>
      <c r="J1023" s="37" t="str">
        <f t="shared" si="86"/>
        <v>멕아이씨에스</v>
      </c>
      <c r="K1023" s="37" t="str">
        <f t="shared" si="87"/>
        <v>A058110</v>
      </c>
    </row>
    <row r="1024" spans="1:11" x14ac:dyDescent="0.4">
      <c r="B1024" s="54" t="s">
        <v>2528</v>
      </c>
      <c r="C1024" s="37" t="s">
        <v>2529</v>
      </c>
      <c r="D1024" s="55" t="s">
        <v>820</v>
      </c>
      <c r="E1024" s="56">
        <v>101.97</v>
      </c>
      <c r="F1024" s="55">
        <v>0.34</v>
      </c>
      <c r="G1024" s="55"/>
      <c r="J1024" s="37" t="str">
        <f t="shared" si="86"/>
        <v>KNN</v>
      </c>
      <c r="K1024" s="37" t="str">
        <f t="shared" si="87"/>
        <v>A058400</v>
      </c>
    </row>
    <row r="1025" spans="1:11" x14ac:dyDescent="0.4">
      <c r="A1025" s="49"/>
      <c r="B1025" s="54" t="s">
        <v>2530</v>
      </c>
      <c r="C1025" s="37" t="s">
        <v>2531</v>
      </c>
      <c r="D1025" s="55" t="s">
        <v>805</v>
      </c>
      <c r="E1025" s="56">
        <v>286.8</v>
      </c>
      <c r="F1025" s="55">
        <v>1.75</v>
      </c>
      <c r="G1025" s="55">
        <v>1</v>
      </c>
      <c r="I1025" s="49">
        <f t="shared" ref="I1025:I1032" si="90">IF((G1025&gt;$G$8),E1025+ROW()/100000,"")</f>
        <v>286.81025</v>
      </c>
      <c r="J1025" s="37" t="str">
        <f t="shared" si="86"/>
        <v>포스코스틸리온</v>
      </c>
      <c r="K1025" s="37" t="str">
        <f t="shared" si="87"/>
        <v>A058430</v>
      </c>
    </row>
    <row r="1026" spans="1:11" x14ac:dyDescent="0.4">
      <c r="A1026" s="49"/>
      <c r="B1026" s="54" t="s">
        <v>2532</v>
      </c>
      <c r="C1026" s="37" t="s">
        <v>2533</v>
      </c>
      <c r="D1026" s="55" t="s">
        <v>820</v>
      </c>
      <c r="E1026" s="58">
        <v>9.11</v>
      </c>
      <c r="F1026" s="57">
        <v>0.17</v>
      </c>
      <c r="G1026" s="57"/>
      <c r="H1026" s="49"/>
      <c r="I1026" s="49" t="str">
        <f t="shared" si="90"/>
        <v/>
      </c>
      <c r="J1026" s="37" t="str">
        <f t="shared" si="86"/>
        <v>한주에이알티</v>
      </c>
      <c r="K1026" s="37" t="str">
        <f t="shared" si="87"/>
        <v>A058450</v>
      </c>
    </row>
    <row r="1027" spans="1:11" x14ac:dyDescent="0.4">
      <c r="A1027" s="49"/>
      <c r="B1027" s="54" t="s">
        <v>158</v>
      </c>
      <c r="C1027" s="37" t="s">
        <v>159</v>
      </c>
      <c r="D1027" s="55" t="s">
        <v>820</v>
      </c>
      <c r="E1027" s="56">
        <v>8093.7</v>
      </c>
      <c r="F1027" s="55">
        <v>50.69</v>
      </c>
      <c r="G1027" s="55">
        <v>6</v>
      </c>
      <c r="I1027" s="49">
        <f t="shared" si="90"/>
        <v>8093.7102699999996</v>
      </c>
      <c r="J1027" s="37" t="str">
        <f t="shared" si="86"/>
        <v>리노공업</v>
      </c>
      <c r="K1027" s="37" t="str">
        <f t="shared" si="87"/>
        <v>A058470</v>
      </c>
    </row>
    <row r="1028" spans="1:11" x14ac:dyDescent="0.4">
      <c r="A1028" s="49"/>
      <c r="B1028" s="54" t="s">
        <v>252</v>
      </c>
      <c r="C1028" s="37" t="s">
        <v>253</v>
      </c>
      <c r="D1028" s="55" t="s">
        <v>820</v>
      </c>
      <c r="E1028" s="56">
        <v>3206.85</v>
      </c>
      <c r="F1028" s="55">
        <v>90.7</v>
      </c>
      <c r="G1028" s="55">
        <v>1</v>
      </c>
      <c r="I1028" s="49">
        <f t="shared" si="90"/>
        <v>3206.8602799999999</v>
      </c>
      <c r="J1028" s="37" t="str">
        <f t="shared" si="86"/>
        <v>에스피지</v>
      </c>
      <c r="K1028" s="37" t="str">
        <f t="shared" si="87"/>
        <v>A058610</v>
      </c>
    </row>
    <row r="1029" spans="1:11" x14ac:dyDescent="0.4">
      <c r="A1029" s="49"/>
      <c r="B1029" s="54" t="s">
        <v>2534</v>
      </c>
      <c r="C1029" s="37" t="s">
        <v>2535</v>
      </c>
      <c r="D1029" s="55" t="s">
        <v>820</v>
      </c>
      <c r="E1029" s="58">
        <v>104.46</v>
      </c>
      <c r="F1029" s="57">
        <v>0.52</v>
      </c>
      <c r="G1029" s="57"/>
      <c r="H1029" s="49"/>
      <c r="I1029" s="49" t="str">
        <f t="shared" si="90"/>
        <v/>
      </c>
      <c r="J1029" s="37" t="str">
        <f t="shared" si="86"/>
        <v>엠게임</v>
      </c>
      <c r="K1029" s="37" t="str">
        <f t="shared" si="87"/>
        <v>A058630</v>
      </c>
    </row>
    <row r="1030" spans="1:11" x14ac:dyDescent="0.4">
      <c r="A1030" s="49"/>
      <c r="B1030" s="54" t="s">
        <v>2536</v>
      </c>
      <c r="C1030" s="37" t="s">
        <v>2537</v>
      </c>
      <c r="D1030" s="55" t="s">
        <v>805</v>
      </c>
      <c r="E1030" s="58">
        <v>687.1</v>
      </c>
      <c r="F1030" s="57">
        <v>0.41</v>
      </c>
      <c r="G1030" s="57">
        <v>1</v>
      </c>
      <c r="H1030" s="49"/>
      <c r="I1030" s="49">
        <f t="shared" si="90"/>
        <v>687.11030000000005</v>
      </c>
      <c r="J1030" s="37" t="str">
        <f t="shared" si="86"/>
        <v>세아홀딩스</v>
      </c>
      <c r="K1030" s="37" t="str">
        <f t="shared" si="87"/>
        <v>A058650</v>
      </c>
    </row>
    <row r="1031" spans="1:11" x14ac:dyDescent="0.4">
      <c r="A1031" s="49"/>
      <c r="B1031" s="54" t="s">
        <v>2538</v>
      </c>
      <c r="C1031" s="37" t="s">
        <v>2539</v>
      </c>
      <c r="D1031" s="55" t="s">
        <v>805</v>
      </c>
      <c r="E1031" s="58">
        <v>66.73</v>
      </c>
      <c r="F1031" s="57">
        <v>2.11</v>
      </c>
      <c r="G1031" s="57"/>
      <c r="H1031" s="49"/>
      <c r="I1031" s="49" t="str">
        <f t="shared" si="90"/>
        <v/>
      </c>
      <c r="J1031" s="37" t="str">
        <f t="shared" si="86"/>
        <v>다스코</v>
      </c>
      <c r="K1031" s="37" t="str">
        <f t="shared" si="87"/>
        <v>A058730</v>
      </c>
    </row>
    <row r="1032" spans="1:11" x14ac:dyDescent="0.4">
      <c r="A1032" s="49"/>
      <c r="B1032" s="54" t="s">
        <v>2540</v>
      </c>
      <c r="C1032" s="37" t="s">
        <v>2541</v>
      </c>
      <c r="D1032" s="55" t="s">
        <v>820</v>
      </c>
      <c r="E1032" s="58">
        <v>291.83999999999997</v>
      </c>
      <c r="F1032" s="57">
        <v>1.5</v>
      </c>
      <c r="G1032" s="57"/>
      <c r="H1032" s="49"/>
      <c r="I1032" s="49" t="str">
        <f t="shared" si="90"/>
        <v/>
      </c>
      <c r="J1032" s="37" t="str">
        <f t="shared" si="86"/>
        <v>CMG제약</v>
      </c>
      <c r="K1032" s="37" t="str">
        <f t="shared" si="87"/>
        <v>A058820</v>
      </c>
    </row>
    <row r="1033" spans="1:11" x14ac:dyDescent="0.4">
      <c r="B1033" s="54" t="s">
        <v>2542</v>
      </c>
      <c r="C1033" s="37" t="s">
        <v>2543</v>
      </c>
      <c r="D1033" s="55" t="s">
        <v>805</v>
      </c>
      <c r="E1033" s="56">
        <v>119.3</v>
      </c>
      <c r="F1033" s="55">
        <v>1.57</v>
      </c>
      <c r="G1033" s="55"/>
      <c r="J1033" s="37" t="str">
        <f t="shared" si="86"/>
        <v>KTcs</v>
      </c>
      <c r="K1033" s="37" t="str">
        <f t="shared" si="87"/>
        <v>A058850</v>
      </c>
    </row>
    <row r="1034" spans="1:11" x14ac:dyDescent="0.4">
      <c r="A1034" s="49"/>
      <c r="B1034" s="54" t="s">
        <v>2544</v>
      </c>
      <c r="C1034" s="37" t="s">
        <v>2545</v>
      </c>
      <c r="D1034" s="55" t="s">
        <v>805</v>
      </c>
      <c r="E1034" s="58">
        <v>106.15</v>
      </c>
      <c r="F1034" s="57">
        <v>0.43</v>
      </c>
      <c r="G1034" s="57"/>
      <c r="H1034" s="49"/>
      <c r="I1034" s="49" t="str">
        <f t="shared" ref="I1034:I1043" si="91">IF((G1034&gt;$G$8),E1034+ROW()/100000,"")</f>
        <v/>
      </c>
      <c r="J1034" s="37" t="str">
        <f t="shared" si="86"/>
        <v>KTis</v>
      </c>
      <c r="K1034" s="37" t="str">
        <f t="shared" si="87"/>
        <v>A058860</v>
      </c>
    </row>
    <row r="1035" spans="1:11" x14ac:dyDescent="0.4">
      <c r="A1035" s="49"/>
      <c r="B1035" s="54" t="s">
        <v>2546</v>
      </c>
      <c r="C1035" s="37" t="s">
        <v>2547</v>
      </c>
      <c r="D1035" s="55" t="s">
        <v>820</v>
      </c>
      <c r="E1035" s="58">
        <v>504.32</v>
      </c>
      <c r="F1035" s="57">
        <v>2.74</v>
      </c>
      <c r="G1035" s="57"/>
      <c r="H1035" s="49"/>
      <c r="I1035" s="49" t="str">
        <f t="shared" si="91"/>
        <v/>
      </c>
      <c r="J1035" s="37" t="str">
        <f t="shared" si="86"/>
        <v>엠로</v>
      </c>
      <c r="K1035" s="37" t="str">
        <f t="shared" si="87"/>
        <v>A058970</v>
      </c>
    </row>
    <row r="1036" spans="1:11" x14ac:dyDescent="0.4">
      <c r="A1036" s="49"/>
      <c r="B1036" s="54" t="s">
        <v>412</v>
      </c>
      <c r="C1036" s="37" t="s">
        <v>413</v>
      </c>
      <c r="D1036" s="55" t="s">
        <v>820</v>
      </c>
      <c r="E1036" s="56">
        <v>532.33000000000004</v>
      </c>
      <c r="F1036" s="55">
        <v>9.08</v>
      </c>
      <c r="G1036" s="55"/>
      <c r="I1036" s="49" t="str">
        <f t="shared" si="91"/>
        <v/>
      </c>
      <c r="J1036" s="37" t="str">
        <f t="shared" si="86"/>
        <v>미코</v>
      </c>
      <c r="K1036" s="37" t="str">
        <f t="shared" si="87"/>
        <v>A059090</v>
      </c>
    </row>
    <row r="1037" spans="1:11" x14ac:dyDescent="0.4">
      <c r="A1037" s="49"/>
      <c r="B1037" s="54" t="s">
        <v>2548</v>
      </c>
      <c r="C1037" s="37" t="s">
        <v>2549</v>
      </c>
      <c r="D1037" s="55" t="s">
        <v>820</v>
      </c>
      <c r="E1037" s="56">
        <v>42.99</v>
      </c>
      <c r="F1037" s="55">
        <v>0.31</v>
      </c>
      <c r="G1037" s="55"/>
      <c r="I1037" s="49" t="str">
        <f t="shared" si="91"/>
        <v/>
      </c>
      <c r="J1037" s="37" t="str">
        <f t="shared" si="86"/>
        <v>아이컴포넌트</v>
      </c>
      <c r="K1037" s="37" t="str">
        <f t="shared" si="87"/>
        <v>A059100</v>
      </c>
    </row>
    <row r="1038" spans="1:11" x14ac:dyDescent="0.4">
      <c r="A1038" s="49"/>
      <c r="B1038" s="54" t="s">
        <v>2550</v>
      </c>
      <c r="C1038" s="37" t="s">
        <v>2551</v>
      </c>
      <c r="D1038" s="55" t="s">
        <v>820</v>
      </c>
      <c r="E1038" s="58">
        <v>141.54</v>
      </c>
      <c r="F1038" s="57">
        <v>6.96</v>
      </c>
      <c r="G1038" s="57"/>
      <c r="H1038" s="49"/>
      <c r="I1038" s="49" t="str">
        <f t="shared" si="91"/>
        <v/>
      </c>
      <c r="J1038" s="37" t="str">
        <f t="shared" ref="J1038:J1101" si="92">C1038</f>
        <v>아진엑스텍</v>
      </c>
      <c r="K1038" s="37" t="str">
        <f t="shared" ref="K1038:K1101" si="93">B1038</f>
        <v>A059120</v>
      </c>
    </row>
    <row r="1039" spans="1:11" x14ac:dyDescent="0.4">
      <c r="A1039" s="49"/>
      <c r="B1039" s="54" t="s">
        <v>2552</v>
      </c>
      <c r="C1039" s="37" t="s">
        <v>2553</v>
      </c>
      <c r="D1039" s="55" t="s">
        <v>820</v>
      </c>
      <c r="E1039" s="56">
        <v>143</v>
      </c>
      <c r="F1039" s="55">
        <v>2.4</v>
      </c>
      <c r="G1039" s="55"/>
      <c r="I1039" s="49" t="str">
        <f t="shared" si="91"/>
        <v/>
      </c>
      <c r="J1039" s="37" t="str">
        <f t="shared" si="92"/>
        <v>메타바이오메드</v>
      </c>
      <c r="K1039" s="37" t="str">
        <f t="shared" si="93"/>
        <v>A059210</v>
      </c>
    </row>
    <row r="1040" spans="1:11" x14ac:dyDescent="0.4">
      <c r="A1040" s="49"/>
      <c r="B1040" s="54" t="s">
        <v>2554</v>
      </c>
      <c r="C1040" s="37" t="s">
        <v>2555</v>
      </c>
      <c r="D1040" s="55" t="s">
        <v>820</v>
      </c>
      <c r="E1040" s="58">
        <v>146.27000000000001</v>
      </c>
      <c r="F1040" s="57">
        <v>10.84</v>
      </c>
      <c r="G1040" s="57"/>
      <c r="H1040" s="49"/>
      <c r="I1040" s="49" t="str">
        <f t="shared" si="91"/>
        <v/>
      </c>
      <c r="J1040" s="37" t="str">
        <f t="shared" si="92"/>
        <v>해성에어로보틱스</v>
      </c>
      <c r="K1040" s="37" t="str">
        <f t="shared" si="93"/>
        <v>A059270</v>
      </c>
    </row>
    <row r="1041" spans="1:11" x14ac:dyDescent="0.4">
      <c r="A1041" s="49"/>
      <c r="B1041" s="54" t="s">
        <v>2556</v>
      </c>
      <c r="C1041" s="37" t="s">
        <v>2557</v>
      </c>
      <c r="D1041" s="55" t="s">
        <v>820</v>
      </c>
      <c r="E1041" s="57">
        <v>200.46</v>
      </c>
      <c r="F1041" s="55">
        <v>0.44</v>
      </c>
      <c r="G1041" s="55"/>
      <c r="I1041" s="49" t="str">
        <f t="shared" si="91"/>
        <v/>
      </c>
      <c r="J1041" s="37" t="str">
        <f t="shared" si="92"/>
        <v>인선이엔티</v>
      </c>
      <c r="K1041" s="37" t="str">
        <f t="shared" si="93"/>
        <v>A060150</v>
      </c>
    </row>
    <row r="1042" spans="1:11" x14ac:dyDescent="0.4">
      <c r="A1042" s="49"/>
      <c r="B1042" s="54" t="s">
        <v>2558</v>
      </c>
      <c r="C1042" s="37" t="s">
        <v>2559</v>
      </c>
      <c r="D1042" s="55" t="s">
        <v>820</v>
      </c>
      <c r="E1042" s="58">
        <v>17.98</v>
      </c>
      <c r="F1042" s="57">
        <v>0.63</v>
      </c>
      <c r="G1042" s="57"/>
      <c r="H1042" s="49"/>
      <c r="I1042" s="49" t="str">
        <f t="shared" si="91"/>
        <v/>
      </c>
      <c r="J1042" s="37" t="str">
        <f t="shared" si="92"/>
        <v>제이케이시냅스</v>
      </c>
      <c r="K1042" s="37" t="str">
        <f t="shared" si="93"/>
        <v>A060230</v>
      </c>
    </row>
    <row r="1043" spans="1:11" x14ac:dyDescent="0.4">
      <c r="A1043" s="49"/>
      <c r="B1043" s="54" t="s">
        <v>2560</v>
      </c>
      <c r="C1043" s="37" t="s">
        <v>2561</v>
      </c>
      <c r="D1043" s="55" t="s">
        <v>820</v>
      </c>
      <c r="E1043" s="58">
        <v>11.5</v>
      </c>
      <c r="F1043" s="57">
        <v>0</v>
      </c>
      <c r="G1043" s="57"/>
      <c r="H1043" s="49"/>
      <c r="I1043" s="49" t="str">
        <f t="shared" si="91"/>
        <v/>
      </c>
      <c r="J1043" s="37" t="str">
        <f t="shared" si="92"/>
        <v>스타코링크</v>
      </c>
      <c r="K1043" s="37" t="str">
        <f t="shared" si="93"/>
        <v>A060240</v>
      </c>
    </row>
    <row r="1044" spans="1:11" x14ac:dyDescent="0.4">
      <c r="B1044" s="54" t="s">
        <v>2562</v>
      </c>
      <c r="C1044" s="37" t="s">
        <v>2563</v>
      </c>
      <c r="D1044" s="55" t="s">
        <v>820</v>
      </c>
      <c r="E1044" s="56">
        <v>859.44</v>
      </c>
      <c r="F1044" s="55">
        <v>29.62</v>
      </c>
      <c r="G1044" s="55">
        <v>4</v>
      </c>
      <c r="J1044" s="37" t="str">
        <f t="shared" si="92"/>
        <v>NHN KCP</v>
      </c>
      <c r="K1044" s="37" t="str">
        <f t="shared" si="93"/>
        <v>A060250</v>
      </c>
    </row>
    <row r="1045" spans="1:11" x14ac:dyDescent="0.4">
      <c r="A1045" s="49"/>
      <c r="B1045" s="54" t="s">
        <v>2564</v>
      </c>
      <c r="C1045" s="37" t="s">
        <v>2565</v>
      </c>
      <c r="D1045" s="55" t="s">
        <v>820</v>
      </c>
      <c r="E1045" s="58">
        <v>14.42</v>
      </c>
      <c r="F1045" s="57">
        <v>0.12</v>
      </c>
      <c r="G1045" s="57"/>
      <c r="H1045" s="49"/>
      <c r="I1045" s="49" t="str">
        <f>IF((G1045&gt;$G$8),E1045+ROW()/100000,"")</f>
        <v/>
      </c>
      <c r="J1045" s="37" t="str">
        <f t="shared" si="92"/>
        <v>뉴보텍</v>
      </c>
      <c r="K1045" s="37" t="str">
        <f t="shared" si="93"/>
        <v>A060260</v>
      </c>
    </row>
    <row r="1046" spans="1:11" x14ac:dyDescent="0.4">
      <c r="A1046" s="49"/>
      <c r="B1046" s="54" t="s">
        <v>250</v>
      </c>
      <c r="C1046" s="37" t="s">
        <v>251</v>
      </c>
      <c r="D1046" s="55" t="s">
        <v>820</v>
      </c>
      <c r="E1046" s="56">
        <v>698.12</v>
      </c>
      <c r="F1046" s="55">
        <v>15.76</v>
      </c>
      <c r="G1046" s="55">
        <v>2</v>
      </c>
      <c r="I1046" s="49">
        <f>IF((G1046&gt;$G$8),E1046+ROW()/100000,"")</f>
        <v>698.13045999999997</v>
      </c>
      <c r="J1046" s="37" t="str">
        <f t="shared" si="92"/>
        <v>큐렉소</v>
      </c>
      <c r="K1046" s="37" t="str">
        <f t="shared" si="93"/>
        <v>A060280</v>
      </c>
    </row>
    <row r="1047" spans="1:11" x14ac:dyDescent="0.4">
      <c r="B1047" s="54" t="s">
        <v>2566</v>
      </c>
      <c r="C1047" s="37" t="s">
        <v>2567</v>
      </c>
      <c r="D1047" s="55" t="s">
        <v>820</v>
      </c>
      <c r="E1047" s="56">
        <v>68.98</v>
      </c>
      <c r="F1047" s="55">
        <v>0.54</v>
      </c>
      <c r="G1047" s="55"/>
      <c r="J1047" s="37" t="str">
        <f t="shared" si="92"/>
        <v>3S</v>
      </c>
      <c r="K1047" s="37" t="str">
        <f t="shared" si="93"/>
        <v>A060310</v>
      </c>
    </row>
    <row r="1048" spans="1:11" x14ac:dyDescent="0.4">
      <c r="A1048" s="49"/>
      <c r="B1048" s="54" t="s">
        <v>2568</v>
      </c>
      <c r="C1048" s="37" t="s">
        <v>2569</v>
      </c>
      <c r="D1048" s="55" t="s">
        <v>820</v>
      </c>
      <c r="E1048" s="58">
        <v>1750</v>
      </c>
      <c r="F1048" s="57">
        <v>13.38</v>
      </c>
      <c r="G1048" s="57"/>
      <c r="H1048" s="49"/>
      <c r="I1048" s="49" t="str">
        <f t="shared" ref="I1048:I1061" si="94">IF((G1048&gt;$G$8),E1048+ROW()/100000,"")</f>
        <v/>
      </c>
      <c r="J1048" s="37" t="str">
        <f t="shared" si="92"/>
        <v>LS마린솔루션</v>
      </c>
      <c r="K1048" s="37" t="str">
        <f t="shared" si="93"/>
        <v>A060370</v>
      </c>
    </row>
    <row r="1049" spans="1:11" x14ac:dyDescent="0.4">
      <c r="A1049" s="49"/>
      <c r="B1049" s="54" t="s">
        <v>2570</v>
      </c>
      <c r="C1049" s="37" t="s">
        <v>2571</v>
      </c>
      <c r="D1049" s="55" t="s">
        <v>820</v>
      </c>
      <c r="E1049" s="58">
        <v>28.27</v>
      </c>
      <c r="F1049" s="57">
        <v>0.7</v>
      </c>
      <c r="G1049" s="57"/>
      <c r="H1049" s="49"/>
      <c r="I1049" s="49" t="str">
        <f t="shared" si="94"/>
        <v/>
      </c>
      <c r="J1049" s="37" t="str">
        <f t="shared" si="92"/>
        <v>동양에스텍</v>
      </c>
      <c r="K1049" s="37" t="str">
        <f t="shared" si="93"/>
        <v>A060380</v>
      </c>
    </row>
    <row r="1050" spans="1:11" x14ac:dyDescent="0.4">
      <c r="A1050" s="49"/>
      <c r="B1050" s="54" t="s">
        <v>2572</v>
      </c>
      <c r="C1050" s="37" t="s">
        <v>2573</v>
      </c>
      <c r="D1050" s="55" t="s">
        <v>820</v>
      </c>
      <c r="E1050" s="58">
        <v>17.39</v>
      </c>
      <c r="F1050" s="57">
        <v>0.06</v>
      </c>
      <c r="G1050" s="57"/>
      <c r="H1050" s="49"/>
      <c r="I1050" s="49" t="str">
        <f t="shared" si="94"/>
        <v/>
      </c>
      <c r="J1050" s="37" t="str">
        <f t="shared" si="92"/>
        <v>국일신동</v>
      </c>
      <c r="K1050" s="37" t="str">
        <f t="shared" si="93"/>
        <v>A060480</v>
      </c>
    </row>
    <row r="1051" spans="1:11" x14ac:dyDescent="0.4">
      <c r="A1051" s="49"/>
      <c r="B1051" s="54" t="s">
        <v>2574</v>
      </c>
      <c r="C1051" s="37" t="s">
        <v>2575</v>
      </c>
      <c r="D1051" s="55" t="s">
        <v>820</v>
      </c>
      <c r="E1051" s="58">
        <v>34.47</v>
      </c>
      <c r="F1051" s="57">
        <v>0.15</v>
      </c>
      <c r="G1051" s="57"/>
      <c r="H1051" s="49"/>
      <c r="I1051" s="49" t="str">
        <f t="shared" si="94"/>
        <v/>
      </c>
      <c r="J1051" s="37" t="str">
        <f t="shared" si="92"/>
        <v>에스에이티</v>
      </c>
      <c r="K1051" s="37" t="str">
        <f t="shared" si="93"/>
        <v>A060540</v>
      </c>
    </row>
    <row r="1052" spans="1:11" x14ac:dyDescent="0.4">
      <c r="A1052" s="49"/>
      <c r="B1052" s="54" t="s">
        <v>2576</v>
      </c>
      <c r="C1052" s="37" t="s">
        <v>2577</v>
      </c>
      <c r="D1052" s="55" t="s">
        <v>820</v>
      </c>
      <c r="E1052" s="58">
        <v>88.48</v>
      </c>
      <c r="F1052" s="57">
        <v>0.09</v>
      </c>
      <c r="G1052" s="57"/>
      <c r="H1052" s="49"/>
      <c r="I1052" s="49" t="str">
        <f t="shared" si="94"/>
        <v/>
      </c>
      <c r="J1052" s="37" t="str">
        <f t="shared" si="92"/>
        <v>HC홈센타</v>
      </c>
      <c r="K1052" s="37" t="str">
        <f t="shared" si="93"/>
        <v>A060560</v>
      </c>
    </row>
    <row r="1053" spans="1:11" x14ac:dyDescent="0.4">
      <c r="A1053" s="49"/>
      <c r="B1053" s="54" t="s">
        <v>2578</v>
      </c>
      <c r="C1053" s="37" t="s">
        <v>2579</v>
      </c>
      <c r="D1053" s="55" t="s">
        <v>820</v>
      </c>
      <c r="E1053" s="58">
        <v>95</v>
      </c>
      <c r="F1053" s="57">
        <v>0.19</v>
      </c>
      <c r="G1053" s="57"/>
      <c r="H1053" s="49"/>
      <c r="I1053" s="49" t="str">
        <f t="shared" si="94"/>
        <v/>
      </c>
      <c r="J1053" s="37" t="str">
        <f t="shared" si="92"/>
        <v>드림어스컴퍼니</v>
      </c>
      <c r="K1053" s="37" t="str">
        <f t="shared" si="93"/>
        <v>A060570</v>
      </c>
    </row>
    <row r="1054" spans="1:11" x14ac:dyDescent="0.4">
      <c r="A1054" s="49"/>
      <c r="B1054" s="54" t="s">
        <v>2580</v>
      </c>
      <c r="C1054" s="37" t="s">
        <v>2581</v>
      </c>
      <c r="D1054" s="55" t="s">
        <v>820</v>
      </c>
      <c r="E1054" s="56">
        <v>100.47</v>
      </c>
      <c r="F1054" s="55">
        <v>0.43</v>
      </c>
      <c r="G1054" s="55"/>
      <c r="I1054" s="49" t="str">
        <f t="shared" si="94"/>
        <v/>
      </c>
      <c r="J1054" s="37" t="str">
        <f t="shared" si="92"/>
        <v>씨티씨바이오</v>
      </c>
      <c r="K1054" s="37" t="str">
        <f t="shared" si="93"/>
        <v>A060590</v>
      </c>
    </row>
    <row r="1055" spans="1:11" x14ac:dyDescent="0.4">
      <c r="A1055" s="49"/>
      <c r="B1055" s="54" t="s">
        <v>2582</v>
      </c>
      <c r="C1055" s="37" t="s">
        <v>2583</v>
      </c>
      <c r="D1055" s="55" t="s">
        <v>820</v>
      </c>
      <c r="E1055" s="58">
        <v>417.2</v>
      </c>
      <c r="F1055" s="57">
        <v>8.6300000000000008</v>
      </c>
      <c r="G1055" s="57">
        <v>2</v>
      </c>
      <c r="H1055" s="49"/>
      <c r="I1055" s="49">
        <f t="shared" si="94"/>
        <v>417.21055000000001</v>
      </c>
      <c r="J1055" s="37" t="str">
        <f t="shared" si="92"/>
        <v>KH바텍</v>
      </c>
      <c r="K1055" s="37" t="str">
        <f t="shared" si="93"/>
        <v>A060720</v>
      </c>
    </row>
    <row r="1056" spans="1:11" x14ac:dyDescent="0.4">
      <c r="A1056" s="49"/>
      <c r="B1056" s="54" t="s">
        <v>2584</v>
      </c>
      <c r="C1056" s="37" t="s">
        <v>2585</v>
      </c>
      <c r="D1056" s="55" t="s">
        <v>820</v>
      </c>
      <c r="E1056" s="58">
        <v>51.23</v>
      </c>
      <c r="F1056" s="57">
        <v>0.16</v>
      </c>
      <c r="G1056" s="57"/>
      <c r="H1056" s="49"/>
      <c r="I1056" s="49" t="str">
        <f t="shared" si="94"/>
        <v/>
      </c>
      <c r="J1056" s="37" t="str">
        <f t="shared" si="92"/>
        <v>영림원소프트랩</v>
      </c>
      <c r="K1056" s="37" t="str">
        <f t="shared" si="93"/>
        <v>A060850</v>
      </c>
    </row>
    <row r="1057" spans="1:11" x14ac:dyDescent="0.4">
      <c r="A1057" s="49"/>
      <c r="B1057" s="54" t="s">
        <v>2586</v>
      </c>
      <c r="C1057" s="37" t="s">
        <v>2587</v>
      </c>
      <c r="D1057" s="55" t="s">
        <v>820</v>
      </c>
      <c r="E1057" s="56">
        <v>23.23</v>
      </c>
      <c r="F1057" s="55">
        <v>0.91</v>
      </c>
      <c r="G1057" s="55"/>
      <c r="I1057" s="49" t="str">
        <f t="shared" si="94"/>
        <v/>
      </c>
      <c r="J1057" s="37" t="str">
        <f t="shared" si="92"/>
        <v>에이전트AI</v>
      </c>
      <c r="K1057" s="37" t="str">
        <f t="shared" si="93"/>
        <v>A060900</v>
      </c>
    </row>
    <row r="1058" spans="1:11" x14ac:dyDescent="0.4">
      <c r="A1058" s="49"/>
      <c r="B1058" s="54" t="s">
        <v>2588</v>
      </c>
      <c r="C1058" s="37" t="s">
        <v>2589</v>
      </c>
      <c r="D1058" s="55" t="s">
        <v>805</v>
      </c>
      <c r="E1058" s="58">
        <v>456.53</v>
      </c>
      <c r="F1058" s="57">
        <v>2.0099999999999998</v>
      </c>
      <c r="G1058" s="57">
        <v>4</v>
      </c>
      <c r="H1058" s="49"/>
      <c r="I1058" s="49">
        <f t="shared" si="94"/>
        <v>456.54057999999998</v>
      </c>
      <c r="J1058" s="37" t="str">
        <f t="shared" si="92"/>
        <v>HL홀딩스</v>
      </c>
      <c r="K1058" s="37" t="str">
        <f t="shared" si="93"/>
        <v>A060980</v>
      </c>
    </row>
    <row r="1059" spans="1:11" x14ac:dyDescent="0.4">
      <c r="A1059" s="49"/>
      <c r="B1059" s="54" t="s">
        <v>2590</v>
      </c>
      <c r="C1059" s="37" t="s">
        <v>2591</v>
      </c>
      <c r="D1059" s="55" t="s">
        <v>820</v>
      </c>
      <c r="E1059" s="56">
        <v>75.89</v>
      </c>
      <c r="F1059" s="55">
        <v>0.41</v>
      </c>
      <c r="G1059" s="55"/>
      <c r="I1059" s="49" t="str">
        <f t="shared" si="94"/>
        <v/>
      </c>
      <c r="J1059" s="37" t="str">
        <f t="shared" si="92"/>
        <v>알에프텍</v>
      </c>
      <c r="K1059" s="37" t="str">
        <f t="shared" si="93"/>
        <v>A061040</v>
      </c>
    </row>
    <row r="1060" spans="1:11" x14ac:dyDescent="0.4">
      <c r="A1060" s="49"/>
      <c r="B1060" s="54" t="s">
        <v>2592</v>
      </c>
      <c r="C1060" s="37" t="s">
        <v>2593</v>
      </c>
      <c r="D1060" s="55" t="s">
        <v>820</v>
      </c>
      <c r="E1060" s="56">
        <v>237.67</v>
      </c>
      <c r="F1060" s="55">
        <v>23.66</v>
      </c>
      <c r="G1060" s="55">
        <v>1</v>
      </c>
      <c r="I1060" s="49">
        <f t="shared" si="94"/>
        <v>237.6806</v>
      </c>
      <c r="J1060" s="37" t="str">
        <f t="shared" si="92"/>
        <v>세나테크놀로지</v>
      </c>
      <c r="K1060" s="37" t="str">
        <f t="shared" si="93"/>
        <v>A061090</v>
      </c>
    </row>
    <row r="1061" spans="1:11" x14ac:dyDescent="0.4">
      <c r="A1061" s="49"/>
      <c r="B1061" s="54" t="s">
        <v>2594</v>
      </c>
      <c r="C1061" s="37" t="s">
        <v>2595</v>
      </c>
      <c r="D1061" s="55" t="s">
        <v>820</v>
      </c>
      <c r="E1061" s="58">
        <v>91.79</v>
      </c>
      <c r="F1061" s="57">
        <v>1.42</v>
      </c>
      <c r="G1061" s="57"/>
      <c r="H1061" s="49"/>
      <c r="I1061" s="49" t="str">
        <f t="shared" si="94"/>
        <v/>
      </c>
      <c r="J1061" s="37" t="str">
        <f t="shared" si="92"/>
        <v>화일약품</v>
      </c>
      <c r="K1061" s="37" t="str">
        <f t="shared" si="93"/>
        <v>A061250</v>
      </c>
    </row>
    <row r="1062" spans="1:11" x14ac:dyDescent="0.4">
      <c r="A1062" s="49"/>
      <c r="B1062" s="54" t="s">
        <v>2596</v>
      </c>
      <c r="C1062" s="37" t="s">
        <v>2597</v>
      </c>
      <c r="D1062" s="55" t="s">
        <v>820</v>
      </c>
      <c r="E1062" s="56">
        <v>290.42</v>
      </c>
      <c r="F1062" s="55">
        <v>2.4500000000000002</v>
      </c>
      <c r="G1062" s="55"/>
      <c r="J1062" s="37" t="str">
        <f t="shared" si="92"/>
        <v>LB세미콘</v>
      </c>
      <c r="K1062" s="37" t="str">
        <f t="shared" si="93"/>
        <v>A061970</v>
      </c>
    </row>
    <row r="1063" spans="1:11" x14ac:dyDescent="0.4">
      <c r="A1063" s="49"/>
      <c r="B1063" s="54" t="s">
        <v>392</v>
      </c>
      <c r="C1063" s="37" t="s">
        <v>393</v>
      </c>
      <c r="D1063" s="55" t="s">
        <v>805</v>
      </c>
      <c r="E1063" s="58">
        <v>5091.88</v>
      </c>
      <c r="F1063" s="57">
        <v>71.61</v>
      </c>
      <c r="G1063" s="57">
        <v>6</v>
      </c>
      <c r="H1063" s="49"/>
      <c r="I1063" s="49">
        <f t="shared" ref="I1063:I1069" si="95">IF((G1063&gt;$G$8),E1063+ROW()/100000,"")</f>
        <v>5091.8906299999999</v>
      </c>
      <c r="J1063" s="37" t="str">
        <f t="shared" si="92"/>
        <v>산일전기</v>
      </c>
      <c r="K1063" s="37" t="str">
        <f t="shared" si="93"/>
        <v>A062040</v>
      </c>
    </row>
    <row r="1064" spans="1:11" x14ac:dyDescent="0.4">
      <c r="A1064" s="49"/>
      <c r="B1064" s="54" t="s">
        <v>2598</v>
      </c>
      <c r="C1064" s="37" t="s">
        <v>2599</v>
      </c>
      <c r="D1064" s="55" t="s">
        <v>820</v>
      </c>
      <c r="E1064" s="58">
        <v>58.34</v>
      </c>
      <c r="F1064" s="57">
        <v>7.55</v>
      </c>
      <c r="G1064" s="57"/>
      <c r="H1064" s="49"/>
      <c r="I1064" s="49" t="str">
        <f t="shared" si="95"/>
        <v/>
      </c>
      <c r="J1064" s="37" t="str">
        <f t="shared" si="92"/>
        <v>한국첨단소재</v>
      </c>
      <c r="K1064" s="37" t="str">
        <f t="shared" si="93"/>
        <v>A062970</v>
      </c>
    </row>
    <row r="1065" spans="1:11" x14ac:dyDescent="0.4">
      <c r="A1065" s="49"/>
      <c r="B1065" s="54" t="s">
        <v>2600</v>
      </c>
      <c r="C1065" s="37" t="s">
        <v>2601</v>
      </c>
      <c r="D1065" s="55" t="s">
        <v>820</v>
      </c>
      <c r="E1065" s="58">
        <v>128.34</v>
      </c>
      <c r="F1065" s="57">
        <v>0.98</v>
      </c>
      <c r="G1065" s="57"/>
      <c r="H1065" s="49"/>
      <c r="I1065" s="49" t="str">
        <f t="shared" si="95"/>
        <v/>
      </c>
      <c r="J1065" s="37" t="str">
        <f t="shared" si="92"/>
        <v>컴투스홀딩스</v>
      </c>
      <c r="K1065" s="37" t="str">
        <f t="shared" si="93"/>
        <v>A063080</v>
      </c>
    </row>
    <row r="1066" spans="1:11" x14ac:dyDescent="0.4">
      <c r="A1066" s="49"/>
      <c r="B1066" s="54" t="s">
        <v>2602</v>
      </c>
      <c r="C1066" s="37" t="s">
        <v>2603</v>
      </c>
      <c r="D1066" s="55" t="s">
        <v>805</v>
      </c>
      <c r="E1066" s="58">
        <v>115.75</v>
      </c>
      <c r="F1066" s="57">
        <v>0.84</v>
      </c>
      <c r="G1066" s="57"/>
      <c r="H1066" s="49"/>
      <c r="I1066" s="49" t="str">
        <f t="shared" si="95"/>
        <v/>
      </c>
      <c r="J1066" s="37" t="str">
        <f t="shared" si="92"/>
        <v>종근당바이오</v>
      </c>
      <c r="K1066" s="37" t="str">
        <f t="shared" si="93"/>
        <v>A063160</v>
      </c>
    </row>
    <row r="1067" spans="1:11" x14ac:dyDescent="0.4">
      <c r="A1067" s="49"/>
      <c r="B1067" s="54" t="s">
        <v>2604</v>
      </c>
      <c r="C1067" s="37" t="s">
        <v>2605</v>
      </c>
      <c r="D1067" s="55" t="s">
        <v>820</v>
      </c>
      <c r="E1067" s="56">
        <v>157.66</v>
      </c>
      <c r="F1067" s="55">
        <v>1.3</v>
      </c>
      <c r="G1067" s="55"/>
      <c r="I1067" s="49" t="str">
        <f t="shared" si="95"/>
        <v/>
      </c>
      <c r="J1067" s="37" t="str">
        <f t="shared" si="92"/>
        <v>서울옥션</v>
      </c>
      <c r="K1067" s="37" t="str">
        <f t="shared" si="93"/>
        <v>A063170</v>
      </c>
    </row>
    <row r="1068" spans="1:11" x14ac:dyDescent="0.4">
      <c r="A1068" s="49"/>
      <c r="B1068" s="54" t="s">
        <v>2606</v>
      </c>
      <c r="C1068" s="37" t="s">
        <v>2607</v>
      </c>
      <c r="D1068" s="55" t="s">
        <v>820</v>
      </c>
      <c r="E1068" s="58">
        <v>71.209999999999994</v>
      </c>
      <c r="F1068" s="57">
        <v>1.08</v>
      </c>
      <c r="G1068" s="57"/>
      <c r="H1068" s="49"/>
      <c r="I1068" s="49" t="str">
        <f t="shared" si="95"/>
        <v/>
      </c>
      <c r="J1068" s="37" t="str">
        <f t="shared" si="92"/>
        <v>SM Life Design</v>
      </c>
      <c r="K1068" s="37" t="str">
        <f t="shared" si="93"/>
        <v>A063440</v>
      </c>
    </row>
    <row r="1069" spans="1:11" x14ac:dyDescent="0.4">
      <c r="A1069" s="49"/>
      <c r="B1069" s="54" t="s">
        <v>2608</v>
      </c>
      <c r="C1069" s="37" t="s">
        <v>2609</v>
      </c>
      <c r="D1069" s="55" t="s">
        <v>820</v>
      </c>
      <c r="E1069" s="58">
        <v>145.81</v>
      </c>
      <c r="F1069" s="57">
        <v>0.26</v>
      </c>
      <c r="G1069" s="57">
        <v>1</v>
      </c>
      <c r="H1069" s="49"/>
      <c r="I1069" s="49">
        <f t="shared" si="95"/>
        <v>145.82069000000001</v>
      </c>
      <c r="J1069" s="37" t="str">
        <f t="shared" si="92"/>
        <v>NICE인프라</v>
      </c>
      <c r="K1069" s="37" t="str">
        <f t="shared" si="93"/>
        <v>A063570</v>
      </c>
    </row>
    <row r="1070" spans="1:11" x14ac:dyDescent="0.4">
      <c r="B1070" s="54" t="s">
        <v>2610</v>
      </c>
      <c r="C1070" s="37" t="s">
        <v>2611</v>
      </c>
      <c r="D1070" s="55" t="s">
        <v>820</v>
      </c>
      <c r="E1070" s="56">
        <v>24.66</v>
      </c>
      <c r="F1070" s="55">
        <v>0.19</v>
      </c>
      <c r="G1070" s="55"/>
      <c r="J1070" s="37" t="str">
        <f t="shared" si="92"/>
        <v>이엘피</v>
      </c>
      <c r="K1070" s="37" t="str">
        <f t="shared" si="93"/>
        <v>A063760</v>
      </c>
    </row>
    <row r="1071" spans="1:11" x14ac:dyDescent="0.4">
      <c r="A1071" s="49"/>
      <c r="B1071" s="54" t="s">
        <v>2612</v>
      </c>
      <c r="C1071" s="37" t="s">
        <v>2613</v>
      </c>
      <c r="D1071" s="55" t="s">
        <v>820</v>
      </c>
      <c r="E1071" s="56">
        <v>39.69</v>
      </c>
      <c r="F1071" s="55">
        <v>0.55000000000000004</v>
      </c>
      <c r="G1071" s="55"/>
      <c r="I1071" s="49" t="str">
        <f t="shared" ref="I1071:I1111" si="96">IF((G1071&gt;$G$8),E1071+ROW()/100000,"")</f>
        <v/>
      </c>
      <c r="J1071" s="37" t="str">
        <f t="shared" si="92"/>
        <v>인크레더블버즈</v>
      </c>
      <c r="K1071" s="37" t="str">
        <f t="shared" si="93"/>
        <v>A064090</v>
      </c>
    </row>
    <row r="1072" spans="1:11" x14ac:dyDescent="0.4">
      <c r="A1072" s="49"/>
      <c r="B1072" s="54" t="s">
        <v>2614</v>
      </c>
      <c r="C1072" s="37" t="s">
        <v>2615</v>
      </c>
      <c r="D1072" s="55" t="s">
        <v>820</v>
      </c>
      <c r="E1072" s="58">
        <v>65.989999999999995</v>
      </c>
      <c r="F1072" s="57">
        <v>0.22</v>
      </c>
      <c r="G1072" s="57"/>
      <c r="H1072" s="49"/>
      <c r="I1072" s="49" t="str">
        <f t="shared" si="96"/>
        <v/>
      </c>
      <c r="J1072" s="37" t="str">
        <f t="shared" si="92"/>
        <v>홈캐스트</v>
      </c>
      <c r="K1072" s="37" t="str">
        <f t="shared" si="93"/>
        <v>A064240</v>
      </c>
    </row>
    <row r="1073" spans="1:11" x14ac:dyDescent="0.4">
      <c r="A1073" s="49"/>
      <c r="B1073" s="54" t="s">
        <v>669</v>
      </c>
      <c r="C1073" s="37" t="s">
        <v>670</v>
      </c>
      <c r="D1073" s="55" t="s">
        <v>820</v>
      </c>
      <c r="E1073" s="56">
        <v>639.20000000000005</v>
      </c>
      <c r="F1073" s="55">
        <v>78.19</v>
      </c>
      <c r="G1073" s="55">
        <v>1</v>
      </c>
      <c r="I1073" s="49">
        <f t="shared" si="96"/>
        <v>639.21073000000001</v>
      </c>
      <c r="J1073" s="37" t="str">
        <f t="shared" si="92"/>
        <v>다날</v>
      </c>
      <c r="K1073" s="37" t="str">
        <f t="shared" si="93"/>
        <v>A064260</v>
      </c>
    </row>
    <row r="1074" spans="1:11" x14ac:dyDescent="0.4">
      <c r="A1074" s="49"/>
      <c r="B1074" s="54" t="s">
        <v>666</v>
      </c>
      <c r="C1074" s="37" t="s">
        <v>667</v>
      </c>
      <c r="D1074" s="55" t="s">
        <v>820</v>
      </c>
      <c r="E1074" s="56">
        <v>206.6</v>
      </c>
      <c r="F1074" s="55">
        <v>4.34</v>
      </c>
      <c r="G1074" s="55">
        <v>2</v>
      </c>
      <c r="I1074" s="49">
        <f t="shared" si="96"/>
        <v>206.61073999999999</v>
      </c>
      <c r="J1074" s="37" t="str">
        <f t="shared" si="92"/>
        <v>인텍플러스</v>
      </c>
      <c r="K1074" s="37" t="str">
        <f t="shared" si="93"/>
        <v>A064290</v>
      </c>
    </row>
    <row r="1075" spans="1:11" x14ac:dyDescent="0.4">
      <c r="A1075" s="49"/>
      <c r="B1075" s="54" t="s">
        <v>88</v>
      </c>
      <c r="C1075" s="37" t="s">
        <v>89</v>
      </c>
      <c r="D1075" s="55" t="s">
        <v>805</v>
      </c>
      <c r="E1075" s="56">
        <v>25157.3</v>
      </c>
      <c r="F1075" s="55">
        <v>160.74</v>
      </c>
      <c r="G1075" s="55">
        <v>17</v>
      </c>
      <c r="I1075" s="49">
        <f t="shared" si="96"/>
        <v>25157.310750000001</v>
      </c>
      <c r="J1075" s="37" t="str">
        <f t="shared" si="92"/>
        <v>현대로템</v>
      </c>
      <c r="K1075" s="37" t="str">
        <f t="shared" si="93"/>
        <v>A064350</v>
      </c>
    </row>
    <row r="1076" spans="1:11" x14ac:dyDescent="0.4">
      <c r="A1076" s="49"/>
      <c r="B1076" s="54" t="s">
        <v>295</v>
      </c>
      <c r="C1076" s="37" t="s">
        <v>296</v>
      </c>
      <c r="D1076" s="55" t="s">
        <v>805</v>
      </c>
      <c r="E1076" s="56">
        <v>7218</v>
      </c>
      <c r="F1076" s="55">
        <v>83.62</v>
      </c>
      <c r="G1076" s="55">
        <v>8</v>
      </c>
      <c r="I1076" s="49">
        <f t="shared" si="96"/>
        <v>7218.0107600000001</v>
      </c>
      <c r="J1076" s="37" t="str">
        <f t="shared" si="92"/>
        <v>LG씨엔에스</v>
      </c>
      <c r="K1076" s="37" t="str">
        <f t="shared" si="93"/>
        <v>A064400</v>
      </c>
    </row>
    <row r="1077" spans="1:11" x14ac:dyDescent="0.4">
      <c r="A1077" s="49"/>
      <c r="B1077" s="54" t="s">
        <v>2616</v>
      </c>
      <c r="C1077" s="37" t="s">
        <v>2617</v>
      </c>
      <c r="D1077" s="55" t="s">
        <v>820</v>
      </c>
      <c r="E1077" s="58">
        <v>70.400000000000006</v>
      </c>
      <c r="F1077" s="57">
        <v>0.56999999999999995</v>
      </c>
      <c r="G1077" s="57"/>
      <c r="H1077" s="49"/>
      <c r="I1077" s="49" t="str">
        <f t="shared" si="96"/>
        <v/>
      </c>
      <c r="J1077" s="37" t="str">
        <f t="shared" si="92"/>
        <v>브리지텍</v>
      </c>
      <c r="K1077" s="37" t="str">
        <f t="shared" si="93"/>
        <v>A064480</v>
      </c>
    </row>
    <row r="1078" spans="1:11" x14ac:dyDescent="0.4">
      <c r="A1078" s="49"/>
      <c r="B1078" s="54" t="s">
        <v>2618</v>
      </c>
      <c r="C1078" s="37" t="s">
        <v>2619</v>
      </c>
      <c r="D1078" s="55" t="s">
        <v>820</v>
      </c>
      <c r="E1078" s="59">
        <v>40.25</v>
      </c>
      <c r="F1078" s="57">
        <v>0.3</v>
      </c>
      <c r="G1078" s="57"/>
      <c r="H1078" s="49"/>
      <c r="I1078" s="49" t="str">
        <f t="shared" si="96"/>
        <v/>
      </c>
      <c r="J1078" s="37" t="str">
        <f t="shared" si="92"/>
        <v>테크엘</v>
      </c>
      <c r="K1078" s="37" t="str">
        <f t="shared" si="93"/>
        <v>A064520</v>
      </c>
    </row>
    <row r="1079" spans="1:11" x14ac:dyDescent="0.4">
      <c r="A1079" s="49"/>
      <c r="B1079" s="54" t="s">
        <v>2620</v>
      </c>
      <c r="C1079" s="37" t="s">
        <v>2621</v>
      </c>
      <c r="D1079" s="55" t="s">
        <v>820</v>
      </c>
      <c r="E1079" s="58">
        <v>332.95</v>
      </c>
      <c r="F1079" s="57">
        <v>1.87</v>
      </c>
      <c r="G1079" s="57"/>
      <c r="H1079" s="49"/>
      <c r="I1079" s="49" t="str">
        <f t="shared" si="96"/>
        <v/>
      </c>
      <c r="J1079" s="37" t="str">
        <f t="shared" si="92"/>
        <v>바이오니아</v>
      </c>
      <c r="K1079" s="37" t="str">
        <f t="shared" si="93"/>
        <v>A064550</v>
      </c>
    </row>
    <row r="1080" spans="1:11" x14ac:dyDescent="0.4">
      <c r="A1080" s="49"/>
      <c r="B1080" s="54" t="s">
        <v>495</v>
      </c>
      <c r="C1080" s="37" t="s">
        <v>496</v>
      </c>
      <c r="D1080" s="55" t="s">
        <v>820</v>
      </c>
      <c r="E1080" s="58">
        <v>2509.7800000000002</v>
      </c>
      <c r="F1080" s="57">
        <v>13.27</v>
      </c>
      <c r="G1080" s="57">
        <v>3</v>
      </c>
      <c r="H1080" s="49"/>
      <c r="I1080" s="49">
        <f t="shared" si="96"/>
        <v>2509.7908000000002</v>
      </c>
      <c r="J1080" s="37" t="str">
        <f t="shared" si="92"/>
        <v>티씨케이</v>
      </c>
      <c r="K1080" s="37" t="str">
        <f t="shared" si="93"/>
        <v>A064760</v>
      </c>
    </row>
    <row r="1081" spans="1:11" x14ac:dyDescent="0.4">
      <c r="A1081" s="49"/>
      <c r="B1081" s="54" t="s">
        <v>2622</v>
      </c>
      <c r="C1081" s="37" t="s">
        <v>2623</v>
      </c>
      <c r="D1081" s="55" t="s">
        <v>820</v>
      </c>
      <c r="E1081" s="58">
        <v>99.43</v>
      </c>
      <c r="F1081" s="57">
        <v>0.3</v>
      </c>
      <c r="G1081" s="57"/>
      <c r="H1081" s="49"/>
      <c r="I1081" s="49" t="str">
        <f t="shared" si="96"/>
        <v/>
      </c>
      <c r="J1081" s="37" t="str">
        <f t="shared" si="92"/>
        <v>포니링크</v>
      </c>
      <c r="K1081" s="37" t="str">
        <f t="shared" si="93"/>
        <v>A064800</v>
      </c>
    </row>
    <row r="1082" spans="1:11" x14ac:dyDescent="0.4">
      <c r="A1082" s="49"/>
      <c r="B1082" s="54" t="s">
        <v>2624</v>
      </c>
      <c r="C1082" s="37" t="s">
        <v>2625</v>
      </c>
      <c r="D1082" s="55" t="s">
        <v>820</v>
      </c>
      <c r="E1082" s="58">
        <v>380.09</v>
      </c>
      <c r="F1082" s="57">
        <v>11.31</v>
      </c>
      <c r="G1082" s="57"/>
      <c r="H1082" s="49"/>
      <c r="I1082" s="49" t="str">
        <f t="shared" si="96"/>
        <v/>
      </c>
      <c r="J1082" s="37" t="str">
        <f t="shared" si="92"/>
        <v>케이프</v>
      </c>
      <c r="K1082" s="37" t="str">
        <f t="shared" si="93"/>
        <v>A064820</v>
      </c>
    </row>
    <row r="1083" spans="1:11" x14ac:dyDescent="0.4">
      <c r="A1083" s="49"/>
      <c r="B1083" s="54" t="s">
        <v>2626</v>
      </c>
      <c r="C1083" s="37" t="s">
        <v>2627</v>
      </c>
      <c r="D1083" s="55" t="s">
        <v>820</v>
      </c>
      <c r="E1083" s="58">
        <v>232.77</v>
      </c>
      <c r="F1083" s="57">
        <v>0.99</v>
      </c>
      <c r="G1083" s="57"/>
      <c r="H1083" s="49"/>
      <c r="I1083" s="49" t="str">
        <f t="shared" si="96"/>
        <v/>
      </c>
      <c r="J1083" s="37" t="str">
        <f t="shared" si="92"/>
        <v>에프앤가이드</v>
      </c>
      <c r="K1083" s="37" t="str">
        <f t="shared" si="93"/>
        <v>A064850</v>
      </c>
    </row>
    <row r="1084" spans="1:11" x14ac:dyDescent="0.4">
      <c r="A1084" s="49"/>
      <c r="B1084" s="54" t="s">
        <v>2628</v>
      </c>
      <c r="C1084" s="37" t="s">
        <v>2629</v>
      </c>
      <c r="D1084" s="55" t="s">
        <v>805</v>
      </c>
      <c r="E1084" s="58">
        <v>988.63</v>
      </c>
      <c r="F1084" s="57">
        <v>3.58</v>
      </c>
      <c r="G1084" s="57">
        <v>6</v>
      </c>
      <c r="H1084" s="49"/>
      <c r="I1084" s="49">
        <f t="shared" si="96"/>
        <v>988.64084000000003</v>
      </c>
      <c r="J1084" s="37" t="str">
        <f t="shared" si="92"/>
        <v>SNT모티브</v>
      </c>
      <c r="K1084" s="37" t="str">
        <f t="shared" si="93"/>
        <v>A064960</v>
      </c>
    </row>
    <row r="1085" spans="1:11" x14ac:dyDescent="0.4">
      <c r="A1085" s="49"/>
      <c r="B1085" s="54" t="s">
        <v>2630</v>
      </c>
      <c r="C1085" s="37" t="s">
        <v>2631</v>
      </c>
      <c r="D1085" s="55" t="s">
        <v>820</v>
      </c>
      <c r="E1085" s="58">
        <v>15.18</v>
      </c>
      <c r="F1085" s="57">
        <v>0.45</v>
      </c>
      <c r="G1085" s="57"/>
      <c r="H1085" s="49"/>
      <c r="I1085" s="49" t="str">
        <f t="shared" si="96"/>
        <v/>
      </c>
      <c r="J1085" s="37" t="str">
        <f t="shared" si="92"/>
        <v>지엔코</v>
      </c>
      <c r="K1085" s="37" t="str">
        <f t="shared" si="93"/>
        <v>A065060</v>
      </c>
    </row>
    <row r="1086" spans="1:11" x14ac:dyDescent="0.4">
      <c r="A1086" s="49"/>
      <c r="B1086" s="54" t="s">
        <v>2632</v>
      </c>
      <c r="C1086" s="37" t="s">
        <v>2633</v>
      </c>
      <c r="D1086" s="55" t="s">
        <v>820</v>
      </c>
      <c r="E1086" s="58">
        <v>53.93</v>
      </c>
      <c r="F1086" s="57">
        <v>0.27</v>
      </c>
      <c r="G1086" s="57"/>
      <c r="H1086" s="49"/>
      <c r="I1086" s="49" t="str">
        <f t="shared" si="96"/>
        <v/>
      </c>
      <c r="J1086" s="37" t="str">
        <f t="shared" si="92"/>
        <v>탑엔지니어링</v>
      </c>
      <c r="K1086" s="37" t="str">
        <f t="shared" si="93"/>
        <v>A065130</v>
      </c>
    </row>
    <row r="1087" spans="1:11" x14ac:dyDescent="0.4">
      <c r="A1087" s="49"/>
      <c r="B1087" s="54" t="s">
        <v>2634</v>
      </c>
      <c r="C1087" s="37" t="s">
        <v>2635</v>
      </c>
      <c r="D1087" s="55" t="s">
        <v>820</v>
      </c>
      <c r="E1087" s="58">
        <v>23.11</v>
      </c>
      <c r="F1087" s="57">
        <v>0</v>
      </c>
      <c r="G1087" s="57"/>
      <c r="H1087" s="49"/>
      <c r="I1087" s="49" t="str">
        <f t="shared" si="96"/>
        <v/>
      </c>
      <c r="J1087" s="37" t="str">
        <f t="shared" si="92"/>
        <v>대산F&amp;B</v>
      </c>
      <c r="K1087" s="37" t="str">
        <f t="shared" si="93"/>
        <v>A065150</v>
      </c>
    </row>
    <row r="1088" spans="1:11" x14ac:dyDescent="0.4">
      <c r="A1088" s="49"/>
      <c r="B1088" s="54" t="s">
        <v>2636</v>
      </c>
      <c r="C1088" s="37" t="s">
        <v>2637</v>
      </c>
      <c r="D1088" s="55" t="s">
        <v>820</v>
      </c>
      <c r="E1088" s="58">
        <v>107.83</v>
      </c>
      <c r="F1088" s="57">
        <v>10.32</v>
      </c>
      <c r="G1088" s="57"/>
      <c r="H1088" s="49"/>
      <c r="I1088" s="49" t="str">
        <f t="shared" si="96"/>
        <v/>
      </c>
      <c r="J1088" s="37" t="str">
        <f t="shared" si="92"/>
        <v>비엘팜텍</v>
      </c>
      <c r="K1088" s="37" t="str">
        <f t="shared" si="93"/>
        <v>A065170</v>
      </c>
    </row>
    <row r="1089" spans="1:11" x14ac:dyDescent="0.4">
      <c r="A1089" s="49"/>
      <c r="B1089" s="54" t="s">
        <v>2638</v>
      </c>
      <c r="C1089" s="37" t="s">
        <v>2639</v>
      </c>
      <c r="D1089" s="55" t="s">
        <v>820</v>
      </c>
      <c r="E1089" s="58">
        <v>1929.37</v>
      </c>
      <c r="F1089" s="57">
        <v>12.2</v>
      </c>
      <c r="G1089" s="57"/>
      <c r="H1089" s="49"/>
      <c r="I1089" s="49" t="str">
        <f t="shared" si="96"/>
        <v/>
      </c>
      <c r="J1089" s="37" t="str">
        <f t="shared" si="92"/>
        <v>신성델타테크</v>
      </c>
      <c r="K1089" s="37" t="str">
        <f t="shared" si="93"/>
        <v>A065350</v>
      </c>
    </row>
    <row r="1090" spans="1:11" x14ac:dyDescent="0.4">
      <c r="A1090" s="49"/>
      <c r="B1090" s="54" t="s">
        <v>2640</v>
      </c>
      <c r="C1090" s="37" t="s">
        <v>2641</v>
      </c>
      <c r="D1090" s="55" t="s">
        <v>820</v>
      </c>
      <c r="E1090" s="58">
        <v>43.57</v>
      </c>
      <c r="F1090" s="57">
        <v>0.24</v>
      </c>
      <c r="G1090" s="57"/>
      <c r="H1090" s="49"/>
      <c r="I1090" s="49" t="str">
        <f t="shared" si="96"/>
        <v/>
      </c>
      <c r="J1090" s="37" t="str">
        <f t="shared" si="92"/>
        <v>위세아이텍</v>
      </c>
      <c r="K1090" s="37" t="str">
        <f t="shared" si="93"/>
        <v>A065370</v>
      </c>
    </row>
    <row r="1091" spans="1:11" x14ac:dyDescent="0.4">
      <c r="A1091" s="49"/>
      <c r="B1091" s="54" t="s">
        <v>2642</v>
      </c>
      <c r="C1091" s="37" t="s">
        <v>2643</v>
      </c>
      <c r="D1091" s="55" t="s">
        <v>820</v>
      </c>
      <c r="E1091" s="56">
        <v>12.67</v>
      </c>
      <c r="F1091" s="55">
        <v>0.19</v>
      </c>
      <c r="G1091" s="55"/>
      <c r="I1091" s="49" t="str">
        <f t="shared" si="96"/>
        <v/>
      </c>
      <c r="J1091" s="37" t="str">
        <f t="shared" si="92"/>
        <v>에스아이리소스</v>
      </c>
      <c r="K1091" s="37" t="str">
        <f t="shared" si="93"/>
        <v>A065420</v>
      </c>
    </row>
    <row r="1092" spans="1:11" x14ac:dyDescent="0.4">
      <c r="A1092" s="49"/>
      <c r="B1092" s="54" t="s">
        <v>2644</v>
      </c>
      <c r="C1092" s="37" t="s">
        <v>2645</v>
      </c>
      <c r="D1092" s="55" t="s">
        <v>820</v>
      </c>
      <c r="E1092" s="56">
        <v>36.25</v>
      </c>
      <c r="F1092" s="55">
        <v>1.31</v>
      </c>
      <c r="G1092" s="55"/>
      <c r="I1092" s="49" t="str">
        <f t="shared" si="96"/>
        <v/>
      </c>
      <c r="J1092" s="37" t="str">
        <f t="shared" si="92"/>
        <v>이루온</v>
      </c>
      <c r="K1092" s="37" t="str">
        <f t="shared" si="93"/>
        <v>A065440</v>
      </c>
    </row>
    <row r="1093" spans="1:11" x14ac:dyDescent="0.4">
      <c r="A1093" s="49"/>
      <c r="B1093" s="54" t="s">
        <v>2646</v>
      </c>
      <c r="C1093" s="37" t="s">
        <v>2647</v>
      </c>
      <c r="D1093" s="55" t="s">
        <v>820</v>
      </c>
      <c r="E1093" s="58">
        <v>126.07</v>
      </c>
      <c r="F1093" s="57">
        <v>2.37</v>
      </c>
      <c r="G1093" s="57"/>
      <c r="H1093" s="49"/>
      <c r="I1093" s="49" t="str">
        <f t="shared" si="96"/>
        <v/>
      </c>
      <c r="J1093" s="37" t="str">
        <f t="shared" si="92"/>
        <v>빅텍</v>
      </c>
      <c r="K1093" s="37" t="str">
        <f t="shared" si="93"/>
        <v>A065450</v>
      </c>
    </row>
    <row r="1094" spans="1:11" x14ac:dyDescent="0.4">
      <c r="A1094" s="49"/>
      <c r="B1094" s="54" t="s">
        <v>2648</v>
      </c>
      <c r="C1094" s="37" t="s">
        <v>2649</v>
      </c>
      <c r="D1094" s="55" t="s">
        <v>820</v>
      </c>
      <c r="E1094" s="56">
        <v>89.36</v>
      </c>
      <c r="F1094" s="55">
        <v>3.8</v>
      </c>
      <c r="G1094" s="55"/>
      <c r="I1094" s="49" t="str">
        <f t="shared" si="96"/>
        <v/>
      </c>
      <c r="J1094" s="37" t="str">
        <f t="shared" si="92"/>
        <v>오리엔트정공</v>
      </c>
      <c r="K1094" s="37" t="str">
        <f t="shared" si="93"/>
        <v>A065500</v>
      </c>
    </row>
    <row r="1095" spans="1:11" x14ac:dyDescent="0.4">
      <c r="A1095" s="49"/>
      <c r="B1095" s="54" t="s">
        <v>2650</v>
      </c>
      <c r="C1095" s="37" t="s">
        <v>2651</v>
      </c>
      <c r="D1095" s="55" t="s">
        <v>820</v>
      </c>
      <c r="E1095" s="58">
        <v>104.52</v>
      </c>
      <c r="F1095" s="57">
        <v>0.64</v>
      </c>
      <c r="G1095" s="57"/>
      <c r="H1095" s="49"/>
      <c r="I1095" s="49" t="str">
        <f t="shared" si="96"/>
        <v/>
      </c>
      <c r="J1095" s="37" t="str">
        <f t="shared" si="92"/>
        <v>휴비츠</v>
      </c>
      <c r="K1095" s="37" t="str">
        <f t="shared" si="93"/>
        <v>A065510</v>
      </c>
    </row>
    <row r="1096" spans="1:11" x14ac:dyDescent="0.4">
      <c r="A1096" s="49"/>
      <c r="B1096" s="54" t="s">
        <v>2652</v>
      </c>
      <c r="C1096" s="37" t="s">
        <v>2653</v>
      </c>
      <c r="D1096" s="55" t="s">
        <v>820</v>
      </c>
      <c r="E1096" s="56">
        <v>63.91</v>
      </c>
      <c r="F1096" s="55">
        <v>0.32</v>
      </c>
      <c r="G1096" s="55"/>
      <c r="I1096" s="49" t="str">
        <f t="shared" si="96"/>
        <v/>
      </c>
      <c r="J1096" s="37" t="str">
        <f t="shared" si="92"/>
        <v>와이어블</v>
      </c>
      <c r="K1096" s="37" t="str">
        <f t="shared" si="93"/>
        <v>A065530</v>
      </c>
    </row>
    <row r="1097" spans="1:11" x14ac:dyDescent="0.4">
      <c r="A1097" s="49"/>
      <c r="B1097" s="54" t="s">
        <v>2654</v>
      </c>
      <c r="C1097" s="37" t="s">
        <v>2655</v>
      </c>
      <c r="D1097" s="55" t="s">
        <v>820</v>
      </c>
      <c r="E1097" s="58">
        <v>12.3</v>
      </c>
      <c r="F1097" s="57">
        <v>0</v>
      </c>
      <c r="G1097" s="57"/>
      <c r="H1097" s="49"/>
      <c r="I1097" s="49" t="str">
        <f t="shared" si="96"/>
        <v/>
      </c>
      <c r="J1097" s="37" t="str">
        <f t="shared" si="92"/>
        <v>삼영이엔씨</v>
      </c>
      <c r="K1097" s="37" t="str">
        <f t="shared" si="93"/>
        <v>A065570</v>
      </c>
    </row>
    <row r="1098" spans="1:11" x14ac:dyDescent="0.4">
      <c r="A1098" s="49"/>
      <c r="B1098" s="54" t="s">
        <v>2656</v>
      </c>
      <c r="C1098" s="37" t="s">
        <v>2657</v>
      </c>
      <c r="D1098" s="55" t="s">
        <v>820</v>
      </c>
      <c r="E1098" s="58">
        <v>26.67</v>
      </c>
      <c r="F1098" s="57">
        <v>0.23</v>
      </c>
      <c r="G1098" s="57"/>
      <c r="H1098" s="49"/>
      <c r="I1098" s="49" t="str">
        <f t="shared" si="96"/>
        <v/>
      </c>
      <c r="J1098" s="37" t="str">
        <f t="shared" si="92"/>
        <v>하이퍼코퍼레이션</v>
      </c>
      <c r="K1098" s="37" t="str">
        <f t="shared" si="93"/>
        <v>A065650</v>
      </c>
    </row>
    <row r="1099" spans="1:11" x14ac:dyDescent="0.4">
      <c r="A1099" s="49"/>
      <c r="B1099" s="54" t="s">
        <v>2658</v>
      </c>
      <c r="C1099" s="37" t="s">
        <v>2659</v>
      </c>
      <c r="D1099" s="55" t="s">
        <v>820</v>
      </c>
      <c r="E1099" s="58">
        <v>359.22</v>
      </c>
      <c r="F1099" s="57">
        <v>1.59</v>
      </c>
      <c r="G1099" s="57"/>
      <c r="H1099" s="49"/>
      <c r="I1099" s="49" t="str">
        <f t="shared" si="96"/>
        <v/>
      </c>
      <c r="J1099" s="37" t="str">
        <f t="shared" si="92"/>
        <v>안트로젠</v>
      </c>
      <c r="K1099" s="37" t="str">
        <f t="shared" si="93"/>
        <v>A065660</v>
      </c>
    </row>
    <row r="1100" spans="1:11" x14ac:dyDescent="0.4">
      <c r="A1100" s="49"/>
      <c r="B1100" s="54" t="s">
        <v>2660</v>
      </c>
      <c r="C1100" s="37" t="s">
        <v>2661</v>
      </c>
      <c r="D1100" s="55" t="s">
        <v>820</v>
      </c>
      <c r="E1100" s="58">
        <v>289.69</v>
      </c>
      <c r="F1100" s="57">
        <v>1.52</v>
      </c>
      <c r="G1100" s="57"/>
      <c r="H1100" s="49"/>
      <c r="I1100" s="49" t="str">
        <f t="shared" si="96"/>
        <v/>
      </c>
      <c r="J1100" s="37" t="str">
        <f t="shared" si="92"/>
        <v>우주일렉트로</v>
      </c>
      <c r="K1100" s="37" t="str">
        <f t="shared" si="93"/>
        <v>A065680</v>
      </c>
    </row>
    <row r="1101" spans="1:11" x14ac:dyDescent="0.4">
      <c r="A1101" s="49"/>
      <c r="B1101" s="54" t="s">
        <v>2662</v>
      </c>
      <c r="C1101" s="37" t="s">
        <v>2663</v>
      </c>
      <c r="D1101" s="55" t="s">
        <v>820</v>
      </c>
      <c r="E1101" s="58">
        <v>20.51</v>
      </c>
      <c r="F1101" s="57">
        <v>0.27</v>
      </c>
      <c r="G1101" s="57"/>
      <c r="H1101" s="49"/>
      <c r="I1101" s="49" t="str">
        <f t="shared" si="96"/>
        <v/>
      </c>
      <c r="J1101" s="37" t="str">
        <f t="shared" si="92"/>
        <v>파커스</v>
      </c>
      <c r="K1101" s="37" t="str">
        <f t="shared" si="93"/>
        <v>A065690</v>
      </c>
    </row>
    <row r="1102" spans="1:11" x14ac:dyDescent="0.4">
      <c r="A1102" s="49"/>
      <c r="B1102" s="54" t="s">
        <v>2664</v>
      </c>
      <c r="C1102" s="37" t="s">
        <v>2665</v>
      </c>
      <c r="D1102" s="55" t="s">
        <v>820</v>
      </c>
      <c r="E1102" s="56">
        <v>263.68</v>
      </c>
      <c r="F1102" s="55">
        <v>0.93</v>
      </c>
      <c r="G1102" s="55"/>
      <c r="I1102" s="49" t="str">
        <f t="shared" si="96"/>
        <v/>
      </c>
      <c r="J1102" s="37" t="str">
        <f t="shared" ref="J1102:J1165" si="97">C1102</f>
        <v>서호전기</v>
      </c>
      <c r="K1102" s="37" t="str">
        <f t="shared" ref="K1102:K1165" si="98">B1102</f>
        <v>A065710</v>
      </c>
    </row>
    <row r="1103" spans="1:11" x14ac:dyDescent="0.4">
      <c r="A1103" s="49"/>
      <c r="B1103" s="54" t="s">
        <v>2666</v>
      </c>
      <c r="C1103" s="37" t="s">
        <v>2667</v>
      </c>
      <c r="D1103" s="55" t="s">
        <v>820</v>
      </c>
      <c r="E1103" s="58">
        <v>14.54</v>
      </c>
      <c r="F1103" s="57">
        <v>0.16</v>
      </c>
      <c r="G1103" s="57"/>
      <c r="H1103" s="49"/>
      <c r="I1103" s="49" t="str">
        <f t="shared" si="96"/>
        <v/>
      </c>
      <c r="J1103" s="37" t="str">
        <f t="shared" si="97"/>
        <v>CS</v>
      </c>
      <c r="K1103" s="37" t="str">
        <f t="shared" si="98"/>
        <v>A065770</v>
      </c>
    </row>
    <row r="1104" spans="1:11" x14ac:dyDescent="0.4">
      <c r="A1104" s="49"/>
      <c r="B1104" s="54" t="s">
        <v>2668</v>
      </c>
      <c r="C1104" s="37" t="s">
        <v>2669</v>
      </c>
      <c r="D1104" s="55" t="s">
        <v>820</v>
      </c>
      <c r="E1104" s="58">
        <v>45.9</v>
      </c>
      <c r="F1104" s="57">
        <v>0.16</v>
      </c>
      <c r="G1104" s="57"/>
      <c r="H1104" s="49"/>
      <c r="I1104" s="49" t="str">
        <f t="shared" si="96"/>
        <v/>
      </c>
      <c r="J1104" s="37" t="str">
        <f t="shared" si="97"/>
        <v>웰크론</v>
      </c>
      <c r="K1104" s="37" t="str">
        <f t="shared" si="98"/>
        <v>A065950</v>
      </c>
    </row>
    <row r="1105" spans="1:11" x14ac:dyDescent="0.4">
      <c r="A1105" s="49"/>
      <c r="B1105" s="54" t="s">
        <v>2670</v>
      </c>
      <c r="C1105" s="37" t="s">
        <v>2671</v>
      </c>
      <c r="D1105" s="55" t="s">
        <v>820</v>
      </c>
      <c r="E1105" s="58">
        <v>55.42</v>
      </c>
      <c r="F1105" s="57">
        <v>0.13</v>
      </c>
      <c r="G1105" s="57"/>
      <c r="H1105" s="49"/>
      <c r="I1105" s="49" t="str">
        <f t="shared" si="96"/>
        <v/>
      </c>
      <c r="J1105" s="37" t="str">
        <f t="shared" si="97"/>
        <v>하츠</v>
      </c>
      <c r="K1105" s="37" t="str">
        <f t="shared" si="98"/>
        <v>A066130</v>
      </c>
    </row>
    <row r="1106" spans="1:11" x14ac:dyDescent="0.4">
      <c r="A1106" s="49"/>
      <c r="B1106" s="54" t="s">
        <v>2672</v>
      </c>
      <c r="C1106" s="37" t="s">
        <v>2673</v>
      </c>
      <c r="D1106" s="55" t="s">
        <v>820</v>
      </c>
      <c r="E1106" s="58">
        <v>82.05</v>
      </c>
      <c r="F1106" s="57">
        <v>1.43</v>
      </c>
      <c r="G1106" s="57"/>
      <c r="H1106" s="49"/>
      <c r="I1106" s="49" t="str">
        <f t="shared" si="96"/>
        <v/>
      </c>
      <c r="J1106" s="37" t="str">
        <f t="shared" si="97"/>
        <v>큐에스아이</v>
      </c>
      <c r="K1106" s="37" t="str">
        <f t="shared" si="98"/>
        <v>A066310</v>
      </c>
    </row>
    <row r="1107" spans="1:11" x14ac:dyDescent="0.4">
      <c r="A1107" s="49"/>
      <c r="B1107" s="54" t="s">
        <v>2674</v>
      </c>
      <c r="C1107" s="37" t="s">
        <v>2675</v>
      </c>
      <c r="D1107" s="55" t="s">
        <v>820</v>
      </c>
      <c r="E1107" s="58">
        <v>49.15</v>
      </c>
      <c r="F1107" s="57">
        <v>0.52</v>
      </c>
      <c r="G1107" s="57"/>
      <c r="H1107" s="49"/>
      <c r="I1107" s="49" t="str">
        <f t="shared" si="96"/>
        <v/>
      </c>
      <c r="J1107" s="37" t="str">
        <f t="shared" si="97"/>
        <v>체리부로</v>
      </c>
      <c r="K1107" s="37" t="str">
        <f t="shared" si="98"/>
        <v>A066360</v>
      </c>
    </row>
    <row r="1108" spans="1:11" x14ac:dyDescent="0.4">
      <c r="A1108" s="49"/>
      <c r="B1108" s="54" t="s">
        <v>2676</v>
      </c>
      <c r="C1108" s="37" t="s">
        <v>2677</v>
      </c>
      <c r="D1108" s="55" t="s">
        <v>820</v>
      </c>
      <c r="E1108" s="58">
        <v>159.63999999999999</v>
      </c>
      <c r="F1108" s="57">
        <v>0</v>
      </c>
      <c r="G1108" s="57"/>
      <c r="H1108" s="49"/>
      <c r="I1108" s="49" t="str">
        <f t="shared" si="96"/>
        <v/>
      </c>
      <c r="J1108" s="37" t="str">
        <f t="shared" si="97"/>
        <v>버킷스튜디오</v>
      </c>
      <c r="K1108" s="37" t="str">
        <f t="shared" si="98"/>
        <v>A066410</v>
      </c>
    </row>
    <row r="1109" spans="1:11" x14ac:dyDescent="0.4">
      <c r="A1109" s="49"/>
      <c r="B1109" s="54" t="s">
        <v>2678</v>
      </c>
      <c r="C1109" s="37" t="s">
        <v>2679</v>
      </c>
      <c r="D1109" s="55" t="s">
        <v>820</v>
      </c>
      <c r="E1109" s="58">
        <v>104.74</v>
      </c>
      <c r="F1109" s="57">
        <v>3.61</v>
      </c>
      <c r="G1109" s="57"/>
      <c r="H1109" s="49"/>
      <c r="I1109" s="49" t="str">
        <f t="shared" si="96"/>
        <v/>
      </c>
      <c r="J1109" s="37" t="str">
        <f t="shared" si="97"/>
        <v>아이로보틱스</v>
      </c>
      <c r="K1109" s="37" t="str">
        <f t="shared" si="98"/>
        <v>A066430</v>
      </c>
    </row>
    <row r="1110" spans="1:11" x14ac:dyDescent="0.4">
      <c r="A1110" s="49"/>
      <c r="B1110" s="54" t="s">
        <v>242</v>
      </c>
      <c r="C1110" s="37" t="s">
        <v>243</v>
      </c>
      <c r="D1110" s="55" t="s">
        <v>805</v>
      </c>
      <c r="E1110" s="58">
        <v>23732.55</v>
      </c>
      <c r="F1110" s="57">
        <v>121.08</v>
      </c>
      <c r="G1110" s="57">
        <v>19</v>
      </c>
      <c r="H1110" s="49"/>
      <c r="I1110" s="49">
        <f t="shared" si="96"/>
        <v>23732.561099999999</v>
      </c>
      <c r="J1110" s="37" t="str">
        <f t="shared" si="97"/>
        <v>LG전자</v>
      </c>
      <c r="K1110" s="37" t="str">
        <f t="shared" si="98"/>
        <v>A066570</v>
      </c>
    </row>
    <row r="1111" spans="1:11" x14ac:dyDescent="0.4">
      <c r="A1111" s="49"/>
      <c r="B1111" s="54" t="s">
        <v>2680</v>
      </c>
      <c r="C1111" s="37" t="s">
        <v>5168</v>
      </c>
      <c r="D1111" s="55" t="s">
        <v>820</v>
      </c>
      <c r="E1111" s="58">
        <v>120.48</v>
      </c>
      <c r="F1111" s="57">
        <v>1.97</v>
      </c>
      <c r="G1111" s="57"/>
      <c r="H1111" s="49"/>
      <c r="I1111" s="49" t="str">
        <f t="shared" si="96"/>
        <v/>
      </c>
      <c r="J1111" s="37" t="str">
        <f t="shared" si="97"/>
        <v>스모트로닉</v>
      </c>
      <c r="K1111" s="37" t="str">
        <f t="shared" si="98"/>
        <v>A066590</v>
      </c>
    </row>
    <row r="1112" spans="1:11" x14ac:dyDescent="0.4">
      <c r="B1112" s="54" t="s">
        <v>2681</v>
      </c>
      <c r="C1112" s="37" t="s">
        <v>2682</v>
      </c>
      <c r="D1112" s="55" t="s">
        <v>820</v>
      </c>
      <c r="E1112" s="56">
        <v>179.25</v>
      </c>
      <c r="F1112" s="55">
        <v>0.3</v>
      </c>
      <c r="G1112" s="55"/>
      <c r="J1112" s="37" t="str">
        <f t="shared" si="97"/>
        <v>국보디자인</v>
      </c>
      <c r="K1112" s="37" t="str">
        <f t="shared" si="98"/>
        <v>A066620</v>
      </c>
    </row>
    <row r="1113" spans="1:11" x14ac:dyDescent="0.4">
      <c r="A1113" s="49"/>
      <c r="B1113" s="54" t="s">
        <v>2683</v>
      </c>
      <c r="C1113" s="37" t="s">
        <v>2684</v>
      </c>
      <c r="D1113" s="55" t="s">
        <v>820</v>
      </c>
      <c r="E1113" s="58">
        <v>54.86</v>
      </c>
      <c r="F1113" s="57">
        <v>0.28999999999999998</v>
      </c>
      <c r="G1113" s="57"/>
      <c r="H1113" s="49"/>
      <c r="I1113" s="49" t="str">
        <f t="shared" ref="I1113:I1135" si="99">IF((G1113&gt;$G$8),E1113+ROW()/100000,"")</f>
        <v/>
      </c>
      <c r="J1113" s="37" t="str">
        <f t="shared" si="97"/>
        <v>디티씨</v>
      </c>
      <c r="K1113" s="37" t="str">
        <f t="shared" si="98"/>
        <v>A066670</v>
      </c>
    </row>
    <row r="1114" spans="1:11" x14ac:dyDescent="0.4">
      <c r="A1114" s="49"/>
      <c r="B1114" s="54" t="s">
        <v>2685</v>
      </c>
      <c r="C1114" s="37" t="s">
        <v>2686</v>
      </c>
      <c r="D1114" s="55" t="s">
        <v>820</v>
      </c>
      <c r="E1114" s="58">
        <v>101.61</v>
      </c>
      <c r="F1114" s="57">
        <v>0.43</v>
      </c>
      <c r="G1114" s="57"/>
      <c r="H1114" s="49"/>
      <c r="I1114" s="49" t="str">
        <f t="shared" si="99"/>
        <v/>
      </c>
      <c r="J1114" s="37" t="str">
        <f t="shared" si="97"/>
        <v>테라젠이텍스</v>
      </c>
      <c r="K1114" s="37" t="str">
        <f t="shared" si="98"/>
        <v>A066700</v>
      </c>
    </row>
    <row r="1115" spans="1:11" x14ac:dyDescent="0.4">
      <c r="A1115" s="49"/>
      <c r="B1115" s="54" t="s">
        <v>2687</v>
      </c>
      <c r="C1115" s="37" t="s">
        <v>2688</v>
      </c>
      <c r="D1115" s="55" t="s">
        <v>820</v>
      </c>
      <c r="E1115" s="58">
        <v>97.27</v>
      </c>
      <c r="F1115" s="57">
        <v>0</v>
      </c>
      <c r="G1115" s="57"/>
      <c r="H1115" s="49"/>
      <c r="I1115" s="49" t="str">
        <f t="shared" si="99"/>
        <v/>
      </c>
      <c r="J1115" s="37" t="str">
        <f t="shared" si="97"/>
        <v>씨씨에스</v>
      </c>
      <c r="K1115" s="37" t="str">
        <f t="shared" si="98"/>
        <v>A066790</v>
      </c>
    </row>
    <row r="1116" spans="1:11" x14ac:dyDescent="0.4">
      <c r="A1116" s="49"/>
      <c r="B1116" s="54" t="s">
        <v>2689</v>
      </c>
      <c r="C1116" s="37" t="s">
        <v>2690</v>
      </c>
      <c r="D1116" s="55" t="s">
        <v>820</v>
      </c>
      <c r="E1116" s="58">
        <v>44.1</v>
      </c>
      <c r="F1116" s="57">
        <v>0.2</v>
      </c>
      <c r="G1116" s="57"/>
      <c r="H1116" s="49"/>
      <c r="I1116" s="49" t="str">
        <f t="shared" si="99"/>
        <v/>
      </c>
      <c r="J1116" s="37" t="str">
        <f t="shared" si="97"/>
        <v>디에이피</v>
      </c>
      <c r="K1116" s="37" t="str">
        <f t="shared" si="98"/>
        <v>A066900</v>
      </c>
    </row>
    <row r="1117" spans="1:11" x14ac:dyDescent="0.4">
      <c r="A1117" s="49"/>
      <c r="B1117" s="54" t="s">
        <v>2691</v>
      </c>
      <c r="C1117" s="37" t="s">
        <v>2692</v>
      </c>
      <c r="D1117" s="55" t="s">
        <v>820</v>
      </c>
      <c r="E1117" s="56">
        <v>46.79</v>
      </c>
      <c r="F1117" s="55">
        <v>0.63</v>
      </c>
      <c r="G1117" s="55"/>
      <c r="I1117" s="49" t="str">
        <f t="shared" si="99"/>
        <v/>
      </c>
      <c r="J1117" s="37" t="str">
        <f t="shared" si="97"/>
        <v>손오공</v>
      </c>
      <c r="K1117" s="37" t="str">
        <f t="shared" si="98"/>
        <v>A066910</v>
      </c>
    </row>
    <row r="1118" spans="1:11" x14ac:dyDescent="0.4">
      <c r="A1118" s="49"/>
      <c r="B1118" s="54" t="s">
        <v>326</v>
      </c>
      <c r="C1118" s="37" t="s">
        <v>327</v>
      </c>
      <c r="D1118" s="55" t="s">
        <v>805</v>
      </c>
      <c r="E1118" s="58">
        <v>5062.38</v>
      </c>
      <c r="F1118" s="57">
        <v>73.08</v>
      </c>
      <c r="G1118" s="57">
        <v>15</v>
      </c>
      <c r="H1118" s="49"/>
      <c r="I1118" s="49">
        <f t="shared" si="99"/>
        <v>5062.3911800000005</v>
      </c>
      <c r="J1118" s="37" t="str">
        <f t="shared" si="97"/>
        <v>엘앤에프</v>
      </c>
      <c r="K1118" s="37" t="str">
        <f t="shared" si="98"/>
        <v>A066970</v>
      </c>
    </row>
    <row r="1119" spans="1:11" x14ac:dyDescent="0.4">
      <c r="A1119" s="49"/>
      <c r="B1119" s="54" t="s">
        <v>2693</v>
      </c>
      <c r="C1119" s="37" t="s">
        <v>2694</v>
      </c>
      <c r="D1119" s="55" t="s">
        <v>820</v>
      </c>
      <c r="E1119" s="58">
        <v>73.069999999999993</v>
      </c>
      <c r="F1119" s="57">
        <v>1.81</v>
      </c>
      <c r="G1119" s="57"/>
      <c r="H1119" s="49"/>
      <c r="I1119" s="49" t="str">
        <f t="shared" si="99"/>
        <v/>
      </c>
      <c r="J1119" s="37" t="str">
        <f t="shared" si="97"/>
        <v>한성크린텍</v>
      </c>
      <c r="K1119" s="37" t="str">
        <f t="shared" si="98"/>
        <v>A066980</v>
      </c>
    </row>
    <row r="1120" spans="1:11" x14ac:dyDescent="0.4">
      <c r="A1120" s="49"/>
      <c r="B1120" s="54" t="s">
        <v>2695</v>
      </c>
      <c r="C1120" s="37" t="s">
        <v>2696</v>
      </c>
      <c r="D1120" s="55" t="s">
        <v>820</v>
      </c>
      <c r="E1120" s="56">
        <v>180.35</v>
      </c>
      <c r="F1120" s="56">
        <v>4</v>
      </c>
      <c r="G1120" s="55">
        <v>1</v>
      </c>
      <c r="I1120" s="49">
        <f t="shared" si="99"/>
        <v>180.3612</v>
      </c>
      <c r="J1120" s="37" t="str">
        <f t="shared" si="97"/>
        <v>조이시티</v>
      </c>
      <c r="K1120" s="37" t="str">
        <f t="shared" si="98"/>
        <v>A067000</v>
      </c>
    </row>
    <row r="1121" spans="1:11" x14ac:dyDescent="0.4">
      <c r="A1121" s="49"/>
      <c r="B1121" s="54" t="s">
        <v>2697</v>
      </c>
      <c r="C1121" s="37" t="s">
        <v>2698</v>
      </c>
      <c r="D1121" s="55" t="s">
        <v>820</v>
      </c>
      <c r="E1121" s="58">
        <v>27.42</v>
      </c>
      <c r="F1121" s="57">
        <v>0.04</v>
      </c>
      <c r="G1121" s="57"/>
      <c r="H1121" s="49"/>
      <c r="I1121" s="49" t="str">
        <f t="shared" si="99"/>
        <v/>
      </c>
      <c r="J1121" s="37" t="str">
        <f t="shared" si="97"/>
        <v>이씨에스</v>
      </c>
      <c r="K1121" s="37" t="str">
        <f t="shared" si="98"/>
        <v>A067010</v>
      </c>
    </row>
    <row r="1122" spans="1:11" x14ac:dyDescent="0.4">
      <c r="A1122" s="49"/>
      <c r="B1122" s="54" t="s">
        <v>2699</v>
      </c>
      <c r="C1122" s="37" t="s">
        <v>2700</v>
      </c>
      <c r="D1122" s="55" t="s">
        <v>820</v>
      </c>
      <c r="E1122" s="56">
        <v>309.77999999999997</v>
      </c>
      <c r="F1122" s="55">
        <v>5.67</v>
      </c>
      <c r="G1122" s="55"/>
      <c r="I1122" s="49" t="str">
        <f t="shared" si="99"/>
        <v/>
      </c>
      <c r="J1122" s="37" t="str">
        <f t="shared" si="97"/>
        <v>대화제약</v>
      </c>
      <c r="K1122" s="37" t="str">
        <f t="shared" si="98"/>
        <v>A067080</v>
      </c>
    </row>
    <row r="1123" spans="1:11" x14ac:dyDescent="0.4">
      <c r="A1123" s="49"/>
      <c r="B1123" s="54" t="s">
        <v>2701</v>
      </c>
      <c r="C1123" s="37" t="s">
        <v>2702</v>
      </c>
      <c r="D1123" s="55" t="s">
        <v>820</v>
      </c>
      <c r="E1123" s="58">
        <v>814.98</v>
      </c>
      <c r="F1123" s="57">
        <v>3.93</v>
      </c>
      <c r="G1123" s="57">
        <v>6</v>
      </c>
      <c r="H1123" s="49"/>
      <c r="I1123" s="49">
        <f t="shared" si="99"/>
        <v>814.99122999999997</v>
      </c>
      <c r="J1123" s="37" t="str">
        <f t="shared" si="97"/>
        <v>SOOP</v>
      </c>
      <c r="K1123" s="37" t="str">
        <f t="shared" si="98"/>
        <v>A067160</v>
      </c>
    </row>
    <row r="1124" spans="1:11" x14ac:dyDescent="0.4">
      <c r="A1124" s="49"/>
      <c r="B1124" s="54" t="s">
        <v>2703</v>
      </c>
      <c r="C1124" s="37" t="s">
        <v>2704</v>
      </c>
      <c r="D1124" s="55" t="s">
        <v>820</v>
      </c>
      <c r="E1124" s="58">
        <v>44.53</v>
      </c>
      <c r="F1124" s="57">
        <v>0.28000000000000003</v>
      </c>
      <c r="G1124" s="57"/>
      <c r="H1124" s="49"/>
      <c r="I1124" s="49" t="str">
        <f t="shared" si="99"/>
        <v/>
      </c>
      <c r="J1124" s="37" t="str">
        <f t="shared" si="97"/>
        <v>오텍</v>
      </c>
      <c r="K1124" s="37" t="str">
        <f t="shared" si="98"/>
        <v>A067170</v>
      </c>
    </row>
    <row r="1125" spans="1:11" x14ac:dyDescent="0.4">
      <c r="A1125" s="49"/>
      <c r="B1125" s="54" t="s">
        <v>2705</v>
      </c>
      <c r="C1125" s="37" t="s">
        <v>2706</v>
      </c>
      <c r="D1125" s="55" t="s">
        <v>820</v>
      </c>
      <c r="E1125" s="56">
        <v>171.88</v>
      </c>
      <c r="F1125" s="55">
        <v>0.23</v>
      </c>
      <c r="G1125" s="55"/>
      <c r="I1125" s="49" t="str">
        <f t="shared" si="99"/>
        <v/>
      </c>
      <c r="J1125" s="37" t="str">
        <f t="shared" si="97"/>
        <v>멀티캠퍼스</v>
      </c>
      <c r="K1125" s="37" t="str">
        <f t="shared" si="98"/>
        <v>A067280</v>
      </c>
    </row>
    <row r="1126" spans="1:11" x14ac:dyDescent="0.4">
      <c r="A1126" s="49"/>
      <c r="B1126" s="54" t="s">
        <v>2707</v>
      </c>
      <c r="C1126" s="37" t="s">
        <v>2708</v>
      </c>
      <c r="D1126" s="55" t="s">
        <v>820</v>
      </c>
      <c r="E1126" s="58">
        <v>127.76</v>
      </c>
      <c r="F1126" s="57">
        <v>5.66</v>
      </c>
      <c r="G1126" s="57"/>
      <c r="H1126" s="49"/>
      <c r="I1126" s="49" t="str">
        <f t="shared" si="99"/>
        <v/>
      </c>
      <c r="J1126" s="37" t="str">
        <f t="shared" si="97"/>
        <v>JW신약</v>
      </c>
      <c r="K1126" s="37" t="str">
        <f t="shared" si="98"/>
        <v>A067290</v>
      </c>
    </row>
    <row r="1127" spans="1:11" x14ac:dyDescent="0.4">
      <c r="A1127" s="49"/>
      <c r="B1127" s="54" t="s">
        <v>475</v>
      </c>
      <c r="C1127" s="37" t="s">
        <v>476</v>
      </c>
      <c r="D1127" s="55" t="s">
        <v>820</v>
      </c>
      <c r="E1127" s="58">
        <v>2404.71</v>
      </c>
      <c r="F1127" s="57">
        <v>54.68</v>
      </c>
      <c r="G1127" s="57">
        <v>1</v>
      </c>
      <c r="H1127" s="49"/>
      <c r="I1127" s="49">
        <f t="shared" si="99"/>
        <v>2404.72127</v>
      </c>
      <c r="J1127" s="37" t="str">
        <f t="shared" si="97"/>
        <v>하나마이크론</v>
      </c>
      <c r="K1127" s="37" t="str">
        <f t="shared" si="98"/>
        <v>A067310</v>
      </c>
    </row>
    <row r="1128" spans="1:11" x14ac:dyDescent="0.4">
      <c r="A1128" s="49"/>
      <c r="B1128" s="54" t="s">
        <v>2709</v>
      </c>
      <c r="C1128" s="37" t="s">
        <v>2710</v>
      </c>
      <c r="D1128" s="55" t="s">
        <v>820</v>
      </c>
      <c r="E1128" s="56">
        <v>66.819999999999993</v>
      </c>
      <c r="F1128" s="55">
        <v>0.12</v>
      </c>
      <c r="G1128" s="55"/>
      <c r="I1128" s="49" t="str">
        <f t="shared" si="99"/>
        <v/>
      </c>
      <c r="J1128" s="37" t="str">
        <f t="shared" si="97"/>
        <v>선바이오</v>
      </c>
      <c r="K1128" s="37" t="str">
        <f t="shared" si="98"/>
        <v>A067370</v>
      </c>
    </row>
    <row r="1129" spans="1:11" x14ac:dyDescent="0.4">
      <c r="A1129" s="49"/>
      <c r="B1129" s="54" t="s">
        <v>2711</v>
      </c>
      <c r="C1129" s="37" t="s">
        <v>2712</v>
      </c>
      <c r="D1129" s="55" t="s">
        <v>820</v>
      </c>
      <c r="E1129" s="58">
        <v>375.34</v>
      </c>
      <c r="F1129" s="57">
        <v>1.24</v>
      </c>
      <c r="G1129" s="57"/>
      <c r="H1129" s="49"/>
      <c r="I1129" s="49" t="str">
        <f t="shared" si="99"/>
        <v/>
      </c>
      <c r="J1129" s="37" t="str">
        <f t="shared" si="97"/>
        <v>아스트</v>
      </c>
      <c r="K1129" s="37" t="str">
        <f t="shared" si="98"/>
        <v>A067390</v>
      </c>
    </row>
    <row r="1130" spans="1:11" x14ac:dyDescent="0.4">
      <c r="A1130" s="49"/>
      <c r="B1130" s="54" t="s">
        <v>2713</v>
      </c>
      <c r="C1130" s="37" t="s">
        <v>2714</v>
      </c>
      <c r="D1130" s="55" t="s">
        <v>820</v>
      </c>
      <c r="E1130" s="58">
        <v>101.84</v>
      </c>
      <c r="F1130" s="57">
        <v>0.28999999999999998</v>
      </c>
      <c r="G1130" s="57"/>
      <c r="H1130" s="49"/>
      <c r="I1130" s="49" t="str">
        <f t="shared" si="99"/>
        <v/>
      </c>
      <c r="J1130" s="37" t="str">
        <f t="shared" si="97"/>
        <v>엔브이에이치코리아</v>
      </c>
      <c r="K1130" s="37" t="str">
        <f t="shared" si="98"/>
        <v>A067570</v>
      </c>
    </row>
    <row r="1131" spans="1:11" x14ac:dyDescent="0.4">
      <c r="A1131" s="49"/>
      <c r="B1131" s="54" t="s">
        <v>2715</v>
      </c>
      <c r="C1131" s="37" t="s">
        <v>2716</v>
      </c>
      <c r="D1131" s="55" t="s">
        <v>820</v>
      </c>
      <c r="E1131" s="58">
        <v>473.65</v>
      </c>
      <c r="F1131" s="57">
        <v>3</v>
      </c>
      <c r="G1131" s="57"/>
      <c r="H1131" s="49"/>
      <c r="I1131" s="49" t="str">
        <f t="shared" si="99"/>
        <v/>
      </c>
      <c r="J1131" s="37" t="str">
        <f t="shared" si="97"/>
        <v>HLB생명과학</v>
      </c>
      <c r="K1131" s="37" t="str">
        <f t="shared" si="98"/>
        <v>A067630</v>
      </c>
    </row>
    <row r="1132" spans="1:11" x14ac:dyDescent="0.4">
      <c r="A1132" s="49"/>
      <c r="B1132" s="54" t="s">
        <v>2717</v>
      </c>
      <c r="C1132" s="37" t="s">
        <v>2718</v>
      </c>
      <c r="D1132" s="55" t="s">
        <v>820</v>
      </c>
      <c r="E1132" s="58">
        <v>24.81</v>
      </c>
      <c r="F1132" s="57">
        <v>0.06</v>
      </c>
      <c r="G1132" s="57"/>
      <c r="H1132" s="49"/>
      <c r="I1132" s="49" t="str">
        <f t="shared" si="99"/>
        <v/>
      </c>
      <c r="J1132" s="37" t="str">
        <f t="shared" si="97"/>
        <v>로지시스</v>
      </c>
      <c r="K1132" s="37" t="str">
        <f t="shared" si="98"/>
        <v>A067730</v>
      </c>
    </row>
    <row r="1133" spans="1:11" x14ac:dyDescent="0.4">
      <c r="A1133" s="49"/>
      <c r="B1133" s="54" t="s">
        <v>2719</v>
      </c>
      <c r="C1133" s="37" t="s">
        <v>2720</v>
      </c>
      <c r="D1133" s="55" t="s">
        <v>820</v>
      </c>
      <c r="E1133" s="58">
        <v>18.14</v>
      </c>
      <c r="F1133" s="57">
        <v>0.04</v>
      </c>
      <c r="G1133" s="57"/>
      <c r="H1133" s="49"/>
      <c r="I1133" s="49" t="str">
        <f t="shared" si="99"/>
        <v/>
      </c>
      <c r="J1133" s="37" t="str">
        <f t="shared" si="97"/>
        <v>세진티에스</v>
      </c>
      <c r="K1133" s="37" t="str">
        <f t="shared" si="98"/>
        <v>A067770</v>
      </c>
    </row>
    <row r="1134" spans="1:11" x14ac:dyDescent="0.4">
      <c r="A1134" s="49"/>
      <c r="B1134" s="54" t="s">
        <v>2721</v>
      </c>
      <c r="C1134" s="37" t="s">
        <v>2722</v>
      </c>
      <c r="D1134" s="55" t="s">
        <v>805</v>
      </c>
      <c r="E1134" s="56">
        <v>132.56</v>
      </c>
      <c r="F1134" s="55">
        <v>2.23</v>
      </c>
      <c r="G1134" s="55"/>
      <c r="I1134" s="49" t="str">
        <f t="shared" si="99"/>
        <v/>
      </c>
      <c r="J1134" s="37" t="str">
        <f t="shared" si="97"/>
        <v>세이브존I&amp;C</v>
      </c>
      <c r="K1134" s="37" t="str">
        <f t="shared" si="98"/>
        <v>A067830</v>
      </c>
    </row>
    <row r="1135" spans="1:11" x14ac:dyDescent="0.4">
      <c r="A1135" s="49"/>
      <c r="B1135" s="54" t="s">
        <v>2723</v>
      </c>
      <c r="C1135" s="37" t="s">
        <v>2724</v>
      </c>
      <c r="D1135" s="55" t="s">
        <v>820</v>
      </c>
      <c r="E1135" s="58">
        <v>129.76</v>
      </c>
      <c r="F1135" s="57">
        <v>0.61</v>
      </c>
      <c r="G1135" s="57"/>
      <c r="H1135" s="49"/>
      <c r="I1135" s="49" t="str">
        <f t="shared" si="99"/>
        <v/>
      </c>
      <c r="J1135" s="37" t="str">
        <f t="shared" si="97"/>
        <v>와이엔텍</v>
      </c>
      <c r="K1135" s="37" t="str">
        <f t="shared" si="98"/>
        <v>A067900</v>
      </c>
    </row>
    <row r="1136" spans="1:11" x14ac:dyDescent="0.4">
      <c r="B1136" s="54" t="s">
        <v>2725</v>
      </c>
      <c r="C1136" s="37" t="s">
        <v>2726</v>
      </c>
      <c r="D1136" s="55" t="s">
        <v>820</v>
      </c>
      <c r="E1136" s="56">
        <v>61.69</v>
      </c>
      <c r="F1136" s="55">
        <v>0.22</v>
      </c>
      <c r="G1136" s="55"/>
      <c r="J1136" s="37" t="str">
        <f t="shared" si="97"/>
        <v>이글루</v>
      </c>
      <c r="K1136" s="37" t="str">
        <f t="shared" si="98"/>
        <v>A067920</v>
      </c>
    </row>
    <row r="1137" spans="1:11" x14ac:dyDescent="0.4">
      <c r="A1137" s="49"/>
      <c r="B1137" s="54" t="s">
        <v>2727</v>
      </c>
      <c r="C1137" s="37" t="s">
        <v>2728</v>
      </c>
      <c r="D1137" s="55" t="s">
        <v>820</v>
      </c>
      <c r="E1137" s="58">
        <v>129.41999999999999</v>
      </c>
      <c r="F1137" s="57">
        <v>0.52</v>
      </c>
      <c r="G1137" s="57"/>
      <c r="H1137" s="49"/>
      <c r="I1137" s="49" t="str">
        <f t="shared" ref="I1137:I1163" si="100">IF((G1137&gt;$G$8),E1137+ROW()/100000,"")</f>
        <v/>
      </c>
      <c r="J1137" s="37" t="str">
        <f t="shared" si="97"/>
        <v>도이치모터스</v>
      </c>
      <c r="K1137" s="37" t="str">
        <f t="shared" si="98"/>
        <v>A067990</v>
      </c>
    </row>
    <row r="1138" spans="1:11" x14ac:dyDescent="0.4">
      <c r="A1138" s="49"/>
      <c r="B1138" s="54" t="s">
        <v>2729</v>
      </c>
      <c r="C1138" s="37" t="s">
        <v>2730</v>
      </c>
      <c r="D1138" s="55" t="s">
        <v>820</v>
      </c>
      <c r="E1138" s="58">
        <v>47.02</v>
      </c>
      <c r="F1138" s="57">
        <v>0.32</v>
      </c>
      <c r="G1138" s="57"/>
      <c r="H1138" s="49"/>
      <c r="I1138" s="49" t="str">
        <f t="shared" si="100"/>
        <v/>
      </c>
      <c r="J1138" s="37" t="str">
        <f t="shared" si="97"/>
        <v>팬엔터테인먼트</v>
      </c>
      <c r="K1138" s="37" t="str">
        <f t="shared" si="98"/>
        <v>A068050</v>
      </c>
    </row>
    <row r="1139" spans="1:11" x14ac:dyDescent="0.4">
      <c r="A1139" s="49"/>
      <c r="B1139" s="54" t="s">
        <v>2731</v>
      </c>
      <c r="C1139" s="37" t="s">
        <v>2732</v>
      </c>
      <c r="D1139" s="55" t="s">
        <v>820</v>
      </c>
      <c r="E1139" s="58">
        <v>30.12</v>
      </c>
      <c r="F1139" s="57">
        <v>0.31</v>
      </c>
      <c r="G1139" s="57"/>
      <c r="H1139" s="49"/>
      <c r="I1139" s="49" t="str">
        <f t="shared" si="100"/>
        <v/>
      </c>
      <c r="J1139" s="37" t="str">
        <f t="shared" si="97"/>
        <v>케이웨더</v>
      </c>
      <c r="K1139" s="37" t="str">
        <f t="shared" si="98"/>
        <v>A068100</v>
      </c>
    </row>
    <row r="1140" spans="1:11" x14ac:dyDescent="0.4">
      <c r="A1140" s="49"/>
      <c r="B1140" s="54" t="s">
        <v>2733</v>
      </c>
      <c r="C1140" s="37" t="s">
        <v>2734</v>
      </c>
      <c r="D1140" s="55" t="s">
        <v>820</v>
      </c>
      <c r="E1140" s="56">
        <v>113.73</v>
      </c>
      <c r="F1140" s="55">
        <v>4.16</v>
      </c>
      <c r="G1140" s="55"/>
      <c r="I1140" s="49" t="str">
        <f t="shared" si="100"/>
        <v/>
      </c>
      <c r="J1140" s="37" t="str">
        <f t="shared" si="97"/>
        <v>다원시스</v>
      </c>
      <c r="K1140" s="37" t="str">
        <f t="shared" si="98"/>
        <v>A068240</v>
      </c>
    </row>
    <row r="1141" spans="1:11" x14ac:dyDescent="0.4">
      <c r="A1141" s="49"/>
      <c r="B1141" s="54" t="s">
        <v>33</v>
      </c>
      <c r="C1141" s="37" t="s">
        <v>34</v>
      </c>
      <c r="D1141" s="55" t="s">
        <v>805</v>
      </c>
      <c r="E1141" s="58">
        <v>55105.01</v>
      </c>
      <c r="F1141" s="57">
        <v>140.02000000000001</v>
      </c>
      <c r="G1141" s="57">
        <v>19</v>
      </c>
      <c r="H1141" s="49"/>
      <c r="I1141" s="49">
        <f t="shared" si="100"/>
        <v>55105.021410000001</v>
      </c>
      <c r="J1141" s="37" t="str">
        <f t="shared" si="97"/>
        <v>셀트리온</v>
      </c>
      <c r="K1141" s="37" t="str">
        <f t="shared" si="98"/>
        <v>A068270</v>
      </c>
    </row>
    <row r="1142" spans="1:11" x14ac:dyDescent="0.4">
      <c r="A1142" s="49"/>
      <c r="B1142" s="54" t="s">
        <v>2735</v>
      </c>
      <c r="C1142" s="37" t="s">
        <v>2736</v>
      </c>
      <c r="D1142" s="55" t="s">
        <v>805</v>
      </c>
      <c r="E1142" s="58">
        <v>100</v>
      </c>
      <c r="F1142" s="57">
        <v>0.47</v>
      </c>
      <c r="G1142" s="57"/>
      <c r="H1142" s="49"/>
      <c r="I1142" s="49" t="str">
        <f t="shared" si="100"/>
        <v/>
      </c>
      <c r="J1142" s="37" t="str">
        <f t="shared" si="97"/>
        <v>삼성출판사</v>
      </c>
      <c r="K1142" s="37" t="str">
        <f t="shared" si="98"/>
        <v>A068290</v>
      </c>
    </row>
    <row r="1143" spans="1:11" x14ac:dyDescent="0.4">
      <c r="A1143" s="49"/>
      <c r="B1143" s="54" t="s">
        <v>2737</v>
      </c>
      <c r="C1143" s="37" t="s">
        <v>2738</v>
      </c>
      <c r="D1143" s="55" t="s">
        <v>820</v>
      </c>
      <c r="E1143" s="56">
        <v>70.17</v>
      </c>
      <c r="F1143" s="55">
        <v>2.89</v>
      </c>
      <c r="G1143" s="55"/>
      <c r="I1143" s="49" t="str">
        <f t="shared" si="100"/>
        <v/>
      </c>
      <c r="J1143" s="37" t="str">
        <f t="shared" si="97"/>
        <v>일신바이오</v>
      </c>
      <c r="K1143" s="37" t="str">
        <f t="shared" si="98"/>
        <v>A068330</v>
      </c>
    </row>
    <row r="1144" spans="1:11" x14ac:dyDescent="0.4">
      <c r="A1144" s="49"/>
      <c r="B1144" s="54" t="s">
        <v>615</v>
      </c>
      <c r="C1144" s="37" t="s">
        <v>616</v>
      </c>
      <c r="D1144" s="55" t="s">
        <v>820</v>
      </c>
      <c r="E1144" s="58">
        <v>3136.5</v>
      </c>
      <c r="F1144" s="57">
        <v>10.86</v>
      </c>
      <c r="G1144" s="57"/>
      <c r="H1144" s="49"/>
      <c r="I1144" s="49" t="str">
        <f t="shared" si="100"/>
        <v/>
      </c>
      <c r="J1144" s="37" t="str">
        <f t="shared" si="97"/>
        <v>셀트리온제약</v>
      </c>
      <c r="K1144" s="37" t="str">
        <f t="shared" si="98"/>
        <v>A068760</v>
      </c>
    </row>
    <row r="1145" spans="1:11" x14ac:dyDescent="0.4">
      <c r="A1145" s="49"/>
      <c r="B1145" s="54" t="s">
        <v>2739</v>
      </c>
      <c r="C1145" s="37" t="s">
        <v>2740</v>
      </c>
      <c r="D1145" s="55" t="s">
        <v>820</v>
      </c>
      <c r="E1145" s="58">
        <v>142.87</v>
      </c>
      <c r="F1145" s="57">
        <v>0</v>
      </c>
      <c r="G1145" s="57"/>
      <c r="H1145" s="49"/>
      <c r="I1145" s="49" t="str">
        <f t="shared" si="100"/>
        <v/>
      </c>
      <c r="J1145" s="37" t="str">
        <f t="shared" si="97"/>
        <v>DMS</v>
      </c>
      <c r="K1145" s="37" t="str">
        <f t="shared" si="98"/>
        <v>A068790</v>
      </c>
    </row>
    <row r="1146" spans="1:11" x14ac:dyDescent="0.4">
      <c r="A1146" s="49"/>
      <c r="B1146" s="54" t="s">
        <v>2741</v>
      </c>
      <c r="C1146" s="37" t="s">
        <v>2742</v>
      </c>
      <c r="D1146" s="55" t="s">
        <v>820</v>
      </c>
      <c r="E1146" s="58">
        <v>251.29</v>
      </c>
      <c r="F1146" s="57">
        <v>0.47</v>
      </c>
      <c r="G1146" s="57">
        <v>1</v>
      </c>
      <c r="H1146" s="49"/>
      <c r="I1146" s="49">
        <f t="shared" si="100"/>
        <v>251.30145999999999</v>
      </c>
      <c r="J1146" s="37" t="str">
        <f t="shared" si="97"/>
        <v>디지털대성</v>
      </c>
      <c r="K1146" s="37" t="str">
        <f t="shared" si="98"/>
        <v>A068930</v>
      </c>
    </row>
    <row r="1147" spans="1:11" x14ac:dyDescent="0.4">
      <c r="A1147" s="49"/>
      <c r="B1147" s="54" t="s">
        <v>2743</v>
      </c>
      <c r="C1147" s="37" t="s">
        <v>2744</v>
      </c>
      <c r="D1147" s="55" t="s">
        <v>820</v>
      </c>
      <c r="E1147" s="58">
        <v>35.72</v>
      </c>
      <c r="F1147" s="57">
        <v>0</v>
      </c>
      <c r="G1147" s="57"/>
      <c r="H1147" s="49"/>
      <c r="I1147" s="49" t="str">
        <f t="shared" si="100"/>
        <v/>
      </c>
      <c r="J1147" s="37" t="str">
        <f t="shared" si="97"/>
        <v>셀피글로벌</v>
      </c>
      <c r="K1147" s="37" t="str">
        <f t="shared" si="98"/>
        <v>A068940</v>
      </c>
    </row>
    <row r="1148" spans="1:11" x14ac:dyDescent="0.4">
      <c r="A1148" s="49"/>
      <c r="B1148" s="54" t="s">
        <v>2745</v>
      </c>
      <c r="C1148" s="37" t="s">
        <v>2746</v>
      </c>
      <c r="D1148" s="55" t="s">
        <v>820</v>
      </c>
      <c r="E1148" s="58">
        <v>454.66</v>
      </c>
      <c r="F1148" s="57">
        <v>1.33</v>
      </c>
      <c r="G1148" s="57">
        <v>3</v>
      </c>
      <c r="H1148" s="49"/>
      <c r="I1148" s="49">
        <f t="shared" si="100"/>
        <v>454.67148000000003</v>
      </c>
      <c r="J1148" s="37" t="str">
        <f t="shared" si="97"/>
        <v>웹젠</v>
      </c>
      <c r="K1148" s="37" t="str">
        <f t="shared" si="98"/>
        <v>A069080</v>
      </c>
    </row>
    <row r="1149" spans="1:11" x14ac:dyDescent="0.4">
      <c r="A1149" s="49"/>
      <c r="B1149" s="54" t="s">
        <v>2747</v>
      </c>
      <c r="C1149" s="37" t="s">
        <v>2748</v>
      </c>
      <c r="D1149" s="55" t="s">
        <v>820</v>
      </c>
      <c r="E1149" s="58">
        <v>31.47</v>
      </c>
      <c r="F1149" s="57">
        <v>0.6</v>
      </c>
      <c r="G1149" s="57"/>
      <c r="H1149" s="49"/>
      <c r="I1149" s="49" t="str">
        <f t="shared" si="100"/>
        <v/>
      </c>
      <c r="J1149" s="37" t="str">
        <f t="shared" si="97"/>
        <v>누리플랜</v>
      </c>
      <c r="K1149" s="37" t="str">
        <f t="shared" si="98"/>
        <v>A069140</v>
      </c>
    </row>
    <row r="1150" spans="1:11" x14ac:dyDescent="0.4">
      <c r="A1150" s="49"/>
      <c r="B1150" s="54" t="s">
        <v>2749</v>
      </c>
      <c r="C1150" s="37" t="s">
        <v>2750</v>
      </c>
      <c r="D1150" s="55" t="s">
        <v>805</v>
      </c>
      <c r="E1150" s="56">
        <v>775.47</v>
      </c>
      <c r="F1150" s="55">
        <v>1.7</v>
      </c>
      <c r="G1150" s="55">
        <v>1</v>
      </c>
      <c r="I1150" s="49">
        <f t="shared" si="100"/>
        <v>775.48149999999998</v>
      </c>
      <c r="J1150" s="37" t="str">
        <f t="shared" si="97"/>
        <v>TKG휴켐스</v>
      </c>
      <c r="K1150" s="37" t="str">
        <f t="shared" si="98"/>
        <v>A069260</v>
      </c>
    </row>
    <row r="1151" spans="1:11" x14ac:dyDescent="0.4">
      <c r="A1151" s="49"/>
      <c r="B1151" s="54" t="s">
        <v>2751</v>
      </c>
      <c r="C1151" s="37" t="s">
        <v>2752</v>
      </c>
      <c r="D1151" s="55" t="s">
        <v>820</v>
      </c>
      <c r="E1151" s="58">
        <v>14.62</v>
      </c>
      <c r="F1151" s="57">
        <v>0.06</v>
      </c>
      <c r="G1151" s="57"/>
      <c r="H1151" s="49"/>
      <c r="I1151" s="49" t="str">
        <f t="shared" si="100"/>
        <v/>
      </c>
      <c r="J1151" s="37" t="str">
        <f t="shared" si="97"/>
        <v>유아이디</v>
      </c>
      <c r="K1151" s="37" t="str">
        <f t="shared" si="98"/>
        <v>A069330</v>
      </c>
    </row>
    <row r="1152" spans="1:11" x14ac:dyDescent="0.4">
      <c r="A1152" s="49"/>
      <c r="B1152" s="54" t="s">
        <v>2753</v>
      </c>
      <c r="C1152" s="37" t="s">
        <v>2754</v>
      </c>
      <c r="D1152" s="55" t="s">
        <v>820</v>
      </c>
      <c r="E1152" s="58">
        <v>47.64</v>
      </c>
      <c r="F1152" s="57">
        <v>0.18</v>
      </c>
      <c r="G1152" s="57"/>
      <c r="H1152" s="49"/>
      <c r="I1152" s="49" t="str">
        <f t="shared" si="100"/>
        <v/>
      </c>
      <c r="J1152" s="37" t="str">
        <f t="shared" si="97"/>
        <v>엔텔스</v>
      </c>
      <c r="K1152" s="37" t="str">
        <f t="shared" si="98"/>
        <v>A069410</v>
      </c>
    </row>
    <row r="1153" spans="1:11" x14ac:dyDescent="0.4">
      <c r="A1153" s="49"/>
      <c r="B1153" s="54" t="s">
        <v>2755</v>
      </c>
      <c r="C1153" s="37" t="s">
        <v>2756</v>
      </c>
      <c r="D1153" s="55" t="s">
        <v>805</v>
      </c>
      <c r="E1153" s="58">
        <v>51.89</v>
      </c>
      <c r="F1153" s="57">
        <v>1.63</v>
      </c>
      <c r="G1153" s="57"/>
      <c r="H1153" s="49"/>
      <c r="I1153" s="49" t="str">
        <f t="shared" si="100"/>
        <v/>
      </c>
      <c r="J1153" s="37" t="str">
        <f t="shared" si="97"/>
        <v>대호에이엘</v>
      </c>
      <c r="K1153" s="37" t="str">
        <f t="shared" si="98"/>
        <v>A069460</v>
      </c>
    </row>
    <row r="1154" spans="1:11" x14ac:dyDescent="0.4">
      <c r="A1154" s="49"/>
      <c r="B1154" s="54" t="s">
        <v>2757</v>
      </c>
      <c r="C1154" s="37" t="s">
        <v>2758</v>
      </c>
      <c r="D1154" s="55" t="s">
        <v>820</v>
      </c>
      <c r="E1154" s="58">
        <v>169.43</v>
      </c>
      <c r="F1154" s="57">
        <v>0.26</v>
      </c>
      <c r="G1154" s="57"/>
      <c r="H1154" s="49"/>
      <c r="I1154" s="49" t="str">
        <f t="shared" si="100"/>
        <v/>
      </c>
      <c r="J1154" s="37" t="str">
        <f t="shared" si="97"/>
        <v>에스텍</v>
      </c>
      <c r="K1154" s="37" t="str">
        <f t="shared" si="98"/>
        <v>A069510</v>
      </c>
    </row>
    <row r="1155" spans="1:11" x14ac:dyDescent="0.4">
      <c r="A1155" s="49"/>
      <c r="B1155" s="54" t="s">
        <v>2759</v>
      </c>
      <c r="C1155" s="37" t="s">
        <v>2760</v>
      </c>
      <c r="D1155" s="55" t="s">
        <v>820</v>
      </c>
      <c r="E1155" s="58">
        <v>106.83</v>
      </c>
      <c r="F1155" s="57">
        <v>7.64</v>
      </c>
      <c r="G1155" s="57"/>
      <c r="H1155" s="49"/>
      <c r="I1155" s="49" t="str">
        <f t="shared" si="100"/>
        <v/>
      </c>
      <c r="J1155" s="37" t="str">
        <f t="shared" si="97"/>
        <v>빛과전자</v>
      </c>
      <c r="K1155" s="37" t="str">
        <f t="shared" si="98"/>
        <v>A069540</v>
      </c>
    </row>
    <row r="1156" spans="1:11" x14ac:dyDescent="0.4">
      <c r="A1156" s="49"/>
      <c r="B1156" s="54" t="s">
        <v>2761</v>
      </c>
      <c r="C1156" s="37" t="s">
        <v>2762</v>
      </c>
      <c r="D1156" s="55" t="s">
        <v>805</v>
      </c>
      <c r="E1156" s="58">
        <v>2042.71</v>
      </c>
      <c r="F1156" s="57">
        <v>7.4</v>
      </c>
      <c r="G1156" s="57">
        <v>6</v>
      </c>
      <c r="H1156" s="49"/>
      <c r="I1156" s="49">
        <f t="shared" si="100"/>
        <v>2042.72156</v>
      </c>
      <c r="J1156" s="37" t="str">
        <f t="shared" si="97"/>
        <v>대웅제약</v>
      </c>
      <c r="K1156" s="37" t="str">
        <f t="shared" si="98"/>
        <v>A069620</v>
      </c>
    </row>
    <row r="1157" spans="1:11" x14ac:dyDescent="0.4">
      <c r="A1157" s="49"/>
      <c r="B1157" s="54" t="s">
        <v>2763</v>
      </c>
      <c r="C1157" s="37" t="s">
        <v>2764</v>
      </c>
      <c r="D1157" s="55" t="s">
        <v>805</v>
      </c>
      <c r="E1157" s="58">
        <v>27.2</v>
      </c>
      <c r="F1157" s="57">
        <v>0.13</v>
      </c>
      <c r="G1157" s="57"/>
      <c r="H1157" s="49"/>
      <c r="I1157" s="49" t="str">
        <f t="shared" si="100"/>
        <v/>
      </c>
      <c r="J1157" s="37" t="str">
        <f t="shared" si="97"/>
        <v>한세엠케이</v>
      </c>
      <c r="K1157" s="37" t="str">
        <f t="shared" si="98"/>
        <v>A069640</v>
      </c>
    </row>
    <row r="1158" spans="1:11" x14ac:dyDescent="0.4">
      <c r="A1158" s="49"/>
      <c r="B1158" s="54" t="s">
        <v>2765</v>
      </c>
      <c r="C1158" s="37" t="s">
        <v>2766</v>
      </c>
      <c r="D1158" s="55" t="s">
        <v>805</v>
      </c>
      <c r="E1158" s="58">
        <v>61.85</v>
      </c>
      <c r="F1158" s="57">
        <v>0.14000000000000001</v>
      </c>
      <c r="G1158" s="57"/>
      <c r="H1158" s="49"/>
      <c r="I1158" s="49" t="str">
        <f t="shared" si="100"/>
        <v/>
      </c>
      <c r="J1158" s="37" t="str">
        <f t="shared" si="97"/>
        <v>DSR제강</v>
      </c>
      <c r="K1158" s="37" t="str">
        <f t="shared" si="98"/>
        <v>A069730</v>
      </c>
    </row>
    <row r="1159" spans="1:11" x14ac:dyDescent="0.4">
      <c r="A1159" s="49"/>
      <c r="B1159" s="54" t="s">
        <v>2767</v>
      </c>
      <c r="C1159" s="37" t="s">
        <v>2768</v>
      </c>
      <c r="D1159" s="55" t="s">
        <v>820</v>
      </c>
      <c r="E1159" s="58">
        <v>27.01</v>
      </c>
      <c r="F1159" s="57">
        <v>1.71</v>
      </c>
      <c r="G1159" s="57"/>
      <c r="H1159" s="49"/>
      <c r="I1159" s="49" t="str">
        <f t="shared" si="100"/>
        <v/>
      </c>
      <c r="J1159" s="37" t="str">
        <f t="shared" si="97"/>
        <v>엑시온그룹</v>
      </c>
      <c r="K1159" s="37" t="str">
        <f t="shared" si="98"/>
        <v>A069920</v>
      </c>
    </row>
    <row r="1160" spans="1:11" x14ac:dyDescent="0.4">
      <c r="A1160" s="49"/>
      <c r="B1160" s="54" t="s">
        <v>455</v>
      </c>
      <c r="C1160" s="37" t="s">
        <v>456</v>
      </c>
      <c r="D1160" s="55" t="s">
        <v>805</v>
      </c>
      <c r="E1160" s="58">
        <v>2489.17</v>
      </c>
      <c r="F1160" s="57">
        <v>10.18</v>
      </c>
      <c r="G1160" s="57">
        <v>15</v>
      </c>
      <c r="H1160" s="49"/>
      <c r="I1160" s="49">
        <f t="shared" si="100"/>
        <v>2489.1815999999999</v>
      </c>
      <c r="J1160" s="37" t="str">
        <f t="shared" si="97"/>
        <v>현대백화점</v>
      </c>
      <c r="K1160" s="37" t="str">
        <f t="shared" si="98"/>
        <v>A069960</v>
      </c>
    </row>
    <row r="1161" spans="1:11" x14ac:dyDescent="0.4">
      <c r="A1161" s="49"/>
      <c r="B1161" s="54" t="s">
        <v>2769</v>
      </c>
      <c r="C1161" s="37" t="s">
        <v>2770</v>
      </c>
      <c r="D1161" s="55" t="s">
        <v>820</v>
      </c>
      <c r="E1161" s="58">
        <v>37.69</v>
      </c>
      <c r="F1161" s="57">
        <v>0.6</v>
      </c>
      <c r="G1161" s="57"/>
      <c r="H1161" s="49"/>
      <c r="I1161" s="49" t="str">
        <f t="shared" si="100"/>
        <v/>
      </c>
      <c r="J1161" s="37" t="str">
        <f t="shared" si="97"/>
        <v>엑스큐어</v>
      </c>
      <c r="K1161" s="37" t="str">
        <f t="shared" si="98"/>
        <v>A070300</v>
      </c>
    </row>
    <row r="1162" spans="1:11" x14ac:dyDescent="0.4">
      <c r="A1162" s="49"/>
      <c r="B1162" s="54" t="s">
        <v>2771</v>
      </c>
      <c r="C1162" s="37" t="s">
        <v>5167</v>
      </c>
      <c r="D1162" s="55" t="s">
        <v>820</v>
      </c>
      <c r="E1162" s="58">
        <v>27.23</v>
      </c>
      <c r="F1162" s="57">
        <v>0.17</v>
      </c>
      <c r="G1162" s="57"/>
      <c r="H1162" s="49"/>
      <c r="I1162" s="49" t="str">
        <f t="shared" si="100"/>
        <v/>
      </c>
      <c r="J1162" s="37" t="str">
        <f t="shared" si="97"/>
        <v>인티큐브</v>
      </c>
      <c r="K1162" s="37" t="str">
        <f t="shared" si="98"/>
        <v>A070590</v>
      </c>
    </row>
    <row r="1163" spans="1:11" x14ac:dyDescent="0.4">
      <c r="A1163" s="49"/>
      <c r="B1163" s="54" t="s">
        <v>2772</v>
      </c>
      <c r="C1163" s="37" t="s">
        <v>2773</v>
      </c>
      <c r="D1163" s="55" t="s">
        <v>805</v>
      </c>
      <c r="E1163" s="58">
        <v>156.66999999999999</v>
      </c>
      <c r="F1163" s="57">
        <v>0.45</v>
      </c>
      <c r="G1163" s="57"/>
      <c r="H1163" s="49"/>
      <c r="I1163" s="49" t="str">
        <f t="shared" si="100"/>
        <v/>
      </c>
      <c r="J1163" s="37" t="str">
        <f t="shared" si="97"/>
        <v>모나용평</v>
      </c>
      <c r="K1163" s="37" t="str">
        <f t="shared" si="98"/>
        <v>A070960</v>
      </c>
    </row>
    <row r="1164" spans="1:11" x14ac:dyDescent="0.4">
      <c r="A1164" s="49"/>
      <c r="B1164" s="54" t="s">
        <v>118</v>
      </c>
      <c r="C1164" s="37" t="s">
        <v>119</v>
      </c>
      <c r="D1164" s="55" t="s">
        <v>805</v>
      </c>
      <c r="E1164" s="56">
        <v>14405.17</v>
      </c>
      <c r="F1164" s="55">
        <v>55.49</v>
      </c>
      <c r="G1164" s="55">
        <v>13</v>
      </c>
      <c r="J1164" s="37" t="str">
        <f t="shared" si="97"/>
        <v>한국금융지주</v>
      </c>
      <c r="K1164" s="37" t="str">
        <f t="shared" si="98"/>
        <v>A071050</v>
      </c>
    </row>
    <row r="1165" spans="1:11" x14ac:dyDescent="0.4">
      <c r="A1165" s="49"/>
      <c r="B1165" s="54" t="s">
        <v>2774</v>
      </c>
      <c r="C1165" s="37" t="s">
        <v>2775</v>
      </c>
      <c r="D1165" s="55" t="s">
        <v>805</v>
      </c>
      <c r="E1165" s="58">
        <v>73.5</v>
      </c>
      <c r="F1165" s="57">
        <v>2.08</v>
      </c>
      <c r="G1165" s="57"/>
      <c r="H1165" s="49"/>
      <c r="I1165" s="49" t="str">
        <f t="shared" ref="I1165:I1173" si="101">IF((G1165&gt;$G$8),E1165+ROW()/100000,"")</f>
        <v/>
      </c>
      <c r="J1165" s="37" t="str">
        <f t="shared" si="97"/>
        <v>하이스틸</v>
      </c>
      <c r="K1165" s="37" t="str">
        <f t="shared" si="98"/>
        <v>A071090</v>
      </c>
    </row>
    <row r="1166" spans="1:11" x14ac:dyDescent="0.4">
      <c r="A1166" s="49"/>
      <c r="B1166" s="54" t="s">
        <v>2776</v>
      </c>
      <c r="C1166" s="37" t="s">
        <v>2777</v>
      </c>
      <c r="D1166" s="55" t="s">
        <v>820</v>
      </c>
      <c r="E1166" s="58">
        <v>173.7</v>
      </c>
      <c r="F1166" s="57">
        <v>0.36</v>
      </c>
      <c r="G1166" s="57"/>
      <c r="H1166" s="49"/>
      <c r="I1166" s="49" t="str">
        <f t="shared" si="101"/>
        <v/>
      </c>
      <c r="J1166" s="37" t="str">
        <f t="shared" ref="J1166:J1229" si="102">C1166</f>
        <v>인피니트헬스케어</v>
      </c>
      <c r="K1166" s="37" t="str">
        <f t="shared" ref="K1166:K1229" si="103">B1166</f>
        <v>A071200</v>
      </c>
    </row>
    <row r="1167" spans="1:11" x14ac:dyDescent="0.4">
      <c r="A1167" s="49"/>
      <c r="B1167" s="54" t="s">
        <v>2778</v>
      </c>
      <c r="C1167" s="37" t="s">
        <v>2779</v>
      </c>
      <c r="D1167" s="55" t="s">
        <v>820</v>
      </c>
      <c r="E1167" s="58">
        <v>148.84</v>
      </c>
      <c r="F1167" s="57">
        <v>1.37</v>
      </c>
      <c r="G1167" s="57"/>
      <c r="H1167" s="49"/>
      <c r="I1167" s="49" t="str">
        <f t="shared" si="101"/>
        <v/>
      </c>
      <c r="J1167" s="37" t="str">
        <f t="shared" si="102"/>
        <v>로체시스템즈</v>
      </c>
      <c r="K1167" s="37" t="str">
        <f t="shared" si="103"/>
        <v>A071280</v>
      </c>
    </row>
    <row r="1168" spans="1:11" x14ac:dyDescent="0.4">
      <c r="A1168" s="49"/>
      <c r="B1168" s="54" t="s">
        <v>514</v>
      </c>
      <c r="C1168" s="37" t="s">
        <v>515</v>
      </c>
      <c r="D1168" s="55" t="s">
        <v>805</v>
      </c>
      <c r="E1168" s="58">
        <v>1079.1400000000001</v>
      </c>
      <c r="F1168" s="57">
        <v>3.04</v>
      </c>
      <c r="G1168" s="57">
        <v>2</v>
      </c>
      <c r="H1168" s="49"/>
      <c r="I1168" s="49">
        <f t="shared" si="101"/>
        <v>1079.1516800000002</v>
      </c>
      <c r="J1168" s="37" t="str">
        <f t="shared" si="102"/>
        <v>지역난방공사</v>
      </c>
      <c r="K1168" s="37" t="str">
        <f t="shared" si="103"/>
        <v>A071320</v>
      </c>
    </row>
    <row r="1169" spans="1:11" x14ac:dyDescent="0.4">
      <c r="A1169" s="49"/>
      <c r="B1169" s="54" t="s">
        <v>2780</v>
      </c>
      <c r="C1169" s="37" t="s">
        <v>2781</v>
      </c>
      <c r="D1169" s="55" t="s">
        <v>820</v>
      </c>
      <c r="E1169" s="56">
        <v>97.5</v>
      </c>
      <c r="F1169" s="55">
        <v>2.54</v>
      </c>
      <c r="G1169" s="55"/>
      <c r="I1169" s="49" t="str">
        <f t="shared" si="101"/>
        <v/>
      </c>
      <c r="J1169" s="37" t="str">
        <f t="shared" si="102"/>
        <v>에이테크솔루션</v>
      </c>
      <c r="K1169" s="37" t="str">
        <f t="shared" si="103"/>
        <v>A071670</v>
      </c>
    </row>
    <row r="1170" spans="1:11" x14ac:dyDescent="0.4">
      <c r="A1170" s="49"/>
      <c r="B1170" s="54" t="s">
        <v>2782</v>
      </c>
      <c r="C1170" s="37" t="s">
        <v>2783</v>
      </c>
      <c r="D1170" s="55" t="s">
        <v>805</v>
      </c>
      <c r="E1170" s="56">
        <v>202.79</v>
      </c>
      <c r="F1170" s="55">
        <v>0.38</v>
      </c>
      <c r="G1170" s="55"/>
      <c r="H1170" s="49"/>
      <c r="I1170" s="49" t="str">
        <f t="shared" si="101"/>
        <v/>
      </c>
      <c r="J1170" s="37" t="str">
        <f t="shared" si="102"/>
        <v>롯데하이마트</v>
      </c>
      <c r="K1170" s="37" t="str">
        <f t="shared" si="103"/>
        <v>A071840</v>
      </c>
    </row>
    <row r="1171" spans="1:11" x14ac:dyDescent="0.4">
      <c r="A1171" s="49"/>
      <c r="B1171" s="54" t="s">
        <v>2784</v>
      </c>
      <c r="C1171" s="37" t="s">
        <v>2785</v>
      </c>
      <c r="D1171" s="55" t="s">
        <v>820</v>
      </c>
      <c r="E1171" s="58">
        <v>35.93</v>
      </c>
      <c r="F1171" s="57">
        <v>0.04</v>
      </c>
      <c r="G1171" s="57"/>
      <c r="H1171" s="49"/>
      <c r="I1171" s="49" t="str">
        <f t="shared" si="101"/>
        <v/>
      </c>
      <c r="J1171" s="37" t="str">
        <f t="shared" si="102"/>
        <v>캐스텍코리아</v>
      </c>
      <c r="K1171" s="37" t="str">
        <f t="shared" si="103"/>
        <v>A071850</v>
      </c>
    </row>
    <row r="1172" spans="1:11" x14ac:dyDescent="0.4">
      <c r="A1172" s="49"/>
      <c r="B1172" s="54" t="s">
        <v>2786</v>
      </c>
      <c r="C1172" s="37" t="s">
        <v>2787</v>
      </c>
      <c r="D1172" s="55" t="s">
        <v>805</v>
      </c>
      <c r="E1172" s="58">
        <v>42.08</v>
      </c>
      <c r="F1172" s="57">
        <v>1.42</v>
      </c>
      <c r="G1172" s="57"/>
      <c r="H1172" s="49"/>
      <c r="I1172" s="49" t="str">
        <f t="shared" si="101"/>
        <v/>
      </c>
      <c r="J1172" s="37" t="str">
        <f t="shared" si="102"/>
        <v>코아스</v>
      </c>
      <c r="K1172" s="37" t="str">
        <f t="shared" si="103"/>
        <v>A071950</v>
      </c>
    </row>
    <row r="1173" spans="1:11" x14ac:dyDescent="0.4">
      <c r="A1173" s="49"/>
      <c r="B1173" s="54" t="s">
        <v>364</v>
      </c>
      <c r="C1173" s="37" t="s">
        <v>365</v>
      </c>
      <c r="D1173" s="55" t="s">
        <v>805</v>
      </c>
      <c r="E1173" s="58">
        <v>2961.35</v>
      </c>
      <c r="F1173" s="57">
        <v>29.76</v>
      </c>
      <c r="G1173" s="57">
        <v>6</v>
      </c>
      <c r="H1173" s="49"/>
      <c r="I1173" s="49">
        <f t="shared" si="101"/>
        <v>2961.3617300000001</v>
      </c>
      <c r="J1173" s="37" t="str">
        <f t="shared" si="102"/>
        <v>HD현대마린엔진</v>
      </c>
      <c r="K1173" s="37" t="str">
        <f t="shared" si="103"/>
        <v>A071970</v>
      </c>
    </row>
    <row r="1174" spans="1:11" x14ac:dyDescent="0.4">
      <c r="B1174" s="54" t="s">
        <v>2788</v>
      </c>
      <c r="C1174" s="37" t="s">
        <v>2789</v>
      </c>
      <c r="D1174" s="55" t="s">
        <v>820</v>
      </c>
      <c r="E1174" s="56">
        <v>89.86</v>
      </c>
      <c r="F1174" s="55">
        <v>0.26</v>
      </c>
      <c r="G1174" s="55"/>
      <c r="J1174" s="37" t="str">
        <f t="shared" si="102"/>
        <v>중앙백신</v>
      </c>
      <c r="K1174" s="37" t="str">
        <f t="shared" si="103"/>
        <v>A072020</v>
      </c>
    </row>
    <row r="1175" spans="1:11" x14ac:dyDescent="0.4">
      <c r="A1175" s="49"/>
      <c r="B1175" s="54" t="s">
        <v>2790</v>
      </c>
      <c r="C1175" s="37" t="s">
        <v>2791</v>
      </c>
      <c r="D1175" s="55" t="s">
        <v>805</v>
      </c>
      <c r="E1175" s="56">
        <v>59.19</v>
      </c>
      <c r="F1175" s="55">
        <v>0.56000000000000005</v>
      </c>
      <c r="G1175" s="55"/>
      <c r="I1175" s="49" t="str">
        <f t="shared" ref="I1175:I1181" si="104">IF((G1175&gt;$G$8),E1175+ROW()/100000,"")</f>
        <v/>
      </c>
      <c r="J1175" s="37" t="str">
        <f t="shared" si="102"/>
        <v>유엔젤</v>
      </c>
      <c r="K1175" s="37" t="str">
        <f t="shared" si="103"/>
        <v>A072130</v>
      </c>
    </row>
    <row r="1176" spans="1:11" x14ac:dyDescent="0.4">
      <c r="A1176" s="49"/>
      <c r="B1176" s="54" t="s">
        <v>2792</v>
      </c>
      <c r="C1176" s="37" t="s">
        <v>2793</v>
      </c>
      <c r="D1176" s="55" t="s">
        <v>820</v>
      </c>
      <c r="E1176" s="58">
        <v>88.77</v>
      </c>
      <c r="F1176" s="57">
        <v>2.04</v>
      </c>
      <c r="G1176" s="57"/>
      <c r="H1176" s="49"/>
      <c r="I1176" s="49" t="str">
        <f t="shared" si="104"/>
        <v/>
      </c>
      <c r="J1176" s="37" t="str">
        <f t="shared" si="102"/>
        <v>우리산업홀딩스</v>
      </c>
      <c r="K1176" s="37" t="str">
        <f t="shared" si="103"/>
        <v>A072470</v>
      </c>
    </row>
    <row r="1177" spans="1:11" x14ac:dyDescent="0.4">
      <c r="A1177" s="49"/>
      <c r="B1177" s="54" t="s">
        <v>2794</v>
      </c>
      <c r="C1177" s="37" t="s">
        <v>2795</v>
      </c>
      <c r="D1177" s="55" t="s">
        <v>805</v>
      </c>
      <c r="E1177" s="58">
        <v>468.42</v>
      </c>
      <c r="F1177" s="57">
        <v>7.96</v>
      </c>
      <c r="G1177" s="57"/>
      <c r="H1177" s="49"/>
      <c r="I1177" s="49" t="str">
        <f t="shared" si="104"/>
        <v/>
      </c>
      <c r="J1177" s="37" t="str">
        <f t="shared" si="102"/>
        <v>농심홀딩스</v>
      </c>
      <c r="K1177" s="37" t="str">
        <f t="shared" si="103"/>
        <v>A072710</v>
      </c>
    </row>
    <row r="1178" spans="1:11" x14ac:dyDescent="0.4">
      <c r="A1178" s="49"/>
      <c r="B1178" s="54" t="s">
        <v>2796</v>
      </c>
      <c r="C1178" s="37" t="s">
        <v>2797</v>
      </c>
      <c r="D1178" s="55" t="s">
        <v>820</v>
      </c>
      <c r="E1178" s="58">
        <v>68.83</v>
      </c>
      <c r="F1178" s="57">
        <v>2.11</v>
      </c>
      <c r="G1178" s="57"/>
      <c r="H1178" s="49"/>
      <c r="I1178" s="49" t="str">
        <f t="shared" si="104"/>
        <v/>
      </c>
      <c r="J1178" s="37" t="str">
        <f t="shared" si="102"/>
        <v>멤레이비티</v>
      </c>
      <c r="K1178" s="37" t="str">
        <f t="shared" si="103"/>
        <v>A072770</v>
      </c>
    </row>
    <row r="1179" spans="1:11" x14ac:dyDescent="0.4">
      <c r="A1179" s="49"/>
      <c r="B1179" s="54" t="s">
        <v>2798</v>
      </c>
      <c r="C1179" s="37" t="s">
        <v>2799</v>
      </c>
      <c r="D1179" s="55" t="s">
        <v>820</v>
      </c>
      <c r="E1179" s="58">
        <v>137.21</v>
      </c>
      <c r="F1179" s="57">
        <v>0.27</v>
      </c>
      <c r="G1179" s="57"/>
      <c r="H1179" s="49"/>
      <c r="I1179" s="49" t="str">
        <f t="shared" si="104"/>
        <v/>
      </c>
      <c r="J1179" s="37" t="str">
        <f t="shared" si="102"/>
        <v>메가스터디</v>
      </c>
      <c r="K1179" s="37" t="str">
        <f t="shared" si="103"/>
        <v>A072870</v>
      </c>
    </row>
    <row r="1180" spans="1:11" x14ac:dyDescent="0.4">
      <c r="A1180" s="49"/>
      <c r="B1180" s="54" t="s">
        <v>2800</v>
      </c>
      <c r="C1180" s="37" t="s">
        <v>2801</v>
      </c>
      <c r="D1180" s="55" t="s">
        <v>820</v>
      </c>
      <c r="E1180" s="58">
        <v>51.21</v>
      </c>
      <c r="F1180" s="57">
        <v>1.24</v>
      </c>
      <c r="G1180" s="57"/>
      <c r="H1180" s="49"/>
      <c r="I1180" s="49" t="str">
        <f t="shared" si="104"/>
        <v/>
      </c>
      <c r="J1180" s="37" t="str">
        <f t="shared" si="102"/>
        <v>빛샘전자</v>
      </c>
      <c r="K1180" s="37" t="str">
        <f t="shared" si="103"/>
        <v>A072950</v>
      </c>
    </row>
    <row r="1181" spans="1:11" x14ac:dyDescent="0.4">
      <c r="A1181" s="49"/>
      <c r="B1181" s="54" t="s">
        <v>2802</v>
      </c>
      <c r="C1181" s="37" t="s">
        <v>2803</v>
      </c>
      <c r="D1181" s="55" t="s">
        <v>820</v>
      </c>
      <c r="E1181" s="56">
        <v>85.86</v>
      </c>
      <c r="F1181" s="57">
        <v>0.61</v>
      </c>
      <c r="G1181" s="57"/>
      <c r="H1181" s="49"/>
      <c r="I1181" s="49" t="str">
        <f t="shared" si="104"/>
        <v/>
      </c>
      <c r="J1181" s="37" t="str">
        <f t="shared" si="102"/>
        <v>에이치시티</v>
      </c>
      <c r="K1181" s="37" t="str">
        <f t="shared" si="103"/>
        <v>A072990</v>
      </c>
    </row>
    <row r="1182" spans="1:11" x14ac:dyDescent="0.4">
      <c r="B1182" s="54" t="s">
        <v>2804</v>
      </c>
      <c r="C1182" s="37" t="s">
        <v>2805</v>
      </c>
      <c r="D1182" s="55" t="s">
        <v>820</v>
      </c>
      <c r="E1182" s="56">
        <v>152.93</v>
      </c>
      <c r="F1182" s="55">
        <v>7.49</v>
      </c>
      <c r="G1182" s="55"/>
      <c r="J1182" s="37" t="str">
        <f t="shared" si="102"/>
        <v>케이에스피</v>
      </c>
      <c r="K1182" s="37" t="str">
        <f t="shared" si="103"/>
        <v>A073010</v>
      </c>
    </row>
    <row r="1183" spans="1:11" x14ac:dyDescent="0.4">
      <c r="A1183" s="49"/>
      <c r="B1183" s="54" t="s">
        <v>2806</v>
      </c>
      <c r="C1183" s="37" t="s">
        <v>2807</v>
      </c>
      <c r="D1183" s="55" t="s">
        <v>820</v>
      </c>
      <c r="E1183" s="58">
        <v>48.3</v>
      </c>
      <c r="F1183" s="57">
        <v>0.26</v>
      </c>
      <c r="G1183" s="57"/>
      <c r="H1183" s="49"/>
      <c r="I1183" s="49" t="str">
        <f t="shared" ref="I1183:I1199" si="105">IF((G1183&gt;$G$8),E1183+ROW()/100000,"")</f>
        <v/>
      </c>
      <c r="J1183" s="37" t="str">
        <f t="shared" si="102"/>
        <v>엘엠에스</v>
      </c>
      <c r="K1183" s="37" t="str">
        <f t="shared" si="103"/>
        <v>A073110</v>
      </c>
    </row>
    <row r="1184" spans="1:11" x14ac:dyDescent="0.4">
      <c r="A1184" s="49"/>
      <c r="B1184" s="54" t="s">
        <v>2808</v>
      </c>
      <c r="C1184" s="37" t="s">
        <v>2809</v>
      </c>
      <c r="D1184" s="55" t="s">
        <v>820</v>
      </c>
      <c r="E1184" s="58">
        <v>13.37</v>
      </c>
      <c r="F1184" s="57">
        <v>0.09</v>
      </c>
      <c r="G1184" s="57"/>
      <c r="H1184" s="49"/>
      <c r="I1184" s="49" t="str">
        <f t="shared" si="105"/>
        <v/>
      </c>
      <c r="J1184" s="37" t="str">
        <f t="shared" si="102"/>
        <v>듀오백</v>
      </c>
      <c r="K1184" s="37" t="str">
        <f t="shared" si="103"/>
        <v>A073190</v>
      </c>
    </row>
    <row r="1185" spans="1:11" x14ac:dyDescent="0.4">
      <c r="A1185" s="49"/>
      <c r="B1185" s="54" t="s">
        <v>2810</v>
      </c>
      <c r="C1185" s="37" t="s">
        <v>2811</v>
      </c>
      <c r="D1185" s="55" t="s">
        <v>805</v>
      </c>
      <c r="E1185" s="58">
        <v>2005.08</v>
      </c>
      <c r="F1185" s="57">
        <v>4.26</v>
      </c>
      <c r="G1185" s="57">
        <v>9</v>
      </c>
      <c r="H1185" s="49"/>
      <c r="I1185" s="49">
        <f t="shared" si="105"/>
        <v>2005.09185</v>
      </c>
      <c r="J1185" s="37" t="str">
        <f t="shared" si="102"/>
        <v>금호타이어</v>
      </c>
      <c r="K1185" s="37" t="str">
        <f t="shared" si="103"/>
        <v>A073240</v>
      </c>
    </row>
    <row r="1186" spans="1:11" x14ac:dyDescent="0.4">
      <c r="A1186" s="49"/>
      <c r="B1186" s="54" t="s">
        <v>2812</v>
      </c>
      <c r="C1186" s="37" t="s">
        <v>5179</v>
      </c>
      <c r="D1186" s="55" t="s">
        <v>820</v>
      </c>
      <c r="E1186" s="58">
        <v>265.75</v>
      </c>
      <c r="F1186" s="57">
        <v>2.2999999999999998</v>
      </c>
      <c r="G1186" s="57">
        <v>1</v>
      </c>
      <c r="H1186" s="49"/>
      <c r="I1186" s="49">
        <f t="shared" si="105"/>
        <v>265.76186000000001</v>
      </c>
      <c r="J1186" s="37" t="str">
        <f t="shared" si="102"/>
        <v>LIG아큐버</v>
      </c>
      <c r="K1186" s="37" t="str">
        <f t="shared" si="103"/>
        <v>A073490</v>
      </c>
    </row>
    <row r="1187" spans="1:11" x14ac:dyDescent="0.4">
      <c r="A1187" s="49"/>
      <c r="B1187" s="54" t="s">
        <v>2813</v>
      </c>
      <c r="C1187" s="37" t="s">
        <v>2814</v>
      </c>
      <c r="D1187" s="55" t="s">
        <v>820</v>
      </c>
      <c r="E1187" s="58">
        <v>23.03</v>
      </c>
      <c r="F1187" s="57">
        <v>0.36</v>
      </c>
      <c r="G1187" s="57"/>
      <c r="H1187" s="49"/>
      <c r="I1187" s="49" t="str">
        <f t="shared" si="105"/>
        <v/>
      </c>
      <c r="J1187" s="37" t="str">
        <f t="shared" si="102"/>
        <v>에프알텍</v>
      </c>
      <c r="K1187" s="37" t="str">
        <f t="shared" si="103"/>
        <v>A073540</v>
      </c>
    </row>
    <row r="1188" spans="1:11" x14ac:dyDescent="0.4">
      <c r="A1188" s="49"/>
      <c r="B1188" s="54" t="s">
        <v>2815</v>
      </c>
      <c r="C1188" s="37" t="s">
        <v>2816</v>
      </c>
      <c r="D1188" s="55" t="s">
        <v>820</v>
      </c>
      <c r="E1188" s="58">
        <v>132.66</v>
      </c>
      <c r="F1188" s="57">
        <v>0.39</v>
      </c>
      <c r="G1188" s="57"/>
      <c r="H1188" s="49"/>
      <c r="I1188" s="49" t="str">
        <f t="shared" si="105"/>
        <v/>
      </c>
      <c r="J1188" s="37" t="str">
        <f t="shared" si="102"/>
        <v>우리손에프앤지</v>
      </c>
      <c r="K1188" s="37" t="str">
        <f t="shared" si="103"/>
        <v>A073560</v>
      </c>
    </row>
    <row r="1189" spans="1:11" x14ac:dyDescent="0.4">
      <c r="A1189" s="49"/>
      <c r="B1189" s="54" t="s">
        <v>2817</v>
      </c>
      <c r="C1189" s="37" t="s">
        <v>2818</v>
      </c>
      <c r="D1189" s="55" t="s">
        <v>820</v>
      </c>
      <c r="E1189" s="58">
        <v>40.26</v>
      </c>
      <c r="F1189" s="57">
        <v>1.27</v>
      </c>
      <c r="G1189" s="57"/>
      <c r="H1189" s="49"/>
      <c r="I1189" s="49" t="str">
        <f t="shared" si="105"/>
        <v/>
      </c>
      <c r="J1189" s="37" t="str">
        <f t="shared" si="102"/>
        <v>리튬포어스</v>
      </c>
      <c r="K1189" s="37" t="str">
        <f t="shared" si="103"/>
        <v>A073570</v>
      </c>
    </row>
    <row r="1190" spans="1:11" x14ac:dyDescent="0.4">
      <c r="A1190" s="49"/>
      <c r="B1190" s="54" t="s">
        <v>2819</v>
      </c>
      <c r="C1190" s="37" t="s">
        <v>2820</v>
      </c>
      <c r="D1190" s="55" t="s">
        <v>820</v>
      </c>
      <c r="E1190" s="59">
        <v>69.569999999999993</v>
      </c>
      <c r="F1190" s="57">
        <v>0</v>
      </c>
      <c r="G1190" s="57"/>
      <c r="H1190" s="49"/>
      <c r="I1190" s="49" t="str">
        <f t="shared" si="105"/>
        <v/>
      </c>
      <c r="J1190" s="37" t="str">
        <f t="shared" si="102"/>
        <v>테라사이언스</v>
      </c>
      <c r="K1190" s="37" t="str">
        <f t="shared" si="103"/>
        <v>A073640</v>
      </c>
    </row>
    <row r="1191" spans="1:11" x14ac:dyDescent="0.4">
      <c r="A1191" s="49"/>
      <c r="B1191" s="54" t="s">
        <v>2821</v>
      </c>
      <c r="C1191" s="37" t="s">
        <v>2822</v>
      </c>
      <c r="D1191" s="55" t="s">
        <v>820</v>
      </c>
      <c r="E1191" s="56">
        <v>133.41</v>
      </c>
      <c r="F1191" s="55">
        <v>1.81</v>
      </c>
      <c r="G1191" s="55"/>
      <c r="I1191" s="49" t="str">
        <f t="shared" si="105"/>
        <v/>
      </c>
      <c r="J1191" s="37" t="str">
        <f t="shared" si="102"/>
        <v>아미노로직스</v>
      </c>
      <c r="K1191" s="37" t="str">
        <f t="shared" si="103"/>
        <v>A074430</v>
      </c>
    </row>
    <row r="1192" spans="1:11" x14ac:dyDescent="0.4">
      <c r="A1192" s="49"/>
      <c r="B1192" s="54" t="s">
        <v>2823</v>
      </c>
      <c r="C1192" s="37" t="s">
        <v>2824</v>
      </c>
      <c r="D1192" s="55" t="s">
        <v>820</v>
      </c>
      <c r="E1192" s="58">
        <v>818.87</v>
      </c>
      <c r="F1192" s="57">
        <v>9</v>
      </c>
      <c r="G1192" s="57">
        <v>2</v>
      </c>
      <c r="H1192" s="49"/>
      <c r="I1192" s="49">
        <f t="shared" si="105"/>
        <v>818.88192000000004</v>
      </c>
      <c r="J1192" s="37" t="str">
        <f t="shared" si="102"/>
        <v>원익QnC</v>
      </c>
      <c r="K1192" s="37" t="str">
        <f t="shared" si="103"/>
        <v>A074600</v>
      </c>
    </row>
    <row r="1193" spans="1:11" x14ac:dyDescent="0.4">
      <c r="A1193" s="49"/>
      <c r="B1193" s="54" t="s">
        <v>2825</v>
      </c>
      <c r="C1193" s="37" t="s">
        <v>2826</v>
      </c>
      <c r="D1193" s="55" t="s">
        <v>805</v>
      </c>
      <c r="E1193" s="58">
        <v>37.49</v>
      </c>
      <c r="F1193" s="57">
        <v>0</v>
      </c>
      <c r="G1193" s="57"/>
      <c r="H1193" s="49"/>
      <c r="I1193" s="49" t="str">
        <f t="shared" si="105"/>
        <v/>
      </c>
      <c r="J1193" s="37" t="str">
        <f t="shared" si="102"/>
        <v>이엔플러스</v>
      </c>
      <c r="K1193" s="37" t="str">
        <f t="shared" si="103"/>
        <v>A074610</v>
      </c>
    </row>
    <row r="1194" spans="1:11" x14ac:dyDescent="0.4">
      <c r="A1194" s="49"/>
      <c r="B1194" s="54" t="s">
        <v>2827</v>
      </c>
      <c r="C1194" s="37" t="s">
        <v>2828</v>
      </c>
      <c r="D1194" s="55" t="s">
        <v>820</v>
      </c>
      <c r="E1194" s="56">
        <v>38.229999999999997</v>
      </c>
      <c r="F1194" s="55">
        <v>0.18</v>
      </c>
      <c r="G1194" s="55"/>
      <c r="I1194" s="49" t="str">
        <f t="shared" si="105"/>
        <v/>
      </c>
      <c r="J1194" s="37" t="str">
        <f t="shared" si="102"/>
        <v>플랜티넷</v>
      </c>
      <c r="K1194" s="37" t="str">
        <f t="shared" si="103"/>
        <v>A075130</v>
      </c>
    </row>
    <row r="1195" spans="1:11" x14ac:dyDescent="0.4">
      <c r="A1195" s="49"/>
      <c r="B1195" s="54" t="s">
        <v>2829</v>
      </c>
      <c r="C1195" s="37" t="s">
        <v>2830</v>
      </c>
      <c r="D1195" s="55" t="s">
        <v>805</v>
      </c>
      <c r="E1195" s="56">
        <v>61.63</v>
      </c>
      <c r="F1195" s="55">
        <v>0.03</v>
      </c>
      <c r="G1195" s="55"/>
      <c r="I1195" s="49" t="str">
        <f t="shared" si="105"/>
        <v/>
      </c>
      <c r="J1195" s="37" t="str">
        <f t="shared" si="102"/>
        <v>새론오토모티브</v>
      </c>
      <c r="K1195" s="37" t="str">
        <f t="shared" si="103"/>
        <v>A075180</v>
      </c>
    </row>
    <row r="1196" spans="1:11" x14ac:dyDescent="0.4">
      <c r="A1196" s="49"/>
      <c r="B1196" s="54" t="s">
        <v>424</v>
      </c>
      <c r="C1196" s="37" t="s">
        <v>425</v>
      </c>
      <c r="D1196" s="55" t="s">
        <v>805</v>
      </c>
      <c r="E1196" s="58">
        <v>1121.6400000000001</v>
      </c>
      <c r="F1196" s="57">
        <v>31.54</v>
      </c>
      <c r="G1196" s="57"/>
      <c r="H1196" s="49"/>
      <c r="I1196" s="49" t="str">
        <f t="shared" si="105"/>
        <v/>
      </c>
      <c r="J1196" s="37" t="str">
        <f t="shared" si="102"/>
        <v>세진중공업</v>
      </c>
      <c r="K1196" s="37" t="str">
        <f t="shared" si="103"/>
        <v>A075580</v>
      </c>
    </row>
    <row r="1197" spans="1:11" x14ac:dyDescent="0.4">
      <c r="A1197" s="49"/>
      <c r="B1197" s="54" t="s">
        <v>2831</v>
      </c>
      <c r="C1197" s="37" t="s">
        <v>2832</v>
      </c>
      <c r="D1197" s="55" t="s">
        <v>820</v>
      </c>
      <c r="E1197" s="56">
        <v>42.23</v>
      </c>
      <c r="F1197" s="55">
        <v>0.94</v>
      </c>
      <c r="G1197" s="55"/>
      <c r="I1197" s="49" t="str">
        <f t="shared" si="105"/>
        <v/>
      </c>
      <c r="J1197" s="37" t="str">
        <f t="shared" si="102"/>
        <v>동국알앤에스</v>
      </c>
      <c r="K1197" s="37" t="str">
        <f t="shared" si="103"/>
        <v>A075970</v>
      </c>
    </row>
    <row r="1198" spans="1:11" x14ac:dyDescent="0.4">
      <c r="A1198" s="49"/>
      <c r="B1198" s="54" t="s">
        <v>2833</v>
      </c>
      <c r="C1198" s="37" t="s">
        <v>2834</v>
      </c>
      <c r="D1198" s="55" t="s">
        <v>820</v>
      </c>
      <c r="E1198" s="58">
        <v>25.64</v>
      </c>
      <c r="F1198" s="57">
        <v>0.35</v>
      </c>
      <c r="G1198" s="57"/>
      <c r="H1198" s="49"/>
      <c r="I1198" s="49" t="str">
        <f t="shared" si="105"/>
        <v/>
      </c>
      <c r="J1198" s="37" t="str">
        <f t="shared" si="102"/>
        <v>웰크론한텍</v>
      </c>
      <c r="K1198" s="37" t="str">
        <f t="shared" si="103"/>
        <v>A076080</v>
      </c>
    </row>
    <row r="1199" spans="1:11" x14ac:dyDescent="0.4">
      <c r="A1199" s="49"/>
      <c r="B1199" s="54" t="s">
        <v>2835</v>
      </c>
      <c r="C1199" s="37" t="s">
        <v>2836</v>
      </c>
      <c r="D1199" s="55" t="s">
        <v>820</v>
      </c>
      <c r="E1199" s="56">
        <v>68.81</v>
      </c>
      <c r="F1199" s="55">
        <v>4.5</v>
      </c>
      <c r="G1199" s="55"/>
      <c r="I1199" s="49" t="str">
        <f t="shared" si="105"/>
        <v/>
      </c>
      <c r="J1199" s="37" t="str">
        <f t="shared" si="102"/>
        <v>해성옵틱스</v>
      </c>
      <c r="K1199" s="37" t="str">
        <f t="shared" si="103"/>
        <v>A076610</v>
      </c>
    </row>
    <row r="1200" spans="1:11" x14ac:dyDescent="0.4">
      <c r="B1200" s="54" t="s">
        <v>719</v>
      </c>
      <c r="C1200" s="37" t="s">
        <v>720</v>
      </c>
      <c r="D1200" s="55" t="s">
        <v>820</v>
      </c>
      <c r="E1200" s="56">
        <v>532.07000000000005</v>
      </c>
      <c r="F1200" s="55">
        <v>15.99</v>
      </c>
      <c r="G1200" s="55"/>
      <c r="J1200" s="37" t="str">
        <f t="shared" si="102"/>
        <v>덕산하이메탈</v>
      </c>
      <c r="K1200" s="37" t="str">
        <f t="shared" si="103"/>
        <v>A077360</v>
      </c>
    </row>
    <row r="1201" spans="1:11" x14ac:dyDescent="0.4">
      <c r="A1201" s="49"/>
      <c r="B1201" s="54" t="s">
        <v>2837</v>
      </c>
      <c r="C1201" s="37" t="s">
        <v>2838</v>
      </c>
      <c r="D1201" s="55" t="s">
        <v>805</v>
      </c>
      <c r="E1201" s="58">
        <v>145.37</v>
      </c>
      <c r="F1201" s="57">
        <v>2.13</v>
      </c>
      <c r="G1201" s="57"/>
      <c r="H1201" s="49"/>
      <c r="I1201" s="49" t="str">
        <f t="shared" ref="I1201:I1227" si="106">IF((G1201&gt;$G$8),E1201+ROW()/100000,"")</f>
        <v/>
      </c>
      <c r="J1201" s="37" t="str">
        <f t="shared" si="102"/>
        <v>유니퀘스트</v>
      </c>
      <c r="K1201" s="37" t="str">
        <f t="shared" si="103"/>
        <v>A077500</v>
      </c>
    </row>
    <row r="1202" spans="1:11" x14ac:dyDescent="0.4">
      <c r="A1202" s="49"/>
      <c r="B1202" s="54" t="s">
        <v>372</v>
      </c>
      <c r="C1202" s="37" t="s">
        <v>373</v>
      </c>
      <c r="D1202" s="55" t="s">
        <v>805</v>
      </c>
      <c r="E1202" s="58">
        <v>1322.88</v>
      </c>
      <c r="F1202" s="57">
        <v>21.51</v>
      </c>
      <c r="G1202" s="57"/>
      <c r="H1202" s="49"/>
      <c r="I1202" s="49" t="str">
        <f t="shared" si="106"/>
        <v/>
      </c>
      <c r="J1202" s="37" t="str">
        <f t="shared" si="102"/>
        <v>STX엔진</v>
      </c>
      <c r="K1202" s="37" t="str">
        <f t="shared" si="103"/>
        <v>A077970</v>
      </c>
    </row>
    <row r="1203" spans="1:11" x14ac:dyDescent="0.4">
      <c r="A1203" s="49"/>
      <c r="B1203" s="54" t="s">
        <v>2839</v>
      </c>
      <c r="C1203" s="37" t="s">
        <v>2840</v>
      </c>
      <c r="D1203" s="55" t="s">
        <v>805</v>
      </c>
      <c r="E1203" s="58">
        <v>175.56</v>
      </c>
      <c r="F1203" s="57">
        <v>1.81</v>
      </c>
      <c r="G1203" s="57"/>
      <c r="H1203" s="49"/>
      <c r="I1203" s="49" t="str">
        <f t="shared" si="106"/>
        <v/>
      </c>
      <c r="J1203" s="37" t="str">
        <f t="shared" si="102"/>
        <v>텔코웨어</v>
      </c>
      <c r="K1203" s="37" t="str">
        <f t="shared" si="103"/>
        <v>A078000</v>
      </c>
    </row>
    <row r="1204" spans="1:11" x14ac:dyDescent="0.4">
      <c r="A1204" s="49"/>
      <c r="B1204" s="54" t="s">
        <v>2841</v>
      </c>
      <c r="C1204" s="37" t="s">
        <v>2842</v>
      </c>
      <c r="D1204" s="55" t="s">
        <v>820</v>
      </c>
      <c r="E1204" s="58">
        <v>447.18</v>
      </c>
      <c r="F1204" s="57">
        <v>2.88</v>
      </c>
      <c r="G1204" s="57"/>
      <c r="H1204" s="49"/>
      <c r="I1204" s="49" t="str">
        <f t="shared" si="106"/>
        <v/>
      </c>
      <c r="J1204" s="37" t="str">
        <f t="shared" si="102"/>
        <v>LS증권</v>
      </c>
      <c r="K1204" s="37" t="str">
        <f t="shared" si="103"/>
        <v>A078020</v>
      </c>
    </row>
    <row r="1205" spans="1:11" x14ac:dyDescent="0.4">
      <c r="A1205" s="49"/>
      <c r="B1205" s="54" t="s">
        <v>2843</v>
      </c>
      <c r="C1205" s="37" t="s">
        <v>2844</v>
      </c>
      <c r="D1205" s="55" t="s">
        <v>820</v>
      </c>
      <c r="E1205" s="58">
        <v>208.97</v>
      </c>
      <c r="F1205" s="57">
        <v>0.38</v>
      </c>
      <c r="G1205" s="57"/>
      <c r="H1205" s="49"/>
      <c r="I1205" s="49" t="str">
        <f t="shared" si="106"/>
        <v/>
      </c>
      <c r="J1205" s="37" t="str">
        <f t="shared" si="102"/>
        <v>유비쿼스홀딩스</v>
      </c>
      <c r="K1205" s="37" t="str">
        <f t="shared" si="103"/>
        <v>A078070</v>
      </c>
    </row>
    <row r="1206" spans="1:11" x14ac:dyDescent="0.4">
      <c r="A1206" s="49"/>
      <c r="B1206" s="54" t="s">
        <v>2845</v>
      </c>
      <c r="C1206" s="37" t="s">
        <v>2846</v>
      </c>
      <c r="D1206" s="55" t="s">
        <v>820</v>
      </c>
      <c r="E1206" s="58">
        <v>350.62</v>
      </c>
      <c r="F1206" s="57">
        <v>0.51</v>
      </c>
      <c r="G1206" s="57"/>
      <c r="H1206" s="49"/>
      <c r="I1206" s="49" t="str">
        <f t="shared" si="106"/>
        <v/>
      </c>
      <c r="J1206" s="37" t="str">
        <f t="shared" si="102"/>
        <v>국일제지</v>
      </c>
      <c r="K1206" s="37" t="str">
        <f t="shared" si="103"/>
        <v>A078130</v>
      </c>
    </row>
    <row r="1207" spans="1:11" x14ac:dyDescent="0.4">
      <c r="A1207" s="49"/>
      <c r="B1207" s="54" t="s">
        <v>2847</v>
      </c>
      <c r="C1207" s="37" t="s">
        <v>2848</v>
      </c>
      <c r="D1207" s="55" t="s">
        <v>820</v>
      </c>
      <c r="E1207" s="57">
        <v>123.84</v>
      </c>
      <c r="F1207" s="55">
        <v>0.45</v>
      </c>
      <c r="G1207" s="55"/>
      <c r="I1207" s="49" t="str">
        <f t="shared" si="106"/>
        <v/>
      </c>
      <c r="J1207" s="37" t="str">
        <f t="shared" si="102"/>
        <v>대봉엘에스</v>
      </c>
      <c r="K1207" s="37" t="str">
        <f t="shared" si="103"/>
        <v>A078140</v>
      </c>
    </row>
    <row r="1208" spans="1:11" x14ac:dyDescent="0.4">
      <c r="A1208" s="49"/>
      <c r="B1208" s="54" t="s">
        <v>2849</v>
      </c>
      <c r="C1208" s="37" t="s">
        <v>2850</v>
      </c>
      <c r="D1208" s="55" t="s">
        <v>820</v>
      </c>
      <c r="E1208" s="58">
        <v>195.63</v>
      </c>
      <c r="F1208" s="57">
        <v>3.41</v>
      </c>
      <c r="G1208" s="57"/>
      <c r="H1208" s="49"/>
      <c r="I1208" s="49" t="str">
        <f t="shared" si="106"/>
        <v/>
      </c>
      <c r="J1208" s="37" t="str">
        <f t="shared" si="102"/>
        <v>HB테크놀러지</v>
      </c>
      <c r="K1208" s="37" t="str">
        <f t="shared" si="103"/>
        <v>A078150</v>
      </c>
    </row>
    <row r="1209" spans="1:11" x14ac:dyDescent="0.4">
      <c r="A1209" s="49"/>
      <c r="B1209" s="54" t="s">
        <v>693</v>
      </c>
      <c r="C1209" s="37" t="s">
        <v>694</v>
      </c>
      <c r="D1209" s="55" t="s">
        <v>820</v>
      </c>
      <c r="E1209" s="56">
        <v>860.54</v>
      </c>
      <c r="F1209" s="55">
        <v>4.6100000000000003</v>
      </c>
      <c r="G1209" s="55"/>
      <c r="I1209" s="49" t="str">
        <f t="shared" si="106"/>
        <v/>
      </c>
      <c r="J1209" s="37" t="str">
        <f t="shared" si="102"/>
        <v>메디포스트</v>
      </c>
      <c r="K1209" s="37" t="str">
        <f t="shared" si="103"/>
        <v>A078160</v>
      </c>
    </row>
    <row r="1210" spans="1:11" x14ac:dyDescent="0.4">
      <c r="A1210" s="49"/>
      <c r="B1210" s="54" t="s">
        <v>2851</v>
      </c>
      <c r="C1210" s="37" t="s">
        <v>2852</v>
      </c>
      <c r="D1210" s="55" t="s">
        <v>820</v>
      </c>
      <c r="E1210" s="58">
        <v>434.08</v>
      </c>
      <c r="F1210" s="57">
        <v>1.9</v>
      </c>
      <c r="G1210" s="57">
        <v>8</v>
      </c>
      <c r="H1210" s="49"/>
      <c r="I1210" s="49">
        <f t="shared" si="106"/>
        <v>434.09209999999996</v>
      </c>
      <c r="J1210" s="37" t="str">
        <f t="shared" si="102"/>
        <v>컴투스</v>
      </c>
      <c r="K1210" s="37" t="str">
        <f t="shared" si="103"/>
        <v>A078340</v>
      </c>
    </row>
    <row r="1211" spans="1:11" x14ac:dyDescent="0.4">
      <c r="A1211" s="49"/>
      <c r="B1211" s="54" t="s">
        <v>557</v>
      </c>
      <c r="C1211" s="37" t="s">
        <v>558</v>
      </c>
      <c r="D1211" s="55" t="s">
        <v>820</v>
      </c>
      <c r="E1211" s="58">
        <v>392.54</v>
      </c>
      <c r="F1211" s="57">
        <v>7.62</v>
      </c>
      <c r="G1211" s="57"/>
      <c r="H1211" s="49"/>
      <c r="I1211" s="49" t="str">
        <f t="shared" si="106"/>
        <v/>
      </c>
      <c r="J1211" s="37" t="str">
        <f t="shared" si="102"/>
        <v>한양디지텍</v>
      </c>
      <c r="K1211" s="37" t="str">
        <f t="shared" si="103"/>
        <v>A078350</v>
      </c>
    </row>
    <row r="1212" spans="1:11" x14ac:dyDescent="0.4">
      <c r="A1212" s="49"/>
      <c r="B1212" s="54" t="s">
        <v>2853</v>
      </c>
      <c r="C1212" s="37" t="s">
        <v>2854</v>
      </c>
      <c r="D1212" s="55" t="s">
        <v>805</v>
      </c>
      <c r="E1212" s="58">
        <v>298.89999999999998</v>
      </c>
      <c r="F1212" s="57">
        <v>4.66</v>
      </c>
      <c r="G1212" s="57"/>
      <c r="H1212" s="49"/>
      <c r="I1212" s="49" t="str">
        <f t="shared" si="106"/>
        <v/>
      </c>
      <c r="J1212" s="37" t="str">
        <f t="shared" si="102"/>
        <v>에이블씨엔씨</v>
      </c>
      <c r="K1212" s="37" t="str">
        <f t="shared" si="103"/>
        <v>A078520</v>
      </c>
    </row>
    <row r="1213" spans="1:11" x14ac:dyDescent="0.4">
      <c r="A1213" s="49"/>
      <c r="B1213" s="54" t="s">
        <v>2855</v>
      </c>
      <c r="C1213" s="37" t="s">
        <v>2856</v>
      </c>
      <c r="D1213" s="55" t="s">
        <v>820</v>
      </c>
      <c r="E1213" s="58">
        <v>59.88</v>
      </c>
      <c r="F1213" s="57">
        <v>5</v>
      </c>
      <c r="G1213" s="57"/>
      <c r="H1213" s="49"/>
      <c r="I1213" s="49" t="str">
        <f t="shared" si="106"/>
        <v/>
      </c>
      <c r="J1213" s="37" t="str">
        <f t="shared" si="102"/>
        <v>휴림에이텍</v>
      </c>
      <c r="K1213" s="37" t="str">
        <f t="shared" si="103"/>
        <v>A078590</v>
      </c>
    </row>
    <row r="1214" spans="1:11" x14ac:dyDescent="0.4">
      <c r="A1214" s="49"/>
      <c r="B1214" s="54" t="s">
        <v>737</v>
      </c>
      <c r="C1214" s="37" t="s">
        <v>738</v>
      </c>
      <c r="D1214" s="55" t="s">
        <v>820</v>
      </c>
      <c r="E1214" s="58">
        <v>1558.9</v>
      </c>
      <c r="F1214" s="57">
        <v>16.440000000000001</v>
      </c>
      <c r="G1214" s="57">
        <v>2</v>
      </c>
      <c r="H1214" s="49"/>
      <c r="I1214" s="49">
        <f t="shared" si="106"/>
        <v>1558.9121400000001</v>
      </c>
      <c r="J1214" s="37" t="str">
        <f t="shared" si="102"/>
        <v>대주전자재료</v>
      </c>
      <c r="K1214" s="37" t="str">
        <f t="shared" si="103"/>
        <v>A078600</v>
      </c>
    </row>
    <row r="1215" spans="1:11" x14ac:dyDescent="0.4">
      <c r="A1215" s="49"/>
      <c r="B1215" s="54" t="s">
        <v>2857</v>
      </c>
      <c r="C1215" s="37" t="s">
        <v>5214</v>
      </c>
      <c r="D1215" s="55" t="s">
        <v>820</v>
      </c>
      <c r="E1215" s="58">
        <v>24.16</v>
      </c>
      <c r="F1215" s="57">
        <v>0.25</v>
      </c>
      <c r="G1215" s="57"/>
      <c r="H1215" s="49"/>
      <c r="I1215" s="49" t="str">
        <f t="shared" si="106"/>
        <v/>
      </c>
      <c r="J1215" s="37" t="str">
        <f t="shared" si="102"/>
        <v>아이오케이이엔엠</v>
      </c>
      <c r="K1215" s="37" t="str">
        <f t="shared" si="103"/>
        <v>A078860</v>
      </c>
    </row>
    <row r="1216" spans="1:11" x14ac:dyDescent="0.4">
      <c r="A1216" s="49"/>
      <c r="B1216" s="54" t="s">
        <v>2858</v>
      </c>
      <c r="C1216" s="37" t="s">
        <v>2859</v>
      </c>
      <c r="D1216" s="55" t="s">
        <v>820</v>
      </c>
      <c r="E1216" s="58">
        <v>143.9</v>
      </c>
      <c r="F1216" s="57">
        <v>1.94</v>
      </c>
      <c r="G1216" s="57">
        <v>1</v>
      </c>
      <c r="H1216" s="49"/>
      <c r="I1216" s="49">
        <f t="shared" si="106"/>
        <v>143.91216</v>
      </c>
      <c r="J1216" s="37" t="str">
        <f t="shared" si="102"/>
        <v>가온그룹</v>
      </c>
      <c r="K1216" s="37" t="str">
        <f t="shared" si="103"/>
        <v>A078890</v>
      </c>
    </row>
    <row r="1217" spans="1:11" x14ac:dyDescent="0.4">
      <c r="A1217" s="49"/>
      <c r="B1217" s="54" t="s">
        <v>316</v>
      </c>
      <c r="C1217" s="37" t="s">
        <v>317</v>
      </c>
      <c r="D1217" s="55" t="s">
        <v>805</v>
      </c>
      <c r="E1217" s="58">
        <v>6383.29</v>
      </c>
      <c r="F1217" s="57">
        <v>14.95</v>
      </c>
      <c r="G1217" s="57">
        <v>6</v>
      </c>
      <c r="H1217" s="49"/>
      <c r="I1217" s="49">
        <f t="shared" si="106"/>
        <v>6383.3021699999999</v>
      </c>
      <c r="J1217" s="37" t="str">
        <f t="shared" si="102"/>
        <v>GS</v>
      </c>
      <c r="K1217" s="37" t="str">
        <f t="shared" si="103"/>
        <v>A078930</v>
      </c>
    </row>
    <row r="1218" spans="1:11" x14ac:dyDescent="0.4">
      <c r="A1218" s="49"/>
      <c r="B1218" s="54" t="s">
        <v>2860</v>
      </c>
      <c r="C1218" s="37" t="s">
        <v>2861</v>
      </c>
      <c r="D1218" s="55" t="s">
        <v>820</v>
      </c>
      <c r="E1218" s="56">
        <v>81.5</v>
      </c>
      <c r="F1218" s="55">
        <v>0.22</v>
      </c>
      <c r="G1218" s="55"/>
      <c r="I1218" s="49" t="str">
        <f t="shared" si="106"/>
        <v/>
      </c>
      <c r="J1218" s="37" t="str">
        <f t="shared" si="102"/>
        <v>와토스코리아</v>
      </c>
      <c r="K1218" s="37" t="str">
        <f t="shared" si="103"/>
        <v>A079000</v>
      </c>
    </row>
    <row r="1219" spans="1:11" x14ac:dyDescent="0.4">
      <c r="A1219" s="49"/>
      <c r="B1219" s="54" t="s">
        <v>2862</v>
      </c>
      <c r="C1219" s="37" t="s">
        <v>2863</v>
      </c>
      <c r="D1219" s="55" t="s">
        <v>805</v>
      </c>
      <c r="E1219" s="58">
        <v>917.33</v>
      </c>
      <c r="F1219" s="57">
        <v>3.44</v>
      </c>
      <c r="G1219" s="57">
        <v>3</v>
      </c>
      <c r="H1219" s="49"/>
      <c r="I1219" s="49">
        <f t="shared" si="106"/>
        <v>917.34219000000007</v>
      </c>
      <c r="J1219" s="37" t="str">
        <f t="shared" si="102"/>
        <v>CJ CGV</v>
      </c>
      <c r="K1219" s="37" t="str">
        <f t="shared" si="103"/>
        <v>A079160</v>
      </c>
    </row>
    <row r="1220" spans="1:11" x14ac:dyDescent="0.4">
      <c r="A1220" s="49"/>
      <c r="B1220" s="54" t="s">
        <v>2864</v>
      </c>
      <c r="C1220" s="37" t="s">
        <v>2865</v>
      </c>
      <c r="D1220" s="55" t="s">
        <v>820</v>
      </c>
      <c r="E1220" s="56">
        <v>33.229999999999997</v>
      </c>
      <c r="F1220" s="55">
        <v>0.1</v>
      </c>
      <c r="G1220" s="55"/>
      <c r="I1220" s="49" t="str">
        <f t="shared" si="106"/>
        <v/>
      </c>
      <c r="J1220" s="37" t="str">
        <f t="shared" si="102"/>
        <v>한창산업</v>
      </c>
      <c r="K1220" s="37" t="str">
        <f t="shared" si="103"/>
        <v>A079170</v>
      </c>
    </row>
    <row r="1221" spans="1:11" x14ac:dyDescent="0.4">
      <c r="A1221" s="49"/>
      <c r="B1221" s="54" t="s">
        <v>2866</v>
      </c>
      <c r="C1221" s="37" t="s">
        <v>2867</v>
      </c>
      <c r="D1221" s="55" t="s">
        <v>820</v>
      </c>
      <c r="E1221" s="58">
        <v>17.18</v>
      </c>
      <c r="F1221" s="57">
        <v>0.39</v>
      </c>
      <c r="G1221" s="57"/>
      <c r="H1221" s="49"/>
      <c r="I1221" s="49" t="str">
        <f t="shared" si="106"/>
        <v/>
      </c>
      <c r="J1221" s="37" t="str">
        <f t="shared" si="102"/>
        <v>케스피온</v>
      </c>
      <c r="K1221" s="37" t="str">
        <f t="shared" si="103"/>
        <v>A079190</v>
      </c>
    </row>
    <row r="1222" spans="1:11" x14ac:dyDescent="0.4">
      <c r="A1222" s="49"/>
      <c r="B1222" s="54" t="s">
        <v>2868</v>
      </c>
      <c r="C1222" s="37" t="s">
        <v>2869</v>
      </c>
      <c r="D1222" s="55" t="s">
        <v>820</v>
      </c>
      <c r="E1222" s="58">
        <v>557.69000000000005</v>
      </c>
      <c r="F1222" s="57">
        <v>7.39</v>
      </c>
      <c r="G1222" s="57"/>
      <c r="H1222" s="49"/>
      <c r="I1222" s="49" t="str">
        <f t="shared" si="106"/>
        <v/>
      </c>
      <c r="J1222" s="37" t="str">
        <f t="shared" si="102"/>
        <v>제우스</v>
      </c>
      <c r="K1222" s="37" t="str">
        <f t="shared" si="103"/>
        <v>A079370</v>
      </c>
    </row>
    <row r="1223" spans="1:11" x14ac:dyDescent="0.4">
      <c r="A1223" s="49"/>
      <c r="B1223" s="54" t="s">
        <v>2870</v>
      </c>
      <c r="C1223" s="37" t="s">
        <v>2871</v>
      </c>
      <c r="D1223" s="55" t="s">
        <v>805</v>
      </c>
      <c r="E1223" s="58">
        <v>155.25</v>
      </c>
      <c r="F1223" s="57">
        <v>0.56999999999999995</v>
      </c>
      <c r="G1223" s="57"/>
      <c r="H1223" s="49"/>
      <c r="I1223" s="49" t="str">
        <f t="shared" si="106"/>
        <v/>
      </c>
      <c r="J1223" s="37" t="str">
        <f t="shared" si="102"/>
        <v>현대리바트</v>
      </c>
      <c r="K1223" s="37" t="str">
        <f t="shared" si="103"/>
        <v>A079430</v>
      </c>
    </row>
    <row r="1224" spans="1:11" x14ac:dyDescent="0.4">
      <c r="A1224" s="49"/>
      <c r="B1224" s="54" t="s">
        <v>122</v>
      </c>
      <c r="C1224" s="37" t="s">
        <v>5175</v>
      </c>
      <c r="D1224" s="55" t="s">
        <v>805</v>
      </c>
      <c r="E1224" s="58">
        <v>11198</v>
      </c>
      <c r="F1224" s="57">
        <v>75.47</v>
      </c>
      <c r="G1224" s="57">
        <v>12</v>
      </c>
      <c r="H1224" s="49"/>
      <c r="I1224" s="49">
        <f t="shared" si="106"/>
        <v>11198.01224</v>
      </c>
      <c r="J1224" s="37" t="str">
        <f t="shared" si="102"/>
        <v>LIG디펜스앤에어로스페이스</v>
      </c>
      <c r="K1224" s="37" t="str">
        <f t="shared" si="103"/>
        <v>A079550</v>
      </c>
    </row>
    <row r="1225" spans="1:11" x14ac:dyDescent="0.4">
      <c r="A1225" s="49"/>
      <c r="B1225" s="54" t="s">
        <v>2872</v>
      </c>
      <c r="C1225" s="37" t="s">
        <v>2873</v>
      </c>
      <c r="D1225" s="55" t="s">
        <v>820</v>
      </c>
      <c r="E1225" s="58">
        <v>31.48</v>
      </c>
      <c r="F1225" s="57">
        <v>0.08</v>
      </c>
      <c r="G1225" s="57"/>
      <c r="H1225" s="49"/>
      <c r="I1225" s="49" t="str">
        <f t="shared" si="106"/>
        <v/>
      </c>
      <c r="J1225" s="37" t="str">
        <f t="shared" si="102"/>
        <v>서산</v>
      </c>
      <c r="K1225" s="37" t="str">
        <f t="shared" si="103"/>
        <v>A079650</v>
      </c>
    </row>
    <row r="1226" spans="1:11" x14ac:dyDescent="0.4">
      <c r="A1226" s="49"/>
      <c r="B1226" s="54" t="s">
        <v>2874</v>
      </c>
      <c r="C1226" s="37" t="s">
        <v>5180</v>
      </c>
      <c r="D1226" s="55" t="s">
        <v>820</v>
      </c>
      <c r="E1226" s="58">
        <v>105.38</v>
      </c>
      <c r="F1226" s="57">
        <v>0.66</v>
      </c>
      <c r="G1226" s="57"/>
      <c r="H1226" s="49"/>
      <c r="I1226" s="49" t="str">
        <f t="shared" si="106"/>
        <v/>
      </c>
      <c r="J1226" s="37" t="str">
        <f t="shared" si="102"/>
        <v>APS이노베이션</v>
      </c>
      <c r="K1226" s="37" t="str">
        <f t="shared" si="103"/>
        <v>A079810</v>
      </c>
    </row>
    <row r="1227" spans="1:11" x14ac:dyDescent="0.4">
      <c r="A1227" s="49"/>
      <c r="B1227" s="54" t="s">
        <v>2875</v>
      </c>
      <c r="C1227" s="37" t="s">
        <v>2876</v>
      </c>
      <c r="D1227" s="55" t="s">
        <v>805</v>
      </c>
      <c r="E1227" s="58">
        <v>874.09</v>
      </c>
      <c r="F1227" s="57">
        <v>8.61</v>
      </c>
      <c r="G1227" s="57"/>
      <c r="H1227" s="49"/>
      <c r="I1227" s="49" t="str">
        <f t="shared" si="106"/>
        <v/>
      </c>
      <c r="J1227" s="37" t="str">
        <f t="shared" si="102"/>
        <v>전진건설로봇</v>
      </c>
      <c r="K1227" s="37" t="str">
        <f t="shared" si="103"/>
        <v>A079900</v>
      </c>
    </row>
    <row r="1228" spans="1:11" x14ac:dyDescent="0.4">
      <c r="B1228" s="54" t="s">
        <v>2877</v>
      </c>
      <c r="C1228" s="37" t="s">
        <v>2878</v>
      </c>
      <c r="D1228" s="55" t="s">
        <v>820</v>
      </c>
      <c r="E1228" s="56">
        <v>428.12</v>
      </c>
      <c r="F1228" s="55">
        <v>1.72</v>
      </c>
      <c r="G1228" s="55"/>
      <c r="J1228" s="37" t="str">
        <f t="shared" si="102"/>
        <v>가비아</v>
      </c>
      <c r="K1228" s="37" t="str">
        <f t="shared" si="103"/>
        <v>A079940</v>
      </c>
    </row>
    <row r="1229" spans="1:11" x14ac:dyDescent="0.4">
      <c r="A1229" s="49"/>
      <c r="B1229" s="54" t="s">
        <v>2879</v>
      </c>
      <c r="C1229" s="37" t="s">
        <v>2880</v>
      </c>
      <c r="D1229" s="55" t="s">
        <v>820</v>
      </c>
      <c r="E1229" s="56">
        <v>19.829999999999998</v>
      </c>
      <c r="F1229" s="55">
        <v>1.66</v>
      </c>
      <c r="G1229" s="55"/>
      <c r="I1229" s="49" t="str">
        <f t="shared" ref="I1229:I1241" si="107">IF((G1229&gt;$G$8),E1229+ROW()/100000,"")</f>
        <v/>
      </c>
      <c r="J1229" s="37" t="str">
        <f t="shared" si="102"/>
        <v>인베니아</v>
      </c>
      <c r="K1229" s="37" t="str">
        <f t="shared" si="103"/>
        <v>A079950</v>
      </c>
    </row>
    <row r="1230" spans="1:11" x14ac:dyDescent="0.4">
      <c r="A1230" s="49"/>
      <c r="B1230" s="54" t="s">
        <v>2881</v>
      </c>
      <c r="C1230" s="37" t="s">
        <v>2882</v>
      </c>
      <c r="D1230" s="55" t="s">
        <v>820</v>
      </c>
      <c r="E1230" s="58">
        <v>259.38</v>
      </c>
      <c r="F1230" s="57">
        <v>1.07</v>
      </c>
      <c r="G1230" s="57">
        <v>1</v>
      </c>
      <c r="H1230" s="49"/>
      <c r="I1230" s="49">
        <f t="shared" si="107"/>
        <v>259.39229999999998</v>
      </c>
      <c r="J1230" s="37" t="str">
        <f t="shared" ref="J1230:J1293" si="108">C1230</f>
        <v>동양이엔피</v>
      </c>
      <c r="K1230" s="37" t="str">
        <f t="shared" ref="K1230:K1293" si="109">B1230</f>
        <v>A079960</v>
      </c>
    </row>
    <row r="1231" spans="1:11" x14ac:dyDescent="0.4">
      <c r="A1231" s="49"/>
      <c r="B1231" s="54" t="s">
        <v>2883</v>
      </c>
      <c r="C1231" s="37" t="s">
        <v>2884</v>
      </c>
      <c r="D1231" s="55" t="s">
        <v>820</v>
      </c>
      <c r="E1231" s="58">
        <v>7.65</v>
      </c>
      <c r="F1231" s="57">
        <v>0</v>
      </c>
      <c r="G1231" s="57"/>
      <c r="H1231" s="49"/>
      <c r="I1231" s="49" t="str">
        <f t="shared" si="107"/>
        <v/>
      </c>
      <c r="J1231" s="37" t="str">
        <f t="shared" si="108"/>
        <v>투비소프트</v>
      </c>
      <c r="K1231" s="37" t="str">
        <f t="shared" si="109"/>
        <v>A079970</v>
      </c>
    </row>
    <row r="1232" spans="1:11" x14ac:dyDescent="0.4">
      <c r="A1232" s="49"/>
      <c r="B1232" s="54" t="s">
        <v>2885</v>
      </c>
      <c r="C1232" s="37" t="s">
        <v>2886</v>
      </c>
      <c r="D1232" s="55" t="s">
        <v>805</v>
      </c>
      <c r="E1232" s="58">
        <v>96.43</v>
      </c>
      <c r="F1232" s="57">
        <v>0.25</v>
      </c>
      <c r="G1232" s="57"/>
      <c r="H1232" s="49"/>
      <c r="I1232" s="49" t="str">
        <f t="shared" si="107"/>
        <v/>
      </c>
      <c r="J1232" s="37" t="str">
        <f t="shared" si="108"/>
        <v>휴비스</v>
      </c>
      <c r="K1232" s="37" t="str">
        <f t="shared" si="109"/>
        <v>A079980</v>
      </c>
    </row>
    <row r="1233" spans="1:11" x14ac:dyDescent="0.4">
      <c r="A1233" s="49"/>
      <c r="B1233" s="54" t="s">
        <v>2887</v>
      </c>
      <c r="C1233" s="37" t="s">
        <v>2888</v>
      </c>
      <c r="D1233" s="55" t="s">
        <v>820</v>
      </c>
      <c r="E1233" s="58">
        <v>74.75</v>
      </c>
      <c r="F1233" s="57">
        <v>0.1</v>
      </c>
      <c r="G1233" s="57"/>
      <c r="H1233" s="49"/>
      <c r="I1233" s="49" t="str">
        <f t="shared" si="107"/>
        <v/>
      </c>
      <c r="J1233" s="37" t="str">
        <f t="shared" si="108"/>
        <v>이상네트웍스</v>
      </c>
      <c r="K1233" s="37" t="str">
        <f t="shared" si="109"/>
        <v>A080010</v>
      </c>
    </row>
    <row r="1234" spans="1:11" x14ac:dyDescent="0.4">
      <c r="A1234" s="49"/>
      <c r="B1234" s="54" t="s">
        <v>2889</v>
      </c>
      <c r="C1234" s="37" t="s">
        <v>2890</v>
      </c>
      <c r="D1234" s="55" t="s">
        <v>820</v>
      </c>
      <c r="E1234" s="58">
        <v>237.95</v>
      </c>
      <c r="F1234" s="57">
        <v>3.1</v>
      </c>
      <c r="G1234" s="57">
        <v>1</v>
      </c>
      <c r="H1234" s="49"/>
      <c r="I1234" s="49">
        <f t="shared" si="107"/>
        <v>237.96233999999998</v>
      </c>
      <c r="J1234" s="37" t="str">
        <f t="shared" si="108"/>
        <v>모두투어</v>
      </c>
      <c r="K1234" s="37" t="str">
        <f t="shared" si="109"/>
        <v>A080160</v>
      </c>
    </row>
    <row r="1235" spans="1:11" x14ac:dyDescent="0.4">
      <c r="A1235" s="49"/>
      <c r="B1235" s="54" t="s">
        <v>761</v>
      </c>
      <c r="C1235" s="37" t="s">
        <v>762</v>
      </c>
      <c r="D1235" s="55" t="s">
        <v>820</v>
      </c>
      <c r="E1235" s="58">
        <v>1753.14</v>
      </c>
      <c r="F1235" s="57">
        <v>85.65</v>
      </c>
      <c r="G1235" s="57"/>
      <c r="H1235" s="49"/>
      <c r="I1235" s="49" t="str">
        <f t="shared" si="107"/>
        <v/>
      </c>
      <c r="J1235" s="37" t="str">
        <f t="shared" si="108"/>
        <v>제주반도체</v>
      </c>
      <c r="K1235" s="37" t="str">
        <f t="shared" si="109"/>
        <v>A080220</v>
      </c>
    </row>
    <row r="1236" spans="1:11" x14ac:dyDescent="0.4">
      <c r="A1236" s="49"/>
      <c r="B1236" s="54" t="s">
        <v>2891</v>
      </c>
      <c r="C1236" s="37" t="s">
        <v>2892</v>
      </c>
      <c r="D1236" s="55" t="s">
        <v>820</v>
      </c>
      <c r="E1236" s="58">
        <v>160.24</v>
      </c>
      <c r="F1236" s="57">
        <v>0.12</v>
      </c>
      <c r="G1236" s="57"/>
      <c r="H1236" s="49"/>
      <c r="I1236" s="49" t="str">
        <f t="shared" si="107"/>
        <v/>
      </c>
      <c r="J1236" s="37" t="str">
        <f t="shared" si="108"/>
        <v>모다이노칩</v>
      </c>
      <c r="K1236" s="37" t="str">
        <f t="shared" si="109"/>
        <v>A080420</v>
      </c>
    </row>
    <row r="1237" spans="1:11" x14ac:dyDescent="0.4">
      <c r="A1237" s="49"/>
      <c r="B1237" s="54" t="s">
        <v>2893</v>
      </c>
      <c r="C1237" s="37" t="s">
        <v>2894</v>
      </c>
      <c r="D1237" s="55" t="s">
        <v>820</v>
      </c>
      <c r="E1237" s="58">
        <v>32.340000000000003</v>
      </c>
      <c r="F1237" s="57">
        <v>0.13</v>
      </c>
      <c r="G1237" s="57"/>
      <c r="H1237" s="49"/>
      <c r="I1237" s="49" t="str">
        <f t="shared" si="107"/>
        <v/>
      </c>
      <c r="J1237" s="37" t="str">
        <f t="shared" si="108"/>
        <v>성창오토텍</v>
      </c>
      <c r="K1237" s="37" t="str">
        <f t="shared" si="109"/>
        <v>A080470</v>
      </c>
    </row>
    <row r="1238" spans="1:11" x14ac:dyDescent="0.4">
      <c r="A1238" s="49"/>
      <c r="B1238" s="54" t="s">
        <v>2895</v>
      </c>
      <c r="C1238" s="37" t="s">
        <v>2896</v>
      </c>
      <c r="D1238" s="55" t="s">
        <v>820</v>
      </c>
      <c r="E1238" s="58">
        <v>36.340000000000003</v>
      </c>
      <c r="F1238" s="57">
        <v>0.08</v>
      </c>
      <c r="G1238" s="57"/>
      <c r="H1238" s="49"/>
      <c r="I1238" s="49" t="str">
        <f t="shared" si="107"/>
        <v/>
      </c>
      <c r="J1238" s="37" t="str">
        <f t="shared" si="108"/>
        <v>오디텍</v>
      </c>
      <c r="K1238" s="37" t="str">
        <f t="shared" si="109"/>
        <v>A080520</v>
      </c>
    </row>
    <row r="1239" spans="1:11" x14ac:dyDescent="0.4">
      <c r="A1239" s="49"/>
      <c r="B1239" s="54" t="s">
        <v>2897</v>
      </c>
      <c r="C1239" s="37" t="s">
        <v>2898</v>
      </c>
      <c r="D1239" s="55" t="s">
        <v>820</v>
      </c>
      <c r="E1239" s="58">
        <v>54.18</v>
      </c>
      <c r="F1239" s="57">
        <v>0.12</v>
      </c>
      <c r="G1239" s="57"/>
      <c r="H1239" s="49"/>
      <c r="I1239" s="49" t="str">
        <f t="shared" si="107"/>
        <v/>
      </c>
      <c r="J1239" s="37" t="str">
        <f t="shared" si="108"/>
        <v>코디</v>
      </c>
      <c r="K1239" s="37" t="str">
        <f t="shared" si="109"/>
        <v>A080530</v>
      </c>
    </row>
    <row r="1240" spans="1:11" x14ac:dyDescent="0.4">
      <c r="A1240" s="49"/>
      <c r="B1240" s="54" t="s">
        <v>717</v>
      </c>
      <c r="C1240" s="37" t="s">
        <v>718</v>
      </c>
      <c r="D1240" s="55" t="s">
        <v>820</v>
      </c>
      <c r="E1240" s="58">
        <v>328.27</v>
      </c>
      <c r="F1240" s="57">
        <v>7.29</v>
      </c>
      <c r="G1240" s="57"/>
      <c r="H1240" s="49"/>
      <c r="I1240" s="49" t="str">
        <f t="shared" si="107"/>
        <v/>
      </c>
      <c r="J1240" s="37" t="str">
        <f t="shared" si="108"/>
        <v>오킨스전자</v>
      </c>
      <c r="K1240" s="37" t="str">
        <f t="shared" si="109"/>
        <v>A080580</v>
      </c>
    </row>
    <row r="1241" spans="1:11" x14ac:dyDescent="0.4">
      <c r="A1241" s="49"/>
      <c r="B1241" s="54" t="s">
        <v>2899</v>
      </c>
      <c r="C1241" s="37" t="s">
        <v>2900</v>
      </c>
      <c r="D1241" s="55" t="s">
        <v>820</v>
      </c>
      <c r="E1241" s="58">
        <v>21.56</v>
      </c>
      <c r="F1241" s="57">
        <v>0</v>
      </c>
      <c r="G1241" s="57"/>
      <c r="H1241" s="49"/>
      <c r="I1241" s="49" t="str">
        <f t="shared" si="107"/>
        <v/>
      </c>
      <c r="J1241" s="37" t="str">
        <f t="shared" si="108"/>
        <v>한국유니온제약</v>
      </c>
      <c r="K1241" s="37" t="str">
        <f t="shared" si="109"/>
        <v>A080720</v>
      </c>
    </row>
    <row r="1242" spans="1:11" x14ac:dyDescent="0.4">
      <c r="B1242" s="54" t="s">
        <v>2901</v>
      </c>
      <c r="C1242" s="37" t="s">
        <v>2902</v>
      </c>
      <c r="D1242" s="55" t="s">
        <v>805</v>
      </c>
      <c r="E1242" s="56">
        <v>222.28</v>
      </c>
      <c r="F1242" s="55">
        <v>1.86</v>
      </c>
      <c r="G1242" s="55"/>
      <c r="J1242" s="37" t="str">
        <f t="shared" si="108"/>
        <v>일진다이아</v>
      </c>
      <c r="K1242" s="37" t="str">
        <f t="shared" si="109"/>
        <v>A081000</v>
      </c>
    </row>
    <row r="1243" spans="1:11" x14ac:dyDescent="0.4">
      <c r="A1243" s="49"/>
      <c r="B1243" s="54" t="s">
        <v>2903</v>
      </c>
      <c r="C1243" s="37" t="s">
        <v>2904</v>
      </c>
      <c r="D1243" s="55" t="s">
        <v>820</v>
      </c>
      <c r="E1243" s="58">
        <v>73.05</v>
      </c>
      <c r="F1243" s="57">
        <v>0.8</v>
      </c>
      <c r="G1243" s="57"/>
      <c r="H1243" s="49"/>
      <c r="I1243" s="49" t="str">
        <f t="shared" ref="I1243:I1251" si="110">IF((G1243&gt;$G$8),E1243+ROW()/100000,"")</f>
        <v/>
      </c>
      <c r="J1243" s="37" t="str">
        <f t="shared" si="108"/>
        <v>티플랙스</v>
      </c>
      <c r="K1243" s="37" t="str">
        <f t="shared" si="109"/>
        <v>A081150</v>
      </c>
    </row>
    <row r="1244" spans="1:11" x14ac:dyDescent="0.4">
      <c r="A1244" s="49"/>
      <c r="B1244" s="54" t="s">
        <v>2905</v>
      </c>
      <c r="C1244" s="37" t="s">
        <v>2906</v>
      </c>
      <c r="D1244" s="55" t="s">
        <v>820</v>
      </c>
      <c r="E1244" s="58">
        <v>118</v>
      </c>
      <c r="F1244" s="57">
        <v>12.23</v>
      </c>
      <c r="G1244" s="57"/>
      <c r="H1244" s="49"/>
      <c r="I1244" s="49" t="str">
        <f t="shared" si="110"/>
        <v/>
      </c>
      <c r="J1244" s="37" t="str">
        <f t="shared" si="108"/>
        <v>쎄크</v>
      </c>
      <c r="K1244" s="37" t="str">
        <f t="shared" si="109"/>
        <v>A081180</v>
      </c>
    </row>
    <row r="1245" spans="1:11" x14ac:dyDescent="0.4">
      <c r="A1245" s="49"/>
      <c r="B1245" s="54" t="s">
        <v>2907</v>
      </c>
      <c r="C1245" s="37" t="s">
        <v>2908</v>
      </c>
      <c r="D1245" s="55" t="s">
        <v>820</v>
      </c>
      <c r="E1245" s="58">
        <v>47.14</v>
      </c>
      <c r="F1245" s="57">
        <v>0.67</v>
      </c>
      <c r="G1245" s="57"/>
      <c r="H1245" s="49"/>
      <c r="I1245" s="49" t="str">
        <f t="shared" si="110"/>
        <v/>
      </c>
      <c r="J1245" s="37" t="str">
        <f t="shared" si="108"/>
        <v>성우전자</v>
      </c>
      <c r="K1245" s="37" t="str">
        <f t="shared" si="109"/>
        <v>A081580</v>
      </c>
    </row>
    <row r="1246" spans="1:11" x14ac:dyDescent="0.4">
      <c r="A1246" s="49"/>
      <c r="B1246" s="54" t="s">
        <v>639</v>
      </c>
      <c r="C1246" s="37" t="s">
        <v>640</v>
      </c>
      <c r="D1246" s="55" t="s">
        <v>805</v>
      </c>
      <c r="E1246" s="58">
        <v>2601.5</v>
      </c>
      <c r="F1246" s="57">
        <v>5.03</v>
      </c>
      <c r="G1246" s="57">
        <v>5</v>
      </c>
      <c r="H1246" s="49"/>
      <c r="I1246" s="49">
        <f t="shared" si="110"/>
        <v>2601.5124599999999</v>
      </c>
      <c r="J1246" s="37" t="str">
        <f t="shared" si="108"/>
        <v>미스토홀딩스</v>
      </c>
      <c r="K1246" s="37" t="str">
        <f t="shared" si="109"/>
        <v>A081660</v>
      </c>
    </row>
    <row r="1247" spans="1:11" x14ac:dyDescent="0.4">
      <c r="A1247" s="49"/>
      <c r="B1247" s="54" t="s">
        <v>2909</v>
      </c>
      <c r="C1247" s="37" t="s">
        <v>2910</v>
      </c>
      <c r="D1247" s="55" t="s">
        <v>820</v>
      </c>
      <c r="E1247" s="56">
        <v>76.84</v>
      </c>
      <c r="F1247" s="55">
        <v>0.34</v>
      </c>
      <c r="G1247" s="55"/>
      <c r="I1247" s="49" t="str">
        <f t="shared" si="110"/>
        <v/>
      </c>
      <c r="J1247" s="37" t="str">
        <f t="shared" si="108"/>
        <v>옵트론텍</v>
      </c>
      <c r="K1247" s="37" t="str">
        <f t="shared" si="109"/>
        <v>A082210</v>
      </c>
    </row>
    <row r="1248" spans="1:11" x14ac:dyDescent="0.4">
      <c r="A1248" s="49"/>
      <c r="B1248" s="54" t="s">
        <v>2911</v>
      </c>
      <c r="C1248" s="37" t="s">
        <v>2912</v>
      </c>
      <c r="D1248" s="55" t="s">
        <v>820</v>
      </c>
      <c r="E1248" s="58">
        <v>2008.17</v>
      </c>
      <c r="F1248" s="57">
        <v>15.62</v>
      </c>
      <c r="G1248" s="57"/>
      <c r="H1248" s="49"/>
      <c r="I1248" s="49" t="str">
        <f t="shared" si="110"/>
        <v/>
      </c>
      <c r="J1248" s="37" t="str">
        <f t="shared" si="108"/>
        <v>젬백스</v>
      </c>
      <c r="K1248" s="37" t="str">
        <f t="shared" si="109"/>
        <v>A082270</v>
      </c>
    </row>
    <row r="1249" spans="1:11" x14ac:dyDescent="0.4">
      <c r="A1249" s="49"/>
      <c r="B1249" s="54" t="s">
        <v>773</v>
      </c>
      <c r="C1249" s="37" t="s">
        <v>774</v>
      </c>
      <c r="D1249" s="55" t="s">
        <v>805</v>
      </c>
      <c r="E1249" s="58">
        <v>1223.0999999999999</v>
      </c>
      <c r="F1249" s="57">
        <v>2.82</v>
      </c>
      <c r="G1249" s="57"/>
      <c r="H1249" s="49"/>
      <c r="I1249" s="49" t="str">
        <f t="shared" si="110"/>
        <v/>
      </c>
      <c r="J1249" s="37" t="str">
        <f t="shared" si="108"/>
        <v>동양생명</v>
      </c>
      <c r="K1249" s="37" t="str">
        <f t="shared" si="109"/>
        <v>A082640</v>
      </c>
    </row>
    <row r="1250" spans="1:11" x14ac:dyDescent="0.4">
      <c r="A1250" s="49"/>
      <c r="B1250" s="54" t="s">
        <v>2913</v>
      </c>
      <c r="C1250" s="37" t="s">
        <v>2914</v>
      </c>
      <c r="D1250" s="55" t="s">
        <v>820</v>
      </c>
      <c r="E1250" s="58">
        <v>47.83</v>
      </c>
      <c r="F1250" s="57">
        <v>0</v>
      </c>
      <c r="G1250" s="57"/>
      <c r="H1250" s="49"/>
      <c r="I1250" s="49" t="str">
        <f t="shared" si="110"/>
        <v/>
      </c>
      <c r="J1250" s="37" t="str">
        <f t="shared" si="108"/>
        <v>코스나인</v>
      </c>
      <c r="K1250" s="37" t="str">
        <f t="shared" si="109"/>
        <v>A082660</v>
      </c>
    </row>
    <row r="1251" spans="1:11" x14ac:dyDescent="0.4">
      <c r="A1251" s="49"/>
      <c r="B1251" s="54" t="s">
        <v>366</v>
      </c>
      <c r="C1251" s="37" t="s">
        <v>367</v>
      </c>
      <c r="D1251" s="55" t="s">
        <v>805</v>
      </c>
      <c r="E1251" s="58">
        <v>4506.1499999999996</v>
      </c>
      <c r="F1251" s="57">
        <v>67.239999999999995</v>
      </c>
      <c r="G1251" s="57">
        <v>6</v>
      </c>
      <c r="H1251" s="49"/>
      <c r="I1251" s="49">
        <f t="shared" si="110"/>
        <v>4506.1625099999992</v>
      </c>
      <c r="J1251" s="37" t="str">
        <f t="shared" si="108"/>
        <v>한화엔진</v>
      </c>
      <c r="K1251" s="37" t="str">
        <f t="shared" si="109"/>
        <v>A082740</v>
      </c>
    </row>
    <row r="1252" spans="1:11" x14ac:dyDescent="0.4">
      <c r="B1252" s="54" t="s">
        <v>2915</v>
      </c>
      <c r="C1252" s="37" t="s">
        <v>2916</v>
      </c>
      <c r="D1252" s="55" t="s">
        <v>820</v>
      </c>
      <c r="E1252" s="56">
        <v>209.44</v>
      </c>
      <c r="F1252" s="55">
        <v>3.11</v>
      </c>
      <c r="G1252" s="55"/>
      <c r="J1252" s="37" t="str">
        <f t="shared" si="108"/>
        <v>비보존 제약</v>
      </c>
      <c r="K1252" s="37" t="str">
        <f t="shared" si="109"/>
        <v>A082800</v>
      </c>
    </row>
    <row r="1253" spans="1:11" x14ac:dyDescent="0.4">
      <c r="B1253" s="54" t="s">
        <v>2917</v>
      </c>
      <c r="C1253" s="37" t="s">
        <v>2918</v>
      </c>
      <c r="D1253" s="55" t="s">
        <v>820</v>
      </c>
      <c r="E1253" s="57">
        <v>89.06</v>
      </c>
      <c r="F1253" s="56">
        <v>2.42</v>
      </c>
      <c r="G1253" s="55"/>
      <c r="J1253" s="37" t="str">
        <f t="shared" si="108"/>
        <v>우리바이오</v>
      </c>
      <c r="K1253" s="37" t="str">
        <f t="shared" si="109"/>
        <v>A082850</v>
      </c>
    </row>
    <row r="1254" spans="1:11" x14ac:dyDescent="0.4">
      <c r="A1254" s="49"/>
      <c r="B1254" s="54" t="s">
        <v>2919</v>
      </c>
      <c r="C1254" s="37" t="s">
        <v>2920</v>
      </c>
      <c r="D1254" s="55" t="s">
        <v>820</v>
      </c>
      <c r="E1254" s="58">
        <v>958.93</v>
      </c>
      <c r="F1254" s="57">
        <v>4.97</v>
      </c>
      <c r="G1254" s="57">
        <v>4</v>
      </c>
      <c r="H1254" s="49"/>
      <c r="I1254" s="49">
        <f t="shared" ref="I1254:I1262" si="111">IF((G1254&gt;$G$8),E1254+ROW()/100000,"")</f>
        <v>958.94253999999989</v>
      </c>
      <c r="J1254" s="37" t="str">
        <f t="shared" si="108"/>
        <v>비츠로셀</v>
      </c>
      <c r="K1254" s="37" t="str">
        <f t="shared" si="109"/>
        <v>A082920</v>
      </c>
    </row>
    <row r="1255" spans="1:11" x14ac:dyDescent="0.4">
      <c r="A1255" s="49"/>
      <c r="B1255" s="54" t="s">
        <v>2921</v>
      </c>
      <c r="C1255" s="37" t="s">
        <v>2922</v>
      </c>
      <c r="D1255" s="55" t="s">
        <v>820</v>
      </c>
      <c r="E1255" s="58">
        <v>246.49</v>
      </c>
      <c r="F1255" s="57">
        <v>2.2200000000000002</v>
      </c>
      <c r="G1255" s="57"/>
      <c r="H1255" s="49"/>
      <c r="I1255" s="49" t="str">
        <f t="shared" si="111"/>
        <v/>
      </c>
      <c r="J1255" s="37" t="str">
        <f t="shared" si="108"/>
        <v>엘오티베큠</v>
      </c>
      <c r="K1255" s="37" t="str">
        <f t="shared" si="109"/>
        <v>A083310</v>
      </c>
    </row>
    <row r="1256" spans="1:11" x14ac:dyDescent="0.4">
      <c r="A1256" s="49"/>
      <c r="B1256" s="54" t="s">
        <v>2923</v>
      </c>
      <c r="C1256" s="37" t="s">
        <v>2924</v>
      </c>
      <c r="D1256" s="55" t="s">
        <v>805</v>
      </c>
      <c r="E1256" s="58">
        <v>144.72</v>
      </c>
      <c r="F1256" s="57">
        <v>0.42</v>
      </c>
      <c r="G1256" s="57"/>
      <c r="H1256" s="49"/>
      <c r="I1256" s="49" t="str">
        <f t="shared" si="111"/>
        <v/>
      </c>
      <c r="J1256" s="37" t="str">
        <f t="shared" si="108"/>
        <v>그린케미칼</v>
      </c>
      <c r="K1256" s="37" t="str">
        <f t="shared" si="109"/>
        <v>A083420</v>
      </c>
    </row>
    <row r="1257" spans="1:11" x14ac:dyDescent="0.4">
      <c r="A1257" s="49"/>
      <c r="B1257" s="54" t="s">
        <v>575</v>
      </c>
      <c r="C1257" s="37" t="s">
        <v>576</v>
      </c>
      <c r="D1257" s="55" t="s">
        <v>820</v>
      </c>
      <c r="E1257" s="58">
        <v>585.15</v>
      </c>
      <c r="F1257" s="57">
        <v>10.65</v>
      </c>
      <c r="G1257" s="57"/>
      <c r="H1257" s="49"/>
      <c r="I1257" s="49" t="str">
        <f t="shared" si="111"/>
        <v/>
      </c>
      <c r="J1257" s="37" t="str">
        <f t="shared" si="108"/>
        <v>GST</v>
      </c>
      <c r="K1257" s="37" t="str">
        <f t="shared" si="109"/>
        <v>A083450</v>
      </c>
    </row>
    <row r="1258" spans="1:11" x14ac:dyDescent="0.4">
      <c r="A1258" s="49"/>
      <c r="B1258" s="54" t="s">
        <v>2925</v>
      </c>
      <c r="C1258" s="37" t="s">
        <v>2926</v>
      </c>
      <c r="D1258" s="55" t="s">
        <v>820</v>
      </c>
      <c r="E1258" s="58">
        <v>17.09</v>
      </c>
      <c r="F1258" s="57">
        <v>0.7</v>
      </c>
      <c r="G1258" s="57"/>
      <c r="H1258" s="49"/>
      <c r="I1258" s="49" t="str">
        <f t="shared" si="111"/>
        <v/>
      </c>
      <c r="J1258" s="37" t="str">
        <f t="shared" si="108"/>
        <v>이엠앤아이</v>
      </c>
      <c r="K1258" s="37" t="str">
        <f t="shared" si="109"/>
        <v>A083470</v>
      </c>
    </row>
    <row r="1259" spans="1:11" x14ac:dyDescent="0.4">
      <c r="A1259" s="49"/>
      <c r="B1259" s="54" t="s">
        <v>2927</v>
      </c>
      <c r="C1259" s="37" t="s">
        <v>2928</v>
      </c>
      <c r="D1259" s="55" t="s">
        <v>820</v>
      </c>
      <c r="E1259" s="58">
        <v>142.87</v>
      </c>
      <c r="F1259" s="57">
        <v>3.25</v>
      </c>
      <c r="G1259" s="57"/>
      <c r="H1259" s="49"/>
      <c r="I1259" s="49" t="str">
        <f t="shared" si="111"/>
        <v/>
      </c>
      <c r="J1259" s="37" t="str">
        <f t="shared" si="108"/>
        <v>에프엔에스테크</v>
      </c>
      <c r="K1259" s="37" t="str">
        <f t="shared" si="109"/>
        <v>A083500</v>
      </c>
    </row>
    <row r="1260" spans="1:11" x14ac:dyDescent="0.4">
      <c r="A1260" s="49"/>
      <c r="B1260" s="54" t="s">
        <v>2929</v>
      </c>
      <c r="C1260" s="37" t="s">
        <v>2930</v>
      </c>
      <c r="D1260" s="55" t="s">
        <v>820</v>
      </c>
      <c r="E1260" s="58">
        <v>50.83</v>
      </c>
      <c r="F1260" s="57">
        <v>0.17</v>
      </c>
      <c r="G1260" s="57"/>
      <c r="H1260" s="49"/>
      <c r="I1260" s="49" t="str">
        <f t="shared" si="111"/>
        <v/>
      </c>
      <c r="J1260" s="37" t="str">
        <f t="shared" si="108"/>
        <v>케이엠</v>
      </c>
      <c r="K1260" s="37" t="str">
        <f t="shared" si="109"/>
        <v>A083550</v>
      </c>
    </row>
    <row r="1261" spans="1:11" x14ac:dyDescent="0.4">
      <c r="A1261" s="49"/>
      <c r="B1261" s="54" t="s">
        <v>2931</v>
      </c>
      <c r="C1261" s="37" t="s">
        <v>2932</v>
      </c>
      <c r="D1261" s="55" t="s">
        <v>820</v>
      </c>
      <c r="E1261" s="58">
        <v>36.369999999999997</v>
      </c>
      <c r="F1261" s="57">
        <v>2.08</v>
      </c>
      <c r="G1261" s="57"/>
      <c r="H1261" s="49"/>
      <c r="I1261" s="49" t="str">
        <f t="shared" si="111"/>
        <v/>
      </c>
      <c r="J1261" s="37" t="str">
        <f t="shared" si="108"/>
        <v>인콘</v>
      </c>
      <c r="K1261" s="37" t="str">
        <f t="shared" si="109"/>
        <v>A083640</v>
      </c>
    </row>
    <row r="1262" spans="1:11" x14ac:dyDescent="0.4">
      <c r="A1262" s="49"/>
      <c r="B1262" s="54" t="s">
        <v>27</v>
      </c>
      <c r="C1262" s="37" t="s">
        <v>28</v>
      </c>
      <c r="D1262" s="55" t="s">
        <v>820</v>
      </c>
      <c r="E1262" s="58">
        <v>2893.3</v>
      </c>
      <c r="F1262" s="57">
        <v>68.92</v>
      </c>
      <c r="G1262" s="57">
        <v>4</v>
      </c>
      <c r="H1262" s="49"/>
      <c r="I1262" s="49">
        <f t="shared" si="111"/>
        <v>2893.3126200000002</v>
      </c>
      <c r="J1262" s="37" t="str">
        <f t="shared" si="108"/>
        <v>비에이치아이</v>
      </c>
      <c r="K1262" s="37" t="str">
        <f t="shared" si="109"/>
        <v>A083650</v>
      </c>
    </row>
    <row r="1263" spans="1:11" x14ac:dyDescent="0.4">
      <c r="B1263" s="54" t="s">
        <v>2933</v>
      </c>
      <c r="C1263" s="37" t="s">
        <v>2934</v>
      </c>
      <c r="D1263" s="55" t="s">
        <v>820</v>
      </c>
      <c r="E1263" s="56">
        <v>17.66</v>
      </c>
      <c r="F1263" s="55">
        <v>1.27</v>
      </c>
      <c r="G1263" s="55"/>
      <c r="J1263" s="37" t="str">
        <f t="shared" si="108"/>
        <v>CSA 코스믹</v>
      </c>
      <c r="K1263" s="37" t="str">
        <f t="shared" si="109"/>
        <v>A083660</v>
      </c>
    </row>
    <row r="1264" spans="1:11" x14ac:dyDescent="0.4">
      <c r="A1264" s="49"/>
      <c r="B1264" s="54" t="s">
        <v>2935</v>
      </c>
      <c r="C1264" s="37" t="s">
        <v>2936</v>
      </c>
      <c r="D1264" s="55" t="s">
        <v>820</v>
      </c>
      <c r="E1264" s="58">
        <v>111.65</v>
      </c>
      <c r="F1264" s="57">
        <v>0.33</v>
      </c>
      <c r="G1264" s="57"/>
      <c r="H1264" s="49"/>
      <c r="I1264" s="49" t="str">
        <f>IF((G1264&gt;$G$8),E1264+ROW()/100000,"")</f>
        <v/>
      </c>
      <c r="J1264" s="37" t="str">
        <f t="shared" si="108"/>
        <v>CG인바이츠</v>
      </c>
      <c r="K1264" s="37" t="str">
        <f t="shared" si="109"/>
        <v>A083790</v>
      </c>
    </row>
    <row r="1265" spans="1:11" x14ac:dyDescent="0.4">
      <c r="A1265" s="49"/>
      <c r="B1265" s="54" t="s">
        <v>2937</v>
      </c>
      <c r="C1265" s="37" t="s">
        <v>2938</v>
      </c>
      <c r="D1265" s="55" t="s">
        <v>820</v>
      </c>
      <c r="E1265" s="56">
        <v>220.75</v>
      </c>
      <c r="F1265" s="56">
        <v>1.47</v>
      </c>
      <c r="G1265" s="55"/>
      <c r="I1265" s="49" t="str">
        <f>IF((G1265&gt;$G$8),E1265+ROW()/100000,"")</f>
        <v/>
      </c>
      <c r="J1265" s="37" t="str">
        <f t="shared" si="108"/>
        <v>아바코</v>
      </c>
      <c r="K1265" s="37" t="str">
        <f t="shared" si="109"/>
        <v>A083930</v>
      </c>
    </row>
    <row r="1266" spans="1:11" x14ac:dyDescent="0.4">
      <c r="A1266" s="49"/>
      <c r="B1266" s="54" t="s">
        <v>2939</v>
      </c>
      <c r="C1266" s="37" t="s">
        <v>2940</v>
      </c>
      <c r="D1266" s="55" t="s">
        <v>805</v>
      </c>
      <c r="E1266" s="56">
        <v>442.71</v>
      </c>
      <c r="F1266" s="55">
        <v>0.79</v>
      </c>
      <c r="G1266" s="55">
        <v>2</v>
      </c>
      <c r="I1266" s="49">
        <f>IF((G1266&gt;$G$8),E1266+ROW()/100000,"")</f>
        <v>442.72265999999996</v>
      </c>
      <c r="J1266" s="37" t="str">
        <f t="shared" si="108"/>
        <v>대한제강</v>
      </c>
      <c r="K1266" s="37" t="str">
        <f t="shared" si="109"/>
        <v>A084010</v>
      </c>
    </row>
    <row r="1267" spans="1:11" x14ac:dyDescent="0.4">
      <c r="A1267" s="49"/>
      <c r="B1267" s="54" t="s">
        <v>2941</v>
      </c>
      <c r="C1267" s="37" t="s">
        <v>2942</v>
      </c>
      <c r="D1267" s="55" t="s">
        <v>820</v>
      </c>
      <c r="E1267" s="56">
        <v>800.1</v>
      </c>
      <c r="F1267" s="55">
        <v>3.56</v>
      </c>
      <c r="G1267" s="55"/>
      <c r="I1267" s="49" t="str">
        <f>IF((G1267&gt;$G$8),E1267+ROW()/100000,"")</f>
        <v/>
      </c>
      <c r="J1267" s="37" t="str">
        <f t="shared" si="108"/>
        <v>휴온스글로벌</v>
      </c>
      <c r="K1267" s="37" t="str">
        <f t="shared" si="109"/>
        <v>A084110</v>
      </c>
    </row>
    <row r="1268" spans="1:11" x14ac:dyDescent="0.4">
      <c r="A1268" s="49"/>
      <c r="B1268" s="54" t="s">
        <v>2943</v>
      </c>
      <c r="C1268" s="37" t="s">
        <v>2944</v>
      </c>
      <c r="D1268" s="55" t="s">
        <v>820</v>
      </c>
      <c r="E1268" s="58">
        <v>31.81</v>
      </c>
      <c r="F1268" s="57">
        <v>0.43</v>
      </c>
      <c r="G1268" s="57"/>
      <c r="H1268" s="49"/>
      <c r="I1268" s="49" t="str">
        <f>IF((G1268&gt;$G$8),E1268+ROW()/100000,"")</f>
        <v/>
      </c>
      <c r="J1268" s="37" t="str">
        <f t="shared" si="108"/>
        <v>수성웹툰</v>
      </c>
      <c r="K1268" s="37" t="str">
        <f t="shared" si="109"/>
        <v>A084180</v>
      </c>
    </row>
    <row r="1269" spans="1:11" x14ac:dyDescent="0.4">
      <c r="B1269" s="54" t="s">
        <v>482</v>
      </c>
      <c r="C1269" s="37" t="s">
        <v>483</v>
      </c>
      <c r="D1269" s="55" t="s">
        <v>820</v>
      </c>
      <c r="E1269" s="56">
        <v>3070.75</v>
      </c>
      <c r="F1269" s="55">
        <v>26.11</v>
      </c>
      <c r="G1269" s="55"/>
      <c r="J1269" s="37" t="str">
        <f t="shared" si="108"/>
        <v>유진테크</v>
      </c>
      <c r="K1269" s="37" t="str">
        <f t="shared" si="109"/>
        <v>A084370</v>
      </c>
    </row>
    <row r="1270" spans="1:11" x14ac:dyDescent="0.4">
      <c r="A1270" s="49"/>
      <c r="B1270" s="54" t="s">
        <v>2945</v>
      </c>
      <c r="C1270" s="37" t="s">
        <v>2946</v>
      </c>
      <c r="D1270" s="55" t="s">
        <v>820</v>
      </c>
      <c r="E1270" s="58">
        <v>19.850000000000001</v>
      </c>
      <c r="F1270" s="57">
        <v>0.11</v>
      </c>
      <c r="G1270" s="57"/>
      <c r="H1270" s="49"/>
      <c r="I1270" s="49" t="str">
        <f t="shared" ref="I1270:I1284" si="112">IF((G1270&gt;$G$8),E1270+ROW()/100000,"")</f>
        <v/>
      </c>
      <c r="J1270" s="37" t="str">
        <f t="shared" si="108"/>
        <v>유비온</v>
      </c>
      <c r="K1270" s="37" t="str">
        <f t="shared" si="109"/>
        <v>A084440</v>
      </c>
    </row>
    <row r="1271" spans="1:11" x14ac:dyDescent="0.4">
      <c r="A1271" s="49"/>
      <c r="B1271" s="54" t="s">
        <v>2947</v>
      </c>
      <c r="C1271" s="37" t="s">
        <v>2948</v>
      </c>
      <c r="D1271" s="55" t="s">
        <v>820</v>
      </c>
      <c r="E1271" s="58">
        <v>114.48</v>
      </c>
      <c r="F1271" s="57">
        <v>1.66</v>
      </c>
      <c r="G1271" s="57"/>
      <c r="H1271" s="49"/>
      <c r="I1271" s="49" t="str">
        <f t="shared" si="112"/>
        <v/>
      </c>
      <c r="J1271" s="37" t="str">
        <f t="shared" si="108"/>
        <v>랩지노믹스</v>
      </c>
      <c r="K1271" s="37" t="str">
        <f t="shared" si="109"/>
        <v>A084650</v>
      </c>
    </row>
    <row r="1272" spans="1:11" x14ac:dyDescent="0.4">
      <c r="A1272" s="49"/>
      <c r="B1272" s="54" t="s">
        <v>2949</v>
      </c>
      <c r="C1272" s="37" t="s">
        <v>2950</v>
      </c>
      <c r="D1272" s="55" t="s">
        <v>805</v>
      </c>
      <c r="E1272" s="56">
        <v>144.63</v>
      </c>
      <c r="F1272" s="55">
        <v>24.71</v>
      </c>
      <c r="G1272" s="55"/>
      <c r="I1272" s="49" t="str">
        <f t="shared" si="112"/>
        <v/>
      </c>
      <c r="J1272" s="37" t="str">
        <f t="shared" si="108"/>
        <v>동양고속</v>
      </c>
      <c r="K1272" s="37" t="str">
        <f t="shared" si="109"/>
        <v>A084670</v>
      </c>
    </row>
    <row r="1273" spans="1:11" x14ac:dyDescent="0.4">
      <c r="A1273" s="49"/>
      <c r="B1273" s="54" t="s">
        <v>2951</v>
      </c>
      <c r="C1273" s="37" t="s">
        <v>2952</v>
      </c>
      <c r="D1273" s="55" t="s">
        <v>805</v>
      </c>
      <c r="E1273" s="58">
        <v>235.11</v>
      </c>
      <c r="F1273" s="57">
        <v>0.45</v>
      </c>
      <c r="G1273" s="57"/>
      <c r="H1273" s="49"/>
      <c r="I1273" s="49" t="str">
        <f t="shared" si="112"/>
        <v/>
      </c>
      <c r="J1273" s="37" t="str">
        <f t="shared" si="108"/>
        <v>이월드</v>
      </c>
      <c r="K1273" s="37" t="str">
        <f t="shared" si="109"/>
        <v>A084680</v>
      </c>
    </row>
    <row r="1274" spans="1:11" x14ac:dyDescent="0.4">
      <c r="A1274" s="49"/>
      <c r="B1274" s="54" t="s">
        <v>2953</v>
      </c>
      <c r="C1274" s="37" t="s">
        <v>2954</v>
      </c>
      <c r="D1274" s="55" t="s">
        <v>805</v>
      </c>
      <c r="E1274" s="58">
        <v>367.2</v>
      </c>
      <c r="F1274" s="57">
        <v>1.3</v>
      </c>
      <c r="G1274" s="57"/>
      <c r="H1274" s="49"/>
      <c r="I1274" s="49" t="str">
        <f t="shared" si="112"/>
        <v/>
      </c>
      <c r="J1274" s="37" t="str">
        <f t="shared" si="108"/>
        <v>대상홀딩스</v>
      </c>
      <c r="K1274" s="37" t="str">
        <f t="shared" si="109"/>
        <v>A084690</v>
      </c>
    </row>
    <row r="1275" spans="1:11" x14ac:dyDescent="0.4">
      <c r="A1275" s="49"/>
      <c r="B1275" s="54" t="s">
        <v>2955</v>
      </c>
      <c r="C1275" s="37" t="s">
        <v>2956</v>
      </c>
      <c r="D1275" s="55" t="s">
        <v>820</v>
      </c>
      <c r="E1275" s="58">
        <v>102.21</v>
      </c>
      <c r="F1275" s="57">
        <v>0.69</v>
      </c>
      <c r="G1275" s="57"/>
      <c r="H1275" s="49"/>
      <c r="I1275" s="49" t="str">
        <f t="shared" si="112"/>
        <v/>
      </c>
      <c r="J1275" s="37" t="str">
        <f t="shared" si="108"/>
        <v>팅크웨어</v>
      </c>
      <c r="K1275" s="37" t="str">
        <f t="shared" si="109"/>
        <v>A084730</v>
      </c>
    </row>
    <row r="1276" spans="1:11" x14ac:dyDescent="0.4">
      <c r="A1276" s="49"/>
      <c r="B1276" s="54" t="s">
        <v>2957</v>
      </c>
      <c r="C1276" s="37" t="s">
        <v>2958</v>
      </c>
      <c r="D1276" s="55" t="s">
        <v>820</v>
      </c>
      <c r="E1276" s="56">
        <v>231.37</v>
      </c>
      <c r="F1276" s="55">
        <v>0.5</v>
      </c>
      <c r="G1276" s="55"/>
      <c r="I1276" s="49" t="str">
        <f t="shared" si="112"/>
        <v/>
      </c>
      <c r="J1276" s="37" t="str">
        <f t="shared" si="108"/>
        <v>아이티엠반도체</v>
      </c>
      <c r="K1276" s="37" t="str">
        <f t="shared" si="109"/>
        <v>A084850</v>
      </c>
    </row>
    <row r="1277" spans="1:11" x14ac:dyDescent="0.4">
      <c r="A1277" s="49"/>
      <c r="B1277" s="54" t="s">
        <v>2959</v>
      </c>
      <c r="C1277" s="37" t="s">
        <v>2960</v>
      </c>
      <c r="D1277" s="55" t="s">
        <v>805</v>
      </c>
      <c r="E1277" s="58">
        <v>45.99</v>
      </c>
      <c r="F1277" s="57">
        <v>0.14000000000000001</v>
      </c>
      <c r="G1277" s="57"/>
      <c r="H1277" s="49"/>
      <c r="I1277" s="49" t="str">
        <f t="shared" si="112"/>
        <v/>
      </c>
      <c r="J1277" s="37" t="str">
        <f t="shared" si="108"/>
        <v>TBH글로벌</v>
      </c>
      <c r="K1277" s="37" t="str">
        <f t="shared" si="109"/>
        <v>A084870</v>
      </c>
    </row>
    <row r="1278" spans="1:11" x14ac:dyDescent="0.4">
      <c r="A1278" s="49"/>
      <c r="B1278" s="54" t="s">
        <v>2961</v>
      </c>
      <c r="C1278" s="37" t="s">
        <v>2962</v>
      </c>
      <c r="D1278" s="55" t="s">
        <v>820</v>
      </c>
      <c r="E1278" s="58">
        <v>295.45</v>
      </c>
      <c r="F1278" s="57">
        <v>3.54</v>
      </c>
      <c r="G1278" s="57"/>
      <c r="H1278" s="49"/>
      <c r="I1278" s="49" t="str">
        <f t="shared" si="112"/>
        <v/>
      </c>
      <c r="J1278" s="37" t="str">
        <f t="shared" si="108"/>
        <v>헬릭스미스</v>
      </c>
      <c r="K1278" s="37" t="str">
        <f t="shared" si="109"/>
        <v>A084990</v>
      </c>
    </row>
    <row r="1279" spans="1:11" x14ac:dyDescent="0.4">
      <c r="A1279" s="49"/>
      <c r="B1279" s="54" t="s">
        <v>2963</v>
      </c>
      <c r="C1279" s="37" t="s">
        <v>2964</v>
      </c>
      <c r="D1279" s="55" t="s">
        <v>805</v>
      </c>
      <c r="E1279" s="56">
        <v>78.88</v>
      </c>
      <c r="F1279" s="55">
        <v>8.67</v>
      </c>
      <c r="G1279" s="55"/>
      <c r="I1279" s="49" t="str">
        <f t="shared" si="112"/>
        <v/>
      </c>
      <c r="J1279" s="37" t="str">
        <f t="shared" si="108"/>
        <v>엔케이</v>
      </c>
      <c r="K1279" s="37" t="str">
        <f t="shared" si="109"/>
        <v>A085310</v>
      </c>
    </row>
    <row r="1280" spans="1:11" x14ac:dyDescent="0.4">
      <c r="A1280" s="49"/>
      <c r="B1280" s="54" t="s">
        <v>2965</v>
      </c>
      <c r="C1280" s="37" t="s">
        <v>2966</v>
      </c>
      <c r="D1280" s="55" t="s">
        <v>805</v>
      </c>
      <c r="E1280" s="56">
        <v>2357.86</v>
      </c>
      <c r="F1280" s="55">
        <v>3.19</v>
      </c>
      <c r="G1280" s="55">
        <v>1</v>
      </c>
      <c r="I1280" s="49">
        <f t="shared" si="112"/>
        <v>2357.8728000000001</v>
      </c>
      <c r="J1280" s="37" t="str">
        <f t="shared" si="108"/>
        <v>미래에셋생명</v>
      </c>
      <c r="K1280" s="37" t="str">
        <f t="shared" si="109"/>
        <v>A085620</v>
      </c>
    </row>
    <row r="1281" spans="1:11" x14ac:dyDescent="0.4">
      <c r="A1281" s="49"/>
      <c r="B1281" s="54" t="s">
        <v>713</v>
      </c>
      <c r="C1281" s="37" t="s">
        <v>714</v>
      </c>
      <c r="D1281" s="55" t="s">
        <v>820</v>
      </c>
      <c r="E1281" s="58">
        <v>2000.35</v>
      </c>
      <c r="F1281" s="57">
        <v>9.83</v>
      </c>
      <c r="G1281" s="57"/>
      <c r="H1281" s="49"/>
      <c r="I1281" s="49" t="str">
        <f t="shared" si="112"/>
        <v/>
      </c>
      <c r="J1281" s="37" t="str">
        <f t="shared" si="108"/>
        <v>차바이오텍</v>
      </c>
      <c r="K1281" s="37" t="str">
        <f t="shared" si="109"/>
        <v>A085660</v>
      </c>
    </row>
    <row r="1282" spans="1:11" x14ac:dyDescent="0.4">
      <c r="A1282" s="49"/>
      <c r="B1282" s="54" t="s">
        <v>2967</v>
      </c>
      <c r="C1282" s="37" t="s">
        <v>2968</v>
      </c>
      <c r="D1282" s="55" t="s">
        <v>820</v>
      </c>
      <c r="E1282" s="58">
        <v>140.84</v>
      </c>
      <c r="F1282" s="57">
        <v>2.16</v>
      </c>
      <c r="G1282" s="57"/>
      <c r="H1282" s="49"/>
      <c r="I1282" s="49" t="str">
        <f t="shared" si="112"/>
        <v/>
      </c>
      <c r="J1282" s="37" t="str">
        <f t="shared" si="108"/>
        <v>뉴프렉스</v>
      </c>
      <c r="K1282" s="37" t="str">
        <f t="shared" si="109"/>
        <v>A085670</v>
      </c>
    </row>
    <row r="1283" spans="1:11" x14ac:dyDescent="0.4">
      <c r="A1283" s="49"/>
      <c r="B1283" s="54" t="s">
        <v>2969</v>
      </c>
      <c r="C1283" s="37" t="s">
        <v>2970</v>
      </c>
      <c r="D1283" s="55" t="s">
        <v>820</v>
      </c>
      <c r="E1283" s="56">
        <v>38.68</v>
      </c>
      <c r="F1283" s="55">
        <v>0.24</v>
      </c>
      <c r="G1283" s="55"/>
      <c r="I1283" s="49" t="str">
        <f t="shared" si="112"/>
        <v/>
      </c>
      <c r="J1283" s="37" t="str">
        <f t="shared" si="108"/>
        <v>알티캐스트</v>
      </c>
      <c r="K1283" s="37" t="str">
        <f t="shared" si="109"/>
        <v>A085810</v>
      </c>
    </row>
    <row r="1284" spans="1:11" x14ac:dyDescent="0.4">
      <c r="A1284" s="49"/>
      <c r="B1284" s="54" t="s">
        <v>633</v>
      </c>
      <c r="C1284" s="37" t="s">
        <v>634</v>
      </c>
      <c r="D1284" s="55" t="s">
        <v>820</v>
      </c>
      <c r="E1284" s="58">
        <v>291.24</v>
      </c>
      <c r="F1284" s="57">
        <v>3.35</v>
      </c>
      <c r="G1284" s="57">
        <v>2</v>
      </c>
      <c r="H1284" s="49"/>
      <c r="I1284" s="49">
        <f t="shared" si="112"/>
        <v>291.25283999999999</v>
      </c>
      <c r="J1284" s="37" t="str">
        <f t="shared" si="108"/>
        <v>네오티스</v>
      </c>
      <c r="K1284" s="37" t="str">
        <f t="shared" si="109"/>
        <v>A085910</v>
      </c>
    </row>
    <row r="1285" spans="1:11" x14ac:dyDescent="0.4">
      <c r="A1285" s="49"/>
      <c r="B1285" s="54" t="s">
        <v>2971</v>
      </c>
      <c r="C1285" s="37" t="s">
        <v>2972</v>
      </c>
      <c r="D1285" s="55" t="s">
        <v>820</v>
      </c>
      <c r="E1285" s="56">
        <v>55.53</v>
      </c>
      <c r="F1285" s="55">
        <v>0.26</v>
      </c>
      <c r="G1285" s="55"/>
      <c r="J1285" s="37" t="str">
        <f t="shared" si="108"/>
        <v>바이오톡스텍</v>
      </c>
      <c r="K1285" s="37" t="str">
        <f t="shared" si="109"/>
        <v>A086040</v>
      </c>
    </row>
    <row r="1286" spans="1:11" x14ac:dyDescent="0.4">
      <c r="B1286" s="54" t="s">
        <v>2973</v>
      </c>
      <c r="C1286" s="37" t="s">
        <v>2974</v>
      </c>
      <c r="D1286" s="55" t="s">
        <v>820</v>
      </c>
      <c r="E1286" s="56">
        <v>43.48</v>
      </c>
      <c r="F1286" s="55">
        <v>0.96</v>
      </c>
      <c r="G1286" s="55"/>
      <c r="J1286" s="37" t="str">
        <f t="shared" si="108"/>
        <v>진바이오텍</v>
      </c>
      <c r="K1286" s="37" t="str">
        <f t="shared" si="109"/>
        <v>A086060</v>
      </c>
    </row>
    <row r="1287" spans="1:11" x14ac:dyDescent="0.4">
      <c r="A1287" s="49"/>
      <c r="B1287" s="54" t="s">
        <v>178</v>
      </c>
      <c r="C1287" s="37" t="s">
        <v>179</v>
      </c>
      <c r="D1287" s="55" t="s">
        <v>805</v>
      </c>
      <c r="E1287" s="56">
        <v>21712.5</v>
      </c>
      <c r="F1287" s="55">
        <v>67.790000000000006</v>
      </c>
      <c r="G1287" s="55">
        <v>17</v>
      </c>
      <c r="I1287" s="49">
        <f t="shared" ref="I1287:I1305" si="113">IF((G1287&gt;$G$8),E1287+ROW()/100000,"")</f>
        <v>21712.512869999999</v>
      </c>
      <c r="J1287" s="37" t="str">
        <f t="shared" si="108"/>
        <v>현대글로비스</v>
      </c>
      <c r="K1287" s="37" t="str">
        <f t="shared" si="109"/>
        <v>A086280</v>
      </c>
    </row>
    <row r="1288" spans="1:11" x14ac:dyDescent="0.4">
      <c r="A1288" s="49"/>
      <c r="B1288" s="54" t="s">
        <v>2975</v>
      </c>
      <c r="C1288" s="37" t="s">
        <v>2976</v>
      </c>
      <c r="D1288" s="55" t="s">
        <v>820</v>
      </c>
      <c r="E1288" s="56">
        <v>414.02</v>
      </c>
      <c r="F1288" s="55">
        <v>10.95</v>
      </c>
      <c r="G1288" s="55">
        <v>1</v>
      </c>
      <c r="I1288" s="49">
        <f t="shared" si="113"/>
        <v>414.03287999999998</v>
      </c>
      <c r="J1288" s="37" t="str">
        <f t="shared" si="108"/>
        <v>유니테스트</v>
      </c>
      <c r="K1288" s="37" t="str">
        <f t="shared" si="109"/>
        <v>A086390</v>
      </c>
    </row>
    <row r="1289" spans="1:11" x14ac:dyDescent="0.4">
      <c r="A1289" s="49"/>
      <c r="B1289" s="54" t="s">
        <v>2977</v>
      </c>
      <c r="C1289" s="37" t="s">
        <v>2978</v>
      </c>
      <c r="D1289" s="55" t="s">
        <v>820</v>
      </c>
      <c r="E1289" s="58">
        <v>922.7</v>
      </c>
      <c r="F1289" s="57">
        <v>5.03</v>
      </c>
      <c r="G1289" s="57">
        <v>2</v>
      </c>
      <c r="H1289" s="49"/>
      <c r="I1289" s="49">
        <f t="shared" si="113"/>
        <v>922.71289000000002</v>
      </c>
      <c r="J1289" s="37" t="str">
        <f t="shared" si="108"/>
        <v>동국제약</v>
      </c>
      <c r="K1289" s="37" t="str">
        <f t="shared" si="109"/>
        <v>A086450</v>
      </c>
    </row>
    <row r="1290" spans="1:11" x14ac:dyDescent="0.4">
      <c r="A1290" s="49"/>
      <c r="B1290" s="54" t="s">
        <v>397</v>
      </c>
      <c r="C1290" s="37" t="s">
        <v>398</v>
      </c>
      <c r="D1290" s="55" t="s">
        <v>820</v>
      </c>
      <c r="E1290" s="56">
        <v>25118.59</v>
      </c>
      <c r="F1290" s="55">
        <v>361.99</v>
      </c>
      <c r="G1290" s="55"/>
      <c r="I1290" s="49" t="str">
        <f t="shared" si="113"/>
        <v/>
      </c>
      <c r="J1290" s="37" t="str">
        <f t="shared" si="108"/>
        <v>에코프로</v>
      </c>
      <c r="K1290" s="37" t="str">
        <f t="shared" si="109"/>
        <v>A086520</v>
      </c>
    </row>
    <row r="1291" spans="1:11" x14ac:dyDescent="0.4">
      <c r="A1291" s="49"/>
      <c r="B1291" s="54" t="s">
        <v>2979</v>
      </c>
      <c r="C1291" s="37" t="s">
        <v>2980</v>
      </c>
      <c r="D1291" s="55" t="s">
        <v>820</v>
      </c>
      <c r="E1291" s="58">
        <v>133.30000000000001</v>
      </c>
      <c r="F1291" s="57">
        <v>0.86</v>
      </c>
      <c r="G1291" s="57"/>
      <c r="H1291" s="49"/>
      <c r="I1291" s="49" t="str">
        <f t="shared" si="113"/>
        <v/>
      </c>
      <c r="J1291" s="37" t="str">
        <f t="shared" si="108"/>
        <v>비엠티</v>
      </c>
      <c r="K1291" s="37" t="str">
        <f t="shared" si="109"/>
        <v>A086670</v>
      </c>
    </row>
    <row r="1292" spans="1:11" x14ac:dyDescent="0.4">
      <c r="A1292" s="49"/>
      <c r="B1292" s="54" t="s">
        <v>2981</v>
      </c>
      <c r="C1292" s="37" t="s">
        <v>2982</v>
      </c>
      <c r="D1292" s="55" t="s">
        <v>820</v>
      </c>
      <c r="E1292" s="56">
        <v>118.37</v>
      </c>
      <c r="F1292" s="55">
        <v>0.3</v>
      </c>
      <c r="G1292" s="55"/>
      <c r="I1292" s="49" t="str">
        <f t="shared" si="113"/>
        <v/>
      </c>
      <c r="J1292" s="37" t="str">
        <f t="shared" si="108"/>
        <v>선진뷰티사이언스</v>
      </c>
      <c r="K1292" s="37" t="str">
        <f t="shared" si="109"/>
        <v>A086710</v>
      </c>
    </row>
    <row r="1293" spans="1:11" x14ac:dyDescent="0.4">
      <c r="A1293" s="49"/>
      <c r="B1293" s="54" t="s">
        <v>112</v>
      </c>
      <c r="C1293" s="37" t="s">
        <v>113</v>
      </c>
      <c r="D1293" s="55" t="s">
        <v>805</v>
      </c>
      <c r="E1293" s="58">
        <v>33900.080000000002</v>
      </c>
      <c r="F1293" s="57">
        <v>82.47</v>
      </c>
      <c r="G1293" s="57">
        <v>18</v>
      </c>
      <c r="H1293" s="49"/>
      <c r="I1293" s="49">
        <f t="shared" si="113"/>
        <v>33900.092929999999</v>
      </c>
      <c r="J1293" s="37" t="str">
        <f t="shared" si="108"/>
        <v>하나금융지주</v>
      </c>
      <c r="K1293" s="37" t="str">
        <f t="shared" si="109"/>
        <v>A086790</v>
      </c>
    </row>
    <row r="1294" spans="1:11" x14ac:dyDescent="0.4">
      <c r="A1294" s="49"/>
      <c r="B1294" s="54" t="s">
        <v>2983</v>
      </c>
      <c r="C1294" s="37" t="s">
        <v>2984</v>
      </c>
      <c r="D1294" s="55" t="s">
        <v>820</v>
      </c>
      <c r="E1294" s="58">
        <v>217.42</v>
      </c>
      <c r="F1294" s="57">
        <v>0.9</v>
      </c>
      <c r="G1294" s="57"/>
      <c r="H1294" s="49"/>
      <c r="I1294" s="49" t="str">
        <f t="shared" si="113"/>
        <v/>
      </c>
      <c r="J1294" s="37" t="str">
        <f t="shared" ref="J1294:J1357" si="114">C1294</f>
        <v>바이오솔루션</v>
      </c>
      <c r="K1294" s="37" t="str">
        <f t="shared" ref="K1294:K1357" si="115">B1294</f>
        <v>A086820</v>
      </c>
    </row>
    <row r="1295" spans="1:11" x14ac:dyDescent="0.4">
      <c r="A1295" s="49"/>
      <c r="B1295" s="54" t="s">
        <v>2985</v>
      </c>
      <c r="C1295" s="37" t="s">
        <v>2986</v>
      </c>
      <c r="D1295" s="55" t="s">
        <v>820</v>
      </c>
      <c r="E1295" s="56">
        <v>219.48</v>
      </c>
      <c r="F1295" s="55">
        <v>1.66</v>
      </c>
      <c r="G1295" s="55"/>
      <c r="I1295" s="49" t="str">
        <f t="shared" si="113"/>
        <v/>
      </c>
      <c r="J1295" s="37" t="str">
        <f t="shared" si="114"/>
        <v>이수앱지스</v>
      </c>
      <c r="K1295" s="37" t="str">
        <f t="shared" si="115"/>
        <v>A086890</v>
      </c>
    </row>
    <row r="1296" spans="1:11" x14ac:dyDescent="0.4">
      <c r="A1296" s="49"/>
      <c r="B1296" s="54" t="s">
        <v>2987</v>
      </c>
      <c r="C1296" s="37" t="s">
        <v>2988</v>
      </c>
      <c r="D1296" s="55" t="s">
        <v>820</v>
      </c>
      <c r="E1296" s="58">
        <v>940.05</v>
      </c>
      <c r="F1296" s="57">
        <v>4.92</v>
      </c>
      <c r="G1296" s="57">
        <v>1</v>
      </c>
      <c r="H1296" s="49"/>
      <c r="I1296" s="49">
        <f t="shared" si="113"/>
        <v>940.06295999999998</v>
      </c>
      <c r="J1296" s="37" t="str">
        <f t="shared" si="114"/>
        <v>메디톡스</v>
      </c>
      <c r="K1296" s="37" t="str">
        <f t="shared" si="115"/>
        <v>A086900</v>
      </c>
    </row>
    <row r="1297" spans="1:11" x14ac:dyDescent="0.4">
      <c r="A1297" s="49"/>
      <c r="B1297" s="54" t="s">
        <v>2989</v>
      </c>
      <c r="C1297" s="37" t="s">
        <v>2990</v>
      </c>
      <c r="D1297" s="55" t="s">
        <v>820</v>
      </c>
      <c r="E1297" s="58">
        <v>136.43</v>
      </c>
      <c r="F1297" s="57">
        <v>5.62</v>
      </c>
      <c r="G1297" s="57"/>
      <c r="H1297" s="49"/>
      <c r="I1297" s="49" t="str">
        <f t="shared" si="113"/>
        <v/>
      </c>
      <c r="J1297" s="37" t="str">
        <f t="shared" si="114"/>
        <v>MDS테크</v>
      </c>
      <c r="K1297" s="37" t="str">
        <f t="shared" si="115"/>
        <v>A086960</v>
      </c>
    </row>
    <row r="1298" spans="1:11" x14ac:dyDescent="0.4">
      <c r="A1298" s="49"/>
      <c r="B1298" s="54" t="s">
        <v>2991</v>
      </c>
      <c r="C1298" s="37" t="s">
        <v>2992</v>
      </c>
      <c r="D1298" s="55" t="s">
        <v>820</v>
      </c>
      <c r="E1298" s="58">
        <v>187.29</v>
      </c>
      <c r="F1298" s="57">
        <v>0.61</v>
      </c>
      <c r="G1298" s="57"/>
      <c r="H1298" s="49"/>
      <c r="I1298" s="49" t="str">
        <f t="shared" si="113"/>
        <v/>
      </c>
      <c r="J1298" s="37" t="str">
        <f t="shared" si="114"/>
        <v>쇼박스</v>
      </c>
      <c r="K1298" s="37" t="str">
        <f t="shared" si="115"/>
        <v>A086980</v>
      </c>
    </row>
    <row r="1299" spans="1:11" x14ac:dyDescent="0.4">
      <c r="A1299" s="49"/>
      <c r="B1299" s="54" t="s">
        <v>681</v>
      </c>
      <c r="C1299" s="37" t="s">
        <v>682</v>
      </c>
      <c r="D1299" s="55" t="s">
        <v>820</v>
      </c>
      <c r="E1299" s="58">
        <v>6645.44</v>
      </c>
      <c r="F1299" s="57">
        <v>71.27</v>
      </c>
      <c r="G1299" s="57"/>
      <c r="H1299" s="49"/>
      <c r="I1299" s="49" t="str">
        <f t="shared" si="113"/>
        <v/>
      </c>
      <c r="J1299" s="37" t="str">
        <f t="shared" si="114"/>
        <v>펩트론</v>
      </c>
      <c r="K1299" s="37" t="str">
        <f t="shared" si="115"/>
        <v>A087010</v>
      </c>
    </row>
    <row r="1300" spans="1:11" x14ac:dyDescent="0.4">
      <c r="A1300" s="49"/>
      <c r="B1300" s="54" t="s">
        <v>2993</v>
      </c>
      <c r="C1300" s="37" t="s">
        <v>2994</v>
      </c>
      <c r="D1300" s="55" t="s">
        <v>820</v>
      </c>
      <c r="E1300" s="58">
        <v>64.81</v>
      </c>
      <c r="F1300" s="57">
        <v>2.08</v>
      </c>
      <c r="G1300" s="57"/>
      <c r="H1300" s="49"/>
      <c r="I1300" s="49" t="str">
        <f t="shared" si="113"/>
        <v/>
      </c>
      <c r="J1300" s="37" t="str">
        <f t="shared" si="114"/>
        <v>모바일어플라이언스</v>
      </c>
      <c r="K1300" s="37" t="str">
        <f t="shared" si="115"/>
        <v>A087260</v>
      </c>
    </row>
    <row r="1301" spans="1:11" x14ac:dyDescent="0.4">
      <c r="A1301" s="49"/>
      <c r="B1301" s="54" t="s">
        <v>2995</v>
      </c>
      <c r="C1301" s="37" t="s">
        <v>2996</v>
      </c>
      <c r="D1301" s="55" t="s">
        <v>820</v>
      </c>
      <c r="E1301" s="56">
        <v>52.02</v>
      </c>
      <c r="F1301" s="55">
        <v>0.15</v>
      </c>
      <c r="G1301" s="55"/>
      <c r="I1301" s="49" t="str">
        <f t="shared" si="113"/>
        <v/>
      </c>
      <c r="J1301" s="37" t="str">
        <f t="shared" si="114"/>
        <v>픽셀플러스</v>
      </c>
      <c r="K1301" s="37" t="str">
        <f t="shared" si="115"/>
        <v>A087600</v>
      </c>
    </row>
    <row r="1302" spans="1:11" x14ac:dyDescent="0.4">
      <c r="A1302" s="49"/>
      <c r="B1302" s="54" t="s">
        <v>2997</v>
      </c>
      <c r="C1302" s="37" t="s">
        <v>2998</v>
      </c>
      <c r="D1302" s="55" t="s">
        <v>820</v>
      </c>
      <c r="E1302" s="58">
        <v>175.9</v>
      </c>
      <c r="F1302" s="57">
        <v>3.1</v>
      </c>
      <c r="G1302" s="57"/>
      <c r="H1302" s="49"/>
      <c r="I1302" s="49" t="str">
        <f t="shared" si="113"/>
        <v/>
      </c>
      <c r="J1302" s="37" t="str">
        <f t="shared" si="114"/>
        <v>동아엘텍</v>
      </c>
      <c r="K1302" s="37" t="str">
        <f t="shared" si="115"/>
        <v>A088130</v>
      </c>
    </row>
    <row r="1303" spans="1:11" x14ac:dyDescent="0.4">
      <c r="A1303" s="49"/>
      <c r="B1303" s="54" t="s">
        <v>2999</v>
      </c>
      <c r="C1303" s="37" t="s">
        <v>3000</v>
      </c>
      <c r="D1303" s="55" t="s">
        <v>820</v>
      </c>
      <c r="E1303" s="58">
        <v>34.79</v>
      </c>
      <c r="F1303" s="57">
        <v>0.2</v>
      </c>
      <c r="G1303" s="57"/>
      <c r="H1303" s="49"/>
      <c r="I1303" s="49" t="str">
        <f t="shared" si="113"/>
        <v/>
      </c>
      <c r="J1303" s="37" t="str">
        <f t="shared" si="114"/>
        <v>쏘닉스</v>
      </c>
      <c r="K1303" s="37" t="str">
        <f t="shared" si="115"/>
        <v>A088280</v>
      </c>
    </row>
    <row r="1304" spans="1:11" x14ac:dyDescent="0.4">
      <c r="A1304" s="49"/>
      <c r="B1304" s="54" t="s">
        <v>3001</v>
      </c>
      <c r="C1304" s="37" t="s">
        <v>3002</v>
      </c>
      <c r="D1304" s="55" t="s">
        <v>820</v>
      </c>
      <c r="E1304" s="56">
        <v>25.56</v>
      </c>
      <c r="F1304" s="55">
        <v>0.25</v>
      </c>
      <c r="G1304" s="55"/>
      <c r="I1304" s="49" t="str">
        <f t="shared" si="113"/>
        <v/>
      </c>
      <c r="J1304" s="37" t="str">
        <f t="shared" si="114"/>
        <v>이원컴포텍</v>
      </c>
      <c r="K1304" s="37" t="str">
        <f t="shared" si="115"/>
        <v>A088290</v>
      </c>
    </row>
    <row r="1305" spans="1:11" x14ac:dyDescent="0.4">
      <c r="A1305" s="49"/>
      <c r="B1305" s="54" t="s">
        <v>3003</v>
      </c>
      <c r="C1305" s="37" t="s">
        <v>3004</v>
      </c>
      <c r="D1305" s="55" t="s">
        <v>820</v>
      </c>
      <c r="E1305" s="58">
        <v>56.96</v>
      </c>
      <c r="F1305" s="57">
        <v>4.3499999999999996</v>
      </c>
      <c r="G1305" s="57">
        <v>1</v>
      </c>
      <c r="H1305" s="49"/>
      <c r="I1305" s="49">
        <f t="shared" si="113"/>
        <v>56.973050000000001</v>
      </c>
      <c r="J1305" s="37" t="str">
        <f t="shared" si="114"/>
        <v>유라클</v>
      </c>
      <c r="K1305" s="37" t="str">
        <f t="shared" si="115"/>
        <v>A088340</v>
      </c>
    </row>
    <row r="1306" spans="1:11" x14ac:dyDescent="0.4">
      <c r="B1306" s="54" t="s">
        <v>3005</v>
      </c>
      <c r="C1306" s="37" t="s">
        <v>3006</v>
      </c>
      <c r="D1306" s="55" t="s">
        <v>805</v>
      </c>
      <c r="E1306" s="56">
        <v>4303.57</v>
      </c>
      <c r="F1306" s="55">
        <v>28.05</v>
      </c>
      <c r="G1306" s="55">
        <v>8</v>
      </c>
      <c r="J1306" s="37" t="str">
        <f t="shared" si="114"/>
        <v>한화생명</v>
      </c>
      <c r="K1306" s="37" t="str">
        <f t="shared" si="115"/>
        <v>A088350</v>
      </c>
    </row>
    <row r="1307" spans="1:11" x14ac:dyDescent="0.4">
      <c r="A1307" s="49"/>
      <c r="B1307" s="54" t="s">
        <v>3007</v>
      </c>
      <c r="C1307" s="37" t="s">
        <v>3008</v>
      </c>
      <c r="D1307" s="55" t="s">
        <v>820</v>
      </c>
      <c r="E1307" s="58">
        <v>123.42</v>
      </c>
      <c r="F1307" s="57">
        <v>1.0900000000000001</v>
      </c>
      <c r="G1307" s="57"/>
      <c r="H1307" s="49"/>
      <c r="I1307" s="49" t="str">
        <f>IF((G1307&gt;$G$8),E1307+ROW()/100000,"")</f>
        <v/>
      </c>
      <c r="J1307" s="37" t="str">
        <f t="shared" si="114"/>
        <v>이녹스</v>
      </c>
      <c r="K1307" s="37" t="str">
        <f t="shared" si="115"/>
        <v>A088390</v>
      </c>
    </row>
    <row r="1308" spans="1:11" x14ac:dyDescent="0.4">
      <c r="A1308" s="49"/>
      <c r="B1308" s="54" t="s">
        <v>3009</v>
      </c>
      <c r="C1308" s="37" t="s">
        <v>3010</v>
      </c>
      <c r="D1308" s="55" t="s">
        <v>805</v>
      </c>
      <c r="E1308" s="58">
        <v>28.26</v>
      </c>
      <c r="F1308" s="57">
        <v>0.25</v>
      </c>
      <c r="G1308" s="57"/>
      <c r="H1308" s="49"/>
      <c r="I1308" s="49" t="str">
        <f>IF((G1308&gt;$G$8),E1308+ROW()/100000,"")</f>
        <v/>
      </c>
      <c r="J1308" s="37" t="str">
        <f t="shared" si="114"/>
        <v>진도</v>
      </c>
      <c r="K1308" s="37" t="str">
        <f t="shared" si="115"/>
        <v>A088790</v>
      </c>
    </row>
    <row r="1309" spans="1:11" x14ac:dyDescent="0.4">
      <c r="A1309" s="49"/>
      <c r="B1309" s="54" t="s">
        <v>3011</v>
      </c>
      <c r="C1309" s="37" t="s">
        <v>3012</v>
      </c>
      <c r="D1309" s="55" t="s">
        <v>820</v>
      </c>
      <c r="E1309" s="58">
        <v>217.08</v>
      </c>
      <c r="F1309" s="57">
        <v>2.16</v>
      </c>
      <c r="G1309" s="57"/>
      <c r="H1309" s="49"/>
      <c r="I1309" s="49" t="str">
        <f>IF((G1309&gt;$G$8),E1309+ROW()/100000,"")</f>
        <v/>
      </c>
      <c r="J1309" s="37" t="str">
        <f t="shared" si="114"/>
        <v>에이스테크</v>
      </c>
      <c r="K1309" s="37" t="str">
        <f t="shared" si="115"/>
        <v>A088800</v>
      </c>
    </row>
    <row r="1310" spans="1:11" x14ac:dyDescent="0.4">
      <c r="A1310" s="49"/>
      <c r="B1310" s="54" t="s">
        <v>3013</v>
      </c>
      <c r="C1310" s="37" t="s">
        <v>3014</v>
      </c>
      <c r="D1310" s="55" t="s">
        <v>820</v>
      </c>
      <c r="E1310" s="58">
        <v>63.03</v>
      </c>
      <c r="F1310" s="57">
        <v>0.15</v>
      </c>
      <c r="G1310" s="57"/>
      <c r="H1310" s="49"/>
      <c r="I1310" s="49" t="str">
        <f>IF((G1310&gt;$G$8),E1310+ROW()/100000,"")</f>
        <v/>
      </c>
      <c r="J1310" s="37" t="str">
        <f t="shared" si="114"/>
        <v>동우팜투테이블</v>
      </c>
      <c r="K1310" s="37" t="str">
        <f t="shared" si="115"/>
        <v>A088910</v>
      </c>
    </row>
    <row r="1311" spans="1:11" x14ac:dyDescent="0.4">
      <c r="B1311" s="54" t="s">
        <v>3015</v>
      </c>
      <c r="C1311" s="37" t="s">
        <v>3016</v>
      </c>
      <c r="D1311" s="55" t="s">
        <v>820</v>
      </c>
      <c r="E1311" s="56">
        <v>543.28</v>
      </c>
      <c r="F1311" s="55">
        <v>27.39</v>
      </c>
      <c r="G1311" s="55">
        <v>1</v>
      </c>
      <c r="J1311" s="37" t="str">
        <f t="shared" si="114"/>
        <v>켐트로닉스</v>
      </c>
      <c r="K1311" s="37" t="str">
        <f t="shared" si="115"/>
        <v>A089010</v>
      </c>
    </row>
    <row r="1312" spans="1:11" x14ac:dyDescent="0.4">
      <c r="A1312" s="49"/>
      <c r="B1312" s="54" t="s">
        <v>357</v>
      </c>
      <c r="C1312" s="37" t="s">
        <v>358</v>
      </c>
      <c r="D1312" s="55" t="s">
        <v>820</v>
      </c>
      <c r="E1312" s="58">
        <v>1726.7</v>
      </c>
      <c r="F1312" s="57">
        <v>45.51</v>
      </c>
      <c r="G1312" s="57">
        <v>1</v>
      </c>
      <c r="H1312" s="49"/>
      <c r="I1312" s="49">
        <f>IF((G1312&gt;$G$8),E1312+ROW()/100000,"")</f>
        <v>1726.7131200000001</v>
      </c>
      <c r="J1312" s="37" t="str">
        <f t="shared" si="114"/>
        <v>테크윙</v>
      </c>
      <c r="K1312" s="37" t="str">
        <f t="shared" si="115"/>
        <v>A089030</v>
      </c>
    </row>
    <row r="1313" spans="1:11" x14ac:dyDescent="0.4">
      <c r="A1313" s="49"/>
      <c r="B1313" s="54" t="s">
        <v>3017</v>
      </c>
      <c r="C1313" s="37" t="s">
        <v>3018</v>
      </c>
      <c r="D1313" s="55" t="s">
        <v>820</v>
      </c>
      <c r="E1313" s="56">
        <v>36.770000000000003</v>
      </c>
      <c r="F1313" s="55">
        <v>0.31</v>
      </c>
      <c r="G1313" s="55"/>
      <c r="J1313" s="37" t="str">
        <f t="shared" si="114"/>
        <v>넥스턴앤롤코리아</v>
      </c>
      <c r="K1313" s="37" t="str">
        <f t="shared" si="115"/>
        <v>A089140</v>
      </c>
    </row>
    <row r="1314" spans="1:11" x14ac:dyDescent="0.4">
      <c r="A1314" s="49"/>
      <c r="B1314" s="54" t="s">
        <v>3019</v>
      </c>
      <c r="C1314" s="37" t="s">
        <v>3020</v>
      </c>
      <c r="D1314" s="55" t="s">
        <v>820</v>
      </c>
      <c r="E1314" s="58">
        <v>43.48</v>
      </c>
      <c r="F1314" s="57">
        <v>1.1299999999999999</v>
      </c>
      <c r="G1314" s="57"/>
      <c r="H1314" s="49"/>
      <c r="I1314" s="49" t="str">
        <f t="shared" ref="I1314:I1321" si="116">IF((G1314&gt;$G$8),E1314+ROW()/100000,"")</f>
        <v/>
      </c>
      <c r="J1314" s="37" t="str">
        <f t="shared" si="114"/>
        <v>케이씨티</v>
      </c>
      <c r="K1314" s="37" t="str">
        <f t="shared" si="115"/>
        <v>A089150</v>
      </c>
    </row>
    <row r="1315" spans="1:11" x14ac:dyDescent="0.4">
      <c r="A1315" s="49"/>
      <c r="B1315" s="54" t="s">
        <v>3021</v>
      </c>
      <c r="C1315" s="37" t="s">
        <v>3022</v>
      </c>
      <c r="D1315" s="55" t="s">
        <v>820</v>
      </c>
      <c r="E1315" s="58">
        <v>45.36</v>
      </c>
      <c r="F1315" s="57">
        <v>0.31</v>
      </c>
      <c r="G1315" s="57"/>
      <c r="H1315" s="49"/>
      <c r="I1315" s="49" t="str">
        <f t="shared" si="116"/>
        <v/>
      </c>
      <c r="J1315" s="37" t="str">
        <f t="shared" si="114"/>
        <v>THE E&amp;M</v>
      </c>
      <c r="K1315" s="37" t="str">
        <f t="shared" si="115"/>
        <v>A089230</v>
      </c>
    </row>
    <row r="1316" spans="1:11" x14ac:dyDescent="0.4">
      <c r="A1316" s="49"/>
      <c r="B1316" s="54" t="s">
        <v>3023</v>
      </c>
      <c r="C1316" s="37" t="s">
        <v>3024</v>
      </c>
      <c r="D1316" s="55" t="s">
        <v>805</v>
      </c>
      <c r="E1316" s="58">
        <v>192.04</v>
      </c>
      <c r="F1316" s="57">
        <v>0.55000000000000004</v>
      </c>
      <c r="G1316" s="57"/>
      <c r="H1316" s="49"/>
      <c r="I1316" s="49" t="str">
        <f t="shared" si="116"/>
        <v/>
      </c>
      <c r="J1316" s="37" t="str">
        <f t="shared" si="114"/>
        <v>HDC현대EP</v>
      </c>
      <c r="K1316" s="37" t="str">
        <f t="shared" si="115"/>
        <v>A089470</v>
      </c>
    </row>
    <row r="1317" spans="1:11" x14ac:dyDescent="0.4">
      <c r="A1317" s="49"/>
      <c r="B1317" s="54" t="s">
        <v>3025</v>
      </c>
      <c r="C1317" s="37" t="s">
        <v>3026</v>
      </c>
      <c r="D1317" s="55" t="s">
        <v>805</v>
      </c>
      <c r="E1317" s="58">
        <v>491.1</v>
      </c>
      <c r="F1317" s="57">
        <v>1.17</v>
      </c>
      <c r="G1317" s="57">
        <v>3</v>
      </c>
      <c r="H1317" s="49"/>
      <c r="I1317" s="49">
        <f t="shared" si="116"/>
        <v>491.11317000000003</v>
      </c>
      <c r="J1317" s="37" t="str">
        <f t="shared" si="114"/>
        <v>제주항공</v>
      </c>
      <c r="K1317" s="37" t="str">
        <f t="shared" si="115"/>
        <v>A089590</v>
      </c>
    </row>
    <row r="1318" spans="1:11" x14ac:dyDescent="0.4">
      <c r="A1318" s="49"/>
      <c r="B1318" s="54" t="s">
        <v>3027</v>
      </c>
      <c r="C1318" s="37" t="s">
        <v>3028</v>
      </c>
      <c r="D1318" s="55" t="s">
        <v>820</v>
      </c>
      <c r="E1318" s="58">
        <v>150.27000000000001</v>
      </c>
      <c r="F1318" s="57">
        <v>0.28999999999999998</v>
      </c>
      <c r="G1318" s="57">
        <v>1</v>
      </c>
      <c r="H1318" s="49"/>
      <c r="I1318" s="49">
        <f t="shared" si="116"/>
        <v>150.28318000000002</v>
      </c>
      <c r="J1318" s="37" t="str">
        <f t="shared" si="114"/>
        <v>KT나스미디어</v>
      </c>
      <c r="K1318" s="37" t="str">
        <f t="shared" si="115"/>
        <v>A089600</v>
      </c>
    </row>
    <row r="1319" spans="1:11" x14ac:dyDescent="0.4">
      <c r="A1319" s="49"/>
      <c r="B1319" s="54" t="s">
        <v>3029</v>
      </c>
      <c r="C1319" s="37" t="s">
        <v>3030</v>
      </c>
      <c r="D1319" s="55" t="s">
        <v>820</v>
      </c>
      <c r="E1319" s="58">
        <v>66.739999999999995</v>
      </c>
      <c r="F1319" s="57">
        <v>2.7</v>
      </c>
      <c r="G1319" s="57"/>
      <c r="H1319" s="49"/>
      <c r="I1319" s="49" t="str">
        <f t="shared" si="116"/>
        <v/>
      </c>
      <c r="J1319" s="37" t="str">
        <f t="shared" si="114"/>
        <v>제이티</v>
      </c>
      <c r="K1319" s="37" t="str">
        <f t="shared" si="115"/>
        <v>A089790</v>
      </c>
    </row>
    <row r="1320" spans="1:11" x14ac:dyDescent="0.4">
      <c r="A1320" s="49"/>
      <c r="B1320" s="54" t="s">
        <v>3031</v>
      </c>
      <c r="C1320" s="37" t="s">
        <v>3032</v>
      </c>
      <c r="D1320" s="55" t="s">
        <v>820</v>
      </c>
      <c r="E1320" s="58">
        <v>78.069999999999993</v>
      </c>
      <c r="F1320" s="57">
        <v>0.67</v>
      </c>
      <c r="G1320" s="57"/>
      <c r="H1320" s="49"/>
      <c r="I1320" s="49" t="str">
        <f t="shared" si="116"/>
        <v/>
      </c>
      <c r="J1320" s="37" t="str">
        <f t="shared" si="114"/>
        <v>유비벨록스</v>
      </c>
      <c r="K1320" s="37" t="str">
        <f t="shared" si="115"/>
        <v>A089850</v>
      </c>
    </row>
    <row r="1321" spans="1:11" x14ac:dyDescent="0.4">
      <c r="A1321" s="49"/>
      <c r="B1321" s="54" t="s">
        <v>3033</v>
      </c>
      <c r="C1321" s="37" t="s">
        <v>3034</v>
      </c>
      <c r="D1321" s="55" t="s">
        <v>805</v>
      </c>
      <c r="E1321" s="58">
        <v>1225.44</v>
      </c>
      <c r="F1321" s="57">
        <v>1.48</v>
      </c>
      <c r="G1321" s="57">
        <v>9</v>
      </c>
      <c r="H1321" s="49"/>
      <c r="I1321" s="49">
        <f t="shared" si="116"/>
        <v>1225.4532100000001</v>
      </c>
      <c r="J1321" s="37" t="str">
        <f t="shared" si="114"/>
        <v>롯데렌탈</v>
      </c>
      <c r="K1321" s="37" t="str">
        <f t="shared" si="115"/>
        <v>A089860</v>
      </c>
    </row>
    <row r="1322" spans="1:11" x14ac:dyDescent="0.4">
      <c r="B1322" s="54" t="s">
        <v>545</v>
      </c>
      <c r="C1322" s="37" t="s">
        <v>546</v>
      </c>
      <c r="D1322" s="55" t="s">
        <v>820</v>
      </c>
      <c r="E1322" s="56">
        <v>435.36</v>
      </c>
      <c r="F1322" s="55">
        <v>6.93</v>
      </c>
      <c r="G1322" s="55"/>
      <c r="J1322" s="37" t="str">
        <f t="shared" si="114"/>
        <v>코세스</v>
      </c>
      <c r="K1322" s="37" t="str">
        <f t="shared" si="115"/>
        <v>A089890</v>
      </c>
    </row>
    <row r="1323" spans="1:11" x14ac:dyDescent="0.4">
      <c r="A1323" s="49"/>
      <c r="B1323" s="54" t="s">
        <v>484</v>
      </c>
      <c r="C1323" s="37" t="s">
        <v>485</v>
      </c>
      <c r="D1323" s="55" t="s">
        <v>820</v>
      </c>
      <c r="E1323" s="58">
        <v>1015.53</v>
      </c>
      <c r="F1323" s="57">
        <v>16.23</v>
      </c>
      <c r="G1323" s="57">
        <v>3</v>
      </c>
      <c r="H1323" s="49"/>
      <c r="I1323" s="49">
        <f>IF((G1323&gt;$G$8),E1323+ROW()/100000,"")</f>
        <v>1015.54323</v>
      </c>
      <c r="J1323" s="37" t="str">
        <f t="shared" si="114"/>
        <v>브이엠</v>
      </c>
      <c r="K1323" s="37" t="str">
        <f t="shared" si="115"/>
        <v>A089970</v>
      </c>
    </row>
    <row r="1324" spans="1:11" x14ac:dyDescent="0.4">
      <c r="A1324" s="49"/>
      <c r="B1324" s="54" t="s">
        <v>3035</v>
      </c>
      <c r="C1324" s="37" t="s">
        <v>3036</v>
      </c>
      <c r="D1324" s="55" t="s">
        <v>820</v>
      </c>
      <c r="E1324" s="58">
        <v>356.56</v>
      </c>
      <c r="F1324" s="57">
        <v>1.52</v>
      </c>
      <c r="G1324" s="57">
        <v>1</v>
      </c>
      <c r="H1324" s="49"/>
      <c r="I1324" s="49">
        <f>IF((G1324&gt;$G$8),E1324+ROW()/100000,"")</f>
        <v>356.57324</v>
      </c>
      <c r="J1324" s="37" t="str">
        <f t="shared" si="114"/>
        <v>상아프론테크</v>
      </c>
      <c r="K1324" s="37" t="str">
        <f t="shared" si="115"/>
        <v>A089980</v>
      </c>
    </row>
    <row r="1325" spans="1:11" x14ac:dyDescent="0.4">
      <c r="B1325" s="54" t="s">
        <v>3037</v>
      </c>
      <c r="C1325" s="37" t="s">
        <v>3038</v>
      </c>
      <c r="D1325" s="55" t="s">
        <v>805</v>
      </c>
      <c r="E1325" s="56">
        <v>53.64</v>
      </c>
      <c r="F1325" s="55">
        <v>0.2</v>
      </c>
      <c r="G1325" s="55"/>
      <c r="J1325" s="37" t="str">
        <f t="shared" si="114"/>
        <v>평화산업</v>
      </c>
      <c r="K1325" s="37" t="str">
        <f t="shared" si="115"/>
        <v>A090080</v>
      </c>
    </row>
    <row r="1326" spans="1:11" x14ac:dyDescent="0.4">
      <c r="A1326" s="49"/>
      <c r="B1326" s="54" t="s">
        <v>3039</v>
      </c>
      <c r="C1326" s="37" t="s">
        <v>3040</v>
      </c>
      <c r="D1326" s="55" t="s">
        <v>820</v>
      </c>
      <c r="E1326" s="58">
        <v>33.71</v>
      </c>
      <c r="F1326" s="57">
        <v>0.27</v>
      </c>
      <c r="G1326" s="57"/>
      <c r="H1326" s="49"/>
      <c r="I1326" s="49" t="str">
        <f>IF((G1326&gt;$G$8),E1326+ROW()/100000,"")</f>
        <v/>
      </c>
      <c r="J1326" s="37" t="str">
        <f t="shared" si="114"/>
        <v>아이윈</v>
      </c>
      <c r="K1326" s="37" t="str">
        <f t="shared" si="115"/>
        <v>A090150</v>
      </c>
    </row>
    <row r="1327" spans="1:11" x14ac:dyDescent="0.4">
      <c r="B1327" s="54" t="s">
        <v>3041</v>
      </c>
      <c r="C1327" s="37" t="s">
        <v>3042</v>
      </c>
      <c r="D1327" s="55" t="s">
        <v>805</v>
      </c>
      <c r="E1327" s="56">
        <v>177.4</v>
      </c>
      <c r="F1327" s="55">
        <v>1.81</v>
      </c>
      <c r="G1327" s="55"/>
      <c r="J1327" s="37" t="str">
        <f t="shared" si="114"/>
        <v>노루페인트</v>
      </c>
      <c r="K1327" s="37" t="str">
        <f t="shared" si="115"/>
        <v>A090350</v>
      </c>
    </row>
    <row r="1328" spans="1:11" x14ac:dyDescent="0.4">
      <c r="A1328" s="49"/>
      <c r="B1328" s="54" t="s">
        <v>3043</v>
      </c>
      <c r="C1328" s="37" t="s">
        <v>3044</v>
      </c>
      <c r="D1328" s="55" t="s">
        <v>820</v>
      </c>
      <c r="E1328" s="58">
        <v>781.95</v>
      </c>
      <c r="F1328" s="57">
        <v>70.05</v>
      </c>
      <c r="G1328" s="57"/>
      <c r="H1328" s="49"/>
      <c r="I1328" s="49" t="str">
        <f t="shared" ref="I1328:I1338" si="117">IF((G1328&gt;$G$8),E1328+ROW()/100000,"")</f>
        <v/>
      </c>
      <c r="J1328" s="37" t="str">
        <f t="shared" si="114"/>
        <v>로보스타</v>
      </c>
      <c r="K1328" s="37" t="str">
        <f t="shared" si="115"/>
        <v>A090360</v>
      </c>
    </row>
    <row r="1329" spans="1:11" x14ac:dyDescent="0.4">
      <c r="A1329" s="49"/>
      <c r="B1329" s="54" t="s">
        <v>3045</v>
      </c>
      <c r="C1329" s="37" t="s">
        <v>3046</v>
      </c>
      <c r="D1329" s="55" t="s">
        <v>805</v>
      </c>
      <c r="E1329" s="58">
        <v>40.17</v>
      </c>
      <c r="F1329" s="57">
        <v>1.74</v>
      </c>
      <c r="G1329" s="57"/>
      <c r="H1329" s="49"/>
      <c r="I1329" s="49" t="str">
        <f t="shared" si="117"/>
        <v/>
      </c>
      <c r="J1329" s="37" t="str">
        <f t="shared" si="114"/>
        <v>메타랩스</v>
      </c>
      <c r="K1329" s="37" t="str">
        <f t="shared" si="115"/>
        <v>A090370</v>
      </c>
    </row>
    <row r="1330" spans="1:11" x14ac:dyDescent="0.4">
      <c r="A1330" s="49"/>
      <c r="B1330" s="54" t="s">
        <v>3047</v>
      </c>
      <c r="C1330" s="37" t="s">
        <v>3048</v>
      </c>
      <c r="D1330" s="55" t="s">
        <v>820</v>
      </c>
      <c r="E1330" s="58">
        <v>61.84</v>
      </c>
      <c r="F1330" s="57">
        <v>0.76</v>
      </c>
      <c r="G1330" s="57"/>
      <c r="H1330" s="49"/>
      <c r="I1330" s="49" t="str">
        <f t="shared" si="117"/>
        <v/>
      </c>
      <c r="J1330" s="37" t="str">
        <f t="shared" si="114"/>
        <v>덕신이피씨</v>
      </c>
      <c r="K1330" s="37" t="str">
        <f t="shared" si="115"/>
        <v>A090410</v>
      </c>
    </row>
    <row r="1331" spans="1:11" x14ac:dyDescent="0.4">
      <c r="A1331" s="49"/>
      <c r="B1331" s="54" t="s">
        <v>227</v>
      </c>
      <c r="C1331" s="37" t="s">
        <v>228</v>
      </c>
      <c r="D1331" s="55" t="s">
        <v>805</v>
      </c>
      <c r="E1331" s="56">
        <v>8855.7999999999993</v>
      </c>
      <c r="F1331" s="55">
        <v>35.71</v>
      </c>
      <c r="G1331" s="55">
        <v>16</v>
      </c>
      <c r="I1331" s="49">
        <f t="shared" si="117"/>
        <v>8855.8133099999995</v>
      </c>
      <c r="J1331" s="37" t="str">
        <f t="shared" si="114"/>
        <v>아모레퍼시픽</v>
      </c>
      <c r="K1331" s="37" t="str">
        <f t="shared" si="115"/>
        <v>A090430</v>
      </c>
    </row>
    <row r="1332" spans="1:11" x14ac:dyDescent="0.4">
      <c r="A1332" s="49"/>
      <c r="B1332" s="54" t="s">
        <v>3049</v>
      </c>
      <c r="C1332" s="37" t="s">
        <v>3050</v>
      </c>
      <c r="D1332" s="55" t="s">
        <v>805</v>
      </c>
      <c r="E1332" s="56">
        <v>651.98</v>
      </c>
      <c r="F1332" s="55">
        <v>9.0399999999999991</v>
      </c>
      <c r="G1332" s="55">
        <v>10</v>
      </c>
      <c r="I1332" s="49">
        <f t="shared" si="117"/>
        <v>651.99332000000004</v>
      </c>
      <c r="J1332" s="37" t="str">
        <f t="shared" si="114"/>
        <v>비에이치</v>
      </c>
      <c r="K1332" s="37" t="str">
        <f t="shared" si="115"/>
        <v>A090460</v>
      </c>
    </row>
    <row r="1333" spans="1:11" x14ac:dyDescent="0.4">
      <c r="A1333" s="49"/>
      <c r="B1333" s="54" t="s">
        <v>3051</v>
      </c>
      <c r="C1333" s="37" t="s">
        <v>5200</v>
      </c>
      <c r="D1333" s="55" t="s">
        <v>820</v>
      </c>
      <c r="E1333" s="56">
        <v>131.77000000000001</v>
      </c>
      <c r="F1333" s="55">
        <v>0.87</v>
      </c>
      <c r="G1333" s="55"/>
      <c r="I1333" s="49" t="str">
        <f t="shared" si="117"/>
        <v/>
      </c>
      <c r="J1333" s="37" t="str">
        <f t="shared" si="114"/>
        <v>제이스로보틱스</v>
      </c>
      <c r="K1333" s="37" t="str">
        <f t="shared" si="115"/>
        <v>A090470</v>
      </c>
    </row>
    <row r="1334" spans="1:11" x14ac:dyDescent="0.4">
      <c r="A1334" s="49"/>
      <c r="B1334" s="54" t="s">
        <v>3052</v>
      </c>
      <c r="C1334" s="37" t="s">
        <v>3053</v>
      </c>
      <c r="D1334" s="55" t="s">
        <v>820</v>
      </c>
      <c r="E1334" s="58">
        <v>1723.77</v>
      </c>
      <c r="F1334" s="57">
        <v>189.2</v>
      </c>
      <c r="G1334" s="57"/>
      <c r="H1334" s="49"/>
      <c r="I1334" s="49" t="str">
        <f t="shared" si="117"/>
        <v/>
      </c>
      <c r="J1334" s="37" t="str">
        <f t="shared" si="114"/>
        <v>휴림로봇</v>
      </c>
      <c r="K1334" s="37" t="str">
        <f t="shared" si="115"/>
        <v>A090710</v>
      </c>
    </row>
    <row r="1335" spans="1:11" x14ac:dyDescent="0.4">
      <c r="A1335" s="49"/>
      <c r="B1335" s="54" t="s">
        <v>3054</v>
      </c>
      <c r="C1335" s="37" t="s">
        <v>3055</v>
      </c>
      <c r="D1335" s="55" t="s">
        <v>820</v>
      </c>
      <c r="E1335" s="58">
        <v>151.5</v>
      </c>
      <c r="F1335" s="57">
        <v>0.64</v>
      </c>
      <c r="G1335" s="57"/>
      <c r="H1335" s="49"/>
      <c r="I1335" s="49" t="str">
        <f t="shared" si="117"/>
        <v/>
      </c>
      <c r="J1335" s="37" t="str">
        <f t="shared" si="114"/>
        <v>현대이지웰</v>
      </c>
      <c r="K1335" s="37" t="str">
        <f t="shared" si="115"/>
        <v>A090850</v>
      </c>
    </row>
    <row r="1336" spans="1:11" x14ac:dyDescent="0.4">
      <c r="A1336" s="49"/>
      <c r="B1336" s="54" t="s">
        <v>3056</v>
      </c>
      <c r="C1336" s="37" t="s">
        <v>3057</v>
      </c>
      <c r="D1336" s="55" t="s">
        <v>820</v>
      </c>
      <c r="E1336" s="56">
        <v>123.87</v>
      </c>
      <c r="F1336" s="55">
        <v>0.63</v>
      </c>
      <c r="G1336" s="55"/>
      <c r="I1336" s="49" t="str">
        <f t="shared" si="117"/>
        <v/>
      </c>
      <c r="J1336" s="37" t="str">
        <f t="shared" si="114"/>
        <v>이엠텍</v>
      </c>
      <c r="K1336" s="37" t="str">
        <f t="shared" si="115"/>
        <v>A091120</v>
      </c>
    </row>
    <row r="1337" spans="1:11" x14ac:dyDescent="0.4">
      <c r="A1337" s="49"/>
      <c r="B1337" s="54" t="s">
        <v>3058</v>
      </c>
      <c r="C1337" s="37" t="s">
        <v>3059</v>
      </c>
      <c r="D1337" s="55" t="s">
        <v>820</v>
      </c>
      <c r="E1337" s="58">
        <v>27.15</v>
      </c>
      <c r="F1337" s="57">
        <v>0.11</v>
      </c>
      <c r="G1337" s="57"/>
      <c r="H1337" s="49"/>
      <c r="I1337" s="49" t="str">
        <f t="shared" si="117"/>
        <v/>
      </c>
      <c r="J1337" s="37" t="str">
        <f t="shared" si="114"/>
        <v>S&amp;K폴리텍</v>
      </c>
      <c r="K1337" s="37" t="str">
        <f t="shared" si="115"/>
        <v>A091340</v>
      </c>
    </row>
    <row r="1338" spans="1:11" x14ac:dyDescent="0.4">
      <c r="A1338" s="49"/>
      <c r="B1338" s="54" t="s">
        <v>3060</v>
      </c>
      <c r="C1338" s="37" t="s">
        <v>3061</v>
      </c>
      <c r="D1338" s="55" t="s">
        <v>820</v>
      </c>
      <c r="E1338" s="58">
        <v>97.77</v>
      </c>
      <c r="F1338" s="57">
        <v>0.47</v>
      </c>
      <c r="G1338" s="57"/>
      <c r="H1338" s="49"/>
      <c r="I1338" s="49" t="str">
        <f t="shared" si="117"/>
        <v/>
      </c>
      <c r="J1338" s="37" t="str">
        <f t="shared" si="114"/>
        <v>한울소재과학</v>
      </c>
      <c r="K1338" s="37" t="str">
        <f t="shared" si="115"/>
        <v>A091440</v>
      </c>
    </row>
    <row r="1339" spans="1:11" x14ac:dyDescent="0.4">
      <c r="B1339" s="54" t="s">
        <v>3062</v>
      </c>
      <c r="C1339" s="37" t="s">
        <v>3063</v>
      </c>
      <c r="D1339" s="55" t="s">
        <v>820</v>
      </c>
      <c r="E1339" s="56">
        <v>220.98</v>
      </c>
      <c r="F1339" s="55">
        <v>3.29</v>
      </c>
      <c r="G1339" s="55"/>
      <c r="J1339" s="37" t="str">
        <f t="shared" si="114"/>
        <v>상신이디피</v>
      </c>
      <c r="K1339" s="37" t="str">
        <f t="shared" si="115"/>
        <v>A091580</v>
      </c>
    </row>
    <row r="1340" spans="1:11" x14ac:dyDescent="0.4">
      <c r="A1340" s="49"/>
      <c r="B1340" s="54" t="s">
        <v>3064</v>
      </c>
      <c r="C1340" s="37" t="s">
        <v>3065</v>
      </c>
      <c r="D1340" s="55" t="s">
        <v>820</v>
      </c>
      <c r="E1340" s="56">
        <v>43.5</v>
      </c>
      <c r="F1340" s="55">
        <v>0.14000000000000001</v>
      </c>
      <c r="G1340" s="55"/>
      <c r="I1340" s="49" t="str">
        <f t="shared" ref="I1340:I1354" si="118">IF((G1340&gt;$G$8),E1340+ROW()/100000,"")</f>
        <v/>
      </c>
      <c r="J1340" s="37" t="str">
        <f t="shared" si="114"/>
        <v>남화토건</v>
      </c>
      <c r="K1340" s="37" t="str">
        <f t="shared" si="115"/>
        <v>A091590</v>
      </c>
    </row>
    <row r="1341" spans="1:11" x14ac:dyDescent="0.4">
      <c r="A1341" s="49"/>
      <c r="B1341" s="54" t="s">
        <v>3066</v>
      </c>
      <c r="C1341" s="37" t="s">
        <v>3067</v>
      </c>
      <c r="D1341" s="55" t="s">
        <v>820</v>
      </c>
      <c r="E1341" s="58">
        <v>473</v>
      </c>
      <c r="F1341" s="57">
        <v>1.58</v>
      </c>
      <c r="G1341" s="57">
        <v>3</v>
      </c>
      <c r="H1341" s="49"/>
      <c r="I1341" s="49">
        <f t="shared" si="118"/>
        <v>473.01341000000002</v>
      </c>
      <c r="J1341" s="37" t="str">
        <f t="shared" si="114"/>
        <v>파트론</v>
      </c>
      <c r="K1341" s="37" t="str">
        <f t="shared" si="115"/>
        <v>A091700</v>
      </c>
    </row>
    <row r="1342" spans="1:11" x14ac:dyDescent="0.4">
      <c r="A1342" s="49"/>
      <c r="B1342" s="54" t="s">
        <v>3068</v>
      </c>
      <c r="C1342" s="37" t="s">
        <v>5182</v>
      </c>
      <c r="D1342" s="55" t="s">
        <v>805</v>
      </c>
      <c r="E1342" s="58">
        <v>449.21</v>
      </c>
      <c r="F1342" s="57">
        <v>0.82</v>
      </c>
      <c r="G1342" s="57">
        <v>2</v>
      </c>
      <c r="H1342" s="49"/>
      <c r="I1342" s="49">
        <f t="shared" si="118"/>
        <v>449.22341999999998</v>
      </c>
      <c r="J1342" s="37" t="str">
        <f t="shared" si="114"/>
        <v>트리니티항공</v>
      </c>
      <c r="K1342" s="37" t="str">
        <f t="shared" si="115"/>
        <v>A091810</v>
      </c>
    </row>
    <row r="1343" spans="1:11" x14ac:dyDescent="0.4">
      <c r="A1343" s="49"/>
      <c r="B1343" s="54" t="s">
        <v>3069</v>
      </c>
      <c r="C1343" s="37" t="s">
        <v>3070</v>
      </c>
      <c r="D1343" s="55" t="s">
        <v>820</v>
      </c>
      <c r="E1343" s="56">
        <v>22.11</v>
      </c>
      <c r="F1343" s="55">
        <v>1.04</v>
      </c>
      <c r="G1343" s="55"/>
      <c r="I1343" s="49" t="str">
        <f t="shared" si="118"/>
        <v/>
      </c>
      <c r="J1343" s="37" t="str">
        <f t="shared" si="114"/>
        <v>나노캠텍</v>
      </c>
      <c r="K1343" s="37" t="str">
        <f t="shared" si="115"/>
        <v>A091970</v>
      </c>
    </row>
    <row r="1344" spans="1:11" x14ac:dyDescent="0.4">
      <c r="A1344" s="49"/>
      <c r="B1344" s="54" t="s">
        <v>3071</v>
      </c>
      <c r="C1344" s="37" t="s">
        <v>3072</v>
      </c>
      <c r="D1344" s="55" t="s">
        <v>820</v>
      </c>
      <c r="E1344" s="58">
        <v>95.24</v>
      </c>
      <c r="F1344" s="57">
        <v>1.88</v>
      </c>
      <c r="G1344" s="57"/>
      <c r="H1344" s="49"/>
      <c r="I1344" s="49" t="str">
        <f t="shared" si="118"/>
        <v/>
      </c>
      <c r="J1344" s="37" t="str">
        <f t="shared" si="114"/>
        <v>아미코젠</v>
      </c>
      <c r="K1344" s="37" t="str">
        <f t="shared" si="115"/>
        <v>A092040</v>
      </c>
    </row>
    <row r="1345" spans="1:11" x14ac:dyDescent="0.4">
      <c r="A1345" s="49"/>
      <c r="B1345" s="54" t="s">
        <v>3073</v>
      </c>
      <c r="C1345" s="37" t="s">
        <v>3074</v>
      </c>
      <c r="D1345" s="55" t="s">
        <v>820</v>
      </c>
      <c r="E1345" s="58">
        <v>255.74</v>
      </c>
      <c r="F1345" s="57">
        <v>1.54</v>
      </c>
      <c r="G1345" s="57"/>
      <c r="H1345" s="49"/>
      <c r="I1345" s="49" t="str">
        <f t="shared" si="118"/>
        <v/>
      </c>
      <c r="J1345" s="37" t="str">
        <f t="shared" si="114"/>
        <v>디엔에프</v>
      </c>
      <c r="K1345" s="37" t="str">
        <f t="shared" si="115"/>
        <v>A092070</v>
      </c>
    </row>
    <row r="1346" spans="1:11" x14ac:dyDescent="0.4">
      <c r="A1346" s="49"/>
      <c r="B1346" s="54" t="s">
        <v>3075</v>
      </c>
      <c r="C1346" s="37" t="s">
        <v>3076</v>
      </c>
      <c r="D1346" s="55" t="s">
        <v>820</v>
      </c>
      <c r="E1346" s="58">
        <v>184.75</v>
      </c>
      <c r="F1346" s="57">
        <v>0.28999999999999998</v>
      </c>
      <c r="G1346" s="57"/>
      <c r="H1346" s="49"/>
      <c r="I1346" s="49" t="str">
        <f t="shared" si="118"/>
        <v/>
      </c>
      <c r="J1346" s="37" t="str">
        <f t="shared" si="114"/>
        <v>이크레더블</v>
      </c>
      <c r="K1346" s="37" t="str">
        <f t="shared" si="115"/>
        <v>A092130</v>
      </c>
    </row>
    <row r="1347" spans="1:11" x14ac:dyDescent="0.4">
      <c r="A1347" s="49"/>
      <c r="B1347" s="54" t="s">
        <v>3077</v>
      </c>
      <c r="C1347" s="37" t="s">
        <v>3078</v>
      </c>
      <c r="D1347" s="55" t="s">
        <v>820</v>
      </c>
      <c r="E1347" s="58">
        <v>188.52</v>
      </c>
      <c r="F1347" s="57">
        <v>0.52</v>
      </c>
      <c r="G1347" s="57"/>
      <c r="H1347" s="49"/>
      <c r="I1347" s="49" t="str">
        <f t="shared" si="118"/>
        <v/>
      </c>
      <c r="J1347" s="37" t="str">
        <f t="shared" si="114"/>
        <v>서울바이오시스</v>
      </c>
      <c r="K1347" s="37" t="str">
        <f t="shared" si="115"/>
        <v>A092190</v>
      </c>
    </row>
    <row r="1348" spans="1:11" x14ac:dyDescent="0.4">
      <c r="A1348" s="49"/>
      <c r="B1348" s="54" t="s">
        <v>3079</v>
      </c>
      <c r="C1348" s="37" t="s">
        <v>3080</v>
      </c>
      <c r="D1348" s="55" t="s">
        <v>805</v>
      </c>
      <c r="E1348" s="58">
        <v>395.89</v>
      </c>
      <c r="F1348" s="57">
        <v>29.53</v>
      </c>
      <c r="G1348" s="57"/>
      <c r="H1348" s="49"/>
      <c r="I1348" s="49" t="str">
        <f t="shared" si="118"/>
        <v/>
      </c>
      <c r="J1348" s="37" t="str">
        <f t="shared" si="114"/>
        <v>디아이씨</v>
      </c>
      <c r="K1348" s="37" t="str">
        <f t="shared" si="115"/>
        <v>A092200</v>
      </c>
    </row>
    <row r="1349" spans="1:11" x14ac:dyDescent="0.4">
      <c r="A1349" s="49"/>
      <c r="B1349" s="54" t="s">
        <v>3081</v>
      </c>
      <c r="C1349" s="37" t="s">
        <v>3082</v>
      </c>
      <c r="D1349" s="55" t="s">
        <v>805</v>
      </c>
      <c r="E1349" s="58">
        <v>262</v>
      </c>
      <c r="F1349" s="57">
        <v>2.62</v>
      </c>
      <c r="G1349" s="57"/>
      <c r="H1349" s="49"/>
      <c r="I1349" s="49" t="str">
        <f t="shared" si="118"/>
        <v/>
      </c>
      <c r="J1349" s="37" t="str">
        <f t="shared" si="114"/>
        <v>KEC</v>
      </c>
      <c r="K1349" s="37" t="str">
        <f t="shared" si="115"/>
        <v>A092220</v>
      </c>
    </row>
    <row r="1350" spans="1:11" x14ac:dyDescent="0.4">
      <c r="A1350" s="49"/>
      <c r="B1350" s="54" t="s">
        <v>3083</v>
      </c>
      <c r="C1350" s="37" t="s">
        <v>3084</v>
      </c>
      <c r="D1350" s="55" t="s">
        <v>805</v>
      </c>
      <c r="E1350" s="58">
        <v>349.8</v>
      </c>
      <c r="F1350" s="57">
        <v>0.21</v>
      </c>
      <c r="G1350" s="57"/>
      <c r="H1350" s="49"/>
      <c r="I1350" s="49" t="str">
        <f t="shared" si="118"/>
        <v/>
      </c>
      <c r="J1350" s="37" t="str">
        <f t="shared" si="114"/>
        <v>KPX홀딩스</v>
      </c>
      <c r="K1350" s="37" t="str">
        <f t="shared" si="115"/>
        <v>A092230</v>
      </c>
    </row>
    <row r="1351" spans="1:11" x14ac:dyDescent="0.4">
      <c r="A1351" s="49"/>
      <c r="B1351" s="54" t="s">
        <v>3085</v>
      </c>
      <c r="C1351" s="37" t="s">
        <v>3086</v>
      </c>
      <c r="D1351" s="55" t="s">
        <v>820</v>
      </c>
      <c r="E1351" s="56">
        <v>66.36</v>
      </c>
      <c r="F1351" s="55">
        <v>1.58</v>
      </c>
      <c r="G1351" s="55"/>
      <c r="I1351" s="49" t="str">
        <f t="shared" si="118"/>
        <v/>
      </c>
      <c r="J1351" s="37" t="str">
        <f t="shared" si="114"/>
        <v>현우산업</v>
      </c>
      <c r="K1351" s="37" t="str">
        <f t="shared" si="115"/>
        <v>A092300</v>
      </c>
    </row>
    <row r="1352" spans="1:11" x14ac:dyDescent="0.4">
      <c r="A1352" s="49"/>
      <c r="B1352" s="54" t="s">
        <v>3087</v>
      </c>
      <c r="C1352" s="37" t="s">
        <v>3088</v>
      </c>
      <c r="D1352" s="55" t="s">
        <v>805</v>
      </c>
      <c r="E1352" s="56">
        <v>69.06</v>
      </c>
      <c r="F1352" s="55">
        <v>0.06</v>
      </c>
      <c r="G1352" s="55"/>
      <c r="I1352" s="49" t="str">
        <f t="shared" si="118"/>
        <v/>
      </c>
      <c r="J1352" s="37" t="str">
        <f t="shared" si="114"/>
        <v>기신정기</v>
      </c>
      <c r="K1352" s="37" t="str">
        <f t="shared" si="115"/>
        <v>A092440</v>
      </c>
    </row>
    <row r="1353" spans="1:11" x14ac:dyDescent="0.4">
      <c r="A1353" s="49"/>
      <c r="B1353" s="54" t="s">
        <v>3089</v>
      </c>
      <c r="C1353" s="37" t="s">
        <v>3090</v>
      </c>
      <c r="D1353" s="55" t="s">
        <v>820</v>
      </c>
      <c r="E1353" s="57">
        <v>265.54000000000002</v>
      </c>
      <c r="F1353" s="55">
        <v>11.25</v>
      </c>
      <c r="G1353" s="55">
        <v>1</v>
      </c>
      <c r="I1353" s="49">
        <f t="shared" si="118"/>
        <v>265.55353000000002</v>
      </c>
      <c r="J1353" s="37" t="str">
        <f t="shared" si="114"/>
        <v>한라IMS</v>
      </c>
      <c r="K1353" s="37" t="str">
        <f t="shared" si="115"/>
        <v>A092460</v>
      </c>
    </row>
    <row r="1354" spans="1:11" x14ac:dyDescent="0.4">
      <c r="A1354" s="49"/>
      <c r="B1354" s="54" t="s">
        <v>3091</v>
      </c>
      <c r="C1354" s="37" t="s">
        <v>3092</v>
      </c>
      <c r="D1354" s="55" t="s">
        <v>820</v>
      </c>
      <c r="E1354" s="58">
        <v>19.059999999999999</v>
      </c>
      <c r="F1354" s="57">
        <v>0.22</v>
      </c>
      <c r="G1354" s="57"/>
      <c r="H1354" s="49"/>
      <c r="I1354" s="49" t="str">
        <f t="shared" si="118"/>
        <v/>
      </c>
      <c r="J1354" s="37" t="str">
        <f t="shared" si="114"/>
        <v>앤씨앤</v>
      </c>
      <c r="K1354" s="37" t="str">
        <f t="shared" si="115"/>
        <v>A092600</v>
      </c>
    </row>
    <row r="1355" spans="1:11" x14ac:dyDescent="0.4">
      <c r="A1355" s="49"/>
      <c r="B1355" s="54" t="s">
        <v>3093</v>
      </c>
      <c r="C1355" s="37" t="s">
        <v>3094</v>
      </c>
      <c r="D1355" s="55" t="s">
        <v>820</v>
      </c>
      <c r="E1355" s="56">
        <v>302.93</v>
      </c>
      <c r="F1355" s="55">
        <v>2.0299999999999998</v>
      </c>
      <c r="G1355" s="55">
        <v>2</v>
      </c>
      <c r="J1355" s="37" t="str">
        <f t="shared" si="114"/>
        <v>네오팜</v>
      </c>
      <c r="K1355" s="37" t="str">
        <f t="shared" si="115"/>
        <v>A092730</v>
      </c>
    </row>
    <row r="1356" spans="1:11" x14ac:dyDescent="0.4">
      <c r="A1356" s="49"/>
      <c r="B1356" s="54" t="s">
        <v>3095</v>
      </c>
      <c r="C1356" s="37" t="s">
        <v>3096</v>
      </c>
      <c r="D1356" s="55" t="s">
        <v>805</v>
      </c>
      <c r="E1356" s="58">
        <v>65.12</v>
      </c>
      <c r="F1356" s="57">
        <v>1.86</v>
      </c>
      <c r="G1356" s="57"/>
      <c r="H1356" s="49"/>
      <c r="I1356" s="49" t="str">
        <f t="shared" ref="I1356:I1385" si="119">IF((G1356&gt;$G$8),E1356+ROW()/100000,"")</f>
        <v/>
      </c>
      <c r="J1356" s="37" t="str">
        <f t="shared" si="114"/>
        <v>DYP</v>
      </c>
      <c r="K1356" s="37" t="str">
        <f t="shared" si="115"/>
        <v>A092780</v>
      </c>
    </row>
    <row r="1357" spans="1:11" x14ac:dyDescent="0.4">
      <c r="A1357" s="49"/>
      <c r="B1357" s="54" t="s">
        <v>442</v>
      </c>
      <c r="C1357" s="37" t="s">
        <v>443</v>
      </c>
      <c r="D1357" s="55" t="s">
        <v>805</v>
      </c>
      <c r="E1357" s="58">
        <v>303.18</v>
      </c>
      <c r="F1357" s="57">
        <v>3.64</v>
      </c>
      <c r="G1357" s="57"/>
      <c r="H1357" s="49"/>
      <c r="I1357" s="49" t="str">
        <f t="shared" si="119"/>
        <v/>
      </c>
      <c r="J1357" s="37" t="str">
        <f t="shared" si="114"/>
        <v>넥스틸</v>
      </c>
      <c r="K1357" s="37" t="str">
        <f t="shared" si="115"/>
        <v>A092790</v>
      </c>
    </row>
    <row r="1358" spans="1:11" x14ac:dyDescent="0.4">
      <c r="A1358" s="49"/>
      <c r="B1358" s="54" t="s">
        <v>3097</v>
      </c>
      <c r="C1358" s="37" t="s">
        <v>3098</v>
      </c>
      <c r="D1358" s="55" t="s">
        <v>820</v>
      </c>
      <c r="E1358" s="57">
        <v>405.23</v>
      </c>
      <c r="F1358" s="55">
        <v>10.74</v>
      </c>
      <c r="G1358" s="55"/>
      <c r="I1358" s="49" t="str">
        <f t="shared" si="119"/>
        <v/>
      </c>
      <c r="J1358" s="37" t="str">
        <f t="shared" ref="J1358:J1421" si="120">C1358</f>
        <v>엑시콘</v>
      </c>
      <c r="K1358" s="37" t="str">
        <f t="shared" ref="K1358:K1421" si="121">B1358</f>
        <v>A092870</v>
      </c>
    </row>
    <row r="1359" spans="1:11" x14ac:dyDescent="0.4">
      <c r="A1359" s="49"/>
      <c r="B1359" s="54" t="s">
        <v>200</v>
      </c>
      <c r="C1359" s="37" t="s">
        <v>201</v>
      </c>
      <c r="D1359" s="55" t="s">
        <v>805</v>
      </c>
      <c r="E1359" s="56">
        <v>659.36</v>
      </c>
      <c r="F1359" s="55">
        <v>1.07</v>
      </c>
      <c r="G1359" s="55">
        <v>1</v>
      </c>
      <c r="I1359" s="49">
        <f t="shared" si="119"/>
        <v>659.37359000000004</v>
      </c>
      <c r="J1359" s="37" t="str">
        <f t="shared" si="120"/>
        <v>LF</v>
      </c>
      <c r="K1359" s="37" t="str">
        <f t="shared" si="121"/>
        <v>A093050</v>
      </c>
    </row>
    <row r="1360" spans="1:11" x14ac:dyDescent="0.4">
      <c r="A1360" s="49"/>
      <c r="B1360" s="54" t="s">
        <v>3099</v>
      </c>
      <c r="C1360" s="37" t="s">
        <v>3100</v>
      </c>
      <c r="D1360" s="55" t="s">
        <v>820</v>
      </c>
      <c r="E1360" s="58">
        <v>142.75</v>
      </c>
      <c r="F1360" s="57">
        <v>0.13</v>
      </c>
      <c r="G1360" s="57"/>
      <c r="H1360" s="49"/>
      <c r="I1360" s="49" t="str">
        <f t="shared" si="119"/>
        <v/>
      </c>
      <c r="J1360" s="37" t="str">
        <f t="shared" si="120"/>
        <v>빅솔론</v>
      </c>
      <c r="K1360" s="37" t="str">
        <f t="shared" si="121"/>
        <v>A093190</v>
      </c>
    </row>
    <row r="1361" spans="1:11" x14ac:dyDescent="0.4">
      <c r="A1361" s="49"/>
      <c r="B1361" s="54" t="s">
        <v>3101</v>
      </c>
      <c r="C1361" s="37" t="s">
        <v>3102</v>
      </c>
      <c r="D1361" s="55" t="s">
        <v>805</v>
      </c>
      <c r="E1361" s="57">
        <v>73.36</v>
      </c>
      <c r="F1361" s="55">
        <v>8.17</v>
      </c>
      <c r="G1361" s="55"/>
      <c r="I1361" s="49" t="str">
        <f t="shared" si="119"/>
        <v/>
      </c>
      <c r="J1361" s="37" t="str">
        <f t="shared" si="120"/>
        <v>형지엘리트</v>
      </c>
      <c r="K1361" s="37" t="str">
        <f t="shared" si="121"/>
        <v>A093240</v>
      </c>
    </row>
    <row r="1362" spans="1:11" x14ac:dyDescent="0.4">
      <c r="A1362" s="49"/>
      <c r="B1362" s="54" t="s">
        <v>3103</v>
      </c>
      <c r="C1362" s="37" t="s">
        <v>3104</v>
      </c>
      <c r="D1362" s="55" t="s">
        <v>820</v>
      </c>
      <c r="E1362" s="56">
        <v>582.66999999999996</v>
      </c>
      <c r="F1362" s="55">
        <v>2.23</v>
      </c>
      <c r="G1362" s="55">
        <v>1</v>
      </c>
      <c r="I1362" s="49">
        <f t="shared" si="119"/>
        <v>582.68361999999991</v>
      </c>
      <c r="J1362" s="37" t="str">
        <f t="shared" si="120"/>
        <v>케이아이엔엑스</v>
      </c>
      <c r="K1362" s="37" t="str">
        <f t="shared" si="121"/>
        <v>A093320</v>
      </c>
    </row>
    <row r="1363" spans="1:11" x14ac:dyDescent="0.4">
      <c r="A1363" s="49"/>
      <c r="B1363" s="54" t="s">
        <v>3105</v>
      </c>
      <c r="C1363" s="37" t="s">
        <v>3106</v>
      </c>
      <c r="D1363" s="55" t="s">
        <v>805</v>
      </c>
      <c r="E1363" s="56">
        <v>861.26</v>
      </c>
      <c r="F1363" s="55">
        <v>13.02</v>
      </c>
      <c r="G1363" s="55"/>
      <c r="I1363" s="49" t="str">
        <f t="shared" si="119"/>
        <v/>
      </c>
      <c r="J1363" s="37" t="str">
        <f t="shared" si="120"/>
        <v>후성</v>
      </c>
      <c r="K1363" s="37" t="str">
        <f t="shared" si="121"/>
        <v>A093370</v>
      </c>
    </row>
    <row r="1364" spans="1:11" x14ac:dyDescent="0.4">
      <c r="A1364" s="49"/>
      <c r="B1364" s="54" t="s">
        <v>3107</v>
      </c>
      <c r="C1364" s="37" t="s">
        <v>3108</v>
      </c>
      <c r="D1364" s="55" t="s">
        <v>820</v>
      </c>
      <c r="E1364" s="58">
        <v>27.51</v>
      </c>
      <c r="F1364" s="57">
        <v>0.03</v>
      </c>
      <c r="G1364" s="57"/>
      <c r="H1364" s="49"/>
      <c r="I1364" s="49" t="str">
        <f t="shared" si="119"/>
        <v/>
      </c>
      <c r="J1364" s="37" t="str">
        <f t="shared" si="120"/>
        <v>풍강</v>
      </c>
      <c r="K1364" s="37" t="str">
        <f t="shared" si="121"/>
        <v>A093380</v>
      </c>
    </row>
    <row r="1365" spans="1:11" x14ac:dyDescent="0.4">
      <c r="A1365" s="49"/>
      <c r="B1365" s="54" t="s">
        <v>3109</v>
      </c>
      <c r="C1365" s="37" t="s">
        <v>3110</v>
      </c>
      <c r="D1365" s="55" t="s">
        <v>820</v>
      </c>
      <c r="E1365" s="58">
        <v>459.59</v>
      </c>
      <c r="F1365" s="57">
        <v>2.79</v>
      </c>
      <c r="G1365" s="57"/>
      <c r="H1365" s="49"/>
      <c r="I1365" s="49" t="str">
        <f t="shared" si="119"/>
        <v/>
      </c>
      <c r="J1365" s="37" t="str">
        <f t="shared" si="120"/>
        <v>매커스</v>
      </c>
      <c r="K1365" s="37" t="str">
        <f t="shared" si="121"/>
        <v>A093520</v>
      </c>
    </row>
    <row r="1366" spans="1:11" x14ac:dyDescent="0.4">
      <c r="A1366" s="49"/>
      <c r="B1366" s="54" t="s">
        <v>3111</v>
      </c>
      <c r="C1366" s="37" t="s">
        <v>3112</v>
      </c>
      <c r="D1366" s="55" t="s">
        <v>820</v>
      </c>
      <c r="E1366" s="58">
        <v>110.82</v>
      </c>
      <c r="F1366" s="57">
        <v>0.28000000000000003</v>
      </c>
      <c r="G1366" s="57"/>
      <c r="H1366" s="49"/>
      <c r="I1366" s="49" t="str">
        <f t="shared" si="119"/>
        <v/>
      </c>
      <c r="J1366" s="37" t="str">
        <f t="shared" si="120"/>
        <v>케이알엠</v>
      </c>
      <c r="K1366" s="37" t="str">
        <f t="shared" si="121"/>
        <v>A093640</v>
      </c>
    </row>
    <row r="1367" spans="1:11" x14ac:dyDescent="0.4">
      <c r="A1367" s="49"/>
      <c r="B1367" s="54" t="s">
        <v>3113</v>
      </c>
      <c r="C1367" s="37" t="s">
        <v>3114</v>
      </c>
      <c r="D1367" s="55" t="s">
        <v>820</v>
      </c>
      <c r="E1367" s="58">
        <v>98.02</v>
      </c>
      <c r="F1367" s="57">
        <v>0.17</v>
      </c>
      <c r="G1367" s="57"/>
      <c r="H1367" s="49"/>
      <c r="I1367" s="49" t="str">
        <f t="shared" si="119"/>
        <v/>
      </c>
      <c r="J1367" s="37" t="str">
        <f t="shared" si="120"/>
        <v>서원인텍</v>
      </c>
      <c r="K1367" s="37" t="str">
        <f t="shared" si="121"/>
        <v>A093920</v>
      </c>
    </row>
    <row r="1368" spans="1:11" x14ac:dyDescent="0.4">
      <c r="A1368" s="49"/>
      <c r="B1368" s="54" t="s">
        <v>3115</v>
      </c>
      <c r="C1368" s="37" t="s">
        <v>3116</v>
      </c>
      <c r="D1368" s="55" t="s">
        <v>820</v>
      </c>
      <c r="E1368" s="58">
        <v>612.66</v>
      </c>
      <c r="F1368" s="57">
        <v>5.81</v>
      </c>
      <c r="G1368" s="57">
        <v>1</v>
      </c>
      <c r="H1368" s="49"/>
      <c r="I1368" s="49">
        <f t="shared" si="119"/>
        <v>612.67367999999999</v>
      </c>
      <c r="J1368" s="37" t="str">
        <f t="shared" si="120"/>
        <v>동운아나텍</v>
      </c>
      <c r="K1368" s="37" t="str">
        <f t="shared" si="121"/>
        <v>A094170</v>
      </c>
    </row>
    <row r="1369" spans="1:11" x14ac:dyDescent="0.4">
      <c r="A1369" s="49"/>
      <c r="B1369" s="54" t="s">
        <v>3117</v>
      </c>
      <c r="C1369" s="37" t="s">
        <v>3118</v>
      </c>
      <c r="D1369" s="55" t="s">
        <v>805</v>
      </c>
      <c r="E1369" s="58">
        <v>146.66999999999999</v>
      </c>
      <c r="F1369" s="57">
        <v>0.17</v>
      </c>
      <c r="G1369" s="57"/>
      <c r="H1369" s="49"/>
      <c r="I1369" s="49" t="str">
        <f t="shared" si="119"/>
        <v/>
      </c>
      <c r="J1369" s="37" t="str">
        <f t="shared" si="120"/>
        <v>효성ITX</v>
      </c>
      <c r="K1369" s="37" t="str">
        <f t="shared" si="121"/>
        <v>A094280</v>
      </c>
    </row>
    <row r="1370" spans="1:11" x14ac:dyDescent="0.4">
      <c r="A1370" s="49"/>
      <c r="B1370" s="54" t="s">
        <v>3119</v>
      </c>
      <c r="C1370" s="37" t="s">
        <v>3120</v>
      </c>
      <c r="D1370" s="55" t="s">
        <v>820</v>
      </c>
      <c r="E1370" s="58">
        <v>389.56</v>
      </c>
      <c r="F1370" s="57">
        <v>5.22</v>
      </c>
      <c r="G1370" s="57">
        <v>1</v>
      </c>
      <c r="H1370" s="49"/>
      <c r="I1370" s="49">
        <f t="shared" si="119"/>
        <v>389.57369999999997</v>
      </c>
      <c r="J1370" s="37" t="str">
        <f t="shared" si="120"/>
        <v>칩스앤미디어</v>
      </c>
      <c r="K1370" s="37" t="str">
        <f t="shared" si="121"/>
        <v>A094360</v>
      </c>
    </row>
    <row r="1371" spans="1:11" x14ac:dyDescent="0.4">
      <c r="A1371" s="49"/>
      <c r="B1371" s="54" t="s">
        <v>3121</v>
      </c>
      <c r="C1371" s="37" t="s">
        <v>3122</v>
      </c>
      <c r="D1371" s="55" t="s">
        <v>820</v>
      </c>
      <c r="E1371" s="56">
        <v>397.79</v>
      </c>
      <c r="F1371" s="55">
        <v>6.33</v>
      </c>
      <c r="G1371" s="55"/>
      <c r="I1371" s="49" t="str">
        <f t="shared" si="119"/>
        <v/>
      </c>
      <c r="J1371" s="37" t="str">
        <f t="shared" si="120"/>
        <v>갤럭시아머니트리</v>
      </c>
      <c r="K1371" s="37" t="str">
        <f t="shared" si="121"/>
        <v>A094480</v>
      </c>
    </row>
    <row r="1372" spans="1:11" x14ac:dyDescent="0.4">
      <c r="A1372" s="49"/>
      <c r="B1372" s="54" t="s">
        <v>3123</v>
      </c>
      <c r="C1372" s="37" t="s">
        <v>3124</v>
      </c>
      <c r="D1372" s="55" t="s">
        <v>820</v>
      </c>
      <c r="E1372" s="58">
        <v>279.41000000000003</v>
      </c>
      <c r="F1372" s="57">
        <v>10.91</v>
      </c>
      <c r="G1372" s="57"/>
      <c r="H1372" s="49"/>
      <c r="I1372" s="49" t="str">
        <f t="shared" si="119"/>
        <v/>
      </c>
      <c r="J1372" s="37" t="str">
        <f t="shared" si="120"/>
        <v>일진파워</v>
      </c>
      <c r="K1372" s="37" t="str">
        <f t="shared" si="121"/>
        <v>A094820</v>
      </c>
    </row>
    <row r="1373" spans="1:11" x14ac:dyDescent="0.4">
      <c r="A1373" s="49"/>
      <c r="B1373" s="54" t="s">
        <v>3125</v>
      </c>
      <c r="C1373" s="37" t="s">
        <v>3126</v>
      </c>
      <c r="D1373" s="55" t="s">
        <v>820</v>
      </c>
      <c r="E1373" s="58">
        <v>74.56</v>
      </c>
      <c r="F1373" s="57">
        <v>0.55000000000000004</v>
      </c>
      <c r="G1373" s="57"/>
      <c r="H1373" s="49"/>
      <c r="I1373" s="49" t="str">
        <f t="shared" si="119"/>
        <v/>
      </c>
      <c r="J1373" s="37" t="str">
        <f t="shared" si="120"/>
        <v>슈프리마에이치큐</v>
      </c>
      <c r="K1373" s="37" t="str">
        <f t="shared" si="121"/>
        <v>A094840</v>
      </c>
    </row>
    <row r="1374" spans="1:11" x14ac:dyDescent="0.4">
      <c r="A1374" s="49"/>
      <c r="B1374" s="54" t="s">
        <v>3127</v>
      </c>
      <c r="C1374" s="37" t="s">
        <v>3128</v>
      </c>
      <c r="D1374" s="55" t="s">
        <v>820</v>
      </c>
      <c r="E1374" s="58">
        <v>82.04</v>
      </c>
      <c r="F1374" s="57">
        <v>2.37</v>
      </c>
      <c r="G1374" s="57"/>
      <c r="H1374" s="49"/>
      <c r="I1374" s="49" t="str">
        <f t="shared" si="119"/>
        <v/>
      </c>
      <c r="J1374" s="37" t="str">
        <f t="shared" si="120"/>
        <v>참좋은여행</v>
      </c>
      <c r="K1374" s="37" t="str">
        <f t="shared" si="121"/>
        <v>A094850</v>
      </c>
    </row>
    <row r="1375" spans="1:11" x14ac:dyDescent="0.4">
      <c r="A1375" s="49"/>
      <c r="B1375" s="54" t="s">
        <v>3129</v>
      </c>
      <c r="C1375" s="37" t="s">
        <v>3130</v>
      </c>
      <c r="D1375" s="55" t="s">
        <v>820</v>
      </c>
      <c r="E1375" s="56">
        <v>35.1</v>
      </c>
      <c r="F1375" s="55">
        <v>0.35</v>
      </c>
      <c r="G1375" s="55"/>
      <c r="I1375" s="49" t="str">
        <f t="shared" si="119"/>
        <v/>
      </c>
      <c r="J1375" s="37" t="str">
        <f t="shared" si="120"/>
        <v>네오리진</v>
      </c>
      <c r="K1375" s="37" t="str">
        <f t="shared" si="121"/>
        <v>A094860</v>
      </c>
    </row>
    <row r="1376" spans="1:11" x14ac:dyDescent="0.4">
      <c r="A1376" s="49"/>
      <c r="B1376" s="54" t="s">
        <v>3131</v>
      </c>
      <c r="C1376" s="37" t="s">
        <v>3132</v>
      </c>
      <c r="D1376" s="55" t="s">
        <v>820</v>
      </c>
      <c r="E1376" s="58">
        <v>88.21</v>
      </c>
      <c r="F1376" s="57">
        <v>5.54</v>
      </c>
      <c r="G1376" s="57"/>
      <c r="H1376" s="49"/>
      <c r="I1376" s="49" t="str">
        <f t="shared" si="119"/>
        <v/>
      </c>
      <c r="J1376" s="37" t="str">
        <f t="shared" si="120"/>
        <v>푸른기술</v>
      </c>
      <c r="K1376" s="37" t="str">
        <f t="shared" si="121"/>
        <v>A094940</v>
      </c>
    </row>
    <row r="1377" spans="1:11" x14ac:dyDescent="0.4">
      <c r="A1377" s="49"/>
      <c r="B1377" s="54" t="s">
        <v>3133</v>
      </c>
      <c r="C1377" s="37" t="s">
        <v>3134</v>
      </c>
      <c r="D1377" s="55" t="s">
        <v>820</v>
      </c>
      <c r="E1377" s="56">
        <v>47.98</v>
      </c>
      <c r="F1377" s="55">
        <v>0.63</v>
      </c>
      <c r="G1377" s="55"/>
      <c r="I1377" s="49" t="str">
        <f t="shared" si="119"/>
        <v/>
      </c>
      <c r="J1377" s="37" t="str">
        <f t="shared" si="120"/>
        <v>제이엠티</v>
      </c>
      <c r="K1377" s="37" t="str">
        <f t="shared" si="121"/>
        <v>A094970</v>
      </c>
    </row>
    <row r="1378" spans="1:11" x14ac:dyDescent="0.4">
      <c r="A1378" s="49"/>
      <c r="B1378" s="54" t="s">
        <v>3135</v>
      </c>
      <c r="C1378" s="37" t="s">
        <v>5185</v>
      </c>
      <c r="D1378" s="55" t="s">
        <v>820</v>
      </c>
      <c r="E1378" s="58">
        <v>154.01</v>
      </c>
      <c r="F1378" s="57">
        <v>0.64</v>
      </c>
      <c r="G1378" s="57"/>
      <c r="H1378" s="49"/>
      <c r="I1378" s="49" t="str">
        <f t="shared" si="119"/>
        <v/>
      </c>
      <c r="J1378" s="37" t="str">
        <f t="shared" si="120"/>
        <v>신화프리텍</v>
      </c>
      <c r="K1378" s="37" t="str">
        <f t="shared" si="121"/>
        <v>A095190</v>
      </c>
    </row>
    <row r="1379" spans="1:11" x14ac:dyDescent="0.4">
      <c r="A1379" s="49"/>
      <c r="B1379" s="54" t="s">
        <v>3136</v>
      </c>
      <c r="C1379" s="37" t="s">
        <v>3137</v>
      </c>
      <c r="D1379" s="55" t="s">
        <v>820</v>
      </c>
      <c r="E1379" s="58">
        <v>64.680000000000007</v>
      </c>
      <c r="F1379" s="57">
        <v>0.38</v>
      </c>
      <c r="G1379" s="57"/>
      <c r="H1379" s="49"/>
      <c r="I1379" s="49" t="str">
        <f t="shared" si="119"/>
        <v/>
      </c>
      <c r="J1379" s="37" t="str">
        <f t="shared" si="120"/>
        <v>웨이브일렉트로</v>
      </c>
      <c r="K1379" s="37" t="str">
        <f t="shared" si="121"/>
        <v>A095270</v>
      </c>
    </row>
    <row r="1380" spans="1:11" x14ac:dyDescent="0.4">
      <c r="A1380" s="49"/>
      <c r="B1380" s="54" t="s">
        <v>351</v>
      </c>
      <c r="C1380" s="37" t="s">
        <v>352</v>
      </c>
      <c r="D1380" s="55" t="s">
        <v>820</v>
      </c>
      <c r="E1380" s="56">
        <v>4086.79</v>
      </c>
      <c r="F1380" s="55">
        <v>26.05</v>
      </c>
      <c r="G1380" s="55">
        <v>7</v>
      </c>
      <c r="I1380" s="49">
        <f t="shared" si="119"/>
        <v>4086.8038000000001</v>
      </c>
      <c r="J1380" s="37" t="str">
        <f t="shared" si="120"/>
        <v>ISC</v>
      </c>
      <c r="K1380" s="37" t="str">
        <f t="shared" si="121"/>
        <v>A095340</v>
      </c>
    </row>
    <row r="1381" spans="1:11" x14ac:dyDescent="0.4">
      <c r="A1381" s="49"/>
      <c r="B1381" s="54" t="s">
        <v>3138</v>
      </c>
      <c r="C1381" s="37" t="s">
        <v>3139</v>
      </c>
      <c r="D1381" s="55" t="s">
        <v>820</v>
      </c>
      <c r="E1381" s="58">
        <v>353.2</v>
      </c>
      <c r="F1381" s="57">
        <v>5.74</v>
      </c>
      <c r="G1381" s="57"/>
      <c r="H1381" s="49"/>
      <c r="I1381" s="49" t="str">
        <f t="shared" si="119"/>
        <v/>
      </c>
      <c r="J1381" s="37" t="str">
        <f t="shared" si="120"/>
        <v>미래나노텍</v>
      </c>
      <c r="K1381" s="37" t="str">
        <f t="shared" si="121"/>
        <v>A095500</v>
      </c>
    </row>
    <row r="1382" spans="1:11" x14ac:dyDescent="0.4">
      <c r="A1382" s="49"/>
      <c r="B1382" s="54" t="s">
        <v>3140</v>
      </c>
      <c r="C1382" s="37" t="s">
        <v>3141</v>
      </c>
      <c r="D1382" s="55" t="s">
        <v>805</v>
      </c>
      <c r="E1382" s="58">
        <v>232.15</v>
      </c>
      <c r="F1382" s="57">
        <v>1.24</v>
      </c>
      <c r="G1382" s="57">
        <v>2</v>
      </c>
      <c r="H1382" s="49"/>
      <c r="I1382" s="49">
        <f t="shared" si="119"/>
        <v>232.16382000000002</v>
      </c>
      <c r="J1382" s="37" t="str">
        <f t="shared" si="120"/>
        <v>AJ네트웍스</v>
      </c>
      <c r="K1382" s="37" t="str">
        <f t="shared" si="121"/>
        <v>A095570</v>
      </c>
    </row>
    <row r="1383" spans="1:11" x14ac:dyDescent="0.4">
      <c r="A1383" s="49"/>
      <c r="B1383" s="54" t="s">
        <v>757</v>
      </c>
      <c r="C1383" s="37" t="s">
        <v>758</v>
      </c>
      <c r="D1383" s="55" t="s">
        <v>820</v>
      </c>
      <c r="E1383" s="56">
        <v>1424.9</v>
      </c>
      <c r="F1383" s="55">
        <v>19.600000000000001</v>
      </c>
      <c r="G1383" s="55">
        <v>6</v>
      </c>
      <c r="I1383" s="49">
        <f t="shared" si="119"/>
        <v>1424.9138300000002</v>
      </c>
      <c r="J1383" s="37" t="str">
        <f t="shared" si="120"/>
        <v>테스</v>
      </c>
      <c r="K1383" s="37" t="str">
        <f t="shared" si="121"/>
        <v>A095610</v>
      </c>
    </row>
    <row r="1384" spans="1:11" x14ac:dyDescent="0.4">
      <c r="A1384" s="49"/>
      <c r="B1384" s="54" t="s">
        <v>3142</v>
      </c>
      <c r="C1384" s="37" t="s">
        <v>3143</v>
      </c>
      <c r="D1384" s="55" t="s">
        <v>820</v>
      </c>
      <c r="E1384" s="58">
        <v>572.65</v>
      </c>
      <c r="F1384" s="57">
        <v>2.2999999999999998</v>
      </c>
      <c r="G1384" s="57">
        <v>9</v>
      </c>
      <c r="H1384" s="49"/>
      <c r="I1384" s="49">
        <f t="shared" si="119"/>
        <v>572.66383999999994</v>
      </c>
      <c r="J1384" s="37" t="str">
        <f t="shared" si="120"/>
        <v>네오위즈</v>
      </c>
      <c r="K1384" s="37" t="str">
        <f t="shared" si="121"/>
        <v>A095660</v>
      </c>
    </row>
    <row r="1385" spans="1:11" x14ac:dyDescent="0.4">
      <c r="A1385" s="49"/>
      <c r="B1385" s="54" t="s">
        <v>3144</v>
      </c>
      <c r="C1385" s="37" t="s">
        <v>3145</v>
      </c>
      <c r="D1385" s="55" t="s">
        <v>820</v>
      </c>
      <c r="E1385" s="58">
        <v>199.01</v>
      </c>
      <c r="F1385" s="57">
        <v>1.1599999999999999</v>
      </c>
      <c r="G1385" s="57"/>
      <c r="H1385" s="49"/>
      <c r="I1385" s="49" t="str">
        <f t="shared" si="119"/>
        <v/>
      </c>
      <c r="J1385" s="37" t="str">
        <f t="shared" si="120"/>
        <v>제넥신</v>
      </c>
      <c r="K1385" s="37" t="str">
        <f t="shared" si="121"/>
        <v>A095700</v>
      </c>
    </row>
    <row r="1386" spans="1:11" x14ac:dyDescent="0.4">
      <c r="A1386" s="49"/>
      <c r="B1386" s="54" t="s">
        <v>3146</v>
      </c>
      <c r="C1386" s="37" t="s">
        <v>3147</v>
      </c>
      <c r="D1386" s="55" t="s">
        <v>805</v>
      </c>
      <c r="E1386" s="56">
        <v>130.75</v>
      </c>
      <c r="F1386" s="55">
        <v>0.23</v>
      </c>
      <c r="G1386" s="55"/>
      <c r="J1386" s="37" t="str">
        <f t="shared" si="120"/>
        <v>웅진씽크빅</v>
      </c>
      <c r="K1386" s="37" t="str">
        <f t="shared" si="121"/>
        <v>A095720</v>
      </c>
    </row>
    <row r="1387" spans="1:11" x14ac:dyDescent="0.4">
      <c r="A1387" s="49"/>
      <c r="B1387" s="54" t="s">
        <v>3148</v>
      </c>
      <c r="C1387" s="37" t="s">
        <v>3149</v>
      </c>
      <c r="D1387" s="55" t="s">
        <v>820</v>
      </c>
      <c r="E1387" s="58">
        <v>29.25</v>
      </c>
      <c r="F1387" s="57">
        <v>0.97</v>
      </c>
      <c r="G1387" s="57"/>
      <c r="H1387" s="49"/>
      <c r="I1387" s="49" t="str">
        <f t="shared" ref="I1387:I1395" si="122">IF((G1387&gt;$G$8),E1387+ROW()/100000,"")</f>
        <v/>
      </c>
      <c r="J1387" s="37" t="str">
        <f t="shared" si="120"/>
        <v>에스에너지</v>
      </c>
      <c r="K1387" s="37" t="str">
        <f t="shared" si="121"/>
        <v>A095910</v>
      </c>
    </row>
    <row r="1388" spans="1:11" x14ac:dyDescent="0.4">
      <c r="A1388" s="49"/>
      <c r="B1388" s="54" t="s">
        <v>3150</v>
      </c>
      <c r="C1388" s="37" t="s">
        <v>3151</v>
      </c>
      <c r="D1388" s="55" t="s">
        <v>820</v>
      </c>
      <c r="E1388" s="58">
        <v>127.76</v>
      </c>
      <c r="F1388" s="57">
        <v>0.45</v>
      </c>
      <c r="G1388" s="57"/>
      <c r="H1388" s="49"/>
      <c r="I1388" s="49" t="str">
        <f t="shared" si="122"/>
        <v/>
      </c>
      <c r="J1388" s="37" t="str">
        <f t="shared" si="120"/>
        <v>크레버스</v>
      </c>
      <c r="K1388" s="37" t="str">
        <f t="shared" si="121"/>
        <v>A096240</v>
      </c>
    </row>
    <row r="1389" spans="1:11" x14ac:dyDescent="0.4">
      <c r="A1389" s="49"/>
      <c r="B1389" s="54" t="s">
        <v>3152</v>
      </c>
      <c r="C1389" s="37" t="s">
        <v>3153</v>
      </c>
      <c r="D1389" s="55" t="s">
        <v>820</v>
      </c>
      <c r="E1389" s="58">
        <v>146.68</v>
      </c>
      <c r="F1389" s="57">
        <v>1.44</v>
      </c>
      <c r="G1389" s="57"/>
      <c r="H1389" s="49"/>
      <c r="I1389" s="49" t="str">
        <f t="shared" si="122"/>
        <v/>
      </c>
      <c r="J1389" s="37" t="str">
        <f t="shared" si="120"/>
        <v>와이즈넛</v>
      </c>
      <c r="K1389" s="37" t="str">
        <f t="shared" si="121"/>
        <v>A096250</v>
      </c>
    </row>
    <row r="1390" spans="1:11" x14ac:dyDescent="0.4">
      <c r="A1390" s="49"/>
      <c r="B1390" s="54" t="s">
        <v>3154</v>
      </c>
      <c r="C1390" s="37" t="s">
        <v>3155</v>
      </c>
      <c r="D1390" s="55" t="s">
        <v>820</v>
      </c>
      <c r="E1390" s="58">
        <v>82.74</v>
      </c>
      <c r="F1390" s="57">
        <v>1.77</v>
      </c>
      <c r="G1390" s="57"/>
      <c r="H1390" s="49"/>
      <c r="I1390" s="49" t="str">
        <f t="shared" si="122"/>
        <v/>
      </c>
      <c r="J1390" s="37" t="str">
        <f t="shared" si="120"/>
        <v>대창솔루션</v>
      </c>
      <c r="K1390" s="37" t="str">
        <f t="shared" si="121"/>
        <v>A096350</v>
      </c>
    </row>
    <row r="1391" spans="1:11" x14ac:dyDescent="0.4">
      <c r="A1391" s="49"/>
      <c r="B1391" s="54" t="s">
        <v>3156</v>
      </c>
      <c r="C1391" s="37" t="s">
        <v>3157</v>
      </c>
      <c r="D1391" s="55" t="s">
        <v>820</v>
      </c>
      <c r="E1391" s="58">
        <v>1370.93</v>
      </c>
      <c r="F1391" s="57">
        <v>5.0599999999999996</v>
      </c>
      <c r="G1391" s="57">
        <v>2</v>
      </c>
      <c r="H1391" s="49"/>
      <c r="I1391" s="49">
        <f t="shared" si="122"/>
        <v>1370.94391</v>
      </c>
      <c r="J1391" s="37" t="str">
        <f t="shared" si="120"/>
        <v>씨젠</v>
      </c>
      <c r="K1391" s="37" t="str">
        <f t="shared" si="121"/>
        <v>A096530</v>
      </c>
    </row>
    <row r="1392" spans="1:11" x14ac:dyDescent="0.4">
      <c r="A1392" s="49"/>
      <c r="B1392" s="54" t="s">
        <v>3158</v>
      </c>
      <c r="C1392" s="37" t="s">
        <v>3159</v>
      </c>
      <c r="D1392" s="55" t="s">
        <v>820</v>
      </c>
      <c r="E1392" s="58">
        <v>51.55</v>
      </c>
      <c r="F1392" s="57">
        <v>0</v>
      </c>
      <c r="G1392" s="57"/>
      <c r="H1392" s="49"/>
      <c r="I1392" s="49" t="str">
        <f t="shared" si="122"/>
        <v/>
      </c>
      <c r="J1392" s="37" t="str">
        <f t="shared" si="120"/>
        <v>알에프세미</v>
      </c>
      <c r="K1392" s="37" t="str">
        <f t="shared" si="121"/>
        <v>A096610</v>
      </c>
    </row>
    <row r="1393" spans="1:11" x14ac:dyDescent="0.4">
      <c r="A1393" s="49"/>
      <c r="B1393" s="54" t="s">
        <v>3160</v>
      </c>
      <c r="C1393" s="37" t="s">
        <v>3161</v>
      </c>
      <c r="D1393" s="55" t="s">
        <v>820</v>
      </c>
      <c r="E1393" s="59">
        <v>71.36</v>
      </c>
      <c r="F1393" s="57">
        <v>0.71</v>
      </c>
      <c r="G1393" s="57"/>
      <c r="H1393" s="49"/>
      <c r="I1393" s="49" t="str">
        <f t="shared" si="122"/>
        <v/>
      </c>
      <c r="J1393" s="37" t="str">
        <f t="shared" si="120"/>
        <v>에스코넥</v>
      </c>
      <c r="K1393" s="37" t="str">
        <f t="shared" si="121"/>
        <v>A096630</v>
      </c>
    </row>
    <row r="1394" spans="1:11" x14ac:dyDescent="0.4">
      <c r="A1394" s="49"/>
      <c r="B1394" s="54" t="s">
        <v>3162</v>
      </c>
      <c r="C1394" s="37" t="s">
        <v>3163</v>
      </c>
      <c r="D1394" s="55" t="s">
        <v>820</v>
      </c>
      <c r="E1394" s="58">
        <v>37.340000000000003</v>
      </c>
      <c r="F1394" s="57">
        <v>0.43</v>
      </c>
      <c r="G1394" s="57"/>
      <c r="H1394" s="49"/>
      <c r="I1394" s="49" t="str">
        <f t="shared" si="122"/>
        <v/>
      </c>
      <c r="J1394" s="37" t="str">
        <f t="shared" si="120"/>
        <v>에이루트</v>
      </c>
      <c r="K1394" s="37" t="str">
        <f t="shared" si="121"/>
        <v>A096690</v>
      </c>
    </row>
    <row r="1395" spans="1:11" x14ac:dyDescent="0.4">
      <c r="A1395" s="49"/>
      <c r="B1395" s="54" t="s">
        <v>3164</v>
      </c>
      <c r="C1395" s="37" t="s">
        <v>3165</v>
      </c>
      <c r="D1395" s="55" t="s">
        <v>805</v>
      </c>
      <c r="E1395" s="58">
        <v>308.27</v>
      </c>
      <c r="F1395" s="57">
        <v>0.42</v>
      </c>
      <c r="G1395" s="57"/>
      <c r="H1395" s="49"/>
      <c r="I1395" s="49" t="str">
        <f t="shared" si="122"/>
        <v/>
      </c>
      <c r="J1395" s="37" t="str">
        <f t="shared" si="120"/>
        <v>JW홀딩스</v>
      </c>
      <c r="K1395" s="37" t="str">
        <f t="shared" si="121"/>
        <v>A096760</v>
      </c>
    </row>
    <row r="1396" spans="1:11" x14ac:dyDescent="0.4">
      <c r="B1396" s="54" t="s">
        <v>297</v>
      </c>
      <c r="C1396" s="37" t="s">
        <v>298</v>
      </c>
      <c r="D1396" s="55" t="s">
        <v>805</v>
      </c>
      <c r="E1396" s="56">
        <v>21588.04</v>
      </c>
      <c r="F1396" s="55">
        <v>47.47</v>
      </c>
      <c r="G1396" s="55">
        <v>15</v>
      </c>
      <c r="J1396" s="37" t="str">
        <f t="shared" si="120"/>
        <v>SK이노베이션</v>
      </c>
      <c r="K1396" s="37" t="str">
        <f t="shared" si="121"/>
        <v>A096770</v>
      </c>
    </row>
    <row r="1397" spans="1:11" x14ac:dyDescent="0.4">
      <c r="A1397" s="49"/>
      <c r="B1397" s="54" t="s">
        <v>3166</v>
      </c>
      <c r="C1397" s="37" t="s">
        <v>3167</v>
      </c>
      <c r="D1397" s="55" t="s">
        <v>820</v>
      </c>
      <c r="E1397" s="58">
        <v>19.45</v>
      </c>
      <c r="F1397" s="57">
        <v>0.17</v>
      </c>
      <c r="G1397" s="57"/>
      <c r="H1397" s="49"/>
      <c r="I1397" s="49" t="str">
        <f t="shared" ref="I1397:I1419" si="123">IF((G1397&gt;$G$8),E1397+ROW()/100000,"")</f>
        <v/>
      </c>
      <c r="J1397" s="37" t="str">
        <f t="shared" si="120"/>
        <v>엘디티</v>
      </c>
      <c r="K1397" s="37" t="str">
        <f t="shared" si="121"/>
        <v>A096870</v>
      </c>
    </row>
    <row r="1398" spans="1:11" x14ac:dyDescent="0.4">
      <c r="A1398" s="49"/>
      <c r="B1398" s="54" t="s">
        <v>502</v>
      </c>
      <c r="C1398" s="37" t="s">
        <v>503</v>
      </c>
      <c r="D1398" s="55" t="s">
        <v>805</v>
      </c>
      <c r="E1398" s="58">
        <v>2284.4699999999998</v>
      </c>
      <c r="F1398" s="57">
        <v>131.02000000000001</v>
      </c>
      <c r="G1398" s="57">
        <v>1</v>
      </c>
      <c r="H1398" s="49"/>
      <c r="I1398" s="49">
        <f t="shared" si="123"/>
        <v>2284.48398</v>
      </c>
      <c r="J1398" s="37" t="str">
        <f t="shared" si="120"/>
        <v>HJ중공업</v>
      </c>
      <c r="K1398" s="37" t="str">
        <f t="shared" si="121"/>
        <v>A097230</v>
      </c>
    </row>
    <row r="1399" spans="1:11" x14ac:dyDescent="0.4">
      <c r="A1399" s="49"/>
      <c r="B1399" s="54" t="s">
        <v>3168</v>
      </c>
      <c r="C1399" s="37" t="s">
        <v>3169</v>
      </c>
      <c r="D1399" s="55" t="s">
        <v>805</v>
      </c>
      <c r="E1399" s="58">
        <v>475.06</v>
      </c>
      <c r="F1399" s="57">
        <v>1.83</v>
      </c>
      <c r="G1399" s="57">
        <v>1</v>
      </c>
      <c r="H1399" s="49"/>
      <c r="I1399" s="49">
        <f t="shared" si="123"/>
        <v>475.07398999999998</v>
      </c>
      <c r="J1399" s="37" t="str">
        <f t="shared" si="120"/>
        <v>엠씨넥스</v>
      </c>
      <c r="K1399" s="37" t="str">
        <f t="shared" si="121"/>
        <v>A097520</v>
      </c>
    </row>
    <row r="1400" spans="1:11" x14ac:dyDescent="0.4">
      <c r="A1400" s="49"/>
      <c r="B1400" s="54" t="s">
        <v>3170</v>
      </c>
      <c r="C1400" s="37" t="s">
        <v>3171</v>
      </c>
      <c r="D1400" s="55" t="s">
        <v>820</v>
      </c>
      <c r="E1400" s="58">
        <v>55.81</v>
      </c>
      <c r="F1400" s="57">
        <v>0.41</v>
      </c>
      <c r="G1400" s="57"/>
      <c r="H1400" s="49"/>
      <c r="I1400" s="49" t="str">
        <f t="shared" si="123"/>
        <v/>
      </c>
      <c r="J1400" s="37" t="str">
        <f t="shared" si="120"/>
        <v>에코볼트</v>
      </c>
      <c r="K1400" s="37" t="str">
        <f t="shared" si="121"/>
        <v>A097780</v>
      </c>
    </row>
    <row r="1401" spans="1:11" x14ac:dyDescent="0.4">
      <c r="A1401" s="49"/>
      <c r="B1401" s="54" t="s">
        <v>3172</v>
      </c>
      <c r="C1401" s="37" t="s">
        <v>3173</v>
      </c>
      <c r="D1401" s="55" t="s">
        <v>820</v>
      </c>
      <c r="E1401" s="56">
        <v>62.77</v>
      </c>
      <c r="F1401" s="55">
        <v>1.1299999999999999</v>
      </c>
      <c r="G1401" s="55"/>
      <c r="I1401" s="49" t="str">
        <f t="shared" si="123"/>
        <v/>
      </c>
      <c r="J1401" s="37" t="str">
        <f t="shared" si="120"/>
        <v>윈팩</v>
      </c>
      <c r="K1401" s="37" t="str">
        <f t="shared" si="121"/>
        <v>A097800</v>
      </c>
    </row>
    <row r="1402" spans="1:11" x14ac:dyDescent="0.4">
      <c r="A1402" s="49"/>
      <c r="B1402" s="54" t="s">
        <v>3174</v>
      </c>
      <c r="C1402" s="37" t="s">
        <v>3175</v>
      </c>
      <c r="D1402" s="55" t="s">
        <v>820</v>
      </c>
      <c r="E1402" s="58">
        <v>52.55</v>
      </c>
      <c r="F1402" s="57">
        <v>0.19</v>
      </c>
      <c r="G1402" s="57"/>
      <c r="H1402" s="49"/>
      <c r="I1402" s="49" t="str">
        <f t="shared" si="123"/>
        <v/>
      </c>
      <c r="J1402" s="37" t="str">
        <f t="shared" si="120"/>
        <v>효성오앤비</v>
      </c>
      <c r="K1402" s="37" t="str">
        <f t="shared" si="121"/>
        <v>A097870</v>
      </c>
    </row>
    <row r="1403" spans="1:11" x14ac:dyDescent="0.4">
      <c r="A1403" s="49"/>
      <c r="B1403" s="54" t="s">
        <v>3176</v>
      </c>
      <c r="C1403" s="37" t="s">
        <v>3177</v>
      </c>
      <c r="D1403" s="55" t="s">
        <v>805</v>
      </c>
      <c r="E1403" s="58">
        <v>3221.6</v>
      </c>
      <c r="F1403" s="57">
        <v>13.91</v>
      </c>
      <c r="G1403" s="57">
        <v>16</v>
      </c>
      <c r="H1403" s="49"/>
      <c r="I1403" s="49">
        <f t="shared" si="123"/>
        <v>3221.6140299999997</v>
      </c>
      <c r="J1403" s="37" t="str">
        <f t="shared" si="120"/>
        <v>CJ제일제당</v>
      </c>
      <c r="K1403" s="37" t="str">
        <f t="shared" si="121"/>
        <v>A097950</v>
      </c>
    </row>
    <row r="1404" spans="1:11" x14ac:dyDescent="0.4">
      <c r="A1404" s="49"/>
      <c r="B1404" s="54" t="s">
        <v>416</v>
      </c>
      <c r="C1404" s="37" t="s">
        <v>417</v>
      </c>
      <c r="D1404" s="55" t="s">
        <v>820</v>
      </c>
      <c r="E1404" s="58">
        <v>399.81</v>
      </c>
      <c r="F1404" s="57">
        <v>8.8000000000000007</v>
      </c>
      <c r="G1404" s="57"/>
      <c r="H1404" s="49"/>
      <c r="I1404" s="49" t="str">
        <f t="shared" si="123"/>
        <v/>
      </c>
      <c r="J1404" s="37" t="str">
        <f t="shared" si="120"/>
        <v>한텍</v>
      </c>
      <c r="K1404" s="37" t="str">
        <f t="shared" si="121"/>
        <v>A098070</v>
      </c>
    </row>
    <row r="1405" spans="1:11" x14ac:dyDescent="0.4">
      <c r="A1405" s="49"/>
      <c r="B1405" s="54" t="s">
        <v>3178</v>
      </c>
      <c r="C1405" s="37" t="s">
        <v>3179</v>
      </c>
      <c r="D1405" s="55" t="s">
        <v>820</v>
      </c>
      <c r="E1405" s="58">
        <v>260.61</v>
      </c>
      <c r="F1405" s="57">
        <v>4.3499999999999996</v>
      </c>
      <c r="G1405" s="57">
        <v>1</v>
      </c>
      <c r="H1405" s="49"/>
      <c r="I1405" s="49">
        <f t="shared" si="123"/>
        <v>260.62405000000001</v>
      </c>
      <c r="J1405" s="37" t="str">
        <f t="shared" si="120"/>
        <v>마이크로컨텍솔</v>
      </c>
      <c r="K1405" s="37" t="str">
        <f t="shared" si="121"/>
        <v>A098120</v>
      </c>
    </row>
    <row r="1406" spans="1:11" x14ac:dyDescent="0.4">
      <c r="A1406" s="49"/>
      <c r="B1406" s="54" t="s">
        <v>47</v>
      </c>
      <c r="C1406" s="37" t="s">
        <v>48</v>
      </c>
      <c r="D1406" s="55" t="s">
        <v>820</v>
      </c>
      <c r="E1406" s="58">
        <v>2186.65</v>
      </c>
      <c r="F1406" s="57">
        <v>138.04</v>
      </c>
      <c r="G1406" s="57">
        <v>4</v>
      </c>
      <c r="H1406" s="49"/>
      <c r="I1406" s="49">
        <f t="shared" si="123"/>
        <v>2186.6640600000001</v>
      </c>
      <c r="J1406" s="37" t="str">
        <f t="shared" si="120"/>
        <v>고영</v>
      </c>
      <c r="K1406" s="37" t="str">
        <f t="shared" si="121"/>
        <v>A098460</v>
      </c>
    </row>
    <row r="1407" spans="1:11" x14ac:dyDescent="0.4">
      <c r="A1407" s="49"/>
      <c r="B1407" s="54" t="s">
        <v>3180</v>
      </c>
      <c r="C1407" s="37" t="s">
        <v>3181</v>
      </c>
      <c r="D1407" s="55" t="s">
        <v>820</v>
      </c>
      <c r="E1407" s="58">
        <v>19.079999999999998</v>
      </c>
      <c r="F1407" s="57">
        <v>0.04</v>
      </c>
      <c r="G1407" s="57"/>
      <c r="H1407" s="49"/>
      <c r="I1407" s="49" t="str">
        <f t="shared" si="123"/>
        <v/>
      </c>
      <c r="J1407" s="37" t="str">
        <f t="shared" si="120"/>
        <v>에스티오</v>
      </c>
      <c r="K1407" s="37" t="str">
        <f t="shared" si="121"/>
        <v>A098660</v>
      </c>
    </row>
    <row r="1408" spans="1:11" x14ac:dyDescent="0.4">
      <c r="A1408" s="49"/>
      <c r="B1408" s="54" t="s">
        <v>3182</v>
      </c>
      <c r="C1408" s="37" t="s">
        <v>3183</v>
      </c>
      <c r="D1408" s="55" t="s">
        <v>820</v>
      </c>
      <c r="E1408" s="59">
        <v>648.79</v>
      </c>
      <c r="F1408" s="57">
        <v>3.71</v>
      </c>
      <c r="G1408" s="57">
        <v>1</v>
      </c>
      <c r="H1408" s="49"/>
      <c r="I1408" s="49">
        <f t="shared" si="123"/>
        <v>648.80408</v>
      </c>
      <c r="J1408" s="37" t="str">
        <f t="shared" si="120"/>
        <v>아이센스</v>
      </c>
      <c r="K1408" s="37" t="str">
        <f t="shared" si="121"/>
        <v>A099190</v>
      </c>
    </row>
    <row r="1409" spans="1:11" x14ac:dyDescent="0.4">
      <c r="A1409" s="49"/>
      <c r="B1409" s="54" t="s">
        <v>3184</v>
      </c>
      <c r="C1409" s="37" t="s">
        <v>3185</v>
      </c>
      <c r="D1409" s="55" t="s">
        <v>820</v>
      </c>
      <c r="E1409" s="58">
        <v>75.599999999999994</v>
      </c>
      <c r="F1409" s="57">
        <v>0.61</v>
      </c>
      <c r="G1409" s="57"/>
      <c r="H1409" s="49"/>
      <c r="I1409" s="49" t="str">
        <f t="shared" si="123"/>
        <v/>
      </c>
      <c r="J1409" s="37" t="str">
        <f t="shared" si="120"/>
        <v>SDN</v>
      </c>
      <c r="K1409" s="37" t="str">
        <f t="shared" si="121"/>
        <v>A099220</v>
      </c>
    </row>
    <row r="1410" spans="1:11" x14ac:dyDescent="0.4">
      <c r="A1410" s="49"/>
      <c r="B1410" s="54" t="s">
        <v>723</v>
      </c>
      <c r="C1410" s="37" t="s">
        <v>724</v>
      </c>
      <c r="D1410" s="55" t="s">
        <v>820</v>
      </c>
      <c r="E1410" s="58">
        <v>2082.9299999999998</v>
      </c>
      <c r="F1410" s="57">
        <v>26.11</v>
      </c>
      <c r="G1410" s="57">
        <v>4</v>
      </c>
      <c r="H1410" s="49"/>
      <c r="I1410" s="49">
        <f t="shared" si="123"/>
        <v>2082.9440999999997</v>
      </c>
      <c r="J1410" s="37" t="str">
        <f t="shared" si="120"/>
        <v>쎄트렉아이</v>
      </c>
      <c r="K1410" s="37" t="str">
        <f t="shared" si="121"/>
        <v>A099320</v>
      </c>
    </row>
    <row r="1411" spans="1:11" x14ac:dyDescent="0.4">
      <c r="A1411" s="49"/>
      <c r="B1411" s="54" t="s">
        <v>3186</v>
      </c>
      <c r="C1411" s="37" t="s">
        <v>3187</v>
      </c>
      <c r="D1411" s="55" t="s">
        <v>820</v>
      </c>
      <c r="E1411" s="58">
        <v>37.76</v>
      </c>
      <c r="F1411" s="57">
        <v>0.14000000000000001</v>
      </c>
      <c r="G1411" s="57"/>
      <c r="H1411" s="49"/>
      <c r="I1411" s="49" t="str">
        <f t="shared" si="123"/>
        <v/>
      </c>
      <c r="J1411" s="37" t="str">
        <f t="shared" si="120"/>
        <v>브레인즈컴퍼니</v>
      </c>
      <c r="K1411" s="37" t="str">
        <f t="shared" si="121"/>
        <v>A099390</v>
      </c>
    </row>
    <row r="1412" spans="1:11" x14ac:dyDescent="0.4">
      <c r="A1412" s="49"/>
      <c r="B1412" s="54" t="s">
        <v>3188</v>
      </c>
      <c r="C1412" s="37" t="s">
        <v>3189</v>
      </c>
      <c r="D1412" s="55" t="s">
        <v>820</v>
      </c>
      <c r="E1412" s="56">
        <v>80.5</v>
      </c>
      <c r="F1412" s="55">
        <v>6.54</v>
      </c>
      <c r="G1412" s="55"/>
      <c r="I1412" s="49" t="str">
        <f t="shared" si="123"/>
        <v/>
      </c>
      <c r="J1412" s="37" t="str">
        <f t="shared" si="120"/>
        <v>동방선기</v>
      </c>
      <c r="K1412" s="37" t="str">
        <f t="shared" si="121"/>
        <v>A099410</v>
      </c>
    </row>
    <row r="1413" spans="1:11" x14ac:dyDescent="0.4">
      <c r="A1413" s="49"/>
      <c r="B1413" s="54" t="s">
        <v>3190</v>
      </c>
      <c r="C1413" s="37" t="s">
        <v>3191</v>
      </c>
      <c r="D1413" s="55" t="s">
        <v>820</v>
      </c>
      <c r="E1413" s="58">
        <v>313.75</v>
      </c>
      <c r="F1413" s="57">
        <v>3.25</v>
      </c>
      <c r="G1413" s="57"/>
      <c r="H1413" s="49"/>
      <c r="I1413" s="49" t="str">
        <f t="shared" si="123"/>
        <v/>
      </c>
      <c r="J1413" s="37" t="str">
        <f t="shared" si="120"/>
        <v>바이오플러스</v>
      </c>
      <c r="K1413" s="37" t="str">
        <f t="shared" si="121"/>
        <v>A099430</v>
      </c>
    </row>
    <row r="1414" spans="1:11" x14ac:dyDescent="0.4">
      <c r="A1414" s="49"/>
      <c r="B1414" s="54" t="s">
        <v>3192</v>
      </c>
      <c r="C1414" s="37" t="s">
        <v>3193</v>
      </c>
      <c r="D1414" s="55" t="s">
        <v>820</v>
      </c>
      <c r="E1414" s="56">
        <v>401.27</v>
      </c>
      <c r="F1414" s="55">
        <v>26.94</v>
      </c>
      <c r="G1414" s="55"/>
      <c r="I1414" s="49" t="str">
        <f t="shared" si="123"/>
        <v/>
      </c>
      <c r="J1414" s="37" t="str">
        <f t="shared" si="120"/>
        <v>스맥</v>
      </c>
      <c r="K1414" s="37" t="str">
        <f t="shared" si="121"/>
        <v>A099440</v>
      </c>
    </row>
    <row r="1415" spans="1:11" x14ac:dyDescent="0.4">
      <c r="A1415" s="49"/>
      <c r="B1415" s="54" t="s">
        <v>3194</v>
      </c>
      <c r="C1415" s="37" t="s">
        <v>3195</v>
      </c>
      <c r="D1415" s="55" t="s">
        <v>820</v>
      </c>
      <c r="E1415" s="56">
        <v>58.14</v>
      </c>
      <c r="F1415" s="55">
        <v>0</v>
      </c>
      <c r="G1415" s="55"/>
      <c r="I1415" s="49" t="str">
        <f t="shared" si="123"/>
        <v/>
      </c>
      <c r="J1415" s="37" t="str">
        <f t="shared" si="120"/>
        <v>DGI</v>
      </c>
      <c r="K1415" s="37" t="str">
        <f t="shared" si="121"/>
        <v>A099520</v>
      </c>
    </row>
    <row r="1416" spans="1:11" x14ac:dyDescent="0.4">
      <c r="A1416" s="49"/>
      <c r="B1416" s="54" t="s">
        <v>3196</v>
      </c>
      <c r="C1416" s="37" t="s">
        <v>3197</v>
      </c>
      <c r="D1416" s="55" t="s">
        <v>820</v>
      </c>
      <c r="E1416" s="56">
        <v>122.11</v>
      </c>
      <c r="F1416" s="55">
        <v>0.87</v>
      </c>
      <c r="G1416" s="55"/>
      <c r="I1416" s="49" t="str">
        <f t="shared" si="123"/>
        <v/>
      </c>
      <c r="J1416" s="37" t="str">
        <f t="shared" si="120"/>
        <v>이지케어텍</v>
      </c>
      <c r="K1416" s="37" t="str">
        <f t="shared" si="121"/>
        <v>A099750</v>
      </c>
    </row>
    <row r="1417" spans="1:11" x14ac:dyDescent="0.4">
      <c r="A1417" s="49"/>
      <c r="B1417" s="54" t="s">
        <v>3198</v>
      </c>
      <c r="C1417" s="37" t="s">
        <v>3199</v>
      </c>
      <c r="D1417" s="55" t="s">
        <v>820</v>
      </c>
      <c r="E1417" s="56">
        <v>71.58</v>
      </c>
      <c r="F1417" s="55">
        <v>0.28999999999999998</v>
      </c>
      <c r="G1417" s="55"/>
      <c r="I1417" s="49" t="str">
        <f t="shared" si="123"/>
        <v/>
      </c>
      <c r="J1417" s="37" t="str">
        <f t="shared" si="120"/>
        <v>인지소프트</v>
      </c>
      <c r="K1417" s="37" t="str">
        <f t="shared" si="121"/>
        <v>A100030</v>
      </c>
    </row>
    <row r="1418" spans="1:11" x14ac:dyDescent="0.4">
      <c r="A1418" s="49"/>
      <c r="B1418" s="54" t="s">
        <v>376</v>
      </c>
      <c r="C1418" s="37" t="s">
        <v>377</v>
      </c>
      <c r="D1418" s="55" t="s">
        <v>805</v>
      </c>
      <c r="E1418" s="58">
        <v>1205.83</v>
      </c>
      <c r="F1418" s="57">
        <v>44.05</v>
      </c>
      <c r="G1418" s="57">
        <v>5</v>
      </c>
      <c r="H1418" s="49"/>
      <c r="I1418" s="49">
        <f t="shared" si="123"/>
        <v>1205.8441799999998</v>
      </c>
      <c r="J1418" s="37" t="str">
        <f t="shared" si="120"/>
        <v>SK오션플랜트</v>
      </c>
      <c r="K1418" s="37" t="str">
        <f t="shared" si="121"/>
        <v>A100090</v>
      </c>
    </row>
    <row r="1419" spans="1:11" x14ac:dyDescent="0.4">
      <c r="A1419" s="49"/>
      <c r="B1419" s="54" t="s">
        <v>3200</v>
      </c>
      <c r="C1419" s="37" t="s">
        <v>3201</v>
      </c>
      <c r="D1419" s="55" t="s">
        <v>820</v>
      </c>
      <c r="E1419" s="58">
        <v>243.83</v>
      </c>
      <c r="F1419" s="57">
        <v>1.98</v>
      </c>
      <c r="G1419" s="57">
        <v>2</v>
      </c>
      <c r="H1419" s="49"/>
      <c r="I1419" s="49">
        <f t="shared" si="123"/>
        <v>243.84419000000003</v>
      </c>
      <c r="J1419" s="37" t="str">
        <f t="shared" si="120"/>
        <v>뷰웍스</v>
      </c>
      <c r="K1419" s="37" t="str">
        <f t="shared" si="121"/>
        <v>A100120</v>
      </c>
    </row>
    <row r="1420" spans="1:11" x14ac:dyDescent="0.4">
      <c r="B1420" s="54" t="s">
        <v>3202</v>
      </c>
      <c r="C1420" s="37" t="s">
        <v>3203</v>
      </c>
      <c r="D1420" s="55" t="s">
        <v>820</v>
      </c>
      <c r="E1420" s="56">
        <v>116.86</v>
      </c>
      <c r="F1420" s="55">
        <v>0.28000000000000003</v>
      </c>
      <c r="G1420" s="55">
        <v>1</v>
      </c>
      <c r="J1420" s="37" t="str">
        <f t="shared" si="120"/>
        <v>동국S&amp;C</v>
      </c>
      <c r="K1420" s="37" t="str">
        <f t="shared" si="121"/>
        <v>A100130</v>
      </c>
    </row>
    <row r="1421" spans="1:11" x14ac:dyDescent="0.4">
      <c r="A1421" s="49"/>
      <c r="B1421" s="54" t="s">
        <v>3204</v>
      </c>
      <c r="C1421" s="37" t="s">
        <v>3205</v>
      </c>
      <c r="D1421" s="55" t="s">
        <v>805</v>
      </c>
      <c r="E1421" s="58">
        <v>71.09</v>
      </c>
      <c r="F1421" s="57">
        <v>0.21</v>
      </c>
      <c r="G1421" s="57"/>
      <c r="H1421" s="49"/>
      <c r="I1421" s="49" t="str">
        <f t="shared" ref="I1421:I1427" si="124">IF((G1421&gt;$G$8),E1421+ROW()/100000,"")</f>
        <v/>
      </c>
      <c r="J1421" s="37" t="str">
        <f t="shared" si="120"/>
        <v>비상교육</v>
      </c>
      <c r="K1421" s="37" t="str">
        <f t="shared" si="121"/>
        <v>A100220</v>
      </c>
    </row>
    <row r="1422" spans="1:11" x14ac:dyDescent="0.4">
      <c r="A1422" s="49"/>
      <c r="B1422" s="54" t="s">
        <v>3206</v>
      </c>
      <c r="C1422" s="37" t="s">
        <v>3207</v>
      </c>
      <c r="D1422" s="55" t="s">
        <v>805</v>
      </c>
      <c r="E1422" s="58">
        <v>175.23</v>
      </c>
      <c r="F1422" s="57">
        <v>0.25</v>
      </c>
      <c r="G1422" s="57"/>
      <c r="H1422" s="49"/>
      <c r="I1422" s="49" t="str">
        <f t="shared" si="124"/>
        <v/>
      </c>
      <c r="J1422" s="37" t="str">
        <f t="shared" ref="J1422:J1485" si="125">C1422</f>
        <v>진양홀딩스</v>
      </c>
      <c r="K1422" s="37" t="str">
        <f t="shared" ref="K1422:K1485" si="126">B1422</f>
        <v>A100250</v>
      </c>
    </row>
    <row r="1423" spans="1:11" x14ac:dyDescent="0.4">
      <c r="A1423" s="49"/>
      <c r="B1423" s="54" t="s">
        <v>3208</v>
      </c>
      <c r="C1423" s="37" t="s">
        <v>3209</v>
      </c>
      <c r="D1423" s="55" t="s">
        <v>820</v>
      </c>
      <c r="E1423" s="56">
        <v>56.99</v>
      </c>
      <c r="F1423" s="55">
        <v>0.69</v>
      </c>
      <c r="G1423" s="55"/>
      <c r="I1423" s="49" t="str">
        <f t="shared" si="124"/>
        <v/>
      </c>
      <c r="J1423" s="37" t="str">
        <f t="shared" si="125"/>
        <v>머큐리</v>
      </c>
      <c r="K1423" s="37" t="str">
        <f t="shared" si="126"/>
        <v>A100590</v>
      </c>
    </row>
    <row r="1424" spans="1:11" x14ac:dyDescent="0.4">
      <c r="A1424" s="49"/>
      <c r="B1424" s="54" t="s">
        <v>3210</v>
      </c>
      <c r="C1424" s="37" t="s">
        <v>3211</v>
      </c>
      <c r="D1424" s="55" t="s">
        <v>820</v>
      </c>
      <c r="E1424" s="58">
        <v>57.83</v>
      </c>
      <c r="F1424" s="57">
        <v>3.04</v>
      </c>
      <c r="G1424" s="57"/>
      <c r="H1424" s="49"/>
      <c r="I1424" s="49" t="str">
        <f t="shared" si="124"/>
        <v/>
      </c>
      <c r="J1424" s="37" t="str">
        <f t="shared" si="125"/>
        <v>서암기계공업</v>
      </c>
      <c r="K1424" s="37" t="str">
        <f t="shared" si="126"/>
        <v>A100660</v>
      </c>
    </row>
    <row r="1425" spans="1:11" x14ac:dyDescent="0.4">
      <c r="A1425" s="49"/>
      <c r="B1425" s="54" t="s">
        <v>3212</v>
      </c>
      <c r="C1425" s="37" t="s">
        <v>3213</v>
      </c>
      <c r="D1425" s="55" t="s">
        <v>820</v>
      </c>
      <c r="E1425" s="58">
        <v>113.22</v>
      </c>
      <c r="F1425" s="57">
        <v>0.38</v>
      </c>
      <c r="G1425" s="57"/>
      <c r="H1425" s="49"/>
      <c r="I1425" s="49" t="str">
        <f t="shared" si="124"/>
        <v/>
      </c>
      <c r="J1425" s="37" t="str">
        <f t="shared" si="125"/>
        <v>세운메디칼</v>
      </c>
      <c r="K1425" s="37" t="str">
        <f t="shared" si="126"/>
        <v>A100700</v>
      </c>
    </row>
    <row r="1426" spans="1:11" x14ac:dyDescent="0.4">
      <c r="A1426" s="49"/>
      <c r="B1426" s="54" t="s">
        <v>603</v>
      </c>
      <c r="C1426" s="37" t="s">
        <v>604</v>
      </c>
      <c r="D1426" s="55" t="s">
        <v>820</v>
      </c>
      <c r="E1426" s="58">
        <v>1160.77</v>
      </c>
      <c r="F1426" s="57">
        <v>37.75</v>
      </c>
      <c r="G1426" s="57"/>
      <c r="H1426" s="49"/>
      <c r="I1426" s="49" t="str">
        <f t="shared" si="124"/>
        <v/>
      </c>
      <c r="J1426" s="37" t="str">
        <f t="shared" si="125"/>
        <v>미래에셋벤처투자</v>
      </c>
      <c r="K1426" s="37" t="str">
        <f t="shared" si="126"/>
        <v>A100790</v>
      </c>
    </row>
    <row r="1427" spans="1:11" x14ac:dyDescent="0.4">
      <c r="A1427" s="49"/>
      <c r="B1427" s="54" t="s">
        <v>390</v>
      </c>
      <c r="C1427" s="37" t="s">
        <v>391</v>
      </c>
      <c r="D1427" s="55" t="s">
        <v>805</v>
      </c>
      <c r="E1427" s="58">
        <v>950.28</v>
      </c>
      <c r="F1427" s="57">
        <v>10.77</v>
      </c>
      <c r="G1427" s="57">
        <v>3</v>
      </c>
      <c r="H1427" s="49"/>
      <c r="I1427" s="49">
        <f t="shared" si="124"/>
        <v>950.29426999999998</v>
      </c>
      <c r="J1427" s="37" t="str">
        <f t="shared" si="125"/>
        <v>SNT에너지</v>
      </c>
      <c r="K1427" s="37" t="str">
        <f t="shared" si="126"/>
        <v>A100840</v>
      </c>
    </row>
    <row r="1428" spans="1:11" x14ac:dyDescent="0.4">
      <c r="B1428" s="54" t="s">
        <v>3214</v>
      </c>
      <c r="C1428" s="37" t="s">
        <v>3215</v>
      </c>
      <c r="D1428" s="55" t="s">
        <v>820</v>
      </c>
      <c r="E1428" s="56">
        <v>44.36</v>
      </c>
      <c r="F1428" s="55">
        <v>3.72</v>
      </c>
      <c r="G1428" s="55"/>
      <c r="J1428" s="37" t="str">
        <f t="shared" si="125"/>
        <v>KS인더스트리</v>
      </c>
      <c r="K1428" s="37" t="str">
        <f t="shared" si="126"/>
        <v>A101000</v>
      </c>
    </row>
    <row r="1429" spans="1:11" x14ac:dyDescent="0.4">
      <c r="A1429" s="49"/>
      <c r="B1429" s="54" t="s">
        <v>3216</v>
      </c>
      <c r="C1429" s="37" t="s">
        <v>3217</v>
      </c>
      <c r="D1429" s="55" t="s">
        <v>805</v>
      </c>
      <c r="E1429" s="56">
        <v>96.22</v>
      </c>
      <c r="F1429" s="55">
        <v>0.21</v>
      </c>
      <c r="G1429" s="55"/>
      <c r="I1429" s="49" t="str">
        <f t="shared" ref="I1429:I1442" si="127">IF((G1429&gt;$G$8),E1429+ROW()/100000,"")</f>
        <v/>
      </c>
      <c r="J1429" s="37" t="str">
        <f t="shared" si="125"/>
        <v>인바이오젠</v>
      </c>
      <c r="K1429" s="37" t="str">
        <f t="shared" si="126"/>
        <v>A101140</v>
      </c>
    </row>
    <row r="1430" spans="1:11" x14ac:dyDescent="0.4">
      <c r="A1430" s="49"/>
      <c r="B1430" s="54" t="s">
        <v>3218</v>
      </c>
      <c r="C1430" s="37" t="s">
        <v>3219</v>
      </c>
      <c r="D1430" s="55" t="s">
        <v>820</v>
      </c>
      <c r="E1430" s="58">
        <v>511.02</v>
      </c>
      <c r="F1430" s="57">
        <v>3.34</v>
      </c>
      <c r="G1430" s="57"/>
      <c r="H1430" s="49"/>
      <c r="I1430" s="49" t="str">
        <f t="shared" si="127"/>
        <v/>
      </c>
      <c r="J1430" s="37" t="str">
        <f t="shared" si="125"/>
        <v>월덱스</v>
      </c>
      <c r="K1430" s="37" t="str">
        <f t="shared" si="126"/>
        <v>A101160</v>
      </c>
    </row>
    <row r="1431" spans="1:11" x14ac:dyDescent="0.4">
      <c r="A1431" s="49"/>
      <c r="B1431" s="54" t="s">
        <v>3220</v>
      </c>
      <c r="C1431" s="37" t="s">
        <v>3221</v>
      </c>
      <c r="D1431" s="55" t="s">
        <v>820</v>
      </c>
      <c r="E1431" s="56">
        <v>225.72</v>
      </c>
      <c r="F1431" s="55">
        <v>23.33</v>
      </c>
      <c r="G1431" s="55"/>
      <c r="I1431" s="49" t="str">
        <f t="shared" si="127"/>
        <v/>
      </c>
      <c r="J1431" s="37" t="str">
        <f t="shared" si="125"/>
        <v>우림피티에스</v>
      </c>
      <c r="K1431" s="37" t="str">
        <f t="shared" si="126"/>
        <v>A101170</v>
      </c>
    </row>
    <row r="1432" spans="1:11" x14ac:dyDescent="0.4">
      <c r="A1432" s="49"/>
      <c r="B1432" s="54" t="s">
        <v>3222</v>
      </c>
      <c r="C1432" s="37" t="s">
        <v>3223</v>
      </c>
      <c r="D1432" s="55" t="s">
        <v>820</v>
      </c>
      <c r="E1432" s="56">
        <v>44.1</v>
      </c>
      <c r="F1432" s="56">
        <v>0.19</v>
      </c>
      <c r="G1432" s="55"/>
      <c r="I1432" s="49" t="str">
        <f t="shared" si="127"/>
        <v/>
      </c>
      <c r="J1432" s="37" t="str">
        <f t="shared" si="125"/>
        <v>씨큐브</v>
      </c>
      <c r="K1432" s="37" t="str">
        <f t="shared" si="126"/>
        <v>A101240</v>
      </c>
    </row>
    <row r="1433" spans="1:11" x14ac:dyDescent="0.4">
      <c r="A1433" s="49"/>
      <c r="B1433" s="54" t="s">
        <v>3224</v>
      </c>
      <c r="C1433" s="37" t="s">
        <v>3225</v>
      </c>
      <c r="D1433" s="55" t="s">
        <v>820</v>
      </c>
      <c r="E1433" s="58">
        <v>135.41</v>
      </c>
      <c r="F1433" s="57">
        <v>7.39</v>
      </c>
      <c r="G1433" s="57"/>
      <c r="H1433" s="49"/>
      <c r="I1433" s="49" t="str">
        <f t="shared" si="127"/>
        <v/>
      </c>
      <c r="J1433" s="37" t="str">
        <f t="shared" si="125"/>
        <v>모베이스</v>
      </c>
      <c r="K1433" s="37" t="str">
        <f t="shared" si="126"/>
        <v>A101330</v>
      </c>
    </row>
    <row r="1434" spans="1:11" x14ac:dyDescent="0.4">
      <c r="A1434" s="49"/>
      <c r="B1434" s="54" t="s">
        <v>3226</v>
      </c>
      <c r="C1434" s="37" t="s">
        <v>3227</v>
      </c>
      <c r="D1434" s="55" t="s">
        <v>820</v>
      </c>
      <c r="E1434" s="58">
        <v>364.62</v>
      </c>
      <c r="F1434" s="57">
        <v>3.3</v>
      </c>
      <c r="G1434" s="57"/>
      <c r="H1434" s="49"/>
      <c r="I1434" s="49" t="str">
        <f t="shared" si="127"/>
        <v/>
      </c>
      <c r="J1434" s="37" t="str">
        <f t="shared" si="125"/>
        <v>에코앤드림</v>
      </c>
      <c r="K1434" s="37" t="str">
        <f t="shared" si="126"/>
        <v>A101360</v>
      </c>
    </row>
    <row r="1435" spans="1:11" x14ac:dyDescent="0.4">
      <c r="A1435" s="49"/>
      <c r="B1435" s="54" t="s">
        <v>3228</v>
      </c>
      <c r="C1435" s="37" t="s">
        <v>3229</v>
      </c>
      <c r="D1435" s="55" t="s">
        <v>820</v>
      </c>
      <c r="E1435" s="58">
        <v>5.51</v>
      </c>
      <c r="F1435" s="57">
        <v>0</v>
      </c>
      <c r="G1435" s="57"/>
      <c r="H1435" s="49"/>
      <c r="I1435" s="49" t="str">
        <f t="shared" si="127"/>
        <v/>
      </c>
      <c r="J1435" s="37" t="str">
        <f t="shared" si="125"/>
        <v>아이엠</v>
      </c>
      <c r="K1435" s="37" t="str">
        <f t="shared" si="126"/>
        <v>A101390</v>
      </c>
    </row>
    <row r="1436" spans="1:11" x14ac:dyDescent="0.4">
      <c r="A1436" s="49"/>
      <c r="B1436" s="54" t="s">
        <v>3230</v>
      </c>
      <c r="C1436" s="37" t="s">
        <v>3231</v>
      </c>
      <c r="D1436" s="55" t="s">
        <v>820</v>
      </c>
      <c r="E1436" s="59">
        <v>39.450000000000003</v>
      </c>
      <c r="F1436" s="57">
        <v>1.77</v>
      </c>
      <c r="G1436" s="57"/>
      <c r="H1436" s="49"/>
      <c r="I1436" s="49" t="str">
        <f t="shared" si="127"/>
        <v/>
      </c>
      <c r="J1436" s="37" t="str">
        <f t="shared" si="125"/>
        <v>엔시트론</v>
      </c>
      <c r="K1436" s="37" t="str">
        <f t="shared" si="126"/>
        <v>A101400</v>
      </c>
    </row>
    <row r="1437" spans="1:11" x14ac:dyDescent="0.4">
      <c r="A1437" s="49"/>
      <c r="B1437" s="54" t="s">
        <v>3232</v>
      </c>
      <c r="C1437" s="37" t="s">
        <v>3233</v>
      </c>
      <c r="D1437" s="55" t="s">
        <v>820</v>
      </c>
      <c r="E1437" s="58">
        <v>2105.75</v>
      </c>
      <c r="F1437" s="57">
        <v>21.42</v>
      </c>
      <c r="G1437" s="57"/>
      <c r="H1437" s="49"/>
      <c r="I1437" s="49" t="str">
        <f t="shared" si="127"/>
        <v/>
      </c>
      <c r="J1437" s="37" t="str">
        <f t="shared" si="125"/>
        <v>에스앤에스텍</v>
      </c>
      <c r="K1437" s="37" t="str">
        <f t="shared" si="126"/>
        <v>A101490</v>
      </c>
    </row>
    <row r="1438" spans="1:11" x14ac:dyDescent="0.4">
      <c r="A1438" s="49"/>
      <c r="B1438" s="54" t="s">
        <v>3234</v>
      </c>
      <c r="C1438" s="37" t="s">
        <v>3235</v>
      </c>
      <c r="D1438" s="55" t="s">
        <v>805</v>
      </c>
      <c r="E1438" s="58">
        <v>198.58</v>
      </c>
      <c r="F1438" s="57">
        <v>0.31</v>
      </c>
      <c r="G1438" s="57"/>
      <c r="H1438" s="49"/>
      <c r="I1438" s="49" t="str">
        <f t="shared" si="127"/>
        <v/>
      </c>
      <c r="J1438" s="37" t="str">
        <f t="shared" si="125"/>
        <v>해태제과식품</v>
      </c>
      <c r="K1438" s="37" t="str">
        <f t="shared" si="126"/>
        <v>A101530</v>
      </c>
    </row>
    <row r="1439" spans="1:11" x14ac:dyDescent="0.4">
      <c r="A1439" s="49"/>
      <c r="B1439" s="54" t="s">
        <v>3236</v>
      </c>
      <c r="C1439" s="37" t="s">
        <v>3237</v>
      </c>
      <c r="D1439" s="55" t="s">
        <v>820</v>
      </c>
      <c r="E1439" s="56">
        <v>113.84</v>
      </c>
      <c r="F1439" s="55">
        <v>7.23</v>
      </c>
      <c r="G1439" s="55"/>
      <c r="I1439" s="49" t="str">
        <f t="shared" si="127"/>
        <v/>
      </c>
      <c r="J1439" s="37" t="str">
        <f t="shared" si="125"/>
        <v>하이드로리튬</v>
      </c>
      <c r="K1439" s="37" t="str">
        <f t="shared" si="126"/>
        <v>A101670</v>
      </c>
    </row>
    <row r="1440" spans="1:11" x14ac:dyDescent="0.4">
      <c r="A1440" s="49"/>
      <c r="B1440" s="54" t="s">
        <v>3238</v>
      </c>
      <c r="C1440" s="37" t="s">
        <v>3239</v>
      </c>
      <c r="D1440" s="55" t="s">
        <v>820</v>
      </c>
      <c r="E1440" s="58">
        <v>21.64</v>
      </c>
      <c r="F1440" s="57">
        <v>0.81</v>
      </c>
      <c r="G1440" s="57"/>
      <c r="H1440" s="49"/>
      <c r="I1440" s="49" t="str">
        <f t="shared" si="127"/>
        <v/>
      </c>
      <c r="J1440" s="37" t="str">
        <f t="shared" si="125"/>
        <v>한국정밀기계</v>
      </c>
      <c r="K1440" s="37" t="str">
        <f t="shared" si="126"/>
        <v>A101680</v>
      </c>
    </row>
    <row r="1441" spans="1:11" x14ac:dyDescent="0.4">
      <c r="A1441" s="49"/>
      <c r="B1441" s="54" t="s">
        <v>3240</v>
      </c>
      <c r="C1441" s="37" t="s">
        <v>3241</v>
      </c>
      <c r="D1441" s="55" t="s">
        <v>820</v>
      </c>
      <c r="E1441" s="59">
        <v>511.2</v>
      </c>
      <c r="F1441" s="57">
        <v>0.51</v>
      </c>
      <c r="G1441" s="57"/>
      <c r="H1441" s="49"/>
      <c r="I1441" s="49" t="str">
        <f t="shared" si="127"/>
        <v/>
      </c>
      <c r="J1441" s="37" t="str">
        <f t="shared" si="125"/>
        <v>위메이드맥스</v>
      </c>
      <c r="K1441" s="37" t="str">
        <f t="shared" si="126"/>
        <v>A101730</v>
      </c>
    </row>
    <row r="1442" spans="1:11" x14ac:dyDescent="0.4">
      <c r="A1442" s="49"/>
      <c r="B1442" s="54" t="s">
        <v>3242</v>
      </c>
      <c r="C1442" s="37" t="s">
        <v>3243</v>
      </c>
      <c r="D1442" s="55" t="s">
        <v>820</v>
      </c>
      <c r="E1442" s="58">
        <v>410.86</v>
      </c>
      <c r="F1442" s="57">
        <v>1.1599999999999999</v>
      </c>
      <c r="G1442" s="57"/>
      <c r="H1442" s="49"/>
      <c r="I1442" s="49" t="str">
        <f t="shared" si="127"/>
        <v/>
      </c>
      <c r="J1442" s="37" t="str">
        <f t="shared" si="125"/>
        <v>인화정공</v>
      </c>
      <c r="K1442" s="37" t="str">
        <f t="shared" si="126"/>
        <v>A101930</v>
      </c>
    </row>
    <row r="1443" spans="1:11" x14ac:dyDescent="0.4">
      <c r="B1443" s="54" t="s">
        <v>430</v>
      </c>
      <c r="C1443" s="37" t="s">
        <v>431</v>
      </c>
      <c r="D1443" s="55" t="s">
        <v>820</v>
      </c>
      <c r="E1443" s="56">
        <v>184.73</v>
      </c>
      <c r="F1443" s="55">
        <v>0.65</v>
      </c>
      <c r="G1443" s="55"/>
      <c r="J1443" s="37" t="str">
        <f t="shared" si="125"/>
        <v>우양에이치씨</v>
      </c>
      <c r="K1443" s="37" t="str">
        <f t="shared" si="126"/>
        <v>A101970</v>
      </c>
    </row>
    <row r="1444" spans="1:11" x14ac:dyDescent="0.4">
      <c r="A1444" s="49"/>
      <c r="B1444" s="54" t="s">
        <v>3244</v>
      </c>
      <c r="C1444" s="37" t="s">
        <v>3245</v>
      </c>
      <c r="D1444" s="55" t="s">
        <v>820</v>
      </c>
      <c r="E1444" s="58">
        <v>225.99</v>
      </c>
      <c r="F1444" s="57">
        <v>5.52</v>
      </c>
      <c r="G1444" s="57"/>
      <c r="H1444" s="49"/>
      <c r="I1444" s="49" t="str">
        <f t="shared" ref="I1444:I1450" si="128">IF((G1444&gt;$G$8),E1444+ROW()/100000,"")</f>
        <v/>
      </c>
      <c r="J1444" s="37" t="str">
        <f t="shared" si="125"/>
        <v>어보브반도체</v>
      </c>
      <c r="K1444" s="37" t="str">
        <f t="shared" si="126"/>
        <v>A102120</v>
      </c>
    </row>
    <row r="1445" spans="1:11" x14ac:dyDescent="0.4">
      <c r="A1445" s="49"/>
      <c r="B1445" s="54" t="s">
        <v>3246</v>
      </c>
      <c r="C1445" s="37" t="s">
        <v>3247</v>
      </c>
      <c r="D1445" s="55" t="s">
        <v>805</v>
      </c>
      <c r="E1445" s="58">
        <v>222.03</v>
      </c>
      <c r="F1445" s="57">
        <v>0.62</v>
      </c>
      <c r="G1445" s="57"/>
      <c r="H1445" s="49"/>
      <c r="I1445" s="49" t="str">
        <f t="shared" si="128"/>
        <v/>
      </c>
      <c r="J1445" s="37" t="str">
        <f t="shared" si="125"/>
        <v>동성케미컬</v>
      </c>
      <c r="K1445" s="37" t="str">
        <f t="shared" si="126"/>
        <v>A102260</v>
      </c>
    </row>
    <row r="1446" spans="1:11" x14ac:dyDescent="0.4">
      <c r="A1446" s="49"/>
      <c r="B1446" s="54" t="s">
        <v>3248</v>
      </c>
      <c r="C1446" s="37" t="s">
        <v>3249</v>
      </c>
      <c r="D1446" s="55" t="s">
        <v>820</v>
      </c>
      <c r="E1446" s="58">
        <v>104.7</v>
      </c>
      <c r="F1446" s="57">
        <v>0.74</v>
      </c>
      <c r="G1446" s="57"/>
      <c r="H1446" s="49"/>
      <c r="I1446" s="49" t="str">
        <f t="shared" si="128"/>
        <v/>
      </c>
      <c r="J1446" s="37" t="str">
        <f t="shared" si="125"/>
        <v>케이옥션</v>
      </c>
      <c r="K1446" s="37" t="str">
        <f t="shared" si="126"/>
        <v>A102370</v>
      </c>
    </row>
    <row r="1447" spans="1:11" x14ac:dyDescent="0.4">
      <c r="A1447" s="49"/>
      <c r="B1447" s="54" t="s">
        <v>3250</v>
      </c>
      <c r="C1447" s="37" t="s">
        <v>3251</v>
      </c>
      <c r="D1447" s="55" t="s">
        <v>805</v>
      </c>
      <c r="E1447" s="58">
        <v>204.45</v>
      </c>
      <c r="F1447" s="57">
        <v>0.55000000000000004</v>
      </c>
      <c r="G1447" s="57"/>
      <c r="H1447" s="49"/>
      <c r="I1447" s="49" t="str">
        <f t="shared" si="128"/>
        <v/>
      </c>
      <c r="J1447" s="37" t="str">
        <f t="shared" si="125"/>
        <v>이연제약</v>
      </c>
      <c r="K1447" s="37" t="str">
        <f t="shared" si="126"/>
        <v>A102460</v>
      </c>
    </row>
    <row r="1448" spans="1:11" x14ac:dyDescent="0.4">
      <c r="A1448" s="49"/>
      <c r="B1448" s="54" t="s">
        <v>577</v>
      </c>
      <c r="C1448" s="37" t="s">
        <v>578</v>
      </c>
      <c r="D1448" s="55" t="s">
        <v>820</v>
      </c>
      <c r="E1448" s="56">
        <v>834.41</v>
      </c>
      <c r="F1448" s="55">
        <v>8.4700000000000006</v>
      </c>
      <c r="G1448" s="55">
        <v>2</v>
      </c>
      <c r="I1448" s="49">
        <f t="shared" si="128"/>
        <v>834.42448000000002</v>
      </c>
      <c r="J1448" s="37" t="str">
        <f t="shared" si="125"/>
        <v>이엔에프테크놀로지</v>
      </c>
      <c r="K1448" s="37" t="str">
        <f t="shared" si="126"/>
        <v>A102710</v>
      </c>
    </row>
    <row r="1449" spans="1:11" x14ac:dyDescent="0.4">
      <c r="A1449" s="49"/>
      <c r="B1449" s="54" t="s">
        <v>3252</v>
      </c>
      <c r="C1449" s="37" t="s">
        <v>3253</v>
      </c>
      <c r="D1449" s="55" t="s">
        <v>820</v>
      </c>
      <c r="E1449" s="58">
        <v>833.41</v>
      </c>
      <c r="F1449" s="57">
        <v>3.92</v>
      </c>
      <c r="G1449" s="57"/>
      <c r="H1449" s="49"/>
      <c r="I1449" s="49" t="str">
        <f t="shared" si="128"/>
        <v/>
      </c>
      <c r="J1449" s="37" t="str">
        <f t="shared" si="125"/>
        <v>코오롱생명과학</v>
      </c>
      <c r="K1449" s="37" t="str">
        <f t="shared" si="126"/>
        <v>A102940</v>
      </c>
    </row>
    <row r="1450" spans="1:11" x14ac:dyDescent="0.4">
      <c r="A1450" s="49"/>
      <c r="B1450" s="54" t="s">
        <v>3254</v>
      </c>
      <c r="C1450" s="37" t="s">
        <v>3255</v>
      </c>
      <c r="D1450" s="55" t="s">
        <v>805</v>
      </c>
      <c r="E1450" s="56">
        <v>3245.21</v>
      </c>
      <c r="F1450" s="55">
        <v>33.92</v>
      </c>
      <c r="G1450" s="55">
        <v>16</v>
      </c>
      <c r="I1450" s="49">
        <f t="shared" si="128"/>
        <v>3245.2245000000003</v>
      </c>
      <c r="J1450" s="37" t="str">
        <f t="shared" si="125"/>
        <v>풍산</v>
      </c>
      <c r="K1450" s="37" t="str">
        <f t="shared" si="126"/>
        <v>A103140</v>
      </c>
    </row>
    <row r="1451" spans="1:11" x14ac:dyDescent="0.4">
      <c r="B1451" s="54" t="s">
        <v>3256</v>
      </c>
      <c r="C1451" s="37" t="s">
        <v>3257</v>
      </c>
      <c r="D1451" s="55" t="s">
        <v>820</v>
      </c>
      <c r="E1451" s="56">
        <v>27.43</v>
      </c>
      <c r="F1451" s="55">
        <v>0.57999999999999996</v>
      </c>
      <c r="G1451" s="55"/>
      <c r="J1451" s="37" t="str">
        <f t="shared" si="125"/>
        <v>에스앤더블류</v>
      </c>
      <c r="K1451" s="37" t="str">
        <f t="shared" si="126"/>
        <v>A103230</v>
      </c>
    </row>
    <row r="1452" spans="1:11" x14ac:dyDescent="0.4">
      <c r="A1452" s="49"/>
      <c r="B1452" s="54" t="s">
        <v>408</v>
      </c>
      <c r="C1452" s="37" t="s">
        <v>409</v>
      </c>
      <c r="D1452" s="55" t="s">
        <v>805</v>
      </c>
      <c r="E1452" s="58">
        <v>4267.84</v>
      </c>
      <c r="F1452" s="57">
        <v>51.64</v>
      </c>
      <c r="G1452" s="57">
        <v>3</v>
      </c>
      <c r="H1452" s="49"/>
      <c r="I1452" s="49">
        <f t="shared" ref="I1452:I1485" si="129">IF((G1452&gt;$G$8),E1452+ROW()/100000,"")</f>
        <v>4267.8545199999999</v>
      </c>
      <c r="J1452" s="37" t="str">
        <f t="shared" si="125"/>
        <v>일진전기</v>
      </c>
      <c r="K1452" s="37" t="str">
        <f t="shared" si="126"/>
        <v>A103590</v>
      </c>
    </row>
    <row r="1453" spans="1:11" x14ac:dyDescent="0.4">
      <c r="A1453" s="49"/>
      <c r="B1453" s="54" t="s">
        <v>3258</v>
      </c>
      <c r="C1453" s="37" t="s">
        <v>3259</v>
      </c>
      <c r="D1453" s="55" t="s">
        <v>820</v>
      </c>
      <c r="E1453" s="58">
        <v>52.78</v>
      </c>
      <c r="F1453" s="57">
        <v>2.5</v>
      </c>
      <c r="G1453" s="57"/>
      <c r="H1453" s="49"/>
      <c r="I1453" s="49" t="str">
        <f t="shared" si="129"/>
        <v/>
      </c>
      <c r="J1453" s="37" t="str">
        <f t="shared" si="125"/>
        <v>우양</v>
      </c>
      <c r="K1453" s="37" t="str">
        <f t="shared" si="126"/>
        <v>A103840</v>
      </c>
    </row>
    <row r="1454" spans="1:11" x14ac:dyDescent="0.4">
      <c r="A1454" s="49"/>
      <c r="B1454" s="54" t="s">
        <v>3260</v>
      </c>
      <c r="C1454" s="37" t="s">
        <v>5190</v>
      </c>
      <c r="D1454" s="55" t="s">
        <v>820</v>
      </c>
      <c r="E1454" s="58">
        <v>98.27</v>
      </c>
      <c r="F1454" s="57">
        <v>0.51</v>
      </c>
      <c r="G1454" s="57"/>
      <c r="H1454" s="49"/>
      <c r="I1454" s="49" t="str">
        <f t="shared" si="129"/>
        <v/>
      </c>
      <c r="J1454" s="37" t="str">
        <f t="shared" si="125"/>
        <v>디에스엠</v>
      </c>
      <c r="K1454" s="37" t="str">
        <f t="shared" si="126"/>
        <v>A104040</v>
      </c>
    </row>
    <row r="1455" spans="1:11" x14ac:dyDescent="0.4">
      <c r="A1455" s="49"/>
      <c r="B1455" s="54" t="s">
        <v>3261</v>
      </c>
      <c r="C1455" s="37" t="s">
        <v>3262</v>
      </c>
      <c r="D1455" s="55" t="s">
        <v>820</v>
      </c>
      <c r="E1455" s="58">
        <v>83.33</v>
      </c>
      <c r="F1455" s="57">
        <v>1.1000000000000001</v>
      </c>
      <c r="G1455" s="57"/>
      <c r="H1455" s="49"/>
      <c r="I1455" s="49" t="str">
        <f t="shared" si="129"/>
        <v/>
      </c>
      <c r="J1455" s="37" t="str">
        <f t="shared" si="125"/>
        <v>NHN벅스</v>
      </c>
      <c r="K1455" s="37" t="str">
        <f t="shared" si="126"/>
        <v>A104200</v>
      </c>
    </row>
    <row r="1456" spans="1:11" x14ac:dyDescent="0.4">
      <c r="A1456" s="49"/>
      <c r="B1456" s="54" t="s">
        <v>3263</v>
      </c>
      <c r="C1456" s="37" t="s">
        <v>3264</v>
      </c>
      <c r="D1456" s="55" t="s">
        <v>820</v>
      </c>
      <c r="E1456" s="56">
        <v>157.35</v>
      </c>
      <c r="F1456" s="55">
        <v>0.56000000000000005</v>
      </c>
      <c r="G1456" s="55"/>
      <c r="I1456" s="49" t="str">
        <f t="shared" si="129"/>
        <v/>
      </c>
      <c r="J1456" s="37" t="str">
        <f t="shared" si="125"/>
        <v>디와이피엔에프</v>
      </c>
      <c r="K1456" s="37" t="str">
        <f t="shared" si="126"/>
        <v>A104460</v>
      </c>
    </row>
    <row r="1457" spans="1:11" x14ac:dyDescent="0.4">
      <c r="A1457" s="49"/>
      <c r="B1457" s="54" t="s">
        <v>3265</v>
      </c>
      <c r="C1457" s="37" t="s">
        <v>3266</v>
      </c>
      <c r="D1457" s="55" t="s">
        <v>820</v>
      </c>
      <c r="E1457" s="58">
        <v>179.88</v>
      </c>
      <c r="F1457" s="57">
        <v>0.68</v>
      </c>
      <c r="G1457" s="57"/>
      <c r="H1457" s="49"/>
      <c r="I1457" s="49" t="str">
        <f t="shared" si="129"/>
        <v/>
      </c>
      <c r="J1457" s="37" t="str">
        <f t="shared" si="125"/>
        <v>티케이케미칼</v>
      </c>
      <c r="K1457" s="37" t="str">
        <f t="shared" si="126"/>
        <v>A104480</v>
      </c>
    </row>
    <row r="1458" spans="1:11" x14ac:dyDescent="0.4">
      <c r="A1458" s="49"/>
      <c r="B1458" s="54" t="s">
        <v>3267</v>
      </c>
      <c r="C1458" s="37" t="s">
        <v>3268</v>
      </c>
      <c r="D1458" s="55" t="s">
        <v>820</v>
      </c>
      <c r="E1458" s="58">
        <v>84.9</v>
      </c>
      <c r="F1458" s="57">
        <v>0.7</v>
      </c>
      <c r="G1458" s="57"/>
      <c r="H1458" s="49"/>
      <c r="I1458" s="49" t="str">
        <f t="shared" si="129"/>
        <v/>
      </c>
      <c r="J1458" s="37" t="str">
        <f t="shared" si="125"/>
        <v>코렌텍</v>
      </c>
      <c r="K1458" s="37" t="str">
        <f t="shared" si="126"/>
        <v>A104540</v>
      </c>
    </row>
    <row r="1459" spans="1:11" x14ac:dyDescent="0.4">
      <c r="A1459" s="49"/>
      <c r="B1459" s="54" t="s">
        <v>3269</v>
      </c>
      <c r="C1459" s="37" t="s">
        <v>3270</v>
      </c>
      <c r="D1459" s="55" t="s">
        <v>820</v>
      </c>
      <c r="E1459" s="58">
        <v>86.07</v>
      </c>
      <c r="F1459" s="57">
        <v>7.53</v>
      </c>
      <c r="G1459" s="57"/>
      <c r="H1459" s="49"/>
      <c r="I1459" s="49" t="str">
        <f t="shared" si="129"/>
        <v/>
      </c>
      <c r="J1459" s="37" t="str">
        <f t="shared" si="125"/>
        <v>노랑풍선</v>
      </c>
      <c r="K1459" s="37" t="str">
        <f t="shared" si="126"/>
        <v>A104620</v>
      </c>
    </row>
    <row r="1460" spans="1:11" x14ac:dyDescent="0.4">
      <c r="A1460" s="49"/>
      <c r="B1460" s="54" t="s">
        <v>3271</v>
      </c>
      <c r="C1460" s="37" t="s">
        <v>3272</v>
      </c>
      <c r="D1460" s="55" t="s">
        <v>805</v>
      </c>
      <c r="E1460" s="58">
        <v>371.79</v>
      </c>
      <c r="F1460" s="57">
        <v>0.4</v>
      </c>
      <c r="G1460" s="57">
        <v>1</v>
      </c>
      <c r="H1460" s="49"/>
      <c r="I1460" s="49">
        <f t="shared" si="129"/>
        <v>371.80459999999999</v>
      </c>
      <c r="J1460" s="37" t="str">
        <f t="shared" si="125"/>
        <v>한국철강</v>
      </c>
      <c r="K1460" s="37" t="str">
        <f t="shared" si="126"/>
        <v>A104700</v>
      </c>
    </row>
    <row r="1461" spans="1:11" x14ac:dyDescent="0.4">
      <c r="A1461" s="49"/>
      <c r="B1461" s="54" t="s">
        <v>3273</v>
      </c>
      <c r="C1461" s="37" t="s">
        <v>3274</v>
      </c>
      <c r="D1461" s="55" t="s">
        <v>820</v>
      </c>
      <c r="E1461" s="58">
        <v>585.01</v>
      </c>
      <c r="F1461" s="57">
        <v>4.1100000000000003</v>
      </c>
      <c r="G1461" s="57">
        <v>3</v>
      </c>
      <c r="H1461" s="49"/>
      <c r="I1461" s="49">
        <f t="shared" si="129"/>
        <v>585.02460999999994</v>
      </c>
      <c r="J1461" s="37" t="str">
        <f t="shared" si="125"/>
        <v>원익머트리얼즈</v>
      </c>
      <c r="K1461" s="37" t="str">
        <f t="shared" si="126"/>
        <v>A104830</v>
      </c>
    </row>
    <row r="1462" spans="1:11" x14ac:dyDescent="0.4">
      <c r="A1462" s="49"/>
      <c r="B1462" s="54" t="s">
        <v>3275</v>
      </c>
      <c r="C1462" s="37" t="s">
        <v>3276</v>
      </c>
      <c r="D1462" s="55" t="s">
        <v>820</v>
      </c>
      <c r="E1462" s="58">
        <v>112.58</v>
      </c>
      <c r="F1462" s="57">
        <v>0.39</v>
      </c>
      <c r="G1462" s="57"/>
      <c r="H1462" s="49"/>
      <c r="I1462" s="49" t="str">
        <f t="shared" si="129"/>
        <v/>
      </c>
      <c r="J1462" s="37" t="str">
        <f t="shared" si="125"/>
        <v>케이엔더블유</v>
      </c>
      <c r="K1462" s="37" t="str">
        <f t="shared" si="126"/>
        <v>A105330</v>
      </c>
    </row>
    <row r="1463" spans="1:11" x14ac:dyDescent="0.4">
      <c r="A1463" s="49"/>
      <c r="B1463" s="54" t="s">
        <v>3277</v>
      </c>
      <c r="C1463" s="37" t="s">
        <v>3278</v>
      </c>
      <c r="D1463" s="55" t="s">
        <v>820</v>
      </c>
      <c r="E1463" s="58">
        <v>106.89</v>
      </c>
      <c r="F1463" s="57">
        <v>1.37</v>
      </c>
      <c r="G1463" s="57"/>
      <c r="H1463" s="49"/>
      <c r="I1463" s="49" t="str">
        <f t="shared" si="129"/>
        <v/>
      </c>
      <c r="J1463" s="37" t="str">
        <f t="shared" si="125"/>
        <v>엣지파운드리</v>
      </c>
      <c r="K1463" s="37" t="str">
        <f t="shared" si="126"/>
        <v>A105550</v>
      </c>
    </row>
    <row r="1464" spans="1:11" x14ac:dyDescent="0.4">
      <c r="A1464" s="49"/>
      <c r="B1464" s="54" t="s">
        <v>102</v>
      </c>
      <c r="C1464" s="37" t="s">
        <v>103</v>
      </c>
      <c r="D1464" s="55" t="s">
        <v>805</v>
      </c>
      <c r="E1464" s="59">
        <v>59283.22</v>
      </c>
      <c r="F1464" s="57">
        <v>136.99</v>
      </c>
      <c r="G1464" s="57">
        <v>17</v>
      </c>
      <c r="H1464" s="49"/>
      <c r="I1464" s="49">
        <f t="shared" si="129"/>
        <v>59283.234640000002</v>
      </c>
      <c r="J1464" s="37" t="str">
        <f t="shared" si="125"/>
        <v>KB금융</v>
      </c>
      <c r="K1464" s="37" t="str">
        <f t="shared" si="126"/>
        <v>A105560</v>
      </c>
    </row>
    <row r="1465" spans="1:11" x14ac:dyDescent="0.4">
      <c r="A1465" s="49"/>
      <c r="B1465" s="54" t="s">
        <v>3279</v>
      </c>
      <c r="C1465" s="37" t="s">
        <v>3280</v>
      </c>
      <c r="D1465" s="55" t="s">
        <v>805</v>
      </c>
      <c r="E1465" s="58">
        <v>571.6</v>
      </c>
      <c r="F1465" s="57">
        <v>2.41</v>
      </c>
      <c r="G1465" s="57">
        <v>5</v>
      </c>
      <c r="H1465" s="49"/>
      <c r="I1465" s="49">
        <f t="shared" si="129"/>
        <v>571.61464999999998</v>
      </c>
      <c r="J1465" s="37" t="str">
        <f t="shared" si="125"/>
        <v>한세실업</v>
      </c>
      <c r="K1465" s="37" t="str">
        <f t="shared" si="126"/>
        <v>A105630</v>
      </c>
    </row>
    <row r="1466" spans="1:11" x14ac:dyDescent="0.4">
      <c r="A1466" s="49"/>
      <c r="B1466" s="54" t="s">
        <v>3281</v>
      </c>
      <c r="C1466" s="37" t="s">
        <v>3282</v>
      </c>
      <c r="D1466" s="55" t="s">
        <v>820</v>
      </c>
      <c r="E1466" s="57">
        <v>100.87</v>
      </c>
      <c r="F1466" s="55">
        <v>2.35</v>
      </c>
      <c r="G1466" s="55"/>
      <c r="I1466" s="49" t="str">
        <f t="shared" si="129"/>
        <v/>
      </c>
      <c r="J1466" s="37" t="str">
        <f t="shared" si="125"/>
        <v>디케이락</v>
      </c>
      <c r="K1466" s="37" t="str">
        <f t="shared" si="126"/>
        <v>A105740</v>
      </c>
    </row>
    <row r="1467" spans="1:11" x14ac:dyDescent="0.4">
      <c r="A1467" s="49"/>
      <c r="B1467" s="54" t="s">
        <v>3283</v>
      </c>
      <c r="C1467" s="37" t="s">
        <v>3284</v>
      </c>
      <c r="D1467" s="55" t="s">
        <v>820</v>
      </c>
      <c r="E1467" s="58">
        <v>55.44</v>
      </c>
      <c r="F1467" s="57">
        <v>0.42</v>
      </c>
      <c r="G1467" s="57"/>
      <c r="H1467" s="49"/>
      <c r="I1467" s="49" t="str">
        <f t="shared" si="129"/>
        <v/>
      </c>
      <c r="J1467" s="37" t="str">
        <f t="shared" si="125"/>
        <v>포스뱅크</v>
      </c>
      <c r="K1467" s="37" t="str">
        <f t="shared" si="126"/>
        <v>A105760</v>
      </c>
    </row>
    <row r="1468" spans="1:11" x14ac:dyDescent="0.4">
      <c r="A1468" s="49"/>
      <c r="B1468" s="54" t="s">
        <v>3285</v>
      </c>
      <c r="C1468" s="37" t="s">
        <v>3286</v>
      </c>
      <c r="D1468" s="55" t="s">
        <v>805</v>
      </c>
      <c r="E1468" s="58">
        <v>512.01</v>
      </c>
      <c r="F1468" s="57">
        <v>33.049999999999997</v>
      </c>
      <c r="G1468" s="57"/>
      <c r="H1468" s="49"/>
      <c r="I1468" s="49" t="str">
        <f t="shared" si="129"/>
        <v/>
      </c>
      <c r="J1468" s="37" t="str">
        <f t="shared" si="125"/>
        <v>우진</v>
      </c>
      <c r="K1468" s="37" t="str">
        <f t="shared" si="126"/>
        <v>A105840</v>
      </c>
    </row>
    <row r="1469" spans="1:11" x14ac:dyDescent="0.4">
      <c r="A1469" s="49"/>
      <c r="B1469" s="54" t="s">
        <v>3287</v>
      </c>
      <c r="C1469" s="37" t="s">
        <v>3288</v>
      </c>
      <c r="D1469" s="55" t="s">
        <v>820</v>
      </c>
      <c r="E1469" s="58">
        <v>13.57</v>
      </c>
      <c r="F1469" s="57">
        <v>2.35</v>
      </c>
      <c r="G1469" s="57"/>
      <c r="H1469" s="49"/>
      <c r="I1469" s="49" t="str">
        <f t="shared" si="129"/>
        <v/>
      </c>
      <c r="J1469" s="37" t="str">
        <f t="shared" si="125"/>
        <v>케이이엠텍</v>
      </c>
      <c r="K1469" s="37" t="str">
        <f t="shared" si="126"/>
        <v>A106080</v>
      </c>
    </row>
    <row r="1470" spans="1:11" x14ac:dyDescent="0.4">
      <c r="A1470" s="49"/>
      <c r="B1470" s="54" t="s">
        <v>3289</v>
      </c>
      <c r="C1470" s="37" t="s">
        <v>3290</v>
      </c>
      <c r="D1470" s="55" t="s">
        <v>820</v>
      </c>
      <c r="E1470" s="56">
        <v>168</v>
      </c>
      <c r="F1470" s="55">
        <v>0.45</v>
      </c>
      <c r="G1470" s="55"/>
      <c r="I1470" s="49" t="str">
        <f t="shared" si="129"/>
        <v/>
      </c>
      <c r="J1470" s="37" t="str">
        <f t="shared" si="125"/>
        <v>하이텍팜</v>
      </c>
      <c r="K1470" s="37" t="str">
        <f t="shared" si="126"/>
        <v>A106190</v>
      </c>
    </row>
    <row r="1471" spans="1:11" x14ac:dyDescent="0.4">
      <c r="A1471" s="49"/>
      <c r="B1471" s="54" t="s">
        <v>3291</v>
      </c>
      <c r="C1471" s="37" t="s">
        <v>3292</v>
      </c>
      <c r="D1471" s="55" t="s">
        <v>820</v>
      </c>
      <c r="E1471" s="56">
        <v>43.63</v>
      </c>
      <c r="F1471" s="56">
        <v>0.61</v>
      </c>
      <c r="G1471" s="55"/>
      <c r="I1471" s="49" t="str">
        <f t="shared" si="129"/>
        <v/>
      </c>
      <c r="J1471" s="37" t="str">
        <f t="shared" si="125"/>
        <v>파인테크닉스</v>
      </c>
      <c r="K1471" s="37" t="str">
        <f t="shared" si="126"/>
        <v>A106240</v>
      </c>
    </row>
    <row r="1472" spans="1:11" x14ac:dyDescent="0.4">
      <c r="A1472" s="49"/>
      <c r="B1472" s="54" t="s">
        <v>3293</v>
      </c>
      <c r="C1472" s="37" t="s">
        <v>3294</v>
      </c>
      <c r="D1472" s="55" t="s">
        <v>820</v>
      </c>
      <c r="E1472" s="56">
        <v>15.9</v>
      </c>
      <c r="F1472" s="55">
        <v>0</v>
      </c>
      <c r="G1472" s="55"/>
      <c r="I1472" s="49" t="str">
        <f t="shared" si="129"/>
        <v/>
      </c>
      <c r="J1472" s="37" t="str">
        <f t="shared" si="125"/>
        <v>노블엠앤비</v>
      </c>
      <c r="K1472" s="37" t="str">
        <f t="shared" si="126"/>
        <v>A106520</v>
      </c>
    </row>
    <row r="1473" spans="1:11" x14ac:dyDescent="0.4">
      <c r="A1473" s="49"/>
      <c r="B1473" s="54" t="s">
        <v>3295</v>
      </c>
      <c r="C1473" s="37" t="s">
        <v>3296</v>
      </c>
      <c r="D1473" s="55" t="s">
        <v>805</v>
      </c>
      <c r="E1473" s="58">
        <v>160.08000000000001</v>
      </c>
      <c r="F1473" s="57">
        <v>0.03</v>
      </c>
      <c r="G1473" s="57"/>
      <c r="H1473" s="49"/>
      <c r="I1473" s="49" t="str">
        <f t="shared" si="129"/>
        <v/>
      </c>
      <c r="J1473" s="37" t="str">
        <f t="shared" si="125"/>
        <v>미원홀딩스</v>
      </c>
      <c r="K1473" s="37" t="str">
        <f t="shared" si="126"/>
        <v>A107590</v>
      </c>
    </row>
    <row r="1474" spans="1:11" x14ac:dyDescent="0.4">
      <c r="A1474" s="49"/>
      <c r="B1474" s="54" t="s">
        <v>3297</v>
      </c>
      <c r="C1474" s="37" t="s">
        <v>3298</v>
      </c>
      <c r="D1474" s="55" t="s">
        <v>820</v>
      </c>
      <c r="E1474" s="56">
        <v>175.38</v>
      </c>
      <c r="F1474" s="55">
        <v>6.96</v>
      </c>
      <c r="G1474" s="55"/>
      <c r="I1474" s="49" t="str">
        <f t="shared" si="129"/>
        <v/>
      </c>
      <c r="J1474" s="37" t="str">
        <f t="shared" si="125"/>
        <v>새빗켐</v>
      </c>
      <c r="K1474" s="37" t="str">
        <f t="shared" si="126"/>
        <v>A107600</v>
      </c>
    </row>
    <row r="1475" spans="1:11" x14ac:dyDescent="0.4">
      <c r="A1475" s="49"/>
      <c r="B1475" s="54" t="s">
        <v>401</v>
      </c>
      <c r="C1475" s="37" t="s">
        <v>402</v>
      </c>
      <c r="D1475" s="55" t="s">
        <v>820</v>
      </c>
      <c r="E1475" s="56">
        <v>513.08000000000004</v>
      </c>
      <c r="F1475" s="55">
        <v>9.77</v>
      </c>
      <c r="G1475" s="55">
        <v>1</v>
      </c>
      <c r="I1475" s="49">
        <f t="shared" si="129"/>
        <v>513.09475000000009</v>
      </c>
      <c r="J1475" s="37" t="str">
        <f t="shared" si="125"/>
        <v>한중엔시에스</v>
      </c>
      <c r="K1475" s="37" t="str">
        <f t="shared" si="126"/>
        <v>A107640</v>
      </c>
    </row>
    <row r="1476" spans="1:11" x14ac:dyDescent="0.4">
      <c r="A1476" s="49"/>
      <c r="B1476" s="54" t="s">
        <v>3299</v>
      </c>
      <c r="C1476" s="37" t="s">
        <v>3300</v>
      </c>
      <c r="D1476" s="55" t="s">
        <v>820</v>
      </c>
      <c r="E1476" s="58">
        <v>184.03</v>
      </c>
      <c r="F1476" s="57">
        <v>0.6</v>
      </c>
      <c r="G1476" s="57"/>
      <c r="H1476" s="49"/>
      <c r="I1476" s="49" t="str">
        <f t="shared" si="129"/>
        <v/>
      </c>
      <c r="J1476" s="37" t="str">
        <f t="shared" si="125"/>
        <v>톱텍</v>
      </c>
      <c r="K1476" s="37" t="str">
        <f t="shared" si="126"/>
        <v>A108230</v>
      </c>
    </row>
    <row r="1477" spans="1:11" x14ac:dyDescent="0.4">
      <c r="A1477" s="49"/>
      <c r="B1477" s="54" t="s">
        <v>3301</v>
      </c>
      <c r="C1477" s="37" t="s">
        <v>3302</v>
      </c>
      <c r="D1477" s="55" t="s">
        <v>805</v>
      </c>
      <c r="E1477" s="58">
        <v>949.84</v>
      </c>
      <c r="F1477" s="57">
        <v>3.94</v>
      </c>
      <c r="G1477" s="57">
        <v>2</v>
      </c>
      <c r="H1477" s="49"/>
      <c r="I1477" s="49">
        <f t="shared" si="129"/>
        <v>949.85477000000003</v>
      </c>
      <c r="J1477" s="37" t="str">
        <f t="shared" si="125"/>
        <v>LX세미콘</v>
      </c>
      <c r="K1477" s="37" t="str">
        <f t="shared" si="126"/>
        <v>A108320</v>
      </c>
    </row>
    <row r="1478" spans="1:11" x14ac:dyDescent="0.4">
      <c r="A1478" s="49"/>
      <c r="B1478" s="54" t="s">
        <v>3303</v>
      </c>
      <c r="C1478" s="37" t="s">
        <v>3304</v>
      </c>
      <c r="D1478" s="55" t="s">
        <v>820</v>
      </c>
      <c r="E1478" s="58">
        <v>301.37</v>
      </c>
      <c r="F1478" s="57">
        <v>2.4900000000000002</v>
      </c>
      <c r="G1478" s="57">
        <v>2</v>
      </c>
      <c r="H1478" s="49"/>
      <c r="I1478" s="49">
        <f t="shared" si="129"/>
        <v>301.38477999999998</v>
      </c>
      <c r="J1478" s="37" t="str">
        <f t="shared" si="125"/>
        <v>대양전기공업</v>
      </c>
      <c r="K1478" s="37" t="str">
        <f t="shared" si="126"/>
        <v>A108380</v>
      </c>
    </row>
    <row r="1479" spans="1:11" x14ac:dyDescent="0.4">
      <c r="A1479" s="49"/>
      <c r="B1479" s="54" t="s">
        <v>232</v>
      </c>
      <c r="C1479" s="37" t="s">
        <v>233</v>
      </c>
      <c r="D1479" s="55" t="s">
        <v>820</v>
      </c>
      <c r="E1479" s="58">
        <v>4227.3100000000004</v>
      </c>
      <c r="F1479" s="57">
        <v>235.71</v>
      </c>
      <c r="G1479" s="57">
        <v>2</v>
      </c>
      <c r="H1479" s="49"/>
      <c r="I1479" s="49">
        <f t="shared" si="129"/>
        <v>4227.3247900000006</v>
      </c>
      <c r="J1479" s="37" t="str">
        <f t="shared" si="125"/>
        <v>로보티즈</v>
      </c>
      <c r="K1479" s="37" t="str">
        <f t="shared" si="126"/>
        <v>A108490</v>
      </c>
    </row>
    <row r="1480" spans="1:11" x14ac:dyDescent="0.4">
      <c r="A1480" s="49"/>
      <c r="B1480" s="54" t="s">
        <v>3305</v>
      </c>
      <c r="C1480" s="37" t="s">
        <v>3306</v>
      </c>
      <c r="D1480" s="55" t="s">
        <v>805</v>
      </c>
      <c r="E1480" s="56">
        <v>284.72000000000003</v>
      </c>
      <c r="F1480" s="55">
        <v>0.82</v>
      </c>
      <c r="G1480" s="55">
        <v>1</v>
      </c>
      <c r="I1480" s="49">
        <f t="shared" si="129"/>
        <v>284.73480000000001</v>
      </c>
      <c r="J1480" s="37" t="str">
        <f t="shared" si="125"/>
        <v>LX하우시스</v>
      </c>
      <c r="K1480" s="37" t="str">
        <f t="shared" si="126"/>
        <v>A108670</v>
      </c>
    </row>
    <row r="1481" spans="1:11" x14ac:dyDescent="0.4">
      <c r="A1481" s="49"/>
      <c r="B1481" s="54" t="s">
        <v>3307</v>
      </c>
      <c r="C1481" s="37" t="s">
        <v>3308</v>
      </c>
      <c r="D1481" s="55" t="s">
        <v>820</v>
      </c>
      <c r="E1481" s="58">
        <v>324.32</v>
      </c>
      <c r="F1481" s="57">
        <v>4.12</v>
      </c>
      <c r="G1481" s="57"/>
      <c r="H1481" s="49"/>
      <c r="I1481" s="49" t="str">
        <f t="shared" si="129"/>
        <v/>
      </c>
      <c r="J1481" s="37" t="str">
        <f t="shared" si="125"/>
        <v>셀바스AI</v>
      </c>
      <c r="K1481" s="37" t="str">
        <f t="shared" si="126"/>
        <v>A108860</v>
      </c>
    </row>
    <row r="1482" spans="1:11" x14ac:dyDescent="0.4">
      <c r="A1482" s="49"/>
      <c r="B1482" s="54" t="s">
        <v>3309</v>
      </c>
      <c r="C1482" s="37" t="s">
        <v>3310</v>
      </c>
      <c r="D1482" s="55" t="s">
        <v>805</v>
      </c>
      <c r="E1482" s="58">
        <v>42.51</v>
      </c>
      <c r="F1482" s="57">
        <v>0.21</v>
      </c>
      <c r="G1482" s="57"/>
      <c r="H1482" s="49"/>
      <c r="I1482" s="49" t="str">
        <f t="shared" si="129"/>
        <v/>
      </c>
      <c r="J1482" s="37" t="str">
        <f t="shared" si="125"/>
        <v>주성코퍼레이션</v>
      </c>
      <c r="K1482" s="37" t="str">
        <f t="shared" si="126"/>
        <v>A109070</v>
      </c>
    </row>
    <row r="1483" spans="1:11" x14ac:dyDescent="0.4">
      <c r="A1483" s="49"/>
      <c r="B1483" s="54" t="s">
        <v>3311</v>
      </c>
      <c r="C1483" s="37" t="s">
        <v>3312</v>
      </c>
      <c r="D1483" s="55" t="s">
        <v>820</v>
      </c>
      <c r="E1483" s="57">
        <v>52.53</v>
      </c>
      <c r="F1483" s="55">
        <v>0.37</v>
      </c>
      <c r="G1483" s="55"/>
      <c r="I1483" s="49" t="str">
        <f t="shared" si="129"/>
        <v/>
      </c>
      <c r="J1483" s="37" t="str">
        <f t="shared" si="125"/>
        <v>옵티시스</v>
      </c>
      <c r="K1483" s="37" t="str">
        <f t="shared" si="126"/>
        <v>A109080</v>
      </c>
    </row>
    <row r="1484" spans="1:11" x14ac:dyDescent="0.4">
      <c r="A1484" s="49"/>
      <c r="B1484" s="54" t="s">
        <v>3313</v>
      </c>
      <c r="C1484" s="37" t="s">
        <v>3314</v>
      </c>
      <c r="D1484" s="55" t="s">
        <v>820</v>
      </c>
      <c r="E1484" s="58">
        <v>145.99</v>
      </c>
      <c r="F1484" s="57">
        <v>1.01</v>
      </c>
      <c r="G1484" s="57"/>
      <c r="H1484" s="49"/>
      <c r="I1484" s="49" t="str">
        <f t="shared" si="129"/>
        <v/>
      </c>
      <c r="J1484" s="37" t="str">
        <f t="shared" si="125"/>
        <v>에스와이</v>
      </c>
      <c r="K1484" s="37" t="str">
        <f t="shared" si="126"/>
        <v>A109610</v>
      </c>
    </row>
    <row r="1485" spans="1:11" x14ac:dyDescent="0.4">
      <c r="A1485" s="49"/>
      <c r="B1485" s="54" t="s">
        <v>3315</v>
      </c>
      <c r="C1485" s="37" t="s">
        <v>3316</v>
      </c>
      <c r="D1485" s="55" t="s">
        <v>820</v>
      </c>
      <c r="E1485" s="58">
        <v>34.729999999999997</v>
      </c>
      <c r="F1485" s="57">
        <v>1.69</v>
      </c>
      <c r="G1485" s="57"/>
      <c r="H1485" s="49"/>
      <c r="I1485" s="49" t="str">
        <f t="shared" si="129"/>
        <v/>
      </c>
      <c r="J1485" s="37" t="str">
        <f t="shared" si="125"/>
        <v>씨싸이트</v>
      </c>
      <c r="K1485" s="37" t="str">
        <f t="shared" si="126"/>
        <v>A109670</v>
      </c>
    </row>
    <row r="1486" spans="1:11" x14ac:dyDescent="0.4">
      <c r="B1486" s="54" t="s">
        <v>3317</v>
      </c>
      <c r="C1486" s="37" t="s">
        <v>3318</v>
      </c>
      <c r="D1486" s="55" t="s">
        <v>820</v>
      </c>
      <c r="E1486" s="56">
        <v>181</v>
      </c>
      <c r="F1486" s="55">
        <v>0.71</v>
      </c>
      <c r="G1486" s="55"/>
      <c r="J1486" s="37" t="str">
        <f t="shared" ref="J1486:J1549" si="130">C1486</f>
        <v>디에스케이</v>
      </c>
      <c r="K1486" s="37" t="str">
        <f t="shared" ref="K1486:K1549" si="131">B1486</f>
        <v>A109740</v>
      </c>
    </row>
    <row r="1487" spans="1:11" x14ac:dyDescent="0.4">
      <c r="A1487" s="49"/>
      <c r="B1487" s="54" t="s">
        <v>3319</v>
      </c>
      <c r="C1487" s="37" t="s">
        <v>3320</v>
      </c>
      <c r="D1487" s="55" t="s">
        <v>820</v>
      </c>
      <c r="E1487" s="58">
        <v>46.8</v>
      </c>
      <c r="F1487" s="57">
        <v>1.04</v>
      </c>
      <c r="G1487" s="57"/>
      <c r="H1487" s="49"/>
      <c r="I1487" s="49" t="str">
        <f t="shared" ref="I1487:I1502" si="132">IF((G1487&gt;$G$8),E1487+ROW()/100000,"")</f>
        <v/>
      </c>
      <c r="J1487" s="37" t="str">
        <f t="shared" si="130"/>
        <v>진매트릭스</v>
      </c>
      <c r="K1487" s="37" t="str">
        <f t="shared" si="131"/>
        <v>A109820</v>
      </c>
    </row>
    <row r="1488" spans="1:11" x14ac:dyDescent="0.4">
      <c r="A1488" s="49"/>
      <c r="B1488" s="54" t="s">
        <v>3321</v>
      </c>
      <c r="C1488" s="37" t="s">
        <v>3322</v>
      </c>
      <c r="D1488" s="55" t="s">
        <v>820</v>
      </c>
      <c r="E1488" s="58">
        <v>69.069999999999993</v>
      </c>
      <c r="F1488" s="57">
        <v>0.03</v>
      </c>
      <c r="G1488" s="57"/>
      <c r="H1488" s="49"/>
      <c r="I1488" s="49" t="str">
        <f t="shared" si="132"/>
        <v/>
      </c>
      <c r="J1488" s="37" t="str">
        <f t="shared" si="130"/>
        <v>동일금속</v>
      </c>
      <c r="K1488" s="37" t="str">
        <f t="shared" si="131"/>
        <v>A109860</v>
      </c>
    </row>
    <row r="1489" spans="1:11" x14ac:dyDescent="0.4">
      <c r="A1489" s="49"/>
      <c r="B1489" s="54" t="s">
        <v>3323</v>
      </c>
      <c r="C1489" s="37" t="s">
        <v>3324</v>
      </c>
      <c r="D1489" s="55" t="s">
        <v>820</v>
      </c>
      <c r="E1489" s="56">
        <v>37.979999999999997</v>
      </c>
      <c r="F1489" s="55">
        <v>0.2</v>
      </c>
      <c r="G1489" s="55"/>
      <c r="I1489" s="49" t="str">
        <f t="shared" si="132"/>
        <v/>
      </c>
      <c r="J1489" s="37" t="str">
        <f t="shared" si="130"/>
        <v>앱토크롬</v>
      </c>
      <c r="K1489" s="37" t="str">
        <f t="shared" si="131"/>
        <v>A109960</v>
      </c>
    </row>
    <row r="1490" spans="1:11" x14ac:dyDescent="0.4">
      <c r="A1490" s="49"/>
      <c r="B1490" s="54" t="s">
        <v>3325</v>
      </c>
      <c r="C1490" s="37" t="s">
        <v>3326</v>
      </c>
      <c r="D1490" s="55" t="s">
        <v>820</v>
      </c>
      <c r="E1490" s="58">
        <v>19.02</v>
      </c>
      <c r="F1490" s="57">
        <v>0.12</v>
      </c>
      <c r="G1490" s="57"/>
      <c r="H1490" s="49"/>
      <c r="I1490" s="49" t="str">
        <f t="shared" si="132"/>
        <v/>
      </c>
      <c r="J1490" s="37" t="str">
        <f t="shared" si="130"/>
        <v>전진바이오팜</v>
      </c>
      <c r="K1490" s="37" t="str">
        <f t="shared" si="131"/>
        <v>A110020</v>
      </c>
    </row>
    <row r="1491" spans="1:11" x14ac:dyDescent="0.4">
      <c r="A1491" s="49"/>
      <c r="B1491" s="54" t="s">
        <v>3327</v>
      </c>
      <c r="C1491" s="37" t="s">
        <v>3328</v>
      </c>
      <c r="D1491" s="55" t="s">
        <v>820</v>
      </c>
      <c r="E1491" s="58">
        <v>98.29</v>
      </c>
      <c r="F1491" s="57">
        <v>0.13</v>
      </c>
      <c r="G1491" s="57"/>
      <c r="H1491" s="49"/>
      <c r="I1491" s="49" t="str">
        <f t="shared" si="132"/>
        <v/>
      </c>
      <c r="J1491" s="37" t="str">
        <f t="shared" si="130"/>
        <v>크리스에프앤씨</v>
      </c>
      <c r="K1491" s="37" t="str">
        <f t="shared" si="131"/>
        <v>A110790</v>
      </c>
    </row>
    <row r="1492" spans="1:11" x14ac:dyDescent="0.4">
      <c r="A1492" s="49"/>
      <c r="B1492" s="54" t="s">
        <v>767</v>
      </c>
      <c r="C1492" s="37" t="s">
        <v>768</v>
      </c>
      <c r="D1492" s="55" t="s">
        <v>820</v>
      </c>
      <c r="E1492" s="58">
        <v>432.81</v>
      </c>
      <c r="F1492" s="57">
        <v>3.25</v>
      </c>
      <c r="G1492" s="57"/>
      <c r="H1492" s="49"/>
      <c r="I1492" s="49" t="str">
        <f t="shared" si="132"/>
        <v/>
      </c>
      <c r="J1492" s="37" t="str">
        <f t="shared" si="130"/>
        <v>디아이티</v>
      </c>
      <c r="K1492" s="37" t="str">
        <f t="shared" si="131"/>
        <v>A110990</v>
      </c>
    </row>
    <row r="1493" spans="1:11" x14ac:dyDescent="0.4">
      <c r="A1493" s="49"/>
      <c r="B1493" s="54" t="s">
        <v>3329</v>
      </c>
      <c r="C1493" s="37" t="s">
        <v>3330</v>
      </c>
      <c r="D1493" s="55" t="s">
        <v>805</v>
      </c>
      <c r="E1493" s="58">
        <v>75.099999999999994</v>
      </c>
      <c r="F1493" s="57">
        <v>0.36</v>
      </c>
      <c r="G1493" s="57">
        <v>1</v>
      </c>
      <c r="H1493" s="49"/>
      <c r="I1493" s="49">
        <f t="shared" si="132"/>
        <v>75.114930000000001</v>
      </c>
      <c r="J1493" s="37" t="str">
        <f t="shared" si="130"/>
        <v>호전실업</v>
      </c>
      <c r="K1493" s="37" t="str">
        <f t="shared" si="131"/>
        <v>A111110</v>
      </c>
    </row>
    <row r="1494" spans="1:11" x14ac:dyDescent="0.4">
      <c r="A1494" s="49"/>
      <c r="B1494" s="54" t="s">
        <v>3331</v>
      </c>
      <c r="C1494" s="37" t="s">
        <v>3332</v>
      </c>
      <c r="D1494" s="55" t="s">
        <v>805</v>
      </c>
      <c r="E1494" s="58">
        <v>94.43</v>
      </c>
      <c r="F1494" s="57">
        <v>0.16</v>
      </c>
      <c r="G1494" s="57"/>
      <c r="H1494" s="49"/>
      <c r="I1494" s="49" t="str">
        <f t="shared" si="132"/>
        <v/>
      </c>
      <c r="J1494" s="37" t="str">
        <f t="shared" si="130"/>
        <v>동인기연</v>
      </c>
      <c r="K1494" s="37" t="str">
        <f t="shared" si="131"/>
        <v>A111380</v>
      </c>
    </row>
    <row r="1495" spans="1:11" x14ac:dyDescent="0.4">
      <c r="A1495" s="49"/>
      <c r="B1495" s="54" t="s">
        <v>3333</v>
      </c>
      <c r="C1495" s="37" t="s">
        <v>3334</v>
      </c>
      <c r="D1495" s="55" t="s">
        <v>820</v>
      </c>
      <c r="E1495" s="56">
        <v>84.51</v>
      </c>
      <c r="F1495" s="55">
        <v>0.02</v>
      </c>
      <c r="G1495" s="55"/>
      <c r="I1495" s="49" t="str">
        <f t="shared" si="132"/>
        <v/>
      </c>
      <c r="J1495" s="37" t="str">
        <f t="shared" si="130"/>
        <v>남화산업</v>
      </c>
      <c r="K1495" s="37" t="str">
        <f t="shared" si="131"/>
        <v>A111710</v>
      </c>
    </row>
    <row r="1496" spans="1:11" x14ac:dyDescent="0.4">
      <c r="A1496" s="49"/>
      <c r="B1496" s="54" t="s">
        <v>595</v>
      </c>
      <c r="C1496" s="37" t="s">
        <v>596</v>
      </c>
      <c r="D1496" s="55" t="s">
        <v>805</v>
      </c>
      <c r="E1496" s="58">
        <v>4293.78</v>
      </c>
      <c r="F1496" s="57">
        <v>6.15</v>
      </c>
      <c r="G1496" s="57">
        <v>6</v>
      </c>
      <c r="H1496" s="49"/>
      <c r="I1496" s="49">
        <f t="shared" si="132"/>
        <v>4293.7949600000002</v>
      </c>
      <c r="J1496" s="37" t="str">
        <f t="shared" si="130"/>
        <v>영원무역</v>
      </c>
      <c r="K1496" s="37" t="str">
        <f t="shared" si="131"/>
        <v>A111770</v>
      </c>
    </row>
    <row r="1497" spans="1:11" x14ac:dyDescent="0.4">
      <c r="A1497" s="49"/>
      <c r="B1497" s="54" t="s">
        <v>3335</v>
      </c>
      <c r="C1497" s="37" t="s">
        <v>3336</v>
      </c>
      <c r="D1497" s="55" t="s">
        <v>820</v>
      </c>
      <c r="E1497" s="58">
        <v>882.66</v>
      </c>
      <c r="F1497" s="57">
        <v>4.45</v>
      </c>
      <c r="G1497" s="57">
        <v>3</v>
      </c>
      <c r="H1497" s="49"/>
      <c r="I1497" s="49">
        <f t="shared" si="132"/>
        <v>882.67496999999992</v>
      </c>
      <c r="J1497" s="37" t="str">
        <f t="shared" si="130"/>
        <v>위메이드</v>
      </c>
      <c r="K1497" s="37" t="str">
        <f t="shared" si="131"/>
        <v>A112040</v>
      </c>
    </row>
    <row r="1498" spans="1:11" x14ac:dyDescent="0.4">
      <c r="A1498" s="49"/>
      <c r="B1498" s="54" t="s">
        <v>775</v>
      </c>
      <c r="C1498" s="37" t="s">
        <v>776</v>
      </c>
      <c r="D1498" s="55" t="s">
        <v>820</v>
      </c>
      <c r="E1498" s="58">
        <v>269.45</v>
      </c>
      <c r="F1498" s="57">
        <v>3.63</v>
      </c>
      <c r="G1498" s="57"/>
      <c r="H1498" s="49"/>
      <c r="I1498" s="49" t="str">
        <f t="shared" si="132"/>
        <v/>
      </c>
      <c r="J1498" s="37" t="str">
        <f t="shared" si="130"/>
        <v>와이씨켐</v>
      </c>
      <c r="K1498" s="37" t="str">
        <f t="shared" si="131"/>
        <v>A112290</v>
      </c>
    </row>
    <row r="1499" spans="1:11" x14ac:dyDescent="0.4">
      <c r="A1499" s="49"/>
      <c r="B1499" s="54" t="s">
        <v>322</v>
      </c>
      <c r="C1499" s="37" t="s">
        <v>323</v>
      </c>
      <c r="D1499" s="55" t="s">
        <v>805</v>
      </c>
      <c r="E1499" s="58">
        <v>2264.6</v>
      </c>
      <c r="F1499" s="57">
        <v>11.91</v>
      </c>
      <c r="G1499" s="57">
        <v>7</v>
      </c>
      <c r="H1499" s="49"/>
      <c r="I1499" s="49">
        <f t="shared" si="132"/>
        <v>2264.61499</v>
      </c>
      <c r="J1499" s="37" t="str">
        <f t="shared" si="130"/>
        <v>씨에스윈드</v>
      </c>
      <c r="K1499" s="37" t="str">
        <f t="shared" si="131"/>
        <v>A112610</v>
      </c>
    </row>
    <row r="1500" spans="1:11" x14ac:dyDescent="0.4">
      <c r="A1500" s="49"/>
      <c r="B1500" s="54" t="s">
        <v>3337</v>
      </c>
      <c r="C1500" s="37" t="s">
        <v>3338</v>
      </c>
      <c r="D1500" s="55" t="s">
        <v>820</v>
      </c>
      <c r="E1500" s="56">
        <v>27.37</v>
      </c>
      <c r="F1500" s="55">
        <v>1.34</v>
      </c>
      <c r="G1500" s="55"/>
      <c r="I1500" s="49" t="str">
        <f t="shared" si="132"/>
        <v/>
      </c>
      <c r="J1500" s="37" t="str">
        <f t="shared" si="130"/>
        <v>디젠스</v>
      </c>
      <c r="K1500" s="37" t="str">
        <f t="shared" si="131"/>
        <v>A113810</v>
      </c>
    </row>
    <row r="1501" spans="1:11" x14ac:dyDescent="0.4">
      <c r="A1501" s="49"/>
      <c r="B1501" s="54" t="s">
        <v>3339</v>
      </c>
      <c r="C1501" s="37" t="s">
        <v>3340</v>
      </c>
      <c r="D1501" s="55" t="s">
        <v>805</v>
      </c>
      <c r="E1501" s="58">
        <v>809.07</v>
      </c>
      <c r="F1501" s="57">
        <v>4.34</v>
      </c>
      <c r="G1501" s="57">
        <v>6</v>
      </c>
      <c r="H1501" s="49"/>
      <c r="I1501" s="49">
        <f t="shared" si="132"/>
        <v>809.08501000000001</v>
      </c>
      <c r="J1501" s="37" t="str">
        <f t="shared" si="130"/>
        <v>GKL</v>
      </c>
      <c r="K1501" s="37" t="str">
        <f t="shared" si="131"/>
        <v>A114090</v>
      </c>
    </row>
    <row r="1502" spans="1:11" x14ac:dyDescent="0.4">
      <c r="A1502" s="49"/>
      <c r="B1502" s="54" t="s">
        <v>3341</v>
      </c>
      <c r="C1502" s="37" t="s">
        <v>3342</v>
      </c>
      <c r="D1502" s="55" t="s">
        <v>820</v>
      </c>
      <c r="E1502" s="58">
        <v>409.61</v>
      </c>
      <c r="F1502" s="57">
        <v>21.18</v>
      </c>
      <c r="G1502" s="57"/>
      <c r="H1502" s="49"/>
      <c r="I1502" s="49" t="str">
        <f t="shared" si="132"/>
        <v/>
      </c>
      <c r="J1502" s="37" t="str">
        <f t="shared" si="130"/>
        <v>강원에너지</v>
      </c>
      <c r="K1502" s="37" t="str">
        <f t="shared" si="131"/>
        <v>A114190</v>
      </c>
    </row>
    <row r="1503" spans="1:11" x14ac:dyDescent="0.4">
      <c r="B1503" s="54" t="s">
        <v>3343</v>
      </c>
      <c r="C1503" s="37" t="s">
        <v>3344</v>
      </c>
      <c r="D1503" s="55" t="s">
        <v>820</v>
      </c>
      <c r="E1503" s="57">
        <v>55.2</v>
      </c>
      <c r="F1503" s="55">
        <v>7.62</v>
      </c>
      <c r="G1503" s="55"/>
      <c r="J1503" s="37" t="str">
        <f t="shared" si="130"/>
        <v>그린생명과학</v>
      </c>
      <c r="K1503" s="37" t="str">
        <f t="shared" si="131"/>
        <v>A114450</v>
      </c>
    </row>
    <row r="1504" spans="1:11" x14ac:dyDescent="0.4">
      <c r="A1504" s="49"/>
      <c r="B1504" s="54" t="s">
        <v>3345</v>
      </c>
      <c r="C1504" s="37" t="s">
        <v>3346</v>
      </c>
      <c r="D1504" s="55" t="s">
        <v>820</v>
      </c>
      <c r="E1504" s="56">
        <v>45.73</v>
      </c>
      <c r="F1504" s="55">
        <v>0.12</v>
      </c>
      <c r="G1504" s="55"/>
      <c r="I1504" s="49" t="str">
        <f t="shared" ref="I1504:I1509" si="133">IF((G1504&gt;$G$8),E1504+ROW()/100000,"")</f>
        <v/>
      </c>
      <c r="J1504" s="37" t="str">
        <f t="shared" si="130"/>
        <v>폴라리스우노</v>
      </c>
      <c r="K1504" s="37" t="str">
        <f t="shared" si="131"/>
        <v>A114630</v>
      </c>
    </row>
    <row r="1505" spans="1:11" x14ac:dyDescent="0.4">
      <c r="A1505" s="49"/>
      <c r="B1505" s="54" t="s">
        <v>741</v>
      </c>
      <c r="C1505" s="37" t="s">
        <v>742</v>
      </c>
      <c r="D1505" s="55" t="s">
        <v>820</v>
      </c>
      <c r="E1505" s="56">
        <v>463.5</v>
      </c>
      <c r="F1505" s="55">
        <v>6.48</v>
      </c>
      <c r="G1505" s="55"/>
      <c r="I1505" s="49" t="str">
        <f t="shared" si="133"/>
        <v/>
      </c>
      <c r="J1505" s="37" t="str">
        <f t="shared" si="130"/>
        <v>한솔아이원스</v>
      </c>
      <c r="K1505" s="37" t="str">
        <f t="shared" si="131"/>
        <v>A114810</v>
      </c>
    </row>
    <row r="1506" spans="1:11" x14ac:dyDescent="0.4">
      <c r="A1506" s="49"/>
      <c r="B1506" s="54" t="s">
        <v>3347</v>
      </c>
      <c r="C1506" s="37" t="s">
        <v>3348</v>
      </c>
      <c r="D1506" s="55" t="s">
        <v>820</v>
      </c>
      <c r="E1506" s="56">
        <v>230.7</v>
      </c>
      <c r="F1506" s="55">
        <v>1.97</v>
      </c>
      <c r="G1506" s="55">
        <v>2</v>
      </c>
      <c r="I1506" s="49">
        <f t="shared" si="133"/>
        <v>230.71505999999999</v>
      </c>
      <c r="J1506" s="37" t="str">
        <f t="shared" si="130"/>
        <v>아이패밀리에스씨</v>
      </c>
      <c r="K1506" s="37" t="str">
        <f t="shared" si="131"/>
        <v>A114840</v>
      </c>
    </row>
    <row r="1507" spans="1:11" x14ac:dyDescent="0.4">
      <c r="A1507" s="49"/>
      <c r="B1507" s="54" t="s">
        <v>3349</v>
      </c>
      <c r="C1507" s="37" t="s">
        <v>3350</v>
      </c>
      <c r="D1507" s="55" t="s">
        <v>820</v>
      </c>
      <c r="E1507" s="56">
        <v>30.95</v>
      </c>
      <c r="F1507" s="55">
        <v>0.24</v>
      </c>
      <c r="G1507" s="55"/>
      <c r="I1507" s="49" t="str">
        <f t="shared" si="133"/>
        <v/>
      </c>
      <c r="J1507" s="37" t="str">
        <f t="shared" si="130"/>
        <v>휴맥스</v>
      </c>
      <c r="K1507" s="37" t="str">
        <f t="shared" si="131"/>
        <v>A115160</v>
      </c>
    </row>
    <row r="1508" spans="1:11" x14ac:dyDescent="0.4">
      <c r="A1508" s="49"/>
      <c r="B1508" s="54" t="s">
        <v>3351</v>
      </c>
      <c r="C1508" s="37" t="s">
        <v>3352</v>
      </c>
      <c r="D1508" s="55" t="s">
        <v>820</v>
      </c>
      <c r="E1508" s="58">
        <v>1200.79</v>
      </c>
      <c r="F1508" s="57">
        <v>6.89</v>
      </c>
      <c r="G1508" s="57"/>
      <c r="H1508" s="49"/>
      <c r="I1508" s="49" t="str">
        <f t="shared" si="133"/>
        <v/>
      </c>
      <c r="J1508" s="37" t="str">
        <f t="shared" si="130"/>
        <v>큐리언트</v>
      </c>
      <c r="K1508" s="37" t="str">
        <f t="shared" si="131"/>
        <v>A115180</v>
      </c>
    </row>
    <row r="1509" spans="1:11" x14ac:dyDescent="0.4">
      <c r="A1509" s="49"/>
      <c r="B1509" s="54" t="s">
        <v>3353</v>
      </c>
      <c r="C1509" s="37" t="s">
        <v>3354</v>
      </c>
      <c r="D1509" s="55" t="s">
        <v>820</v>
      </c>
      <c r="E1509" s="58">
        <v>277.77999999999997</v>
      </c>
      <c r="F1509" s="57">
        <v>0.9</v>
      </c>
      <c r="G1509" s="57"/>
      <c r="H1509" s="49"/>
      <c r="I1509" s="49" t="str">
        <f t="shared" si="133"/>
        <v/>
      </c>
      <c r="J1509" s="37" t="str">
        <f t="shared" si="130"/>
        <v>인포바인</v>
      </c>
      <c r="K1509" s="37" t="str">
        <f t="shared" si="131"/>
        <v>A115310</v>
      </c>
    </row>
    <row r="1510" spans="1:11" x14ac:dyDescent="0.4">
      <c r="A1510" s="49"/>
      <c r="B1510" s="54" t="s">
        <v>3355</v>
      </c>
      <c r="C1510" s="37" t="s">
        <v>3356</v>
      </c>
      <c r="D1510" s="55" t="s">
        <v>820</v>
      </c>
      <c r="E1510" s="56">
        <v>77.5</v>
      </c>
      <c r="F1510" s="55">
        <v>1.86</v>
      </c>
      <c r="G1510" s="55">
        <v>1</v>
      </c>
      <c r="J1510" s="37" t="str">
        <f t="shared" si="130"/>
        <v>우리넷</v>
      </c>
      <c r="K1510" s="37" t="str">
        <f t="shared" si="131"/>
        <v>A115440</v>
      </c>
    </row>
    <row r="1511" spans="1:11" x14ac:dyDescent="0.4">
      <c r="A1511" s="49"/>
      <c r="B1511" s="54" t="s">
        <v>3357</v>
      </c>
      <c r="C1511" s="37" t="s">
        <v>3358</v>
      </c>
      <c r="D1511" s="55" t="s">
        <v>820</v>
      </c>
      <c r="E1511" s="58">
        <v>236.69</v>
      </c>
      <c r="F1511" s="57">
        <v>1.56</v>
      </c>
      <c r="G1511" s="57"/>
      <c r="H1511" s="49"/>
      <c r="I1511" s="49" t="str">
        <f t="shared" ref="I1511:I1518" si="134">IF((G1511&gt;$G$8),E1511+ROW()/100000,"")</f>
        <v/>
      </c>
      <c r="J1511" s="37" t="str">
        <f t="shared" si="130"/>
        <v>HLB테라퓨틱스</v>
      </c>
      <c r="K1511" s="37" t="str">
        <f t="shared" si="131"/>
        <v>A115450</v>
      </c>
    </row>
    <row r="1512" spans="1:11" x14ac:dyDescent="0.4">
      <c r="A1512" s="49"/>
      <c r="B1512" s="54" t="s">
        <v>3359</v>
      </c>
      <c r="C1512" s="37" t="s">
        <v>3360</v>
      </c>
      <c r="D1512" s="55" t="s">
        <v>820</v>
      </c>
      <c r="E1512" s="58">
        <v>34.56</v>
      </c>
      <c r="F1512" s="57">
        <v>0.15</v>
      </c>
      <c r="G1512" s="57"/>
      <c r="H1512" s="49"/>
      <c r="I1512" s="49" t="str">
        <f t="shared" si="134"/>
        <v/>
      </c>
      <c r="J1512" s="37" t="str">
        <f t="shared" si="130"/>
        <v>씨유메디칼</v>
      </c>
      <c r="K1512" s="37" t="str">
        <f t="shared" si="131"/>
        <v>A115480</v>
      </c>
    </row>
    <row r="1513" spans="1:11" x14ac:dyDescent="0.4">
      <c r="A1513" s="49"/>
      <c r="B1513" s="54" t="s">
        <v>3361</v>
      </c>
      <c r="C1513" s="37" t="s">
        <v>3362</v>
      </c>
      <c r="D1513" s="55" t="s">
        <v>820</v>
      </c>
      <c r="E1513" s="56">
        <v>113.04</v>
      </c>
      <c r="F1513" s="55">
        <v>1.45</v>
      </c>
      <c r="G1513" s="55"/>
      <c r="I1513" s="49" t="str">
        <f t="shared" si="134"/>
        <v/>
      </c>
      <c r="J1513" s="37" t="str">
        <f t="shared" si="130"/>
        <v>케이씨에스</v>
      </c>
      <c r="K1513" s="37" t="str">
        <f t="shared" si="131"/>
        <v>A115500</v>
      </c>
    </row>
    <row r="1514" spans="1:11" x14ac:dyDescent="0.4">
      <c r="A1514" s="49"/>
      <c r="B1514" s="54" t="s">
        <v>3363</v>
      </c>
      <c r="C1514" s="37" t="s">
        <v>3364</v>
      </c>
      <c r="D1514" s="55" t="s">
        <v>820</v>
      </c>
      <c r="E1514" s="58">
        <v>20.66</v>
      </c>
      <c r="F1514" s="57">
        <v>0.22</v>
      </c>
      <c r="G1514" s="57"/>
      <c r="H1514" s="49"/>
      <c r="I1514" s="49" t="str">
        <f t="shared" si="134"/>
        <v/>
      </c>
      <c r="J1514" s="37" t="str">
        <f t="shared" si="130"/>
        <v>씨엔플러스</v>
      </c>
      <c r="K1514" s="37" t="str">
        <f t="shared" si="131"/>
        <v>A115530</v>
      </c>
    </row>
    <row r="1515" spans="1:11" x14ac:dyDescent="0.4">
      <c r="A1515" s="49"/>
      <c r="B1515" s="54" t="s">
        <v>3365</v>
      </c>
      <c r="C1515" s="37" t="s">
        <v>3366</v>
      </c>
      <c r="D1515" s="55" t="s">
        <v>820</v>
      </c>
      <c r="E1515" s="58">
        <v>22.92</v>
      </c>
      <c r="F1515" s="57">
        <v>0.05</v>
      </c>
      <c r="G1515" s="57"/>
      <c r="H1515" s="49"/>
      <c r="I1515" s="49" t="str">
        <f t="shared" si="134"/>
        <v/>
      </c>
      <c r="J1515" s="37" t="str">
        <f t="shared" si="130"/>
        <v>스타플렉스</v>
      </c>
      <c r="K1515" s="37" t="str">
        <f t="shared" si="131"/>
        <v>A115570</v>
      </c>
    </row>
    <row r="1516" spans="1:11" x14ac:dyDescent="0.4">
      <c r="A1516" s="49"/>
      <c r="B1516" s="54" t="s">
        <v>3367</v>
      </c>
      <c r="C1516" s="37" t="s">
        <v>3368</v>
      </c>
      <c r="D1516" s="55" t="s">
        <v>820</v>
      </c>
      <c r="E1516" s="58">
        <v>37.020000000000003</v>
      </c>
      <c r="F1516" s="57">
        <v>3.6</v>
      </c>
      <c r="G1516" s="57"/>
      <c r="H1516" s="49"/>
      <c r="I1516" s="49" t="str">
        <f t="shared" si="134"/>
        <v/>
      </c>
      <c r="J1516" s="37" t="str">
        <f t="shared" si="130"/>
        <v>이미지스</v>
      </c>
      <c r="K1516" s="37" t="str">
        <f t="shared" si="131"/>
        <v>A115610</v>
      </c>
    </row>
    <row r="1517" spans="1:11" x14ac:dyDescent="0.4">
      <c r="A1517" s="49"/>
      <c r="B1517" s="54" t="s">
        <v>3369</v>
      </c>
      <c r="C1517" s="37" t="s">
        <v>3370</v>
      </c>
      <c r="D1517" s="55" t="s">
        <v>805</v>
      </c>
      <c r="E1517" s="58">
        <v>221.1</v>
      </c>
      <c r="F1517" s="57">
        <v>0.82</v>
      </c>
      <c r="G1517" s="57"/>
      <c r="H1517" s="49"/>
      <c r="I1517" s="49" t="str">
        <f t="shared" si="134"/>
        <v/>
      </c>
      <c r="J1517" s="37" t="str">
        <f t="shared" si="130"/>
        <v>대성에너지</v>
      </c>
      <c r="K1517" s="37" t="str">
        <f t="shared" si="131"/>
        <v>A117580</v>
      </c>
    </row>
    <row r="1518" spans="1:11" x14ac:dyDescent="0.4">
      <c r="A1518" s="49"/>
      <c r="B1518" s="54" t="s">
        <v>3371</v>
      </c>
      <c r="C1518" s="37" t="s">
        <v>3372</v>
      </c>
      <c r="D1518" s="55" t="s">
        <v>820</v>
      </c>
      <c r="E1518" s="58">
        <v>112.05</v>
      </c>
      <c r="F1518" s="57">
        <v>0.45</v>
      </c>
      <c r="G1518" s="57"/>
      <c r="H1518" s="49"/>
      <c r="I1518" s="49" t="str">
        <f t="shared" si="134"/>
        <v/>
      </c>
      <c r="J1518" s="37" t="str">
        <f t="shared" si="130"/>
        <v>알파칩스</v>
      </c>
      <c r="K1518" s="37" t="str">
        <f t="shared" si="131"/>
        <v>A117670</v>
      </c>
    </row>
    <row r="1519" spans="1:11" x14ac:dyDescent="0.4">
      <c r="B1519" s="54" t="s">
        <v>3373</v>
      </c>
      <c r="C1519" s="37" t="s">
        <v>3374</v>
      </c>
      <c r="D1519" s="55" t="s">
        <v>820</v>
      </c>
      <c r="E1519" s="56">
        <v>536.85</v>
      </c>
      <c r="F1519" s="55">
        <v>24.58</v>
      </c>
      <c r="G1519" s="55"/>
      <c r="J1519" s="37" t="str">
        <f t="shared" si="130"/>
        <v>티로보틱스</v>
      </c>
      <c r="K1519" s="37" t="str">
        <f t="shared" si="131"/>
        <v>A117730</v>
      </c>
    </row>
    <row r="1520" spans="1:11" x14ac:dyDescent="0.4">
      <c r="A1520" s="49"/>
      <c r="B1520" s="54" t="s">
        <v>3375</v>
      </c>
      <c r="C1520" s="37" t="s">
        <v>3376</v>
      </c>
      <c r="D1520" s="55" t="s">
        <v>805</v>
      </c>
      <c r="E1520" s="56">
        <v>57.89</v>
      </c>
      <c r="F1520" s="55">
        <v>0.66</v>
      </c>
      <c r="G1520" s="55"/>
      <c r="I1520" s="49" t="str">
        <f t="shared" ref="I1520:I1545" si="135">IF((G1520&gt;$G$8),E1520+ROW()/100000,"")</f>
        <v/>
      </c>
      <c r="J1520" s="37" t="str">
        <f t="shared" si="130"/>
        <v>메타케어</v>
      </c>
      <c r="K1520" s="37" t="str">
        <f t="shared" si="131"/>
        <v>A118000</v>
      </c>
    </row>
    <row r="1521" spans="1:11" x14ac:dyDescent="0.4">
      <c r="A1521" s="49"/>
      <c r="B1521" s="54" t="s">
        <v>3377</v>
      </c>
      <c r="C1521" s="37" t="s">
        <v>3378</v>
      </c>
      <c r="D1521" s="55" t="s">
        <v>820</v>
      </c>
      <c r="E1521" s="56">
        <v>237.93</v>
      </c>
      <c r="F1521" s="55">
        <v>3.2</v>
      </c>
      <c r="G1521" s="55"/>
      <c r="I1521" s="49" t="str">
        <f t="shared" si="135"/>
        <v/>
      </c>
      <c r="J1521" s="37" t="str">
        <f t="shared" si="130"/>
        <v>모트렉스</v>
      </c>
      <c r="K1521" s="37" t="str">
        <f t="shared" si="131"/>
        <v>A118990</v>
      </c>
    </row>
    <row r="1522" spans="1:11" x14ac:dyDescent="0.4">
      <c r="A1522" s="49"/>
      <c r="B1522" s="54" t="s">
        <v>3379</v>
      </c>
      <c r="C1522" s="37" t="s">
        <v>3380</v>
      </c>
      <c r="D1522" s="55" t="s">
        <v>820</v>
      </c>
      <c r="E1522" s="58">
        <v>54.08</v>
      </c>
      <c r="F1522" s="57">
        <v>2.9</v>
      </c>
      <c r="G1522" s="57"/>
      <c r="H1522" s="49"/>
      <c r="I1522" s="49" t="str">
        <f t="shared" si="135"/>
        <v/>
      </c>
      <c r="J1522" s="37" t="str">
        <f t="shared" si="130"/>
        <v>포메탈</v>
      </c>
      <c r="K1522" s="37" t="str">
        <f t="shared" si="131"/>
        <v>A119500</v>
      </c>
    </row>
    <row r="1523" spans="1:11" x14ac:dyDescent="0.4">
      <c r="A1523" s="49"/>
      <c r="B1523" s="54" t="s">
        <v>3381</v>
      </c>
      <c r="C1523" s="37" t="s">
        <v>3382</v>
      </c>
      <c r="D1523" s="55" t="s">
        <v>820</v>
      </c>
      <c r="E1523" s="58">
        <v>204.31</v>
      </c>
      <c r="F1523" s="57">
        <v>0.9</v>
      </c>
      <c r="G1523" s="57">
        <v>1</v>
      </c>
      <c r="H1523" s="49"/>
      <c r="I1523" s="49">
        <f t="shared" si="135"/>
        <v>204.32523</v>
      </c>
      <c r="J1523" s="37" t="str">
        <f t="shared" si="130"/>
        <v>인터로조</v>
      </c>
      <c r="K1523" s="37" t="str">
        <f t="shared" si="131"/>
        <v>A119610</v>
      </c>
    </row>
    <row r="1524" spans="1:11" x14ac:dyDescent="0.4">
      <c r="A1524" s="49"/>
      <c r="B1524" s="54" t="s">
        <v>3383</v>
      </c>
      <c r="C1524" s="37" t="s">
        <v>3384</v>
      </c>
      <c r="D1524" s="55" t="s">
        <v>805</v>
      </c>
      <c r="E1524" s="58">
        <v>100.78</v>
      </c>
      <c r="F1524" s="57">
        <v>0</v>
      </c>
      <c r="G1524" s="57"/>
      <c r="H1524" s="49"/>
      <c r="I1524" s="49" t="str">
        <f t="shared" si="135"/>
        <v/>
      </c>
      <c r="J1524" s="37" t="str">
        <f t="shared" si="130"/>
        <v>KC코트렐</v>
      </c>
      <c r="K1524" s="37" t="str">
        <f t="shared" si="131"/>
        <v>A119650</v>
      </c>
    </row>
    <row r="1525" spans="1:11" x14ac:dyDescent="0.4">
      <c r="A1525" s="49"/>
      <c r="B1525" s="54" t="s">
        <v>3385</v>
      </c>
      <c r="C1525" s="37" t="s">
        <v>3386</v>
      </c>
      <c r="D1525" s="55" t="s">
        <v>820</v>
      </c>
      <c r="E1525" s="58">
        <v>206.09</v>
      </c>
      <c r="F1525" s="57">
        <v>2.2200000000000002</v>
      </c>
      <c r="G1525" s="57"/>
      <c r="H1525" s="49"/>
      <c r="I1525" s="49" t="str">
        <f t="shared" si="135"/>
        <v/>
      </c>
      <c r="J1525" s="37" t="str">
        <f t="shared" si="130"/>
        <v>아이텍</v>
      </c>
      <c r="K1525" s="37" t="str">
        <f t="shared" si="131"/>
        <v>A119830</v>
      </c>
    </row>
    <row r="1526" spans="1:11" x14ac:dyDescent="0.4">
      <c r="A1526" s="49"/>
      <c r="B1526" s="54" t="s">
        <v>384</v>
      </c>
      <c r="C1526" s="37" t="s">
        <v>385</v>
      </c>
      <c r="D1526" s="55" t="s">
        <v>820</v>
      </c>
      <c r="E1526" s="58">
        <v>641.51</v>
      </c>
      <c r="F1526" s="57">
        <v>19.23</v>
      </c>
      <c r="G1526" s="57">
        <v>1</v>
      </c>
      <c r="H1526" s="49"/>
      <c r="I1526" s="49">
        <f t="shared" si="135"/>
        <v>641.52526</v>
      </c>
      <c r="J1526" s="37" t="str">
        <f t="shared" si="130"/>
        <v>지엔씨에너지</v>
      </c>
      <c r="K1526" s="37" t="str">
        <f t="shared" si="131"/>
        <v>A119850</v>
      </c>
    </row>
    <row r="1527" spans="1:11" x14ac:dyDescent="0.4">
      <c r="A1527" s="49"/>
      <c r="B1527" s="54" t="s">
        <v>3387</v>
      </c>
      <c r="C1527" s="37" t="s">
        <v>3388</v>
      </c>
      <c r="D1527" s="55" t="s">
        <v>805</v>
      </c>
      <c r="E1527" s="58">
        <v>136.33000000000001</v>
      </c>
      <c r="F1527" s="57">
        <v>1.07</v>
      </c>
      <c r="G1527" s="57"/>
      <c r="H1527" s="49"/>
      <c r="I1527" s="49" t="str">
        <f t="shared" si="135"/>
        <v/>
      </c>
      <c r="J1527" s="37" t="str">
        <f t="shared" si="130"/>
        <v>조선선재</v>
      </c>
      <c r="K1527" s="37" t="str">
        <f t="shared" si="131"/>
        <v>A120030</v>
      </c>
    </row>
    <row r="1528" spans="1:11" x14ac:dyDescent="0.4">
      <c r="A1528" s="49"/>
      <c r="B1528" s="54" t="s">
        <v>3389</v>
      </c>
      <c r="C1528" s="37" t="s">
        <v>3390</v>
      </c>
      <c r="D1528" s="55" t="s">
        <v>805</v>
      </c>
      <c r="E1528" s="58">
        <v>1860.29</v>
      </c>
      <c r="F1528" s="57">
        <v>11.69</v>
      </c>
      <c r="G1528" s="57">
        <v>2</v>
      </c>
      <c r="H1528" s="49"/>
      <c r="I1528" s="49">
        <f t="shared" si="135"/>
        <v>1860.30528</v>
      </c>
      <c r="J1528" s="37" t="str">
        <f t="shared" si="130"/>
        <v>코오롱인더</v>
      </c>
      <c r="K1528" s="37" t="str">
        <f t="shared" si="131"/>
        <v>A120110</v>
      </c>
    </row>
    <row r="1529" spans="1:11" x14ac:dyDescent="0.4">
      <c r="A1529" s="49"/>
      <c r="B1529" s="54" t="s">
        <v>3391</v>
      </c>
      <c r="C1529" s="37" t="s">
        <v>3392</v>
      </c>
      <c r="D1529" s="55" t="s">
        <v>820</v>
      </c>
      <c r="E1529" s="56">
        <v>97</v>
      </c>
      <c r="F1529" s="55">
        <v>0.19</v>
      </c>
      <c r="G1529" s="55"/>
      <c r="I1529" s="49" t="str">
        <f t="shared" si="135"/>
        <v/>
      </c>
      <c r="J1529" s="37" t="str">
        <f t="shared" si="130"/>
        <v>대정화금</v>
      </c>
      <c r="K1529" s="37" t="str">
        <f t="shared" si="131"/>
        <v>A120240</v>
      </c>
    </row>
    <row r="1530" spans="1:11" x14ac:dyDescent="0.4">
      <c r="A1530" s="49"/>
      <c r="B1530" s="54" t="s">
        <v>3393</v>
      </c>
      <c r="C1530" s="37" t="s">
        <v>3394</v>
      </c>
      <c r="D1530" s="55" t="s">
        <v>820</v>
      </c>
      <c r="E1530" s="56">
        <v>230.89</v>
      </c>
      <c r="F1530" s="55">
        <v>0.38</v>
      </c>
      <c r="G1530" s="55"/>
      <c r="I1530" s="49" t="str">
        <f t="shared" si="135"/>
        <v/>
      </c>
      <c r="J1530" s="37" t="str">
        <f t="shared" si="130"/>
        <v>골프존홀딩스</v>
      </c>
      <c r="K1530" s="37" t="str">
        <f t="shared" si="131"/>
        <v>A121440</v>
      </c>
    </row>
    <row r="1531" spans="1:11" x14ac:dyDescent="0.4">
      <c r="A1531" s="49"/>
      <c r="B1531" s="54" t="s">
        <v>3395</v>
      </c>
      <c r="C1531" s="37" t="s">
        <v>3396</v>
      </c>
      <c r="D1531" s="55" t="s">
        <v>820</v>
      </c>
      <c r="E1531" s="58">
        <v>871.88</v>
      </c>
      <c r="F1531" s="57">
        <v>7.2</v>
      </c>
      <c r="G1531" s="57"/>
      <c r="H1531" s="49"/>
      <c r="I1531" s="49" t="str">
        <f t="shared" si="135"/>
        <v/>
      </c>
      <c r="J1531" s="37" t="str">
        <f t="shared" si="130"/>
        <v>나노신소재</v>
      </c>
      <c r="K1531" s="37" t="str">
        <f t="shared" si="131"/>
        <v>A121600</v>
      </c>
    </row>
    <row r="1532" spans="1:11" x14ac:dyDescent="0.4">
      <c r="A1532" s="49"/>
      <c r="B1532" s="54" t="s">
        <v>3397</v>
      </c>
      <c r="C1532" s="37" t="s">
        <v>3398</v>
      </c>
      <c r="D1532" s="55" t="s">
        <v>820</v>
      </c>
      <c r="E1532" s="58">
        <v>256.31</v>
      </c>
      <c r="F1532" s="57">
        <v>0</v>
      </c>
      <c r="G1532" s="57"/>
      <c r="H1532" s="49"/>
      <c r="I1532" s="49" t="str">
        <f t="shared" si="135"/>
        <v/>
      </c>
      <c r="J1532" s="37" t="str">
        <f t="shared" si="130"/>
        <v>비덴트</v>
      </c>
      <c r="K1532" s="37" t="str">
        <f t="shared" si="131"/>
        <v>A121800</v>
      </c>
    </row>
    <row r="1533" spans="1:11" x14ac:dyDescent="0.4">
      <c r="A1533" s="49"/>
      <c r="B1533" s="54" t="s">
        <v>3399</v>
      </c>
      <c r="C1533" s="37" t="s">
        <v>3400</v>
      </c>
      <c r="D1533" s="55" t="s">
        <v>820</v>
      </c>
      <c r="E1533" s="56">
        <v>13.35</v>
      </c>
      <c r="F1533" s="55">
        <v>0.78</v>
      </c>
      <c r="G1533" s="55"/>
      <c r="I1533" s="49" t="str">
        <f t="shared" si="135"/>
        <v/>
      </c>
      <c r="J1533" s="37" t="str">
        <f t="shared" si="130"/>
        <v>코이즈</v>
      </c>
      <c r="K1533" s="37" t="str">
        <f t="shared" si="131"/>
        <v>A121850</v>
      </c>
    </row>
    <row r="1534" spans="1:11" x14ac:dyDescent="0.4">
      <c r="A1534" s="49"/>
      <c r="B1534" s="54" t="s">
        <v>3401</v>
      </c>
      <c r="C1534" s="37" t="s">
        <v>3402</v>
      </c>
      <c r="D1534" s="55" t="s">
        <v>820</v>
      </c>
      <c r="E1534" s="58">
        <v>19.8</v>
      </c>
      <c r="F1534" s="57">
        <v>0.24</v>
      </c>
      <c r="G1534" s="57"/>
      <c r="H1534" s="49"/>
      <c r="I1534" s="49" t="str">
        <f t="shared" si="135"/>
        <v/>
      </c>
      <c r="J1534" s="37" t="str">
        <f t="shared" si="130"/>
        <v>에스디시스템</v>
      </c>
      <c r="K1534" s="37" t="str">
        <f t="shared" si="131"/>
        <v>A121890</v>
      </c>
    </row>
    <row r="1535" spans="1:11" x14ac:dyDescent="0.4">
      <c r="A1535" s="49"/>
      <c r="B1535" s="54" t="s">
        <v>3403</v>
      </c>
      <c r="C1535" s="37" t="s">
        <v>3404</v>
      </c>
      <c r="D1535" s="55" t="s">
        <v>820</v>
      </c>
      <c r="E1535" s="58">
        <v>65.42</v>
      </c>
      <c r="F1535" s="57">
        <v>0.14000000000000001</v>
      </c>
      <c r="G1535" s="57"/>
      <c r="H1535" s="49"/>
      <c r="I1535" s="49" t="str">
        <f t="shared" si="135"/>
        <v/>
      </c>
      <c r="J1535" s="37" t="str">
        <f t="shared" si="130"/>
        <v>제노레이</v>
      </c>
      <c r="K1535" s="37" t="str">
        <f t="shared" si="131"/>
        <v>A122310</v>
      </c>
    </row>
    <row r="1536" spans="1:11" x14ac:dyDescent="0.4">
      <c r="A1536" s="49"/>
      <c r="B1536" s="54" t="s">
        <v>3405</v>
      </c>
      <c r="C1536" s="37" t="s">
        <v>3406</v>
      </c>
      <c r="D1536" s="55" t="s">
        <v>820</v>
      </c>
      <c r="E1536" s="58">
        <v>66.900000000000006</v>
      </c>
      <c r="F1536" s="57">
        <v>1.98</v>
      </c>
      <c r="G1536" s="57"/>
      <c r="H1536" s="49"/>
      <c r="I1536" s="49" t="str">
        <f t="shared" si="135"/>
        <v/>
      </c>
      <c r="J1536" s="37" t="str">
        <f t="shared" si="130"/>
        <v>삼기</v>
      </c>
      <c r="K1536" s="37" t="str">
        <f t="shared" si="131"/>
        <v>A122350</v>
      </c>
    </row>
    <row r="1537" spans="1:11" x14ac:dyDescent="0.4">
      <c r="A1537" s="49"/>
      <c r="B1537" s="54" t="s">
        <v>3407</v>
      </c>
      <c r="C1537" s="37" t="s">
        <v>3408</v>
      </c>
      <c r="D1537" s="55" t="s">
        <v>820</v>
      </c>
      <c r="E1537" s="58">
        <v>159.56</v>
      </c>
      <c r="F1537" s="57">
        <v>0.33</v>
      </c>
      <c r="G1537" s="57"/>
      <c r="H1537" s="49"/>
      <c r="I1537" s="49" t="str">
        <f t="shared" si="135"/>
        <v/>
      </c>
      <c r="J1537" s="37" t="str">
        <f t="shared" si="130"/>
        <v>KX</v>
      </c>
      <c r="K1537" s="37" t="str">
        <f t="shared" si="131"/>
        <v>A122450</v>
      </c>
    </row>
    <row r="1538" spans="1:11" x14ac:dyDescent="0.4">
      <c r="A1538" s="49"/>
      <c r="B1538" s="54" t="s">
        <v>3409</v>
      </c>
      <c r="C1538" s="37" t="s">
        <v>3410</v>
      </c>
      <c r="D1538" s="55" t="s">
        <v>820</v>
      </c>
      <c r="E1538" s="58">
        <v>493.18</v>
      </c>
      <c r="F1538" s="57">
        <v>3.14</v>
      </c>
      <c r="G1538" s="57">
        <v>2</v>
      </c>
      <c r="H1538" s="49"/>
      <c r="I1538" s="49">
        <f t="shared" si="135"/>
        <v>493.19538</v>
      </c>
      <c r="J1538" s="37" t="str">
        <f t="shared" si="130"/>
        <v>예스티</v>
      </c>
      <c r="K1538" s="37" t="str">
        <f t="shared" si="131"/>
        <v>A122640</v>
      </c>
    </row>
    <row r="1539" spans="1:11" x14ac:dyDescent="0.4">
      <c r="A1539" s="49"/>
      <c r="B1539" s="54" t="s">
        <v>3411</v>
      </c>
      <c r="C1539" s="37" t="s">
        <v>3412</v>
      </c>
      <c r="D1539" s="55" t="s">
        <v>820</v>
      </c>
      <c r="E1539" s="56">
        <v>63.93</v>
      </c>
      <c r="F1539" s="55">
        <v>1.34</v>
      </c>
      <c r="G1539" s="55"/>
      <c r="I1539" s="49" t="str">
        <f t="shared" si="135"/>
        <v/>
      </c>
      <c r="J1539" s="37" t="str">
        <f t="shared" si="130"/>
        <v>서진오토모티브</v>
      </c>
      <c r="K1539" s="37" t="str">
        <f t="shared" si="131"/>
        <v>A122690</v>
      </c>
    </row>
    <row r="1540" spans="1:11" x14ac:dyDescent="0.4">
      <c r="A1540" s="49"/>
      <c r="B1540" s="54" t="s">
        <v>221</v>
      </c>
      <c r="C1540" s="37" t="s">
        <v>222</v>
      </c>
      <c r="D1540" s="55" t="s">
        <v>820</v>
      </c>
      <c r="E1540" s="58">
        <v>1383.14</v>
      </c>
      <c r="F1540" s="57">
        <v>20.22</v>
      </c>
      <c r="G1540" s="57">
        <v>14</v>
      </c>
      <c r="H1540" s="49"/>
      <c r="I1540" s="49">
        <f t="shared" si="135"/>
        <v>1383.1554000000001</v>
      </c>
      <c r="J1540" s="37" t="str">
        <f t="shared" si="130"/>
        <v>와이지엔터테인먼트</v>
      </c>
      <c r="K1540" s="37" t="str">
        <f t="shared" si="131"/>
        <v>A122870</v>
      </c>
    </row>
    <row r="1541" spans="1:11" x14ac:dyDescent="0.4">
      <c r="A1541" s="49"/>
      <c r="B1541" s="54" t="s">
        <v>3413</v>
      </c>
      <c r="C1541" s="37" t="s">
        <v>3414</v>
      </c>
      <c r="D1541" s="55" t="s">
        <v>805</v>
      </c>
      <c r="E1541" s="58">
        <v>264.08999999999997</v>
      </c>
      <c r="F1541" s="57">
        <v>0.45</v>
      </c>
      <c r="G1541" s="57"/>
      <c r="H1541" s="49"/>
      <c r="I1541" s="49" t="str">
        <f t="shared" si="135"/>
        <v/>
      </c>
      <c r="J1541" s="37" t="str">
        <f t="shared" si="130"/>
        <v>아이마켓코리아</v>
      </c>
      <c r="K1541" s="37" t="str">
        <f t="shared" si="131"/>
        <v>A122900</v>
      </c>
    </row>
    <row r="1542" spans="1:11" x14ac:dyDescent="0.4">
      <c r="A1542" s="49"/>
      <c r="B1542" s="54" t="s">
        <v>3415</v>
      </c>
      <c r="C1542" s="37" t="s">
        <v>3416</v>
      </c>
      <c r="D1542" s="55" t="s">
        <v>820</v>
      </c>
      <c r="E1542" s="58">
        <v>191.53</v>
      </c>
      <c r="F1542" s="57">
        <v>0.48</v>
      </c>
      <c r="G1542" s="57"/>
      <c r="H1542" s="49"/>
      <c r="I1542" s="49" t="str">
        <f t="shared" si="135"/>
        <v/>
      </c>
      <c r="J1542" s="37" t="str">
        <f t="shared" si="130"/>
        <v>와이솔</v>
      </c>
      <c r="K1542" s="37" t="str">
        <f t="shared" si="131"/>
        <v>A122990</v>
      </c>
    </row>
    <row r="1543" spans="1:11" x14ac:dyDescent="0.4">
      <c r="A1543" s="49"/>
      <c r="B1543" s="54" t="s">
        <v>3417</v>
      </c>
      <c r="C1543" s="37" t="s">
        <v>3418</v>
      </c>
      <c r="D1543" s="55" t="s">
        <v>820</v>
      </c>
      <c r="E1543" s="58">
        <v>32.17</v>
      </c>
      <c r="F1543" s="57">
        <v>2.14</v>
      </c>
      <c r="G1543" s="57"/>
      <c r="H1543" s="49"/>
      <c r="I1543" s="49" t="str">
        <f t="shared" si="135"/>
        <v/>
      </c>
      <c r="J1543" s="37" t="str">
        <f t="shared" si="130"/>
        <v>알엔티엑스</v>
      </c>
      <c r="K1543" s="37" t="str">
        <f t="shared" si="131"/>
        <v>A123010</v>
      </c>
    </row>
    <row r="1544" spans="1:11" x14ac:dyDescent="0.4">
      <c r="A1544" s="49"/>
      <c r="B1544" s="54" t="s">
        <v>3419</v>
      </c>
      <c r="C1544" s="37" t="s">
        <v>3420</v>
      </c>
      <c r="D1544" s="55" t="s">
        <v>820</v>
      </c>
      <c r="E1544" s="58">
        <v>186.95</v>
      </c>
      <c r="F1544" s="57">
        <v>1.05</v>
      </c>
      <c r="G1544" s="57"/>
      <c r="H1544" s="49"/>
      <c r="I1544" s="49" t="str">
        <f t="shared" si="135"/>
        <v/>
      </c>
      <c r="J1544" s="37" t="str">
        <f t="shared" si="130"/>
        <v>엠에스오토텍</v>
      </c>
      <c r="K1544" s="37" t="str">
        <f t="shared" si="131"/>
        <v>A123040</v>
      </c>
    </row>
    <row r="1545" spans="1:11" x14ac:dyDescent="0.4">
      <c r="A1545" s="49"/>
      <c r="B1545" s="54" t="s">
        <v>735</v>
      </c>
      <c r="C1545" s="37" t="s">
        <v>736</v>
      </c>
      <c r="D1545" s="55" t="s">
        <v>820</v>
      </c>
      <c r="E1545" s="56">
        <v>161.76</v>
      </c>
      <c r="F1545" s="55">
        <v>2.81</v>
      </c>
      <c r="G1545" s="55"/>
      <c r="I1545" s="49" t="str">
        <f t="shared" si="135"/>
        <v/>
      </c>
      <c r="J1545" s="37" t="str">
        <f t="shared" si="130"/>
        <v>제닉</v>
      </c>
      <c r="K1545" s="37" t="str">
        <f t="shared" si="131"/>
        <v>A123330</v>
      </c>
    </row>
    <row r="1546" spans="1:11" x14ac:dyDescent="0.4">
      <c r="B1546" s="54" t="s">
        <v>3421</v>
      </c>
      <c r="C1546" s="37" t="s">
        <v>3422</v>
      </c>
      <c r="D1546" s="55" t="s">
        <v>820</v>
      </c>
      <c r="E1546" s="57">
        <v>239.71</v>
      </c>
      <c r="F1546" s="55">
        <v>4.84</v>
      </c>
      <c r="G1546" s="55"/>
      <c r="J1546" s="37" t="str">
        <f t="shared" si="130"/>
        <v>코리아에프티</v>
      </c>
      <c r="K1546" s="37" t="str">
        <f t="shared" si="131"/>
        <v>A123410</v>
      </c>
    </row>
    <row r="1547" spans="1:11" x14ac:dyDescent="0.4">
      <c r="A1547" s="49"/>
      <c r="B1547" s="54" t="s">
        <v>3423</v>
      </c>
      <c r="C1547" s="37" t="s">
        <v>3424</v>
      </c>
      <c r="D1547" s="55" t="s">
        <v>820</v>
      </c>
      <c r="E1547" s="58">
        <v>79.67</v>
      </c>
      <c r="F1547" s="57">
        <v>0.53</v>
      </c>
      <c r="G1547" s="57"/>
      <c r="H1547" s="49"/>
      <c r="I1547" s="49" t="str">
        <f t="shared" ref="I1547:I1553" si="136">IF((G1547&gt;$G$8),E1547+ROW()/100000,"")</f>
        <v/>
      </c>
      <c r="J1547" s="37" t="str">
        <f t="shared" si="130"/>
        <v>위메이드플레이</v>
      </c>
      <c r="K1547" s="37" t="str">
        <f t="shared" si="131"/>
        <v>A123420</v>
      </c>
    </row>
    <row r="1548" spans="1:11" x14ac:dyDescent="0.4">
      <c r="A1548" s="49"/>
      <c r="B1548" s="54" t="s">
        <v>3425</v>
      </c>
      <c r="C1548" s="37" t="s">
        <v>3426</v>
      </c>
      <c r="D1548" s="55" t="s">
        <v>820</v>
      </c>
      <c r="E1548" s="58">
        <v>45</v>
      </c>
      <c r="F1548" s="57">
        <v>7.0000000000000007E-2</v>
      </c>
      <c r="G1548" s="57"/>
      <c r="H1548" s="49"/>
      <c r="I1548" s="49" t="str">
        <f t="shared" si="136"/>
        <v/>
      </c>
      <c r="J1548" s="37" t="str">
        <f t="shared" si="130"/>
        <v>이엠넷</v>
      </c>
      <c r="K1548" s="37" t="str">
        <f t="shared" si="131"/>
        <v>A123570</v>
      </c>
    </row>
    <row r="1549" spans="1:11" x14ac:dyDescent="0.4">
      <c r="A1549" s="49"/>
      <c r="B1549" s="54" t="s">
        <v>3427</v>
      </c>
      <c r="C1549" s="37" t="s">
        <v>3428</v>
      </c>
      <c r="D1549" s="55" t="s">
        <v>805</v>
      </c>
      <c r="E1549" s="58">
        <v>153.93</v>
      </c>
      <c r="F1549" s="57">
        <v>8.3000000000000007</v>
      </c>
      <c r="G1549" s="57"/>
      <c r="H1549" s="49"/>
      <c r="I1549" s="49" t="str">
        <f t="shared" si="136"/>
        <v/>
      </c>
      <c r="J1549" s="37" t="str">
        <f t="shared" si="130"/>
        <v>한국화장품</v>
      </c>
      <c r="K1549" s="37" t="str">
        <f t="shared" si="131"/>
        <v>A123690</v>
      </c>
    </row>
    <row r="1550" spans="1:11" x14ac:dyDescent="0.4">
      <c r="A1550" s="49"/>
      <c r="B1550" s="54" t="s">
        <v>3429</v>
      </c>
      <c r="C1550" s="37" t="s">
        <v>3430</v>
      </c>
      <c r="D1550" s="55" t="s">
        <v>805</v>
      </c>
      <c r="E1550" s="58">
        <v>60.7</v>
      </c>
      <c r="F1550" s="57">
        <v>0.28999999999999998</v>
      </c>
      <c r="G1550" s="57"/>
      <c r="H1550" s="49"/>
      <c r="I1550" s="49" t="str">
        <f t="shared" si="136"/>
        <v/>
      </c>
      <c r="J1550" s="37" t="str">
        <f t="shared" ref="J1550:J1613" si="137">C1550</f>
        <v>SJM</v>
      </c>
      <c r="K1550" s="37" t="str">
        <f t="shared" ref="K1550:K1613" si="138">B1550</f>
        <v>A123700</v>
      </c>
    </row>
    <row r="1551" spans="1:11" x14ac:dyDescent="0.4">
      <c r="A1551" s="49"/>
      <c r="B1551" s="54" t="s">
        <v>3431</v>
      </c>
      <c r="C1551" s="37" t="s">
        <v>3432</v>
      </c>
      <c r="D1551" s="55" t="s">
        <v>820</v>
      </c>
      <c r="E1551" s="56">
        <v>34.96</v>
      </c>
      <c r="F1551" s="55">
        <v>0.56999999999999995</v>
      </c>
      <c r="G1551" s="55"/>
      <c r="I1551" s="49" t="str">
        <f t="shared" si="136"/>
        <v/>
      </c>
      <c r="J1551" s="37" t="str">
        <f t="shared" si="137"/>
        <v>알톤</v>
      </c>
      <c r="K1551" s="37" t="str">
        <f t="shared" si="138"/>
        <v>A123750</v>
      </c>
    </row>
    <row r="1552" spans="1:11" x14ac:dyDescent="0.4">
      <c r="A1552" s="49"/>
      <c r="B1552" s="54" t="s">
        <v>3433</v>
      </c>
      <c r="C1552" s="37" t="s">
        <v>3434</v>
      </c>
      <c r="D1552" s="55" t="s">
        <v>820</v>
      </c>
      <c r="E1552" s="58">
        <v>42.65</v>
      </c>
      <c r="F1552" s="57">
        <v>0.09</v>
      </c>
      <c r="G1552" s="57"/>
      <c r="H1552" s="49"/>
      <c r="I1552" s="49" t="str">
        <f t="shared" si="136"/>
        <v/>
      </c>
      <c r="J1552" s="37" t="str">
        <f t="shared" si="137"/>
        <v>뉴온</v>
      </c>
      <c r="K1552" s="37" t="str">
        <f t="shared" si="138"/>
        <v>A123840</v>
      </c>
    </row>
    <row r="1553" spans="1:11" x14ac:dyDescent="0.4">
      <c r="A1553" s="49"/>
      <c r="B1553" s="54" t="s">
        <v>3435</v>
      </c>
      <c r="C1553" s="37" t="s">
        <v>3436</v>
      </c>
      <c r="D1553" s="55" t="s">
        <v>820</v>
      </c>
      <c r="E1553" s="58">
        <v>201.73</v>
      </c>
      <c r="F1553" s="57">
        <v>0.82</v>
      </c>
      <c r="G1553" s="57"/>
      <c r="H1553" s="49"/>
      <c r="I1553" s="49" t="str">
        <f t="shared" si="136"/>
        <v/>
      </c>
      <c r="J1553" s="37" t="str">
        <f t="shared" si="137"/>
        <v>아나패스</v>
      </c>
      <c r="K1553" s="37" t="str">
        <f t="shared" si="138"/>
        <v>A123860</v>
      </c>
    </row>
    <row r="1554" spans="1:11" x14ac:dyDescent="0.4">
      <c r="B1554" s="54" t="s">
        <v>3437</v>
      </c>
      <c r="C1554" s="37" t="s">
        <v>3438</v>
      </c>
      <c r="D1554" s="55" t="s">
        <v>805</v>
      </c>
      <c r="E1554" s="56">
        <v>364.67</v>
      </c>
      <c r="F1554" s="55">
        <v>0.99</v>
      </c>
      <c r="G1554" s="55">
        <v>2</v>
      </c>
      <c r="J1554" s="37" t="str">
        <f t="shared" si="137"/>
        <v>한국자산신탁</v>
      </c>
      <c r="K1554" s="37" t="str">
        <f t="shared" si="138"/>
        <v>A123890</v>
      </c>
    </row>
    <row r="1555" spans="1:11" x14ac:dyDescent="0.4">
      <c r="A1555" s="49"/>
      <c r="B1555" s="54" t="s">
        <v>512</v>
      </c>
      <c r="C1555" s="37" t="s">
        <v>513</v>
      </c>
      <c r="D1555" s="55" t="s">
        <v>820</v>
      </c>
      <c r="E1555" s="58">
        <v>1357.46</v>
      </c>
      <c r="F1555" s="57">
        <v>22.25</v>
      </c>
      <c r="G1555" s="57">
        <v>1</v>
      </c>
      <c r="H1555" s="49"/>
      <c r="I1555" s="49">
        <f t="shared" ref="I1555:I1584" si="139">IF((G1555&gt;$G$8),E1555+ROW()/100000,"")</f>
        <v>1357.4755500000001</v>
      </c>
      <c r="J1555" s="37" t="str">
        <f t="shared" si="137"/>
        <v>아이티센글로벌</v>
      </c>
      <c r="K1555" s="37" t="str">
        <f t="shared" si="138"/>
        <v>A124500</v>
      </c>
    </row>
    <row r="1556" spans="1:11" x14ac:dyDescent="0.4">
      <c r="A1556" s="49"/>
      <c r="B1556" s="54" t="s">
        <v>3439</v>
      </c>
      <c r="C1556" s="37" t="s">
        <v>3440</v>
      </c>
      <c r="D1556" s="55" t="s">
        <v>820</v>
      </c>
      <c r="E1556" s="56">
        <v>107.26</v>
      </c>
      <c r="F1556" s="55">
        <v>1.7</v>
      </c>
      <c r="G1556" s="55"/>
      <c r="I1556" s="49" t="str">
        <f t="shared" si="139"/>
        <v/>
      </c>
      <c r="J1556" s="37" t="str">
        <f t="shared" si="137"/>
        <v>태웅로직스</v>
      </c>
      <c r="K1556" s="37" t="str">
        <f t="shared" si="138"/>
        <v>A124560</v>
      </c>
    </row>
    <row r="1557" spans="1:11" x14ac:dyDescent="0.4">
      <c r="A1557" s="49"/>
      <c r="B1557" s="54" t="s">
        <v>3441</v>
      </c>
      <c r="C1557" s="37" t="s">
        <v>3442</v>
      </c>
      <c r="D1557" s="55" t="s">
        <v>820</v>
      </c>
      <c r="E1557" s="58">
        <v>220.74</v>
      </c>
      <c r="F1557" s="57">
        <v>6.58</v>
      </c>
      <c r="G1557" s="57"/>
      <c r="H1557" s="49"/>
      <c r="I1557" s="49" t="str">
        <f t="shared" si="139"/>
        <v/>
      </c>
      <c r="J1557" s="37" t="str">
        <f t="shared" si="137"/>
        <v>티씨머티리얼즈</v>
      </c>
      <c r="K1557" s="37" t="str">
        <f t="shared" si="138"/>
        <v>A125020</v>
      </c>
    </row>
    <row r="1558" spans="1:11" x14ac:dyDescent="0.4">
      <c r="A1558" s="49"/>
      <c r="B1558" s="54" t="s">
        <v>3443</v>
      </c>
      <c r="C1558" s="37" t="s">
        <v>3444</v>
      </c>
      <c r="D1558" s="55" t="s">
        <v>820</v>
      </c>
      <c r="E1558" s="58">
        <v>125.87</v>
      </c>
      <c r="F1558" s="57">
        <v>0.81</v>
      </c>
      <c r="G1558" s="57"/>
      <c r="H1558" s="49"/>
      <c r="I1558" s="49" t="str">
        <f t="shared" si="139"/>
        <v/>
      </c>
      <c r="J1558" s="37" t="str">
        <f t="shared" si="137"/>
        <v>아모그린텍</v>
      </c>
      <c r="K1558" s="37" t="str">
        <f t="shared" si="138"/>
        <v>A125210</v>
      </c>
    </row>
    <row r="1559" spans="1:11" x14ac:dyDescent="0.4">
      <c r="A1559" s="49"/>
      <c r="B1559" s="54" t="s">
        <v>3445</v>
      </c>
      <c r="C1559" s="37" t="s">
        <v>3446</v>
      </c>
      <c r="D1559" s="55" t="s">
        <v>820</v>
      </c>
      <c r="E1559" s="58">
        <v>645.36</v>
      </c>
      <c r="F1559" s="57">
        <v>115.44</v>
      </c>
      <c r="G1559" s="57"/>
      <c r="H1559" s="49"/>
      <c r="I1559" s="49" t="str">
        <f t="shared" si="139"/>
        <v/>
      </c>
      <c r="J1559" s="37" t="str">
        <f t="shared" si="137"/>
        <v>한라캐스트</v>
      </c>
      <c r="K1559" s="37" t="str">
        <f t="shared" si="138"/>
        <v>A125490</v>
      </c>
    </row>
    <row r="1560" spans="1:11" x14ac:dyDescent="0.4">
      <c r="A1560" s="49"/>
      <c r="B1560" s="54" t="s">
        <v>422</v>
      </c>
      <c r="C1560" s="37" t="s">
        <v>423</v>
      </c>
      <c r="D1560" s="55" t="s">
        <v>820</v>
      </c>
      <c r="E1560" s="58">
        <v>832.29</v>
      </c>
      <c r="F1560" s="57">
        <v>12.56</v>
      </c>
      <c r="G1560" s="57">
        <v>2</v>
      </c>
      <c r="H1560" s="49"/>
      <c r="I1560" s="49">
        <f t="shared" si="139"/>
        <v>832.30559999999991</v>
      </c>
      <c r="J1560" s="37" t="str">
        <f t="shared" si="137"/>
        <v>비나텍</v>
      </c>
      <c r="K1560" s="37" t="str">
        <f t="shared" si="138"/>
        <v>A126340</v>
      </c>
    </row>
    <row r="1561" spans="1:11" x14ac:dyDescent="0.4">
      <c r="A1561" s="49"/>
      <c r="B1561" s="54" t="s">
        <v>3447</v>
      </c>
      <c r="C1561" s="37" t="s">
        <v>3448</v>
      </c>
      <c r="D1561" s="55" t="s">
        <v>805</v>
      </c>
      <c r="E1561" s="56">
        <v>381.85</v>
      </c>
      <c r="F1561" s="55">
        <v>0.33</v>
      </c>
      <c r="G1561" s="55"/>
      <c r="I1561" s="49" t="str">
        <f t="shared" si="139"/>
        <v/>
      </c>
      <c r="J1561" s="37" t="str">
        <f t="shared" si="137"/>
        <v>현대퓨처넷</v>
      </c>
      <c r="K1561" s="37" t="str">
        <f t="shared" si="138"/>
        <v>A126560</v>
      </c>
    </row>
    <row r="1562" spans="1:11" x14ac:dyDescent="0.4">
      <c r="A1562" s="49"/>
      <c r="B1562" s="54" t="s">
        <v>3449</v>
      </c>
      <c r="C1562" s="37" t="s">
        <v>3450</v>
      </c>
      <c r="D1562" s="55" t="s">
        <v>820</v>
      </c>
      <c r="E1562" s="58">
        <v>251.38</v>
      </c>
      <c r="F1562" s="57">
        <v>0.36</v>
      </c>
      <c r="G1562" s="57"/>
      <c r="H1562" s="49"/>
      <c r="I1562" s="49" t="str">
        <f t="shared" si="139"/>
        <v/>
      </c>
      <c r="J1562" s="37" t="str">
        <f t="shared" si="137"/>
        <v>BGF에코머티리얼즈</v>
      </c>
      <c r="K1562" s="37" t="str">
        <f t="shared" si="138"/>
        <v>A126600</v>
      </c>
    </row>
    <row r="1563" spans="1:11" x14ac:dyDescent="0.4">
      <c r="A1563" s="49"/>
      <c r="B1563" s="54" t="s">
        <v>3451</v>
      </c>
      <c r="C1563" s="37" t="s">
        <v>3452</v>
      </c>
      <c r="D1563" s="55" t="s">
        <v>820</v>
      </c>
      <c r="E1563" s="58">
        <v>53.32</v>
      </c>
      <c r="F1563" s="57">
        <v>1.32</v>
      </c>
      <c r="G1563" s="57"/>
      <c r="H1563" s="49"/>
      <c r="I1563" s="49" t="str">
        <f t="shared" si="139"/>
        <v/>
      </c>
      <c r="J1563" s="37" t="str">
        <f t="shared" si="137"/>
        <v>화신정공</v>
      </c>
      <c r="K1563" s="37" t="str">
        <f t="shared" si="138"/>
        <v>A126640</v>
      </c>
    </row>
    <row r="1564" spans="1:11" x14ac:dyDescent="0.4">
      <c r="A1564" s="49"/>
      <c r="B1564" s="54" t="s">
        <v>739</v>
      </c>
      <c r="C1564" s="37" t="s">
        <v>740</v>
      </c>
      <c r="D1564" s="55" t="s">
        <v>820</v>
      </c>
      <c r="E1564" s="56">
        <v>281.66000000000003</v>
      </c>
      <c r="F1564" s="55">
        <v>2.0099999999999998</v>
      </c>
      <c r="G1564" s="55">
        <v>3</v>
      </c>
      <c r="I1564" s="49">
        <f t="shared" si="139"/>
        <v>281.67564000000004</v>
      </c>
      <c r="J1564" s="37" t="str">
        <f t="shared" si="137"/>
        <v>하이비젼시스템</v>
      </c>
      <c r="K1564" s="37" t="str">
        <f t="shared" si="138"/>
        <v>A126700</v>
      </c>
    </row>
    <row r="1565" spans="1:11" x14ac:dyDescent="0.4">
      <c r="A1565" s="49"/>
      <c r="B1565" s="54" t="s">
        <v>727</v>
      </c>
      <c r="C1565" s="37" t="s">
        <v>728</v>
      </c>
      <c r="D1565" s="55" t="s">
        <v>805</v>
      </c>
      <c r="E1565" s="58">
        <v>399.29</v>
      </c>
      <c r="F1565" s="57">
        <v>1.23</v>
      </c>
      <c r="G1565" s="57"/>
      <c r="H1565" s="49"/>
      <c r="I1565" s="49" t="str">
        <f t="shared" si="139"/>
        <v/>
      </c>
      <c r="J1565" s="37" t="str">
        <f t="shared" si="137"/>
        <v>수산인더스트리</v>
      </c>
      <c r="K1565" s="37" t="str">
        <f t="shared" si="138"/>
        <v>A126720</v>
      </c>
    </row>
    <row r="1566" spans="1:11" x14ac:dyDescent="0.4">
      <c r="A1566" s="49"/>
      <c r="B1566" s="54" t="s">
        <v>3453</v>
      </c>
      <c r="C1566" s="37" t="s">
        <v>3454</v>
      </c>
      <c r="D1566" s="55" t="s">
        <v>820</v>
      </c>
      <c r="E1566" s="58">
        <v>171.34</v>
      </c>
      <c r="F1566" s="57">
        <v>7.13</v>
      </c>
      <c r="G1566" s="57"/>
      <c r="H1566" s="49"/>
      <c r="I1566" s="49" t="str">
        <f t="shared" si="139"/>
        <v/>
      </c>
      <c r="J1566" s="37" t="str">
        <f t="shared" si="137"/>
        <v>코칩</v>
      </c>
      <c r="K1566" s="37" t="str">
        <f t="shared" si="138"/>
        <v>A126730</v>
      </c>
    </row>
    <row r="1567" spans="1:11" x14ac:dyDescent="0.4">
      <c r="A1567" s="49"/>
      <c r="B1567" s="54" t="s">
        <v>3455</v>
      </c>
      <c r="C1567" s="37" t="s">
        <v>3456</v>
      </c>
      <c r="D1567" s="55" t="s">
        <v>820</v>
      </c>
      <c r="E1567" s="58">
        <v>86.09</v>
      </c>
      <c r="F1567" s="57">
        <v>1.05</v>
      </c>
      <c r="G1567" s="57"/>
      <c r="H1567" s="49"/>
      <c r="I1567" s="49" t="str">
        <f t="shared" si="139"/>
        <v/>
      </c>
      <c r="J1567" s="37" t="str">
        <f t="shared" si="137"/>
        <v>제이엔케이글로벌</v>
      </c>
      <c r="K1567" s="37" t="str">
        <f t="shared" si="138"/>
        <v>A126880</v>
      </c>
    </row>
    <row r="1568" spans="1:11" x14ac:dyDescent="0.4">
      <c r="A1568" s="49"/>
      <c r="B1568" s="54" t="s">
        <v>3457</v>
      </c>
      <c r="C1568" s="37" t="s">
        <v>3458</v>
      </c>
      <c r="D1568" s="55" t="s">
        <v>820</v>
      </c>
      <c r="E1568" s="58">
        <v>1331.5</v>
      </c>
      <c r="F1568" s="57">
        <v>7.82</v>
      </c>
      <c r="G1568" s="57"/>
      <c r="H1568" s="49"/>
      <c r="I1568" s="49" t="str">
        <f t="shared" si="139"/>
        <v/>
      </c>
      <c r="J1568" s="37" t="str">
        <f t="shared" si="137"/>
        <v>제이에스링크</v>
      </c>
      <c r="K1568" s="37" t="str">
        <f t="shared" si="138"/>
        <v>A127120</v>
      </c>
    </row>
    <row r="1569" spans="1:11" x14ac:dyDescent="0.4">
      <c r="A1569" s="49"/>
      <c r="B1569" s="54" t="s">
        <v>3459</v>
      </c>
      <c r="C1569" s="37" t="s">
        <v>3460</v>
      </c>
      <c r="D1569" s="55" t="s">
        <v>820</v>
      </c>
      <c r="E1569" s="58">
        <v>49.43</v>
      </c>
      <c r="F1569" s="57">
        <v>0.12</v>
      </c>
      <c r="G1569" s="57"/>
      <c r="H1569" s="49"/>
      <c r="I1569" s="49" t="str">
        <f t="shared" si="139"/>
        <v/>
      </c>
      <c r="J1569" s="37" t="str">
        <f t="shared" si="137"/>
        <v>아시아경제</v>
      </c>
      <c r="K1569" s="37" t="str">
        <f t="shared" si="138"/>
        <v>A127710</v>
      </c>
    </row>
    <row r="1570" spans="1:11" x14ac:dyDescent="0.4">
      <c r="A1570" s="49"/>
      <c r="B1570" s="54" t="s">
        <v>3461</v>
      </c>
      <c r="C1570" s="37" t="s">
        <v>3462</v>
      </c>
      <c r="D1570" s="55" t="s">
        <v>820</v>
      </c>
      <c r="E1570" s="58">
        <v>62.76</v>
      </c>
      <c r="F1570" s="57">
        <v>0.1</v>
      </c>
      <c r="G1570" s="57"/>
      <c r="H1570" s="49"/>
      <c r="I1570" s="49" t="str">
        <f t="shared" si="139"/>
        <v/>
      </c>
      <c r="J1570" s="37" t="str">
        <f t="shared" si="137"/>
        <v>화인써키트</v>
      </c>
      <c r="K1570" s="37" t="str">
        <f t="shared" si="138"/>
        <v>A127980</v>
      </c>
    </row>
    <row r="1571" spans="1:11" x14ac:dyDescent="0.4">
      <c r="A1571" s="49"/>
      <c r="B1571" s="54" t="s">
        <v>3463</v>
      </c>
      <c r="C1571" s="37" t="s">
        <v>3464</v>
      </c>
      <c r="D1571" s="55" t="s">
        <v>820</v>
      </c>
      <c r="E1571" s="56">
        <v>56.98</v>
      </c>
      <c r="F1571" s="55">
        <v>1.58</v>
      </c>
      <c r="G1571" s="55"/>
      <c r="I1571" s="49" t="str">
        <f t="shared" si="139"/>
        <v/>
      </c>
      <c r="J1571" s="37" t="str">
        <f t="shared" si="137"/>
        <v>에코캡</v>
      </c>
      <c r="K1571" s="37" t="str">
        <f t="shared" si="138"/>
        <v>A128540</v>
      </c>
    </row>
    <row r="1572" spans="1:11" x14ac:dyDescent="0.4">
      <c r="A1572" s="49"/>
      <c r="B1572" s="54" t="s">
        <v>3465</v>
      </c>
      <c r="C1572" s="37" t="s">
        <v>3466</v>
      </c>
      <c r="D1572" s="55" t="s">
        <v>820</v>
      </c>
      <c r="E1572" s="58">
        <v>78.25</v>
      </c>
      <c r="F1572" s="57">
        <v>0.65</v>
      </c>
      <c r="G1572" s="57"/>
      <c r="H1572" s="49"/>
      <c r="I1572" s="49" t="str">
        <f t="shared" si="139"/>
        <v/>
      </c>
      <c r="J1572" s="37" t="str">
        <f t="shared" si="137"/>
        <v>피제이메탈</v>
      </c>
      <c r="K1572" s="37" t="str">
        <f t="shared" si="138"/>
        <v>A128660</v>
      </c>
    </row>
    <row r="1573" spans="1:11" x14ac:dyDescent="0.4">
      <c r="A1573" s="49"/>
      <c r="B1573" s="54" t="s">
        <v>3467</v>
      </c>
      <c r="C1573" s="37" t="s">
        <v>3468</v>
      </c>
      <c r="D1573" s="55" t="s">
        <v>805</v>
      </c>
      <c r="E1573" s="58">
        <v>380.88</v>
      </c>
      <c r="F1573" s="57">
        <v>20.63</v>
      </c>
      <c r="G1573" s="57"/>
      <c r="H1573" s="49"/>
      <c r="I1573" s="49" t="str">
        <f t="shared" si="139"/>
        <v/>
      </c>
      <c r="J1573" s="37" t="str">
        <f t="shared" si="137"/>
        <v>대성산업</v>
      </c>
      <c r="K1573" s="37" t="str">
        <f t="shared" si="138"/>
        <v>A128820</v>
      </c>
    </row>
    <row r="1574" spans="1:11" x14ac:dyDescent="0.4">
      <c r="A1574" s="49"/>
      <c r="B1574" s="54" t="s">
        <v>53</v>
      </c>
      <c r="C1574" s="37" t="s">
        <v>54</v>
      </c>
      <c r="D1574" s="55" t="s">
        <v>805</v>
      </c>
      <c r="E1574" s="56">
        <v>7596.92</v>
      </c>
      <c r="F1574" s="55">
        <v>64.69</v>
      </c>
      <c r="G1574" s="55">
        <v>19</v>
      </c>
      <c r="I1574" s="49">
        <f t="shared" si="139"/>
        <v>7596.9357399999999</v>
      </c>
      <c r="J1574" s="37" t="str">
        <f t="shared" si="137"/>
        <v>한미약품</v>
      </c>
      <c r="K1574" s="37" t="str">
        <f t="shared" si="138"/>
        <v>A128940</v>
      </c>
    </row>
    <row r="1575" spans="1:11" x14ac:dyDescent="0.4">
      <c r="A1575" s="49"/>
      <c r="B1575" s="54" t="s">
        <v>3469</v>
      </c>
      <c r="C1575" s="37" t="s">
        <v>3470</v>
      </c>
      <c r="D1575" s="55" t="s">
        <v>805</v>
      </c>
      <c r="E1575" s="58">
        <v>76.75</v>
      </c>
      <c r="F1575" s="57">
        <v>0.25</v>
      </c>
      <c r="G1575" s="57"/>
      <c r="H1575" s="49"/>
      <c r="I1575" s="49" t="str">
        <f t="shared" si="139"/>
        <v/>
      </c>
      <c r="J1575" s="37" t="str">
        <f t="shared" si="137"/>
        <v>인터지스</v>
      </c>
      <c r="K1575" s="37" t="str">
        <f t="shared" si="138"/>
        <v>A129260</v>
      </c>
    </row>
    <row r="1576" spans="1:11" x14ac:dyDescent="0.4">
      <c r="A1576" s="49"/>
      <c r="B1576" s="54" t="s">
        <v>3471</v>
      </c>
      <c r="C1576" s="37" t="s">
        <v>3472</v>
      </c>
      <c r="D1576" s="55" t="s">
        <v>820</v>
      </c>
      <c r="E1576" s="56">
        <v>42.86</v>
      </c>
      <c r="F1576" s="55">
        <v>2.41</v>
      </c>
      <c r="G1576" s="55"/>
      <c r="I1576" s="49" t="str">
        <f t="shared" si="139"/>
        <v/>
      </c>
      <c r="J1576" s="37" t="str">
        <f t="shared" si="137"/>
        <v>앱코</v>
      </c>
      <c r="K1576" s="37" t="str">
        <f t="shared" si="138"/>
        <v>A129890</v>
      </c>
    </row>
    <row r="1577" spans="1:11" x14ac:dyDescent="0.4">
      <c r="A1577" s="49"/>
      <c r="B1577" s="54" t="s">
        <v>3473</v>
      </c>
      <c r="C1577" s="37" t="s">
        <v>3474</v>
      </c>
      <c r="D1577" s="55" t="s">
        <v>820</v>
      </c>
      <c r="E1577" s="58">
        <v>100.94</v>
      </c>
      <c r="F1577" s="57">
        <v>1.07</v>
      </c>
      <c r="G1577" s="57"/>
      <c r="H1577" s="49"/>
      <c r="I1577" s="49" t="str">
        <f t="shared" si="139"/>
        <v/>
      </c>
      <c r="J1577" s="37" t="str">
        <f t="shared" si="137"/>
        <v>대성하이텍</v>
      </c>
      <c r="K1577" s="37" t="str">
        <f t="shared" si="138"/>
        <v>A129920</v>
      </c>
    </row>
    <row r="1578" spans="1:11" x14ac:dyDescent="0.4">
      <c r="A1578" s="49"/>
      <c r="B1578" s="54" t="s">
        <v>3475</v>
      </c>
      <c r="C1578" s="37" t="s">
        <v>3476</v>
      </c>
      <c r="D1578" s="55" t="s">
        <v>820</v>
      </c>
      <c r="E1578" s="58">
        <v>39.42</v>
      </c>
      <c r="F1578" s="57">
        <v>0.28000000000000003</v>
      </c>
      <c r="G1578" s="57"/>
      <c r="H1578" s="49"/>
      <c r="I1578" s="49" t="str">
        <f t="shared" si="139"/>
        <v/>
      </c>
      <c r="J1578" s="37" t="str">
        <f t="shared" si="137"/>
        <v>GH신소재</v>
      </c>
      <c r="K1578" s="37" t="str">
        <f t="shared" si="138"/>
        <v>A130500</v>
      </c>
    </row>
    <row r="1579" spans="1:11" x14ac:dyDescent="0.4">
      <c r="A1579" s="49"/>
      <c r="B1579" s="54" t="s">
        <v>3477</v>
      </c>
      <c r="C1579" s="37" t="s">
        <v>3478</v>
      </c>
      <c r="D1579" s="55" t="s">
        <v>820</v>
      </c>
      <c r="E1579" s="58">
        <v>90.55</v>
      </c>
      <c r="F1579" s="57">
        <v>0.08</v>
      </c>
      <c r="G1579" s="57"/>
      <c r="H1579" s="49"/>
      <c r="I1579" s="49" t="str">
        <f t="shared" si="139"/>
        <v/>
      </c>
      <c r="J1579" s="37" t="str">
        <f t="shared" si="137"/>
        <v>나이스디앤비</v>
      </c>
      <c r="K1579" s="37" t="str">
        <f t="shared" si="138"/>
        <v>A130580</v>
      </c>
    </row>
    <row r="1580" spans="1:11" x14ac:dyDescent="0.4">
      <c r="A1580" s="49"/>
      <c r="B1580" s="54" t="s">
        <v>3479</v>
      </c>
      <c r="C1580" s="37" t="s">
        <v>3480</v>
      </c>
      <c r="D1580" s="55" t="s">
        <v>805</v>
      </c>
      <c r="E1580" s="58">
        <v>784.03</v>
      </c>
      <c r="F1580" s="57">
        <v>22.53</v>
      </c>
      <c r="G1580" s="57"/>
      <c r="H1580" s="49"/>
      <c r="I1580" s="49" t="str">
        <f t="shared" si="139"/>
        <v/>
      </c>
      <c r="J1580" s="37" t="str">
        <f t="shared" si="137"/>
        <v>한전산업</v>
      </c>
      <c r="K1580" s="37" t="str">
        <f t="shared" si="138"/>
        <v>A130660</v>
      </c>
    </row>
    <row r="1581" spans="1:11" x14ac:dyDescent="0.4">
      <c r="A1581" s="49"/>
      <c r="B1581" s="54" t="s">
        <v>3481</v>
      </c>
      <c r="C1581" s="37" t="s">
        <v>3482</v>
      </c>
      <c r="D1581" s="55" t="s">
        <v>820</v>
      </c>
      <c r="E1581" s="58">
        <v>23.91</v>
      </c>
      <c r="F1581" s="57">
        <v>0.99</v>
      </c>
      <c r="G1581" s="57"/>
      <c r="H1581" s="49"/>
      <c r="I1581" s="49" t="str">
        <f t="shared" si="139"/>
        <v/>
      </c>
      <c r="J1581" s="37" t="str">
        <f t="shared" si="137"/>
        <v>티피씨글로벌</v>
      </c>
      <c r="K1581" s="37" t="str">
        <f t="shared" si="138"/>
        <v>A130740</v>
      </c>
    </row>
    <row r="1582" spans="1:11" x14ac:dyDescent="0.4">
      <c r="A1582" s="49"/>
      <c r="B1582" s="54" t="s">
        <v>3483</v>
      </c>
      <c r="C1582" s="37" t="s">
        <v>3484</v>
      </c>
      <c r="D1582" s="55" t="s">
        <v>820</v>
      </c>
      <c r="E1582" s="56">
        <v>207.88</v>
      </c>
      <c r="F1582" s="55">
        <v>2.62</v>
      </c>
      <c r="G1582" s="55"/>
      <c r="I1582" s="49" t="str">
        <f t="shared" si="139"/>
        <v/>
      </c>
      <c r="J1582" s="37" t="str">
        <f t="shared" si="137"/>
        <v>옵투스제약</v>
      </c>
      <c r="K1582" s="37" t="str">
        <f t="shared" si="138"/>
        <v>A131030</v>
      </c>
    </row>
    <row r="1583" spans="1:11" x14ac:dyDescent="0.4">
      <c r="A1583" s="49"/>
      <c r="B1583" s="54" t="s">
        <v>3485</v>
      </c>
      <c r="C1583" s="37" t="s">
        <v>3486</v>
      </c>
      <c r="D1583" s="55" t="s">
        <v>820</v>
      </c>
      <c r="E1583" s="58">
        <v>30.44</v>
      </c>
      <c r="F1583" s="57">
        <v>0.04</v>
      </c>
      <c r="G1583" s="57"/>
      <c r="H1583" s="49"/>
      <c r="I1583" s="49" t="str">
        <f t="shared" si="139"/>
        <v/>
      </c>
      <c r="J1583" s="37" t="str">
        <f t="shared" si="137"/>
        <v>시큐브</v>
      </c>
      <c r="K1583" s="37" t="str">
        <f t="shared" si="138"/>
        <v>A131090</v>
      </c>
    </row>
    <row r="1584" spans="1:11" x14ac:dyDescent="0.4">
      <c r="A1584" s="49"/>
      <c r="B1584" s="54" t="s">
        <v>3487</v>
      </c>
      <c r="C1584" s="37" t="s">
        <v>3488</v>
      </c>
      <c r="D1584" s="55" t="s">
        <v>820</v>
      </c>
      <c r="E1584" s="58">
        <v>45.05</v>
      </c>
      <c r="F1584" s="57">
        <v>0.04</v>
      </c>
      <c r="G1584" s="57"/>
      <c r="H1584" s="49"/>
      <c r="I1584" s="49" t="str">
        <f t="shared" si="139"/>
        <v/>
      </c>
      <c r="J1584" s="37" t="str">
        <f t="shared" si="137"/>
        <v>티엔엔터테인먼트</v>
      </c>
      <c r="K1584" s="37" t="str">
        <f t="shared" si="138"/>
        <v>A131100</v>
      </c>
    </row>
    <row r="1585" spans="1:11" x14ac:dyDescent="0.4">
      <c r="B1585" s="54" t="s">
        <v>3489</v>
      </c>
      <c r="C1585" s="37" t="s">
        <v>3490</v>
      </c>
      <c r="D1585" s="55" t="s">
        <v>820</v>
      </c>
      <c r="E1585" s="56">
        <v>27.59</v>
      </c>
      <c r="F1585" s="55">
        <v>0.06</v>
      </c>
      <c r="G1585" s="55"/>
      <c r="J1585" s="37" t="str">
        <f t="shared" si="137"/>
        <v>딜리</v>
      </c>
      <c r="K1585" s="37" t="str">
        <f t="shared" si="138"/>
        <v>A131180</v>
      </c>
    </row>
    <row r="1586" spans="1:11" x14ac:dyDescent="0.4">
      <c r="A1586" s="49"/>
      <c r="B1586" s="54" t="s">
        <v>3491</v>
      </c>
      <c r="C1586" s="37" t="s">
        <v>3492</v>
      </c>
      <c r="D1586" s="55" t="s">
        <v>820</v>
      </c>
      <c r="E1586" s="56">
        <v>36.04</v>
      </c>
      <c r="F1586" s="55">
        <v>0.11</v>
      </c>
      <c r="G1586" s="55"/>
      <c r="J1586" s="37" t="str">
        <f t="shared" si="137"/>
        <v>대한과학</v>
      </c>
      <c r="K1586" s="37" t="str">
        <f t="shared" si="138"/>
        <v>A131220</v>
      </c>
    </row>
    <row r="1587" spans="1:11" x14ac:dyDescent="0.4">
      <c r="A1587" s="49"/>
      <c r="B1587" s="54" t="s">
        <v>569</v>
      </c>
      <c r="C1587" s="37" t="s">
        <v>570</v>
      </c>
      <c r="D1587" s="55" t="s">
        <v>820</v>
      </c>
      <c r="E1587" s="56">
        <v>962.34</v>
      </c>
      <c r="F1587" s="55">
        <v>6.73</v>
      </c>
      <c r="G1587" s="55">
        <v>2</v>
      </c>
      <c r="I1587" s="49">
        <f t="shared" ref="I1587:I1605" si="140">IF((G1587&gt;$G$8),E1587+ROW()/100000,"")</f>
        <v>962.35586999999998</v>
      </c>
      <c r="J1587" s="37" t="str">
        <f t="shared" si="137"/>
        <v>티에스이</v>
      </c>
      <c r="K1587" s="37" t="str">
        <f t="shared" si="138"/>
        <v>A131290</v>
      </c>
    </row>
    <row r="1588" spans="1:11" x14ac:dyDescent="0.4">
      <c r="A1588" s="49"/>
      <c r="B1588" s="54" t="s">
        <v>3493</v>
      </c>
      <c r="C1588" s="37" t="s">
        <v>3494</v>
      </c>
      <c r="D1588" s="55" t="s">
        <v>820</v>
      </c>
      <c r="E1588" s="59">
        <v>120.38</v>
      </c>
      <c r="F1588" s="57">
        <v>0.26</v>
      </c>
      <c r="G1588" s="57"/>
      <c r="H1588" s="49"/>
      <c r="I1588" s="49" t="str">
        <f t="shared" si="140"/>
        <v/>
      </c>
      <c r="J1588" s="37" t="str">
        <f t="shared" si="137"/>
        <v>알서포트</v>
      </c>
      <c r="K1588" s="37" t="str">
        <f t="shared" si="138"/>
        <v>A131370</v>
      </c>
    </row>
    <row r="1589" spans="1:11" x14ac:dyDescent="0.4">
      <c r="A1589" s="49"/>
      <c r="B1589" s="54" t="s">
        <v>3495</v>
      </c>
      <c r="C1589" s="37" t="s">
        <v>3496</v>
      </c>
      <c r="D1589" s="55" t="s">
        <v>820</v>
      </c>
      <c r="E1589" s="56">
        <v>103.33</v>
      </c>
      <c r="F1589" s="55">
        <v>4.1399999999999997</v>
      </c>
      <c r="G1589" s="55"/>
      <c r="I1589" s="49" t="str">
        <f t="shared" si="140"/>
        <v/>
      </c>
      <c r="J1589" s="37" t="str">
        <f t="shared" si="137"/>
        <v>이브이첨단소재</v>
      </c>
      <c r="K1589" s="37" t="str">
        <f t="shared" si="138"/>
        <v>A131400</v>
      </c>
    </row>
    <row r="1590" spans="1:11" x14ac:dyDescent="0.4">
      <c r="A1590" s="49"/>
      <c r="B1590" s="54" t="s">
        <v>3497</v>
      </c>
      <c r="C1590" s="37" t="s">
        <v>3498</v>
      </c>
      <c r="D1590" s="55" t="s">
        <v>820</v>
      </c>
      <c r="E1590" s="56">
        <v>31.75</v>
      </c>
      <c r="F1590" s="55">
        <v>0.34</v>
      </c>
      <c r="G1590" s="55"/>
      <c r="I1590" s="49" t="str">
        <f t="shared" si="140"/>
        <v/>
      </c>
      <c r="J1590" s="37" t="str">
        <f t="shared" si="137"/>
        <v>파인텍</v>
      </c>
      <c r="K1590" s="37" t="str">
        <f t="shared" si="138"/>
        <v>A131760</v>
      </c>
    </row>
    <row r="1591" spans="1:11" x14ac:dyDescent="0.4">
      <c r="A1591" s="49"/>
      <c r="B1591" s="54" t="s">
        <v>679</v>
      </c>
      <c r="C1591" s="37" t="s">
        <v>680</v>
      </c>
      <c r="D1591" s="55" t="s">
        <v>820</v>
      </c>
      <c r="E1591" s="58">
        <v>1314.25</v>
      </c>
      <c r="F1591" s="57">
        <v>16.82</v>
      </c>
      <c r="G1591" s="57">
        <v>5</v>
      </c>
      <c r="H1591" s="49"/>
      <c r="I1591" s="49">
        <f t="shared" si="140"/>
        <v>1314.2659100000001</v>
      </c>
      <c r="J1591" s="37" t="str">
        <f t="shared" si="137"/>
        <v>두산테스나</v>
      </c>
      <c r="K1591" s="37" t="str">
        <f t="shared" si="138"/>
        <v>A131970</v>
      </c>
    </row>
    <row r="1592" spans="1:11" x14ac:dyDescent="0.4">
      <c r="A1592" s="49"/>
      <c r="B1592" s="54" t="s">
        <v>3499</v>
      </c>
      <c r="C1592" s="37" t="s">
        <v>3500</v>
      </c>
      <c r="D1592" s="55" t="s">
        <v>820</v>
      </c>
      <c r="E1592" s="58">
        <v>44.78</v>
      </c>
      <c r="F1592" s="57">
        <v>0.09</v>
      </c>
      <c r="G1592" s="57"/>
      <c r="H1592" s="49"/>
      <c r="I1592" s="49" t="str">
        <f t="shared" si="140"/>
        <v/>
      </c>
      <c r="J1592" s="37" t="str">
        <f t="shared" si="137"/>
        <v>메가엠디</v>
      </c>
      <c r="K1592" s="37" t="str">
        <f t="shared" si="138"/>
        <v>A133750</v>
      </c>
    </row>
    <row r="1593" spans="1:11" x14ac:dyDescent="0.4">
      <c r="A1593" s="49"/>
      <c r="B1593" s="54" t="s">
        <v>3501</v>
      </c>
      <c r="C1593" s="37" t="s">
        <v>3502</v>
      </c>
      <c r="D1593" s="55" t="s">
        <v>805</v>
      </c>
      <c r="E1593" s="56">
        <v>52.37</v>
      </c>
      <c r="F1593" s="57">
        <v>1.34</v>
      </c>
      <c r="G1593" s="57"/>
      <c r="H1593" s="49"/>
      <c r="I1593" s="49" t="str">
        <f t="shared" si="140"/>
        <v/>
      </c>
      <c r="J1593" s="37" t="str">
        <f t="shared" si="137"/>
        <v>화인베스틸</v>
      </c>
      <c r="K1593" s="37" t="str">
        <f t="shared" si="138"/>
        <v>A133820</v>
      </c>
    </row>
    <row r="1594" spans="1:11" x14ac:dyDescent="0.4">
      <c r="A1594" s="49"/>
      <c r="B1594" s="54" t="s">
        <v>3503</v>
      </c>
      <c r="C1594" s="37" t="s">
        <v>3504</v>
      </c>
      <c r="D1594" s="55" t="s">
        <v>820</v>
      </c>
      <c r="E1594" s="58">
        <v>20.2</v>
      </c>
      <c r="F1594" s="57">
        <v>0.04</v>
      </c>
      <c r="G1594" s="57"/>
      <c r="H1594" s="49"/>
      <c r="I1594" s="49" t="str">
        <f t="shared" si="140"/>
        <v/>
      </c>
      <c r="J1594" s="37" t="str">
        <f t="shared" si="137"/>
        <v>이퓨쳐</v>
      </c>
      <c r="K1594" s="37" t="str">
        <f t="shared" si="138"/>
        <v>A134060</v>
      </c>
    </row>
    <row r="1595" spans="1:11" x14ac:dyDescent="0.4">
      <c r="A1595" s="49"/>
      <c r="B1595" s="54" t="s">
        <v>3505</v>
      </c>
      <c r="C1595" s="37" t="s">
        <v>3506</v>
      </c>
      <c r="D1595" s="55" t="s">
        <v>805</v>
      </c>
      <c r="E1595" s="58">
        <v>241.04</v>
      </c>
      <c r="F1595" s="57">
        <v>0.12</v>
      </c>
      <c r="G1595" s="57"/>
      <c r="H1595" s="49"/>
      <c r="I1595" s="49" t="str">
        <f t="shared" si="140"/>
        <v/>
      </c>
      <c r="J1595" s="37" t="str">
        <f t="shared" si="137"/>
        <v>미원화학</v>
      </c>
      <c r="K1595" s="37" t="str">
        <f t="shared" si="138"/>
        <v>A134380</v>
      </c>
    </row>
    <row r="1596" spans="1:11" x14ac:dyDescent="0.4">
      <c r="A1596" s="49"/>
      <c r="B1596" s="54" t="s">
        <v>3507</v>
      </c>
      <c r="C1596" s="37" t="s">
        <v>3508</v>
      </c>
      <c r="D1596" s="55" t="s">
        <v>820</v>
      </c>
      <c r="E1596" s="56">
        <v>92.23</v>
      </c>
      <c r="F1596" s="55">
        <v>1.25</v>
      </c>
      <c r="G1596" s="55"/>
      <c r="I1596" s="49" t="str">
        <f t="shared" si="140"/>
        <v/>
      </c>
      <c r="J1596" s="37" t="str">
        <f t="shared" si="137"/>
        <v>탑코미디어</v>
      </c>
      <c r="K1596" s="37" t="str">
        <f t="shared" si="138"/>
        <v>A134580</v>
      </c>
    </row>
    <row r="1597" spans="1:11" x14ac:dyDescent="0.4">
      <c r="A1597" s="49"/>
      <c r="B1597" s="54" t="s">
        <v>3509</v>
      </c>
      <c r="C1597" s="37" t="s">
        <v>3510</v>
      </c>
      <c r="D1597" s="55" t="s">
        <v>805</v>
      </c>
      <c r="E1597" s="58">
        <v>42.6</v>
      </c>
      <c r="F1597" s="57">
        <v>0.06</v>
      </c>
      <c r="G1597" s="57"/>
      <c r="H1597" s="49"/>
      <c r="I1597" s="49" t="str">
        <f t="shared" si="140"/>
        <v/>
      </c>
      <c r="J1597" s="37" t="str">
        <f t="shared" si="137"/>
        <v>시디즈</v>
      </c>
      <c r="K1597" s="37" t="str">
        <f t="shared" si="138"/>
        <v>A134790</v>
      </c>
    </row>
    <row r="1598" spans="1:11" x14ac:dyDescent="0.4">
      <c r="A1598" s="49"/>
      <c r="B1598" s="54" t="s">
        <v>3511</v>
      </c>
      <c r="C1598" s="37" t="s">
        <v>3512</v>
      </c>
      <c r="D1598" s="55" t="s">
        <v>820</v>
      </c>
      <c r="E1598" s="58">
        <v>145.41</v>
      </c>
      <c r="F1598" s="57">
        <v>3.72</v>
      </c>
      <c r="G1598" s="57"/>
      <c r="H1598" s="49"/>
      <c r="I1598" s="49" t="str">
        <f t="shared" si="140"/>
        <v/>
      </c>
      <c r="J1598" s="37" t="str">
        <f t="shared" si="137"/>
        <v>원일티엔아이</v>
      </c>
      <c r="K1598" s="37" t="str">
        <f t="shared" si="138"/>
        <v>A136150</v>
      </c>
    </row>
    <row r="1599" spans="1:11" x14ac:dyDescent="0.4">
      <c r="A1599" s="49"/>
      <c r="B1599" s="54" t="s">
        <v>3513</v>
      </c>
      <c r="C1599" s="37" t="s">
        <v>3514</v>
      </c>
      <c r="D1599" s="55" t="s">
        <v>820</v>
      </c>
      <c r="E1599" s="58">
        <v>90.25</v>
      </c>
      <c r="F1599" s="57">
        <v>0.44</v>
      </c>
      <c r="G1599" s="57"/>
      <c r="H1599" s="49"/>
      <c r="I1599" s="49" t="str">
        <f t="shared" si="140"/>
        <v/>
      </c>
      <c r="J1599" s="37" t="str">
        <f t="shared" si="137"/>
        <v>아셈스</v>
      </c>
      <c r="K1599" s="37" t="str">
        <f t="shared" si="138"/>
        <v>A136410</v>
      </c>
    </row>
    <row r="1600" spans="1:11" x14ac:dyDescent="0.4">
      <c r="A1600" s="49"/>
      <c r="B1600" s="54" t="s">
        <v>3515</v>
      </c>
      <c r="C1600" s="37" t="s">
        <v>3516</v>
      </c>
      <c r="D1600" s="55" t="s">
        <v>820</v>
      </c>
      <c r="E1600" s="58">
        <v>333.5</v>
      </c>
      <c r="F1600" s="57">
        <v>2.33</v>
      </c>
      <c r="G1600" s="57"/>
      <c r="H1600" s="49"/>
      <c r="I1600" s="49" t="str">
        <f t="shared" si="140"/>
        <v/>
      </c>
      <c r="J1600" s="37" t="str">
        <f t="shared" si="137"/>
        <v>하림</v>
      </c>
      <c r="K1600" s="37" t="str">
        <f t="shared" si="138"/>
        <v>A136480</v>
      </c>
    </row>
    <row r="1601" spans="1:11" x14ac:dyDescent="0.4">
      <c r="A1601" s="49"/>
      <c r="B1601" s="54" t="s">
        <v>3517</v>
      </c>
      <c r="C1601" s="37" t="s">
        <v>3518</v>
      </c>
      <c r="D1601" s="55" t="s">
        <v>805</v>
      </c>
      <c r="E1601" s="58">
        <v>296.06</v>
      </c>
      <c r="F1601" s="57">
        <v>1.71</v>
      </c>
      <c r="G1601" s="57"/>
      <c r="H1601" s="49"/>
      <c r="I1601" s="49" t="str">
        <f t="shared" si="140"/>
        <v/>
      </c>
      <c r="J1601" s="37" t="str">
        <f t="shared" si="137"/>
        <v>선진</v>
      </c>
      <c r="K1601" s="37" t="str">
        <f t="shared" si="138"/>
        <v>A136490</v>
      </c>
    </row>
    <row r="1602" spans="1:11" x14ac:dyDescent="0.4">
      <c r="A1602" s="49"/>
      <c r="B1602" s="54" t="s">
        <v>3519</v>
      </c>
      <c r="C1602" s="37" t="s">
        <v>3520</v>
      </c>
      <c r="D1602" s="55" t="s">
        <v>820</v>
      </c>
      <c r="E1602" s="57">
        <v>143.30000000000001</v>
      </c>
      <c r="F1602" s="55">
        <v>0.23</v>
      </c>
      <c r="G1602" s="55"/>
      <c r="I1602" s="49" t="str">
        <f t="shared" si="140"/>
        <v/>
      </c>
      <c r="J1602" s="37" t="str">
        <f t="shared" si="137"/>
        <v>윈스테크넷</v>
      </c>
      <c r="K1602" s="37" t="str">
        <f t="shared" si="138"/>
        <v>A136540</v>
      </c>
    </row>
    <row r="1603" spans="1:11" x14ac:dyDescent="0.4">
      <c r="A1603" s="49"/>
      <c r="B1603" s="54" t="s">
        <v>3521</v>
      </c>
      <c r="C1603" s="37" t="s">
        <v>3522</v>
      </c>
      <c r="D1603" s="55" t="s">
        <v>820</v>
      </c>
      <c r="E1603" s="58">
        <v>46.78</v>
      </c>
      <c r="F1603" s="57">
        <v>0.2</v>
      </c>
      <c r="G1603" s="57"/>
      <c r="H1603" s="49"/>
      <c r="I1603" s="49" t="str">
        <f t="shared" si="140"/>
        <v/>
      </c>
      <c r="J1603" s="37" t="str">
        <f t="shared" si="137"/>
        <v>나래나노텍</v>
      </c>
      <c r="K1603" s="37" t="str">
        <f t="shared" si="138"/>
        <v>A137080</v>
      </c>
    </row>
    <row r="1604" spans="1:11" x14ac:dyDescent="0.4">
      <c r="A1604" s="49"/>
      <c r="B1604" s="54" t="s">
        <v>3523</v>
      </c>
      <c r="C1604" s="37" t="s">
        <v>3524</v>
      </c>
      <c r="D1604" s="55" t="s">
        <v>805</v>
      </c>
      <c r="E1604" s="58">
        <v>1027.56</v>
      </c>
      <c r="F1604" s="57">
        <v>1.1499999999999999</v>
      </c>
      <c r="G1604" s="57"/>
      <c r="H1604" s="49"/>
      <c r="I1604" s="49" t="str">
        <f t="shared" si="140"/>
        <v/>
      </c>
      <c r="J1604" s="37" t="str">
        <f t="shared" si="137"/>
        <v>에스디바이오센서</v>
      </c>
      <c r="K1604" s="37" t="str">
        <f t="shared" si="138"/>
        <v>A137310</v>
      </c>
    </row>
    <row r="1605" spans="1:11" x14ac:dyDescent="0.4">
      <c r="A1605" s="49"/>
      <c r="B1605" s="54" t="s">
        <v>3525</v>
      </c>
      <c r="C1605" s="37" t="s">
        <v>3526</v>
      </c>
      <c r="D1605" s="55" t="s">
        <v>820</v>
      </c>
      <c r="E1605" s="58">
        <v>1295.8800000000001</v>
      </c>
      <c r="F1605" s="57">
        <v>11.58</v>
      </c>
      <c r="G1605" s="57">
        <v>2</v>
      </c>
      <c r="H1605" s="49"/>
      <c r="I1605" s="49">
        <f t="shared" si="140"/>
        <v>1295.8960500000001</v>
      </c>
      <c r="J1605" s="37" t="str">
        <f t="shared" si="137"/>
        <v>피엔티</v>
      </c>
      <c r="K1605" s="37" t="str">
        <f t="shared" si="138"/>
        <v>A137400</v>
      </c>
    </row>
    <row r="1606" spans="1:11" x14ac:dyDescent="0.4">
      <c r="B1606" s="54" t="s">
        <v>3527</v>
      </c>
      <c r="C1606" s="37" t="s">
        <v>3528</v>
      </c>
      <c r="D1606" s="55" t="s">
        <v>820</v>
      </c>
      <c r="E1606" s="56">
        <v>22.45</v>
      </c>
      <c r="F1606" s="55">
        <v>0.1</v>
      </c>
      <c r="G1606" s="55"/>
      <c r="J1606" s="37" t="str">
        <f t="shared" si="137"/>
        <v>넥스트아이</v>
      </c>
      <c r="K1606" s="37" t="str">
        <f t="shared" si="138"/>
        <v>A137940</v>
      </c>
    </row>
    <row r="1607" spans="1:11" x14ac:dyDescent="0.4">
      <c r="A1607" s="49"/>
      <c r="B1607" s="54" t="s">
        <v>3529</v>
      </c>
      <c r="C1607" s="37" t="s">
        <v>3530</v>
      </c>
      <c r="D1607" s="55" t="s">
        <v>820</v>
      </c>
      <c r="E1607" s="58">
        <v>73.48</v>
      </c>
      <c r="F1607" s="57">
        <v>0.17</v>
      </c>
      <c r="G1607" s="57"/>
      <c r="H1607" s="49"/>
      <c r="I1607" s="49" t="str">
        <f>IF((G1607&gt;$G$8),E1607+ROW()/100000,"")</f>
        <v/>
      </c>
      <c r="J1607" s="37" t="str">
        <f t="shared" si="137"/>
        <v>제이씨케미칼</v>
      </c>
      <c r="K1607" s="37" t="str">
        <f t="shared" si="138"/>
        <v>A137950</v>
      </c>
    </row>
    <row r="1608" spans="1:11" x14ac:dyDescent="0.4">
      <c r="A1608" s="49"/>
      <c r="B1608" s="54" t="s">
        <v>106</v>
      </c>
      <c r="C1608" s="37" t="s">
        <v>107</v>
      </c>
      <c r="D1608" s="55" t="s">
        <v>805</v>
      </c>
      <c r="E1608" s="58">
        <v>22270.69</v>
      </c>
      <c r="F1608" s="57">
        <v>31.84</v>
      </c>
      <c r="G1608" s="57">
        <v>6</v>
      </c>
      <c r="H1608" s="49"/>
      <c r="I1608" s="49">
        <f>IF((G1608&gt;$G$8),E1608+ROW()/100000,"")</f>
        <v>22270.70608</v>
      </c>
      <c r="J1608" s="37" t="str">
        <f t="shared" si="137"/>
        <v>메리츠금융지주</v>
      </c>
      <c r="K1608" s="37" t="str">
        <f t="shared" si="138"/>
        <v>A138040</v>
      </c>
    </row>
    <row r="1609" spans="1:11" x14ac:dyDescent="0.4">
      <c r="A1609" s="49"/>
      <c r="B1609" s="54" t="s">
        <v>3531</v>
      </c>
      <c r="C1609" s="37" t="s">
        <v>3532</v>
      </c>
      <c r="D1609" s="55" t="s">
        <v>820</v>
      </c>
      <c r="E1609" s="58">
        <v>35.01</v>
      </c>
      <c r="F1609" s="57">
        <v>0.1</v>
      </c>
      <c r="G1609" s="57"/>
      <c r="H1609" s="49"/>
      <c r="I1609" s="49" t="str">
        <f>IF((G1609&gt;$G$8),E1609+ROW()/100000,"")</f>
        <v/>
      </c>
      <c r="J1609" s="37" t="str">
        <f t="shared" si="137"/>
        <v>신진에스엠</v>
      </c>
      <c r="K1609" s="37" t="str">
        <f t="shared" si="138"/>
        <v>A138070</v>
      </c>
    </row>
    <row r="1610" spans="1:11" x14ac:dyDescent="0.4">
      <c r="A1610" s="49"/>
      <c r="B1610" s="54" t="s">
        <v>3533</v>
      </c>
      <c r="C1610" s="37" t="s">
        <v>3534</v>
      </c>
      <c r="D1610" s="55" t="s">
        <v>820</v>
      </c>
      <c r="E1610" s="58">
        <v>236</v>
      </c>
      <c r="F1610" s="57">
        <v>3.04</v>
      </c>
      <c r="G1610" s="57">
        <v>1</v>
      </c>
      <c r="H1610" s="49"/>
      <c r="I1610" s="49">
        <f>IF((G1610&gt;$G$8),E1610+ROW()/100000,"")</f>
        <v>236.01609999999999</v>
      </c>
      <c r="J1610" s="37" t="str">
        <f t="shared" si="137"/>
        <v>오이솔루션</v>
      </c>
      <c r="K1610" s="37" t="str">
        <f t="shared" si="138"/>
        <v>A138080</v>
      </c>
    </row>
    <row r="1611" spans="1:11" x14ac:dyDescent="0.4">
      <c r="A1611" s="49"/>
      <c r="B1611" s="54" t="s">
        <v>3535</v>
      </c>
      <c r="C1611" s="37" t="s">
        <v>3536</v>
      </c>
      <c r="D1611" s="55" t="s">
        <v>820</v>
      </c>
      <c r="E1611" s="58">
        <v>166.69</v>
      </c>
      <c r="F1611" s="57">
        <v>5.24</v>
      </c>
      <c r="G1611" s="57"/>
      <c r="H1611" s="49"/>
      <c r="I1611" s="49" t="str">
        <f>IF((G1611&gt;$G$8),E1611+ROW()/100000,"")</f>
        <v/>
      </c>
      <c r="J1611" s="37" t="str">
        <f t="shared" si="137"/>
        <v>앤로보틱스</v>
      </c>
      <c r="K1611" s="37" t="str">
        <f t="shared" si="138"/>
        <v>A138360</v>
      </c>
    </row>
    <row r="1612" spans="1:11" x14ac:dyDescent="0.4">
      <c r="B1612" s="54" t="s">
        <v>3537</v>
      </c>
      <c r="C1612" s="37" t="s">
        <v>3538</v>
      </c>
      <c r="D1612" s="55" t="s">
        <v>5159</v>
      </c>
      <c r="E1612" s="56">
        <v>481.84</v>
      </c>
      <c r="F1612" s="55">
        <v>1.1399999999999999</v>
      </c>
      <c r="G1612" s="55"/>
      <c r="J1612" s="37" t="str">
        <f t="shared" si="137"/>
        <v>코오롱ENP</v>
      </c>
      <c r="K1612" s="37" t="str">
        <f t="shared" si="138"/>
        <v>A138490</v>
      </c>
    </row>
    <row r="1613" spans="1:11" x14ac:dyDescent="0.4">
      <c r="A1613" s="49"/>
      <c r="B1613" s="54" t="s">
        <v>508</v>
      </c>
      <c r="C1613" s="37" t="s">
        <v>509</v>
      </c>
      <c r="D1613" s="55" t="s">
        <v>820</v>
      </c>
      <c r="E1613" s="58">
        <v>364.28</v>
      </c>
      <c r="F1613" s="57">
        <v>10</v>
      </c>
      <c r="G1613" s="57"/>
      <c r="H1613" s="49"/>
      <c r="I1613" s="49" t="str">
        <f t="shared" ref="I1613:I1619" si="141">IF((G1613&gt;$G$8),E1613+ROW()/100000,"")</f>
        <v/>
      </c>
      <c r="J1613" s="37" t="str">
        <f t="shared" si="137"/>
        <v>나이벡</v>
      </c>
      <c r="K1613" s="37" t="str">
        <f t="shared" si="138"/>
        <v>A138610</v>
      </c>
    </row>
    <row r="1614" spans="1:11" x14ac:dyDescent="0.4">
      <c r="A1614" s="49"/>
      <c r="B1614" s="54" t="s">
        <v>125</v>
      </c>
      <c r="C1614" s="37" t="s">
        <v>126</v>
      </c>
      <c r="D1614" s="55" t="s">
        <v>805</v>
      </c>
      <c r="E1614" s="58">
        <v>6184.82</v>
      </c>
      <c r="F1614" s="57">
        <v>16.59</v>
      </c>
      <c r="G1614" s="57">
        <v>13</v>
      </c>
      <c r="H1614" s="49"/>
      <c r="I1614" s="49">
        <f t="shared" si="141"/>
        <v>6184.8361399999994</v>
      </c>
      <c r="J1614" s="37" t="str">
        <f t="shared" ref="J1614:J1677" si="142">C1614</f>
        <v>BNK금융지주</v>
      </c>
      <c r="K1614" s="37" t="str">
        <f t="shared" ref="K1614:K1677" si="143">B1614</f>
        <v>A138930</v>
      </c>
    </row>
    <row r="1615" spans="1:11" x14ac:dyDescent="0.4">
      <c r="A1615" s="49"/>
      <c r="B1615" s="54" t="s">
        <v>3539</v>
      </c>
      <c r="C1615" s="37" t="s">
        <v>3540</v>
      </c>
      <c r="D1615" s="55" t="s">
        <v>5159</v>
      </c>
      <c r="E1615" s="58">
        <v>24.25</v>
      </c>
      <c r="F1615" s="57">
        <v>0</v>
      </c>
      <c r="G1615" s="57"/>
      <c r="H1615" s="49"/>
      <c r="I1615" s="49" t="str">
        <f t="shared" si="141"/>
        <v/>
      </c>
      <c r="J1615" s="37" t="str">
        <f t="shared" si="142"/>
        <v>BF랩스</v>
      </c>
      <c r="K1615" s="37" t="str">
        <f t="shared" si="143"/>
        <v>A139050</v>
      </c>
    </row>
    <row r="1616" spans="1:11" x14ac:dyDescent="0.4">
      <c r="A1616" s="49"/>
      <c r="B1616" s="54" t="s">
        <v>3541</v>
      </c>
      <c r="C1616" s="37" t="s">
        <v>3542</v>
      </c>
      <c r="D1616" s="55" t="s">
        <v>805</v>
      </c>
      <c r="E1616" s="58">
        <v>2953.89</v>
      </c>
      <c r="F1616" s="57">
        <v>9.9600000000000009</v>
      </c>
      <c r="G1616" s="57">
        <v>14</v>
      </c>
      <c r="H1616" s="49"/>
      <c r="I1616" s="49">
        <f t="shared" si="141"/>
        <v>2953.90616</v>
      </c>
      <c r="J1616" s="37" t="str">
        <f t="shared" si="142"/>
        <v>iM금융지주</v>
      </c>
      <c r="K1616" s="37" t="str">
        <f t="shared" si="143"/>
        <v>A139130</v>
      </c>
    </row>
    <row r="1617" spans="1:11" x14ac:dyDescent="0.4">
      <c r="A1617" s="49"/>
      <c r="B1617" s="54" t="s">
        <v>198</v>
      </c>
      <c r="C1617" s="37" t="s">
        <v>199</v>
      </c>
      <c r="D1617" s="55" t="s">
        <v>805</v>
      </c>
      <c r="E1617" s="56">
        <v>2897.56</v>
      </c>
      <c r="F1617" s="55">
        <v>24.44</v>
      </c>
      <c r="G1617" s="55">
        <v>11</v>
      </c>
      <c r="I1617" s="49">
        <f t="shared" si="141"/>
        <v>2897.5761699999998</v>
      </c>
      <c r="J1617" s="37" t="str">
        <f t="shared" si="142"/>
        <v>이마트</v>
      </c>
      <c r="K1617" s="37" t="str">
        <f t="shared" si="143"/>
        <v>A139480</v>
      </c>
    </row>
    <row r="1618" spans="1:11" x14ac:dyDescent="0.4">
      <c r="A1618" s="49"/>
      <c r="B1618" s="54" t="s">
        <v>3543</v>
      </c>
      <c r="C1618" s="37" t="s">
        <v>3544</v>
      </c>
      <c r="D1618" s="55" t="s">
        <v>820</v>
      </c>
      <c r="E1618" s="58">
        <v>30.57</v>
      </c>
      <c r="F1618" s="57">
        <v>0.19</v>
      </c>
      <c r="G1618" s="57"/>
      <c r="H1618" s="49"/>
      <c r="I1618" s="49" t="str">
        <f t="shared" si="141"/>
        <v/>
      </c>
      <c r="J1618" s="37" t="str">
        <f t="shared" si="142"/>
        <v>키네마스터</v>
      </c>
      <c r="K1618" s="37" t="str">
        <f t="shared" si="143"/>
        <v>A139670</v>
      </c>
    </row>
    <row r="1619" spans="1:11" x14ac:dyDescent="0.4">
      <c r="A1619" s="49"/>
      <c r="B1619" s="54" t="s">
        <v>3545</v>
      </c>
      <c r="C1619" s="37" t="s">
        <v>3546</v>
      </c>
      <c r="D1619" s="55" t="s">
        <v>805</v>
      </c>
      <c r="E1619" s="58">
        <v>119.75</v>
      </c>
      <c r="F1619" s="57">
        <v>0.13</v>
      </c>
      <c r="G1619" s="57"/>
      <c r="H1619" s="49"/>
      <c r="I1619" s="49" t="str">
        <f t="shared" si="141"/>
        <v/>
      </c>
      <c r="J1619" s="37" t="str">
        <f t="shared" si="142"/>
        <v>아주스틸</v>
      </c>
      <c r="K1619" s="37" t="str">
        <f t="shared" si="143"/>
        <v>A139990</v>
      </c>
    </row>
    <row r="1620" spans="1:11" x14ac:dyDescent="0.4">
      <c r="B1620" s="54" t="s">
        <v>3547</v>
      </c>
      <c r="C1620" s="37" t="s">
        <v>3548</v>
      </c>
      <c r="D1620" s="55" t="s">
        <v>820</v>
      </c>
      <c r="E1620" s="56">
        <v>75.83</v>
      </c>
      <c r="F1620" s="55">
        <v>0.21</v>
      </c>
      <c r="G1620" s="55"/>
      <c r="J1620" s="37" t="str">
        <f t="shared" si="142"/>
        <v>서플러스글로벌</v>
      </c>
      <c r="K1620" s="37" t="str">
        <f t="shared" si="143"/>
        <v>A140070</v>
      </c>
    </row>
    <row r="1621" spans="1:11" x14ac:dyDescent="0.4">
      <c r="A1621" s="49"/>
      <c r="B1621" s="54" t="s">
        <v>601</v>
      </c>
      <c r="C1621" s="37" t="s">
        <v>602</v>
      </c>
      <c r="D1621" s="55" t="s">
        <v>820</v>
      </c>
      <c r="E1621" s="58">
        <v>4297.5600000000004</v>
      </c>
      <c r="F1621" s="57">
        <v>22.31</v>
      </c>
      <c r="G1621" s="57"/>
      <c r="H1621" s="49"/>
      <c r="I1621" s="49" t="str">
        <f>IF((G1621&gt;$G$8),E1621+ROW()/100000,"")</f>
        <v/>
      </c>
      <c r="J1621" s="37" t="str">
        <f t="shared" si="142"/>
        <v>메지온</v>
      </c>
      <c r="K1621" s="37" t="str">
        <f t="shared" si="143"/>
        <v>A140410</v>
      </c>
    </row>
    <row r="1622" spans="1:11" x14ac:dyDescent="0.4">
      <c r="A1622" s="49"/>
      <c r="B1622" s="54" t="s">
        <v>3549</v>
      </c>
      <c r="C1622" s="37" t="s">
        <v>3550</v>
      </c>
      <c r="D1622" s="55" t="s">
        <v>820</v>
      </c>
      <c r="E1622" s="58">
        <v>38.380000000000003</v>
      </c>
      <c r="F1622" s="57">
        <v>4.3099999999999996</v>
      </c>
      <c r="G1622" s="57"/>
      <c r="H1622" s="49"/>
      <c r="I1622" s="49" t="str">
        <f>IF((G1622&gt;$G$8),E1622+ROW()/100000,"")</f>
        <v/>
      </c>
      <c r="J1622" s="37" t="str">
        <f t="shared" si="142"/>
        <v>카티스</v>
      </c>
      <c r="K1622" s="37" t="str">
        <f t="shared" si="143"/>
        <v>A140430</v>
      </c>
    </row>
    <row r="1623" spans="1:11" x14ac:dyDescent="0.4">
      <c r="A1623" s="49"/>
      <c r="B1623" s="54" t="s">
        <v>3551</v>
      </c>
      <c r="C1623" s="37" t="s">
        <v>3552</v>
      </c>
      <c r="D1623" s="55" t="s">
        <v>820</v>
      </c>
      <c r="E1623" s="56">
        <v>46.23</v>
      </c>
      <c r="F1623" s="55">
        <v>0.05</v>
      </c>
      <c r="G1623" s="55"/>
      <c r="I1623" s="49" t="str">
        <f>IF((G1623&gt;$G$8),E1623+ROW()/100000,"")</f>
        <v/>
      </c>
      <c r="J1623" s="37" t="str">
        <f t="shared" si="142"/>
        <v>대창스틸</v>
      </c>
      <c r="K1623" s="37" t="str">
        <f t="shared" si="143"/>
        <v>A140520</v>
      </c>
    </row>
    <row r="1624" spans="1:11" x14ac:dyDescent="0.4">
      <c r="B1624" s="54" t="s">
        <v>3553</v>
      </c>
      <c r="C1624" s="37" t="s">
        <v>3554</v>
      </c>
      <c r="D1624" s="55" t="s">
        <v>820</v>
      </c>
      <c r="E1624" s="56">
        <v>267.07</v>
      </c>
      <c r="F1624" s="55">
        <v>10.98</v>
      </c>
      <c r="G1624" s="55"/>
      <c r="J1624" s="37" t="str">
        <f t="shared" si="142"/>
        <v>알에스오토메이션</v>
      </c>
      <c r="K1624" s="37" t="str">
        <f t="shared" si="143"/>
        <v>A140670</v>
      </c>
    </row>
    <row r="1625" spans="1:11" x14ac:dyDescent="0.4">
      <c r="A1625" s="49"/>
      <c r="B1625" s="54" t="s">
        <v>486</v>
      </c>
      <c r="C1625" s="37" t="s">
        <v>487</v>
      </c>
      <c r="D1625" s="55" t="s">
        <v>820</v>
      </c>
      <c r="E1625" s="58">
        <v>2018.48</v>
      </c>
      <c r="F1625" s="57">
        <v>11.27</v>
      </c>
      <c r="G1625" s="57">
        <v>11</v>
      </c>
      <c r="H1625" s="49"/>
      <c r="I1625" s="49">
        <f t="shared" ref="I1625:I1637" si="144">IF((G1625&gt;$G$8),E1625+ROW()/100000,"")</f>
        <v>2018.4962499999999</v>
      </c>
      <c r="J1625" s="37" t="str">
        <f t="shared" si="142"/>
        <v>파크시스템스</v>
      </c>
      <c r="K1625" s="37" t="str">
        <f t="shared" si="143"/>
        <v>A140860</v>
      </c>
    </row>
    <row r="1626" spans="1:11" x14ac:dyDescent="0.4">
      <c r="A1626" s="49"/>
      <c r="B1626" s="54" t="s">
        <v>3555</v>
      </c>
      <c r="C1626" s="37" t="s">
        <v>3556</v>
      </c>
      <c r="D1626" s="55" t="s">
        <v>820</v>
      </c>
      <c r="E1626" s="56">
        <v>116.91</v>
      </c>
      <c r="F1626" s="55">
        <v>0.71</v>
      </c>
      <c r="G1626" s="55"/>
      <c r="I1626" s="49" t="str">
        <f t="shared" si="144"/>
        <v/>
      </c>
      <c r="J1626" s="37" t="str">
        <f t="shared" si="142"/>
        <v>비아트론</v>
      </c>
      <c r="K1626" s="37" t="str">
        <f t="shared" si="143"/>
        <v>A141000</v>
      </c>
    </row>
    <row r="1627" spans="1:11" x14ac:dyDescent="0.4">
      <c r="A1627" s="49"/>
      <c r="B1627" s="54" t="s">
        <v>35</v>
      </c>
      <c r="C1627" s="37" t="s">
        <v>36</v>
      </c>
      <c r="D1627" s="55" t="s">
        <v>820</v>
      </c>
      <c r="E1627" s="59">
        <v>7018.2</v>
      </c>
      <c r="F1627" s="57">
        <v>76.44</v>
      </c>
      <c r="G1627" s="57">
        <v>3</v>
      </c>
      <c r="H1627" s="49"/>
      <c r="I1627" s="49">
        <f t="shared" si="144"/>
        <v>7018.2162699999999</v>
      </c>
      <c r="J1627" s="37" t="str">
        <f t="shared" si="142"/>
        <v>리가켐바이오</v>
      </c>
      <c r="K1627" s="37" t="str">
        <f t="shared" si="143"/>
        <v>A141080</v>
      </c>
    </row>
    <row r="1628" spans="1:11" x14ac:dyDescent="0.4">
      <c r="A1628" s="49"/>
      <c r="B1628" s="54" t="s">
        <v>3557</v>
      </c>
      <c r="C1628" s="37" t="s">
        <v>3558</v>
      </c>
      <c r="D1628" s="55" t="s">
        <v>820</v>
      </c>
      <c r="E1628" s="58">
        <v>127.53</v>
      </c>
      <c r="F1628" s="57">
        <v>2.63</v>
      </c>
      <c r="G1628" s="57"/>
      <c r="H1628" s="49"/>
      <c r="I1628" s="49" t="str">
        <f t="shared" si="144"/>
        <v/>
      </c>
      <c r="J1628" s="37" t="str">
        <f t="shared" si="142"/>
        <v>유니트론텍</v>
      </c>
      <c r="K1628" s="37" t="str">
        <f t="shared" si="143"/>
        <v>A142210</v>
      </c>
    </row>
    <row r="1629" spans="1:11" x14ac:dyDescent="0.4">
      <c r="A1629" s="49"/>
      <c r="B1629" s="54" t="s">
        <v>3559</v>
      </c>
      <c r="C1629" s="37" t="s">
        <v>3560</v>
      </c>
      <c r="D1629" s="55" t="s">
        <v>820</v>
      </c>
      <c r="E1629" s="58">
        <v>82.84</v>
      </c>
      <c r="F1629" s="57">
        <v>0.34</v>
      </c>
      <c r="G1629" s="57"/>
      <c r="H1629" s="49"/>
      <c r="I1629" s="49" t="str">
        <f t="shared" si="144"/>
        <v/>
      </c>
      <c r="J1629" s="37" t="str">
        <f t="shared" si="142"/>
        <v>녹십자엠에스</v>
      </c>
      <c r="K1629" s="37" t="str">
        <f t="shared" si="143"/>
        <v>A142280</v>
      </c>
    </row>
    <row r="1630" spans="1:11" x14ac:dyDescent="0.4">
      <c r="A1630" s="49"/>
      <c r="B1630" s="54" t="s">
        <v>3561</v>
      </c>
      <c r="C1630" s="37" t="s">
        <v>3562</v>
      </c>
      <c r="D1630" s="55" t="s">
        <v>820</v>
      </c>
      <c r="E1630" s="58">
        <v>30.28</v>
      </c>
      <c r="F1630" s="57">
        <v>0.86</v>
      </c>
      <c r="G1630" s="57"/>
      <c r="H1630" s="49"/>
      <c r="I1630" s="49" t="str">
        <f t="shared" si="144"/>
        <v/>
      </c>
      <c r="J1630" s="37" t="str">
        <f t="shared" si="142"/>
        <v>모아라이프플러스</v>
      </c>
      <c r="K1630" s="37" t="str">
        <f t="shared" si="143"/>
        <v>A142760</v>
      </c>
    </row>
    <row r="1631" spans="1:11" x14ac:dyDescent="0.4">
      <c r="A1631" s="49"/>
      <c r="B1631" s="54" t="s">
        <v>3563</v>
      </c>
      <c r="C1631" s="37" t="s">
        <v>3564</v>
      </c>
      <c r="D1631" s="55" t="s">
        <v>820</v>
      </c>
      <c r="E1631" s="58">
        <v>201.58</v>
      </c>
      <c r="F1631" s="57">
        <v>0.38</v>
      </c>
      <c r="G1631" s="57"/>
      <c r="H1631" s="49"/>
      <c r="I1631" s="49" t="str">
        <f t="shared" si="144"/>
        <v/>
      </c>
      <c r="J1631" s="37" t="str">
        <f t="shared" si="142"/>
        <v>아이디스</v>
      </c>
      <c r="K1631" s="37" t="str">
        <f t="shared" si="143"/>
        <v>A143160</v>
      </c>
    </row>
    <row r="1632" spans="1:11" x14ac:dyDescent="0.4">
      <c r="A1632" s="49"/>
      <c r="B1632" s="54" t="s">
        <v>3565</v>
      </c>
      <c r="C1632" s="37" t="s">
        <v>3566</v>
      </c>
      <c r="D1632" s="55" t="s">
        <v>805</v>
      </c>
      <c r="E1632" s="58">
        <v>25.38</v>
      </c>
      <c r="F1632" s="57">
        <v>0.15</v>
      </c>
      <c r="G1632" s="57"/>
      <c r="H1632" s="49"/>
      <c r="I1632" s="49" t="str">
        <f t="shared" si="144"/>
        <v/>
      </c>
      <c r="J1632" s="37" t="str">
        <f t="shared" si="142"/>
        <v>핸즈코퍼레이션</v>
      </c>
      <c r="K1632" s="37" t="str">
        <f t="shared" si="143"/>
        <v>A143210</v>
      </c>
    </row>
    <row r="1633" spans="1:11" x14ac:dyDescent="0.4">
      <c r="A1633" s="49"/>
      <c r="B1633" s="54" t="s">
        <v>3567</v>
      </c>
      <c r="C1633" s="37" t="s">
        <v>3568</v>
      </c>
      <c r="D1633" s="55" t="s">
        <v>820</v>
      </c>
      <c r="E1633" s="58">
        <v>166.74</v>
      </c>
      <c r="F1633" s="57">
        <v>0.39</v>
      </c>
      <c r="G1633" s="57"/>
      <c r="H1633" s="49"/>
      <c r="I1633" s="49" t="str">
        <f t="shared" si="144"/>
        <v/>
      </c>
      <c r="J1633" s="37" t="str">
        <f t="shared" si="142"/>
        <v>사람인</v>
      </c>
      <c r="K1633" s="37" t="str">
        <f t="shared" si="143"/>
        <v>A143240</v>
      </c>
    </row>
    <row r="1634" spans="1:11" x14ac:dyDescent="0.4">
      <c r="A1634" s="49"/>
      <c r="B1634" s="54" t="s">
        <v>3569</v>
      </c>
      <c r="C1634" s="37" t="s">
        <v>3570</v>
      </c>
      <c r="D1634" s="55" t="s">
        <v>820</v>
      </c>
      <c r="E1634" s="56">
        <v>53.61</v>
      </c>
      <c r="F1634" s="55">
        <v>0.26</v>
      </c>
      <c r="G1634" s="55"/>
      <c r="I1634" s="49" t="str">
        <f t="shared" si="144"/>
        <v/>
      </c>
      <c r="J1634" s="37" t="str">
        <f t="shared" si="142"/>
        <v>영우디에스피</v>
      </c>
      <c r="K1634" s="37" t="str">
        <f t="shared" si="143"/>
        <v>A143540</v>
      </c>
    </row>
    <row r="1635" spans="1:11" x14ac:dyDescent="0.4">
      <c r="A1635" s="49"/>
      <c r="B1635" s="54" t="s">
        <v>3571</v>
      </c>
      <c r="C1635" s="37" t="s">
        <v>3572</v>
      </c>
      <c r="D1635" s="55" t="s">
        <v>820</v>
      </c>
      <c r="E1635" s="56">
        <v>399.75</v>
      </c>
      <c r="F1635" s="55">
        <v>1.67</v>
      </c>
      <c r="G1635" s="55"/>
      <c r="I1635" s="49" t="str">
        <f t="shared" si="144"/>
        <v/>
      </c>
      <c r="J1635" s="37" t="str">
        <f t="shared" si="142"/>
        <v>지씨셀</v>
      </c>
      <c r="K1635" s="37" t="str">
        <f t="shared" si="143"/>
        <v>A144510</v>
      </c>
    </row>
    <row r="1636" spans="1:11" x14ac:dyDescent="0.4">
      <c r="A1636" s="49"/>
      <c r="B1636" s="54" t="s">
        <v>3573</v>
      </c>
      <c r="C1636" s="37" t="s">
        <v>3574</v>
      </c>
      <c r="D1636" s="55" t="s">
        <v>820</v>
      </c>
      <c r="E1636" s="56">
        <v>264.77999999999997</v>
      </c>
      <c r="F1636" s="55">
        <v>2.16</v>
      </c>
      <c r="G1636" s="55"/>
      <c r="I1636" s="49" t="str">
        <f t="shared" si="144"/>
        <v/>
      </c>
      <c r="J1636" s="37" t="str">
        <f t="shared" si="142"/>
        <v>뉴파워프라즈마</v>
      </c>
      <c r="K1636" s="37" t="str">
        <f t="shared" si="143"/>
        <v>A144960</v>
      </c>
    </row>
    <row r="1637" spans="1:11" x14ac:dyDescent="0.4">
      <c r="A1637" s="49"/>
      <c r="B1637" s="54" t="s">
        <v>55</v>
      </c>
      <c r="C1637" s="37" t="s">
        <v>56</v>
      </c>
      <c r="D1637" s="55" t="s">
        <v>820</v>
      </c>
      <c r="E1637" s="58">
        <v>3322.09</v>
      </c>
      <c r="F1637" s="57">
        <v>21.37</v>
      </c>
      <c r="G1637" s="57">
        <v>10</v>
      </c>
      <c r="H1637" s="49"/>
      <c r="I1637" s="49">
        <f t="shared" si="144"/>
        <v>3322.10637</v>
      </c>
      <c r="J1637" s="37" t="str">
        <f t="shared" si="142"/>
        <v>휴젤</v>
      </c>
      <c r="K1637" s="37" t="str">
        <f t="shared" si="143"/>
        <v>A145020</v>
      </c>
    </row>
    <row r="1638" spans="1:11" x14ac:dyDescent="0.4">
      <c r="B1638" s="54" t="s">
        <v>3575</v>
      </c>
      <c r="C1638" s="37" t="s">
        <v>3576</v>
      </c>
      <c r="D1638" s="55" t="s">
        <v>820</v>
      </c>
      <c r="E1638" s="56">
        <v>65.010000000000005</v>
      </c>
      <c r="F1638" s="55">
        <v>0.75</v>
      </c>
      <c r="G1638" s="55"/>
      <c r="J1638" s="37" t="str">
        <f t="shared" si="142"/>
        <v>노브랜드</v>
      </c>
      <c r="K1638" s="37" t="str">
        <f t="shared" si="143"/>
        <v>A145170</v>
      </c>
    </row>
    <row r="1639" spans="1:11" x14ac:dyDescent="0.4">
      <c r="A1639" s="49"/>
      <c r="B1639" s="54" t="s">
        <v>3577</v>
      </c>
      <c r="C1639" s="37" t="s">
        <v>3578</v>
      </c>
      <c r="D1639" s="55" t="s">
        <v>805</v>
      </c>
      <c r="E1639" s="56">
        <v>15.63</v>
      </c>
      <c r="F1639" s="55">
        <v>0.4</v>
      </c>
      <c r="G1639" s="55"/>
      <c r="I1639" s="49" t="str">
        <f t="shared" ref="I1639:I1644" si="145">IF((G1639&gt;$G$8),E1639+ROW()/100000,"")</f>
        <v/>
      </c>
      <c r="J1639" s="37" t="str">
        <f t="shared" si="142"/>
        <v>다이나믹디자인</v>
      </c>
      <c r="K1639" s="37" t="str">
        <f t="shared" si="143"/>
        <v>A145210</v>
      </c>
    </row>
    <row r="1640" spans="1:11" x14ac:dyDescent="0.4">
      <c r="A1640" s="49"/>
      <c r="B1640" s="54" t="s">
        <v>156</v>
      </c>
      <c r="C1640" s="37" t="s">
        <v>157</v>
      </c>
      <c r="D1640" s="55" t="s">
        <v>805</v>
      </c>
      <c r="E1640" s="58">
        <v>517.82000000000005</v>
      </c>
      <c r="F1640" s="57">
        <v>2.23</v>
      </c>
      <c r="G1640" s="57">
        <v>2</v>
      </c>
      <c r="H1640" s="49"/>
      <c r="I1640" s="49">
        <f t="shared" si="145"/>
        <v>517.83640000000003</v>
      </c>
      <c r="J1640" s="37" t="str">
        <f t="shared" si="142"/>
        <v>덴티움</v>
      </c>
      <c r="K1640" s="37" t="str">
        <f t="shared" si="143"/>
        <v>A145720</v>
      </c>
    </row>
    <row r="1641" spans="1:11" x14ac:dyDescent="0.4">
      <c r="A1641" s="49"/>
      <c r="B1641" s="54" t="s">
        <v>3579</v>
      </c>
      <c r="C1641" s="37" t="s">
        <v>3580</v>
      </c>
      <c r="D1641" s="55" t="s">
        <v>805</v>
      </c>
      <c r="E1641" s="58">
        <v>527.02</v>
      </c>
      <c r="F1641" s="57">
        <v>0.87</v>
      </c>
      <c r="G1641" s="57"/>
      <c r="H1641" s="49"/>
      <c r="I1641" s="49" t="str">
        <f t="shared" si="145"/>
        <v/>
      </c>
      <c r="J1641" s="37" t="str">
        <f t="shared" si="142"/>
        <v>삼양사</v>
      </c>
      <c r="K1641" s="37" t="str">
        <f t="shared" si="143"/>
        <v>A145990</v>
      </c>
    </row>
    <row r="1642" spans="1:11" x14ac:dyDescent="0.4">
      <c r="A1642" s="49"/>
      <c r="B1642" s="54" t="s">
        <v>3581</v>
      </c>
      <c r="C1642" s="37" t="s">
        <v>3582</v>
      </c>
      <c r="D1642" s="55" t="s">
        <v>820</v>
      </c>
      <c r="E1642" s="58">
        <v>38.79</v>
      </c>
      <c r="F1642" s="57">
        <v>1.04</v>
      </c>
      <c r="G1642" s="57">
        <v>1</v>
      </c>
      <c r="H1642" s="49"/>
      <c r="I1642" s="49">
        <f t="shared" si="145"/>
        <v>38.806419999999996</v>
      </c>
      <c r="J1642" s="37" t="str">
        <f t="shared" si="142"/>
        <v>율촌</v>
      </c>
      <c r="K1642" s="37" t="str">
        <f t="shared" si="143"/>
        <v>A146060</v>
      </c>
    </row>
    <row r="1643" spans="1:11" x14ac:dyDescent="0.4">
      <c r="A1643" s="49"/>
      <c r="B1643" s="54" t="s">
        <v>3583</v>
      </c>
      <c r="C1643" s="37" t="s">
        <v>3584</v>
      </c>
      <c r="D1643" s="55" t="s">
        <v>820</v>
      </c>
      <c r="E1643" s="58">
        <v>199.52</v>
      </c>
      <c r="F1643" s="57">
        <v>1.24</v>
      </c>
      <c r="G1643" s="57">
        <v>1</v>
      </c>
      <c r="H1643" s="49"/>
      <c r="I1643" s="49">
        <f t="shared" si="145"/>
        <v>199.53643000000002</v>
      </c>
      <c r="J1643" s="37" t="str">
        <f t="shared" si="142"/>
        <v>비씨엔씨</v>
      </c>
      <c r="K1643" s="37" t="str">
        <f t="shared" si="143"/>
        <v>A146320</v>
      </c>
    </row>
    <row r="1644" spans="1:11" x14ac:dyDescent="0.4">
      <c r="A1644" s="49"/>
      <c r="B1644" s="54" t="s">
        <v>3585</v>
      </c>
      <c r="C1644" s="37" t="s">
        <v>3586</v>
      </c>
      <c r="D1644" s="55" t="s">
        <v>820</v>
      </c>
      <c r="E1644" s="58">
        <v>48.04</v>
      </c>
      <c r="F1644" s="57">
        <v>0.28999999999999998</v>
      </c>
      <c r="G1644" s="57"/>
      <c r="H1644" s="49"/>
      <c r="I1644" s="49" t="str">
        <f t="shared" si="145"/>
        <v/>
      </c>
      <c r="J1644" s="37" t="str">
        <f t="shared" si="142"/>
        <v>피엠티</v>
      </c>
      <c r="K1644" s="37" t="str">
        <f t="shared" si="143"/>
        <v>A147760</v>
      </c>
    </row>
    <row r="1645" spans="1:11" x14ac:dyDescent="0.4">
      <c r="B1645" s="54" t="s">
        <v>3587</v>
      </c>
      <c r="C1645" s="37" t="s">
        <v>3588</v>
      </c>
      <c r="D1645" s="55" t="s">
        <v>820</v>
      </c>
      <c r="E1645" s="56">
        <v>156</v>
      </c>
      <c r="F1645" s="55">
        <v>3.83</v>
      </c>
      <c r="G1645" s="55"/>
      <c r="J1645" s="37" t="str">
        <f t="shared" si="142"/>
        <v>제룡산업</v>
      </c>
      <c r="K1645" s="37" t="str">
        <f t="shared" si="143"/>
        <v>A147830</v>
      </c>
    </row>
    <row r="1646" spans="1:11" x14ac:dyDescent="0.4">
      <c r="A1646" s="49"/>
      <c r="B1646" s="54" t="s">
        <v>3589</v>
      </c>
      <c r="C1646" s="37" t="s">
        <v>3590</v>
      </c>
      <c r="D1646" s="55" t="s">
        <v>820</v>
      </c>
      <c r="E1646" s="58">
        <v>169.54</v>
      </c>
      <c r="F1646" s="57">
        <v>0.98</v>
      </c>
      <c r="G1646" s="57">
        <v>1</v>
      </c>
      <c r="H1646" s="49"/>
      <c r="I1646" s="49">
        <f t="shared" ref="I1646:I1688" si="146">IF((G1646&gt;$G$8),E1646+ROW()/100000,"")</f>
        <v>169.55645999999999</v>
      </c>
      <c r="J1646" s="37" t="str">
        <f t="shared" si="142"/>
        <v>세경하이테크</v>
      </c>
      <c r="K1646" s="37" t="str">
        <f t="shared" si="143"/>
        <v>A148150</v>
      </c>
    </row>
    <row r="1647" spans="1:11" x14ac:dyDescent="0.4">
      <c r="A1647" s="49"/>
      <c r="B1647" s="54" t="s">
        <v>3591</v>
      </c>
      <c r="C1647" s="37" t="s">
        <v>3592</v>
      </c>
      <c r="D1647" s="55" t="s">
        <v>820</v>
      </c>
      <c r="E1647" s="56">
        <v>24.09</v>
      </c>
      <c r="F1647" s="55">
        <v>1.01</v>
      </c>
      <c r="G1647" s="55"/>
      <c r="I1647" s="49" t="str">
        <f t="shared" si="146"/>
        <v/>
      </c>
      <c r="J1647" s="37" t="str">
        <f t="shared" si="142"/>
        <v>알엔투테크놀로지</v>
      </c>
      <c r="K1647" s="37" t="str">
        <f t="shared" si="143"/>
        <v>A148250</v>
      </c>
    </row>
    <row r="1648" spans="1:11" x14ac:dyDescent="0.4">
      <c r="A1648" s="49"/>
      <c r="B1648" s="54" t="s">
        <v>3593</v>
      </c>
      <c r="C1648" s="37" t="s">
        <v>3594</v>
      </c>
      <c r="D1648" s="55" t="s">
        <v>820</v>
      </c>
      <c r="E1648" s="58">
        <v>41.85</v>
      </c>
      <c r="F1648" s="57">
        <v>1.03</v>
      </c>
      <c r="G1648" s="57"/>
      <c r="H1648" s="49"/>
      <c r="I1648" s="49" t="str">
        <f t="shared" si="146"/>
        <v/>
      </c>
      <c r="J1648" s="37" t="str">
        <f t="shared" si="142"/>
        <v>비큐AI</v>
      </c>
      <c r="K1648" s="37" t="str">
        <f t="shared" si="143"/>
        <v>A148780</v>
      </c>
    </row>
    <row r="1649" spans="1:11" x14ac:dyDescent="0.4">
      <c r="A1649" s="49"/>
      <c r="B1649" s="54" t="s">
        <v>3595</v>
      </c>
      <c r="C1649" s="37" t="s">
        <v>3596</v>
      </c>
      <c r="D1649" s="55" t="s">
        <v>820</v>
      </c>
      <c r="E1649" s="58">
        <v>30.53</v>
      </c>
      <c r="F1649" s="57">
        <v>0.04</v>
      </c>
      <c r="G1649" s="57"/>
      <c r="H1649" s="49"/>
      <c r="I1649" s="49" t="str">
        <f t="shared" si="146"/>
        <v/>
      </c>
      <c r="J1649" s="37" t="str">
        <f t="shared" si="142"/>
        <v>에이치와이티씨</v>
      </c>
      <c r="K1649" s="37" t="str">
        <f t="shared" si="143"/>
        <v>A148930</v>
      </c>
    </row>
    <row r="1650" spans="1:11" x14ac:dyDescent="0.4">
      <c r="A1650" s="49"/>
      <c r="B1650" s="54" t="s">
        <v>3597</v>
      </c>
      <c r="C1650" s="37" t="s">
        <v>3598</v>
      </c>
      <c r="D1650" s="55" t="s">
        <v>820</v>
      </c>
      <c r="E1650" s="58">
        <v>147.19999999999999</v>
      </c>
      <c r="F1650" s="57">
        <v>0.53</v>
      </c>
      <c r="G1650" s="57">
        <v>1</v>
      </c>
      <c r="H1650" s="49"/>
      <c r="I1650" s="49">
        <f t="shared" si="146"/>
        <v>147.2165</v>
      </c>
      <c r="J1650" s="37" t="str">
        <f t="shared" si="142"/>
        <v>아바텍</v>
      </c>
      <c r="K1650" s="37" t="str">
        <f t="shared" si="143"/>
        <v>A149950</v>
      </c>
    </row>
    <row r="1651" spans="1:11" x14ac:dyDescent="0.4">
      <c r="A1651" s="49"/>
      <c r="B1651" s="54" t="s">
        <v>3599</v>
      </c>
      <c r="C1651" s="37" t="s">
        <v>3600</v>
      </c>
      <c r="D1651" s="55" t="s">
        <v>820</v>
      </c>
      <c r="E1651" s="58">
        <v>107.88</v>
      </c>
      <c r="F1651" s="57">
        <v>0</v>
      </c>
      <c r="G1651" s="57"/>
      <c r="H1651" s="49"/>
      <c r="I1651" s="49" t="str">
        <f t="shared" si="146"/>
        <v/>
      </c>
      <c r="J1651" s="37" t="str">
        <f t="shared" si="142"/>
        <v>하이로닉</v>
      </c>
      <c r="K1651" s="37" t="str">
        <f t="shared" si="143"/>
        <v>A149980</v>
      </c>
    </row>
    <row r="1652" spans="1:11" x14ac:dyDescent="0.4">
      <c r="A1652" s="49"/>
      <c r="B1652" s="54" t="s">
        <v>3601</v>
      </c>
      <c r="C1652" s="37" t="s">
        <v>5211</v>
      </c>
      <c r="D1652" s="55" t="s">
        <v>820</v>
      </c>
      <c r="E1652" s="56">
        <v>43.42</v>
      </c>
      <c r="F1652" s="55">
        <v>0.31</v>
      </c>
      <c r="G1652" s="55"/>
      <c r="I1652" s="49" t="str">
        <f t="shared" si="146"/>
        <v/>
      </c>
      <c r="J1652" s="37" t="str">
        <f t="shared" si="142"/>
        <v>파수AI</v>
      </c>
      <c r="K1652" s="37" t="str">
        <f t="shared" si="143"/>
        <v>A150900</v>
      </c>
    </row>
    <row r="1653" spans="1:11" x14ac:dyDescent="0.4">
      <c r="A1653" s="49"/>
      <c r="B1653" s="54" t="s">
        <v>3602</v>
      </c>
      <c r="C1653" s="37" t="s">
        <v>3603</v>
      </c>
      <c r="D1653" s="55" t="s">
        <v>820</v>
      </c>
      <c r="E1653" s="58">
        <v>311.8</v>
      </c>
      <c r="F1653" s="57">
        <v>0.92</v>
      </c>
      <c r="G1653" s="57"/>
      <c r="H1653" s="49"/>
      <c r="I1653" s="49" t="str">
        <f t="shared" si="146"/>
        <v/>
      </c>
      <c r="J1653" s="37" t="str">
        <f t="shared" si="142"/>
        <v>KG에코솔루션</v>
      </c>
      <c r="K1653" s="37" t="str">
        <f t="shared" si="143"/>
        <v>A151860</v>
      </c>
    </row>
    <row r="1654" spans="1:11" x14ac:dyDescent="0.4">
      <c r="A1654" s="49"/>
      <c r="B1654" s="54" t="s">
        <v>3604</v>
      </c>
      <c r="C1654" s="37" t="s">
        <v>3605</v>
      </c>
      <c r="D1654" s="55" t="s">
        <v>820</v>
      </c>
      <c r="E1654" s="58">
        <v>49.56</v>
      </c>
      <c r="F1654" s="57">
        <v>0.06</v>
      </c>
      <c r="G1654" s="57"/>
      <c r="H1654" s="49"/>
      <c r="I1654" s="49" t="str">
        <f t="shared" si="146"/>
        <v/>
      </c>
      <c r="J1654" s="37" t="str">
        <f t="shared" si="142"/>
        <v>네이블</v>
      </c>
      <c r="K1654" s="37" t="str">
        <f t="shared" si="143"/>
        <v>A153460</v>
      </c>
    </row>
    <row r="1655" spans="1:11" x14ac:dyDescent="0.4">
      <c r="A1655" s="49"/>
      <c r="B1655" s="54" t="s">
        <v>3606</v>
      </c>
      <c r="C1655" s="37" t="s">
        <v>5197</v>
      </c>
      <c r="D1655" s="55" t="s">
        <v>820</v>
      </c>
      <c r="E1655" s="58">
        <v>42.16</v>
      </c>
      <c r="F1655" s="57">
        <v>0.06</v>
      </c>
      <c r="G1655" s="57"/>
      <c r="H1655" s="49"/>
      <c r="I1655" s="49" t="str">
        <f t="shared" si="146"/>
        <v/>
      </c>
      <c r="J1655" s="37" t="str">
        <f t="shared" si="142"/>
        <v>우리이앤엘하루틴</v>
      </c>
      <c r="K1655" s="37" t="str">
        <f t="shared" si="143"/>
        <v>A153490</v>
      </c>
    </row>
    <row r="1656" spans="1:11" x14ac:dyDescent="0.4">
      <c r="A1656" s="49"/>
      <c r="B1656" s="54" t="s">
        <v>3607</v>
      </c>
      <c r="C1656" s="37" t="s">
        <v>3608</v>
      </c>
      <c r="D1656" s="55" t="s">
        <v>820</v>
      </c>
      <c r="E1656" s="58">
        <v>81.42</v>
      </c>
      <c r="F1656" s="57">
        <v>0.16</v>
      </c>
      <c r="G1656" s="57"/>
      <c r="H1656" s="49"/>
      <c r="I1656" s="49" t="str">
        <f t="shared" si="146"/>
        <v/>
      </c>
      <c r="J1656" s="37" t="str">
        <f t="shared" si="142"/>
        <v>옵티팜</v>
      </c>
      <c r="K1656" s="37" t="str">
        <f t="shared" si="143"/>
        <v>A153710</v>
      </c>
    </row>
    <row r="1657" spans="1:11" x14ac:dyDescent="0.4">
      <c r="A1657" s="49"/>
      <c r="B1657" s="54" t="s">
        <v>3609</v>
      </c>
      <c r="C1657" s="37" t="s">
        <v>3610</v>
      </c>
      <c r="D1657" s="55" t="s">
        <v>820</v>
      </c>
      <c r="E1657" s="56">
        <v>26.17</v>
      </c>
      <c r="F1657" s="55">
        <v>0.48</v>
      </c>
      <c r="G1657" s="55"/>
      <c r="I1657" s="49" t="str">
        <f t="shared" si="146"/>
        <v/>
      </c>
      <c r="J1657" s="37" t="str">
        <f t="shared" si="142"/>
        <v>아시아종묘</v>
      </c>
      <c r="K1657" s="37" t="str">
        <f t="shared" si="143"/>
        <v>A154030</v>
      </c>
    </row>
    <row r="1658" spans="1:11" x14ac:dyDescent="0.4">
      <c r="A1658" s="49"/>
      <c r="B1658" s="54" t="s">
        <v>3611</v>
      </c>
      <c r="C1658" s="37" t="s">
        <v>3612</v>
      </c>
      <c r="D1658" s="55" t="s">
        <v>820</v>
      </c>
      <c r="E1658" s="58">
        <v>21.5</v>
      </c>
      <c r="F1658" s="57">
        <v>0.06</v>
      </c>
      <c r="G1658" s="57"/>
      <c r="H1658" s="49"/>
      <c r="I1658" s="49" t="str">
        <f t="shared" si="146"/>
        <v/>
      </c>
      <c r="J1658" s="37" t="str">
        <f t="shared" si="142"/>
        <v>다산솔루에타</v>
      </c>
      <c r="K1658" s="37" t="str">
        <f t="shared" si="143"/>
        <v>A154040</v>
      </c>
    </row>
    <row r="1659" spans="1:11" x14ac:dyDescent="0.4">
      <c r="A1659" s="49"/>
      <c r="B1659" s="54" t="s">
        <v>3613</v>
      </c>
      <c r="C1659" s="37" t="s">
        <v>3614</v>
      </c>
      <c r="D1659" s="55" t="s">
        <v>820</v>
      </c>
      <c r="E1659" s="58">
        <v>74.98</v>
      </c>
      <c r="F1659" s="57">
        <v>0.22</v>
      </c>
      <c r="G1659" s="57"/>
      <c r="H1659" s="49"/>
      <c r="I1659" s="49" t="str">
        <f t="shared" si="146"/>
        <v/>
      </c>
      <c r="J1659" s="37" t="str">
        <f t="shared" si="142"/>
        <v>와이엠씨</v>
      </c>
      <c r="K1659" s="37" t="str">
        <f t="shared" si="143"/>
        <v>A155650</v>
      </c>
    </row>
    <row r="1660" spans="1:11" x14ac:dyDescent="0.4">
      <c r="A1660" s="49"/>
      <c r="B1660" s="54" t="s">
        <v>3615</v>
      </c>
      <c r="C1660" s="37" t="s">
        <v>3616</v>
      </c>
      <c r="D1660" s="55" t="s">
        <v>805</v>
      </c>
      <c r="E1660" s="56">
        <v>64.400000000000006</v>
      </c>
      <c r="F1660" s="55">
        <v>0.08</v>
      </c>
      <c r="G1660" s="55"/>
      <c r="I1660" s="49" t="str">
        <f t="shared" si="146"/>
        <v/>
      </c>
      <c r="J1660" s="37" t="str">
        <f t="shared" si="142"/>
        <v>DSR</v>
      </c>
      <c r="K1660" s="37" t="str">
        <f t="shared" si="143"/>
        <v>A155660</v>
      </c>
    </row>
    <row r="1661" spans="1:11" x14ac:dyDescent="0.4">
      <c r="A1661" s="49"/>
      <c r="B1661" s="54" t="s">
        <v>3617</v>
      </c>
      <c r="C1661" s="37" t="s">
        <v>3618</v>
      </c>
      <c r="D1661" s="55" t="s">
        <v>820</v>
      </c>
      <c r="E1661" s="58">
        <v>259.27</v>
      </c>
      <c r="F1661" s="57">
        <v>5.0999999999999996</v>
      </c>
      <c r="G1661" s="57"/>
      <c r="H1661" s="49"/>
      <c r="I1661" s="49" t="str">
        <f t="shared" si="146"/>
        <v/>
      </c>
      <c r="J1661" s="37" t="str">
        <f t="shared" si="142"/>
        <v>엘앤케이바이오</v>
      </c>
      <c r="K1661" s="37" t="str">
        <f t="shared" si="143"/>
        <v>A156100</v>
      </c>
    </row>
    <row r="1662" spans="1:11" x14ac:dyDescent="0.4">
      <c r="A1662" s="49"/>
      <c r="B1662" s="54" t="s">
        <v>3619</v>
      </c>
      <c r="C1662" s="37" t="s">
        <v>3620</v>
      </c>
      <c r="D1662" s="55" t="s">
        <v>820</v>
      </c>
      <c r="E1662" s="59">
        <v>175.29</v>
      </c>
      <c r="F1662" s="57">
        <v>5.34</v>
      </c>
      <c r="G1662" s="57"/>
      <c r="H1662" s="49"/>
      <c r="I1662" s="49" t="str">
        <f t="shared" si="146"/>
        <v/>
      </c>
      <c r="J1662" s="37" t="str">
        <f t="shared" si="142"/>
        <v>아톤</v>
      </c>
      <c r="K1662" s="37" t="str">
        <f t="shared" si="143"/>
        <v>A158430</v>
      </c>
    </row>
    <row r="1663" spans="1:11" x14ac:dyDescent="0.4">
      <c r="A1663" s="49"/>
      <c r="B1663" s="54" t="s">
        <v>3621</v>
      </c>
      <c r="C1663" s="37" t="s">
        <v>3622</v>
      </c>
      <c r="D1663" s="55" t="s">
        <v>820</v>
      </c>
      <c r="E1663" s="58">
        <v>78.41</v>
      </c>
      <c r="F1663" s="57">
        <v>1.32</v>
      </c>
      <c r="G1663" s="57"/>
      <c r="H1663" s="49"/>
      <c r="I1663" s="49" t="str">
        <f t="shared" si="146"/>
        <v/>
      </c>
      <c r="J1663" s="37" t="str">
        <f t="shared" si="142"/>
        <v>아스플로</v>
      </c>
      <c r="K1663" s="37" t="str">
        <f t="shared" si="143"/>
        <v>A159010</v>
      </c>
    </row>
    <row r="1664" spans="1:11" x14ac:dyDescent="0.4">
      <c r="A1664" s="49"/>
      <c r="B1664" s="54" t="s">
        <v>3623</v>
      </c>
      <c r="C1664" s="37" t="s">
        <v>3624</v>
      </c>
      <c r="D1664" s="55" t="s">
        <v>820</v>
      </c>
      <c r="E1664" s="58">
        <v>80.13</v>
      </c>
      <c r="F1664" s="57">
        <v>0.27</v>
      </c>
      <c r="G1664" s="57"/>
      <c r="H1664" s="49"/>
      <c r="I1664" s="49" t="str">
        <f t="shared" si="146"/>
        <v/>
      </c>
      <c r="J1664" s="37" t="str">
        <f t="shared" si="142"/>
        <v>제로투세븐</v>
      </c>
      <c r="K1664" s="37" t="str">
        <f t="shared" si="143"/>
        <v>A159580</v>
      </c>
    </row>
    <row r="1665" spans="1:11" x14ac:dyDescent="0.4">
      <c r="A1665" s="49"/>
      <c r="B1665" s="54" t="s">
        <v>3625</v>
      </c>
      <c r="C1665" s="37" t="s">
        <v>3626</v>
      </c>
      <c r="D1665" s="55" t="s">
        <v>820</v>
      </c>
      <c r="E1665" s="58">
        <v>32.71</v>
      </c>
      <c r="F1665" s="57">
        <v>0.86</v>
      </c>
      <c r="G1665" s="57"/>
      <c r="H1665" s="49"/>
      <c r="I1665" s="49" t="str">
        <f t="shared" si="146"/>
        <v/>
      </c>
      <c r="J1665" s="37" t="str">
        <f t="shared" si="142"/>
        <v>에코글로우</v>
      </c>
      <c r="K1665" s="37" t="str">
        <f t="shared" si="143"/>
        <v>A159910</v>
      </c>
    </row>
    <row r="1666" spans="1:11" x14ac:dyDescent="0.4">
      <c r="A1666" s="49"/>
      <c r="B1666" s="54" t="s">
        <v>266</v>
      </c>
      <c r="C1666" s="37" t="s">
        <v>267</v>
      </c>
      <c r="D1666" s="55" t="s">
        <v>820</v>
      </c>
      <c r="E1666" s="58">
        <v>2131.27</v>
      </c>
      <c r="F1666" s="57">
        <v>26.38</v>
      </c>
      <c r="G1666" s="57"/>
      <c r="H1666" s="49"/>
      <c r="I1666" s="49" t="str">
        <f t="shared" si="146"/>
        <v/>
      </c>
      <c r="J1666" s="37" t="str">
        <f t="shared" si="142"/>
        <v>하이젠알앤엠</v>
      </c>
      <c r="K1666" s="37" t="str">
        <f t="shared" si="143"/>
        <v>A160190</v>
      </c>
    </row>
    <row r="1667" spans="1:11" x14ac:dyDescent="0.4">
      <c r="A1667" s="49"/>
      <c r="B1667" s="54" t="s">
        <v>3627</v>
      </c>
      <c r="C1667" s="37" t="s">
        <v>3628</v>
      </c>
      <c r="D1667" s="55" t="s">
        <v>820</v>
      </c>
      <c r="E1667" s="56">
        <v>54.33</v>
      </c>
      <c r="F1667" s="55">
        <v>0.36</v>
      </c>
      <c r="G1667" s="55"/>
      <c r="I1667" s="49" t="str">
        <f t="shared" si="146"/>
        <v/>
      </c>
      <c r="J1667" s="37" t="str">
        <f t="shared" si="142"/>
        <v>NEW</v>
      </c>
      <c r="K1667" s="37" t="str">
        <f t="shared" si="143"/>
        <v>A160550</v>
      </c>
    </row>
    <row r="1668" spans="1:11" x14ac:dyDescent="0.4">
      <c r="A1668" s="49"/>
      <c r="B1668" s="54" t="s">
        <v>3629</v>
      </c>
      <c r="C1668" s="37" t="s">
        <v>3630</v>
      </c>
      <c r="D1668" s="55" t="s">
        <v>820</v>
      </c>
      <c r="E1668" s="56">
        <v>251.8</v>
      </c>
      <c r="F1668" s="55">
        <v>2.87</v>
      </c>
      <c r="G1668" s="55"/>
      <c r="I1668" s="49" t="str">
        <f t="shared" si="146"/>
        <v/>
      </c>
      <c r="J1668" s="37" t="str">
        <f t="shared" si="142"/>
        <v>싸이맥스</v>
      </c>
      <c r="K1668" s="37" t="str">
        <f t="shared" si="143"/>
        <v>A160980</v>
      </c>
    </row>
    <row r="1669" spans="1:11" x14ac:dyDescent="0.4">
      <c r="A1669" s="49"/>
      <c r="B1669" s="54" t="s">
        <v>3631</v>
      </c>
      <c r="C1669" s="37" t="s">
        <v>3632</v>
      </c>
      <c r="D1669" s="55" t="s">
        <v>805</v>
      </c>
      <c r="E1669" s="58">
        <v>509.35</v>
      </c>
      <c r="F1669" s="57">
        <v>5.63</v>
      </c>
      <c r="G1669" s="57"/>
      <c r="H1669" s="49"/>
      <c r="I1669" s="49" t="str">
        <f t="shared" si="146"/>
        <v/>
      </c>
      <c r="J1669" s="37" t="str">
        <f t="shared" si="142"/>
        <v>애경케미칼</v>
      </c>
      <c r="K1669" s="37" t="str">
        <f t="shared" si="143"/>
        <v>A161000</v>
      </c>
    </row>
    <row r="1670" spans="1:11" x14ac:dyDescent="0.4">
      <c r="A1670" s="49"/>
      <c r="B1670" s="54" t="s">
        <v>3633</v>
      </c>
      <c r="C1670" s="37" t="s">
        <v>3634</v>
      </c>
      <c r="D1670" s="55" t="s">
        <v>805</v>
      </c>
      <c r="E1670" s="58">
        <v>9030.49</v>
      </c>
      <c r="F1670" s="57">
        <v>20.04</v>
      </c>
      <c r="G1670" s="57">
        <v>16</v>
      </c>
      <c r="H1670" s="49"/>
      <c r="I1670" s="49">
        <f t="shared" si="146"/>
        <v>9030.5066999999999</v>
      </c>
      <c r="J1670" s="37" t="str">
        <f t="shared" si="142"/>
        <v>한국타이어앤테크놀로지</v>
      </c>
      <c r="K1670" s="37" t="str">
        <f t="shared" si="143"/>
        <v>A161390</v>
      </c>
    </row>
    <row r="1671" spans="1:11" x14ac:dyDescent="0.4">
      <c r="A1671" s="49"/>
      <c r="B1671" s="54" t="s">
        <v>3635</v>
      </c>
      <c r="C1671" s="37" t="s">
        <v>3636</v>
      </c>
      <c r="D1671" s="55" t="s">
        <v>820</v>
      </c>
      <c r="E1671" s="58">
        <v>1230.98</v>
      </c>
      <c r="F1671" s="57">
        <v>24.4</v>
      </c>
      <c r="G1671" s="57"/>
      <c r="H1671" s="49"/>
      <c r="I1671" s="49" t="str">
        <f t="shared" si="146"/>
        <v/>
      </c>
      <c r="J1671" s="37" t="str">
        <f t="shared" si="142"/>
        <v>필옵틱스</v>
      </c>
      <c r="K1671" s="37" t="str">
        <f t="shared" si="143"/>
        <v>A161580</v>
      </c>
    </row>
    <row r="1672" spans="1:11" x14ac:dyDescent="0.4">
      <c r="A1672" s="49"/>
      <c r="B1672" s="54" t="s">
        <v>3637</v>
      </c>
      <c r="C1672" s="37" t="s">
        <v>3638</v>
      </c>
      <c r="D1672" s="55" t="s">
        <v>805</v>
      </c>
      <c r="E1672" s="58">
        <v>1801.07</v>
      </c>
      <c r="F1672" s="57">
        <v>13.54</v>
      </c>
      <c r="G1672" s="57">
        <v>14</v>
      </c>
      <c r="H1672" s="49"/>
      <c r="I1672" s="49">
        <f t="shared" si="146"/>
        <v>1801.08672</v>
      </c>
      <c r="J1672" s="37" t="str">
        <f t="shared" si="142"/>
        <v>한국콜마</v>
      </c>
      <c r="K1672" s="37" t="str">
        <f t="shared" si="143"/>
        <v>A161890</v>
      </c>
    </row>
    <row r="1673" spans="1:11" x14ac:dyDescent="0.4">
      <c r="A1673" s="49"/>
      <c r="B1673" s="54" t="s">
        <v>3639</v>
      </c>
      <c r="C1673" s="37" t="s">
        <v>3640</v>
      </c>
      <c r="D1673" s="55" t="s">
        <v>820</v>
      </c>
      <c r="E1673" s="58">
        <v>71.62</v>
      </c>
      <c r="F1673" s="57">
        <v>0.15</v>
      </c>
      <c r="G1673" s="57"/>
      <c r="H1673" s="49"/>
      <c r="I1673" s="49" t="str">
        <f t="shared" si="146"/>
        <v/>
      </c>
      <c r="J1673" s="37" t="str">
        <f t="shared" si="142"/>
        <v>신스틸</v>
      </c>
      <c r="K1673" s="37" t="str">
        <f t="shared" si="143"/>
        <v>A162300</v>
      </c>
    </row>
    <row r="1674" spans="1:11" x14ac:dyDescent="0.4">
      <c r="A1674" s="49"/>
      <c r="B1674" s="54" t="s">
        <v>432</v>
      </c>
      <c r="C1674" s="37" t="s">
        <v>433</v>
      </c>
      <c r="D1674" s="55" t="s">
        <v>820</v>
      </c>
      <c r="E1674" s="58">
        <v>97.06</v>
      </c>
      <c r="F1674" s="57">
        <v>1.21</v>
      </c>
      <c r="G1674" s="57"/>
      <c r="H1674" s="49"/>
      <c r="I1674" s="49" t="str">
        <f t="shared" si="146"/>
        <v/>
      </c>
      <c r="J1674" s="37" t="str">
        <f t="shared" si="142"/>
        <v>에어레인</v>
      </c>
      <c r="K1674" s="37" t="str">
        <f t="shared" si="143"/>
        <v>A163280</v>
      </c>
    </row>
    <row r="1675" spans="1:11" x14ac:dyDescent="0.4">
      <c r="A1675" s="49"/>
      <c r="B1675" s="54" t="s">
        <v>3641</v>
      </c>
      <c r="C1675" s="37" t="s">
        <v>3642</v>
      </c>
      <c r="D1675" s="55" t="s">
        <v>805</v>
      </c>
      <c r="E1675" s="56">
        <v>98.41</v>
      </c>
      <c r="F1675" s="55">
        <v>0.42</v>
      </c>
      <c r="G1675" s="55"/>
      <c r="I1675" s="49" t="str">
        <f t="shared" si="146"/>
        <v/>
      </c>
      <c r="J1675" s="37" t="str">
        <f t="shared" si="142"/>
        <v>동일고무벨트</v>
      </c>
      <c r="K1675" s="37" t="str">
        <f t="shared" si="143"/>
        <v>A163560</v>
      </c>
    </row>
    <row r="1676" spans="1:11" x14ac:dyDescent="0.4">
      <c r="A1676" s="49"/>
      <c r="B1676" s="54" t="s">
        <v>3643</v>
      </c>
      <c r="C1676" s="37" t="s">
        <v>3644</v>
      </c>
      <c r="D1676" s="55" t="s">
        <v>820</v>
      </c>
      <c r="E1676" s="58">
        <v>101.69</v>
      </c>
      <c r="F1676" s="57">
        <v>2.89</v>
      </c>
      <c r="G1676" s="57">
        <v>1</v>
      </c>
      <c r="H1676" s="49"/>
      <c r="I1676" s="49">
        <f t="shared" si="146"/>
        <v>101.70676</v>
      </c>
      <c r="J1676" s="37" t="str">
        <f t="shared" si="142"/>
        <v>핑거</v>
      </c>
      <c r="K1676" s="37" t="str">
        <f t="shared" si="143"/>
        <v>A163730</v>
      </c>
    </row>
    <row r="1677" spans="1:11" x14ac:dyDescent="0.4">
      <c r="A1677" s="49"/>
      <c r="B1677" s="54" t="s">
        <v>3645</v>
      </c>
      <c r="C1677" s="37" t="s">
        <v>3646</v>
      </c>
      <c r="D1677" s="55" t="s">
        <v>820</v>
      </c>
      <c r="E1677" s="56">
        <v>1234.1300000000001</v>
      </c>
      <c r="F1677" s="55">
        <v>13.07</v>
      </c>
      <c r="G1677" s="55">
        <v>4</v>
      </c>
      <c r="I1677" s="49">
        <f t="shared" si="146"/>
        <v>1234.1467700000001</v>
      </c>
      <c r="J1677" s="37" t="str">
        <f t="shared" si="142"/>
        <v>하나머티리얼즈</v>
      </c>
      <c r="K1677" s="37" t="str">
        <f t="shared" si="143"/>
        <v>A166090</v>
      </c>
    </row>
    <row r="1678" spans="1:11" x14ac:dyDescent="0.4">
      <c r="A1678" s="49"/>
      <c r="B1678" s="54" t="s">
        <v>3647</v>
      </c>
      <c r="C1678" s="37" t="s">
        <v>3648</v>
      </c>
      <c r="D1678" s="55" t="s">
        <v>820</v>
      </c>
      <c r="E1678" s="56">
        <v>171.04</v>
      </c>
      <c r="F1678" s="55">
        <v>2.2200000000000002</v>
      </c>
      <c r="G1678" s="55"/>
      <c r="I1678" s="49" t="str">
        <f t="shared" si="146"/>
        <v/>
      </c>
      <c r="J1678" s="37" t="str">
        <f t="shared" ref="J1678:J1741" si="147">C1678</f>
        <v>코아스템켐온</v>
      </c>
      <c r="K1678" s="37" t="str">
        <f t="shared" ref="K1678:K1741" si="148">B1678</f>
        <v>A166480</v>
      </c>
    </row>
    <row r="1679" spans="1:11" x14ac:dyDescent="0.4">
      <c r="A1679" s="49"/>
      <c r="B1679" s="54" t="s">
        <v>3649</v>
      </c>
      <c r="C1679" s="37" t="s">
        <v>3650</v>
      </c>
      <c r="D1679" s="55" t="s">
        <v>820</v>
      </c>
      <c r="E1679" s="56">
        <v>87.33</v>
      </c>
      <c r="F1679" s="55">
        <v>0.42</v>
      </c>
      <c r="G1679" s="55"/>
      <c r="I1679" s="49" t="str">
        <f t="shared" si="146"/>
        <v/>
      </c>
      <c r="J1679" s="37" t="str">
        <f t="shared" si="147"/>
        <v>내츄럴엔도텍</v>
      </c>
      <c r="K1679" s="37" t="str">
        <f t="shared" si="148"/>
        <v>A168330</v>
      </c>
    </row>
    <row r="1680" spans="1:11" x14ac:dyDescent="0.4">
      <c r="A1680" s="49"/>
      <c r="B1680" s="54" t="s">
        <v>3651</v>
      </c>
      <c r="C1680" s="37" t="s">
        <v>3652</v>
      </c>
      <c r="D1680" s="55" t="s">
        <v>820</v>
      </c>
      <c r="E1680" s="58">
        <v>585.42999999999995</v>
      </c>
      <c r="F1680" s="57">
        <v>4.1500000000000004</v>
      </c>
      <c r="G1680" s="57">
        <v>2</v>
      </c>
      <c r="H1680" s="49"/>
      <c r="I1680" s="49">
        <f t="shared" si="146"/>
        <v>585.44679999999994</v>
      </c>
      <c r="J1680" s="37" t="str">
        <f t="shared" si="147"/>
        <v>펨트론</v>
      </c>
      <c r="K1680" s="37" t="str">
        <f t="shared" si="148"/>
        <v>A168360</v>
      </c>
    </row>
    <row r="1681" spans="1:11" x14ac:dyDescent="0.4">
      <c r="A1681" s="49"/>
      <c r="B1681" s="54" t="s">
        <v>3653</v>
      </c>
      <c r="C1681" s="37" t="s">
        <v>3654</v>
      </c>
      <c r="D1681" s="55" t="s">
        <v>820</v>
      </c>
      <c r="E1681" s="58">
        <v>34.770000000000003</v>
      </c>
      <c r="F1681" s="57">
        <v>0.02</v>
      </c>
      <c r="G1681" s="57"/>
      <c r="H1681" s="49"/>
      <c r="I1681" s="49" t="str">
        <f t="shared" si="146"/>
        <v/>
      </c>
      <c r="J1681" s="37" t="str">
        <f t="shared" si="147"/>
        <v>엠브레인</v>
      </c>
      <c r="K1681" s="37" t="str">
        <f t="shared" si="148"/>
        <v>A169330</v>
      </c>
    </row>
    <row r="1682" spans="1:11" x14ac:dyDescent="0.4">
      <c r="A1682" s="49"/>
      <c r="B1682" s="54" t="s">
        <v>3655</v>
      </c>
      <c r="C1682" s="37" t="s">
        <v>3656</v>
      </c>
      <c r="D1682" s="55" t="s">
        <v>820</v>
      </c>
      <c r="E1682" s="58">
        <v>100.94</v>
      </c>
      <c r="F1682" s="57">
        <v>1.58</v>
      </c>
      <c r="G1682" s="57"/>
      <c r="H1682" s="49"/>
      <c r="I1682" s="49" t="str">
        <f t="shared" si="146"/>
        <v/>
      </c>
      <c r="J1682" s="37" t="str">
        <f t="shared" si="147"/>
        <v>현대공업</v>
      </c>
      <c r="K1682" s="37" t="str">
        <f t="shared" si="148"/>
        <v>A170030</v>
      </c>
    </row>
    <row r="1683" spans="1:11" x14ac:dyDescent="0.4">
      <c r="A1683" s="49"/>
      <c r="B1683" s="54" t="s">
        <v>3657</v>
      </c>
      <c r="C1683" s="37" t="s">
        <v>3658</v>
      </c>
      <c r="D1683" s="55" t="s">
        <v>820</v>
      </c>
      <c r="E1683" s="59">
        <v>55.98</v>
      </c>
      <c r="F1683" s="57">
        <v>1.83</v>
      </c>
      <c r="G1683" s="57"/>
      <c r="H1683" s="49"/>
      <c r="I1683" s="49" t="str">
        <f t="shared" si="146"/>
        <v/>
      </c>
      <c r="J1683" s="37" t="str">
        <f t="shared" si="147"/>
        <v>파이오링크</v>
      </c>
      <c r="K1683" s="37" t="str">
        <f t="shared" si="148"/>
        <v>A170790</v>
      </c>
    </row>
    <row r="1684" spans="1:11" x14ac:dyDescent="0.4">
      <c r="A1684" s="49"/>
      <c r="B1684" s="54" t="s">
        <v>3659</v>
      </c>
      <c r="C1684" s="37" t="s">
        <v>3660</v>
      </c>
      <c r="D1684" s="55" t="s">
        <v>805</v>
      </c>
      <c r="E1684" s="56">
        <v>489.14</v>
      </c>
      <c r="F1684" s="55">
        <v>1.26</v>
      </c>
      <c r="G1684" s="55">
        <v>5</v>
      </c>
      <c r="I1684" s="49">
        <f t="shared" si="146"/>
        <v>489.15683999999999</v>
      </c>
      <c r="J1684" s="37" t="str">
        <f t="shared" si="147"/>
        <v>동아에스티</v>
      </c>
      <c r="K1684" s="37" t="str">
        <f t="shared" si="148"/>
        <v>A170900</v>
      </c>
    </row>
    <row r="1685" spans="1:11" x14ac:dyDescent="0.4">
      <c r="A1685" s="49"/>
      <c r="B1685" s="54" t="s">
        <v>3661</v>
      </c>
      <c r="C1685" s="37" t="s">
        <v>3662</v>
      </c>
      <c r="D1685" s="55" t="s">
        <v>820</v>
      </c>
      <c r="E1685" s="58">
        <v>245.62</v>
      </c>
      <c r="F1685" s="57">
        <v>6.1</v>
      </c>
      <c r="G1685" s="57"/>
      <c r="H1685" s="49"/>
      <c r="I1685" s="49" t="str">
        <f t="shared" si="146"/>
        <v/>
      </c>
      <c r="J1685" s="37" t="str">
        <f t="shared" si="147"/>
        <v>엘티씨</v>
      </c>
      <c r="K1685" s="37" t="str">
        <f t="shared" si="148"/>
        <v>A170920</v>
      </c>
    </row>
    <row r="1686" spans="1:11" x14ac:dyDescent="0.4">
      <c r="A1686" s="49"/>
      <c r="B1686" s="54" t="s">
        <v>3663</v>
      </c>
      <c r="C1686" s="37" t="s">
        <v>3664</v>
      </c>
      <c r="D1686" s="55" t="s">
        <v>820</v>
      </c>
      <c r="E1686" s="58">
        <v>52.33</v>
      </c>
      <c r="F1686" s="57">
        <v>0.85</v>
      </c>
      <c r="G1686" s="57"/>
      <c r="H1686" s="49"/>
      <c r="I1686" s="49" t="str">
        <f t="shared" si="146"/>
        <v/>
      </c>
      <c r="J1686" s="37" t="str">
        <f t="shared" si="147"/>
        <v>램테크놀러지</v>
      </c>
      <c r="K1686" s="37" t="str">
        <f t="shared" si="148"/>
        <v>A171010</v>
      </c>
    </row>
    <row r="1687" spans="1:11" x14ac:dyDescent="0.4">
      <c r="A1687" s="49"/>
      <c r="B1687" s="54" t="s">
        <v>733</v>
      </c>
      <c r="C1687" s="37" t="s">
        <v>734</v>
      </c>
      <c r="D1687" s="55" t="s">
        <v>820</v>
      </c>
      <c r="E1687" s="58">
        <v>1299.4100000000001</v>
      </c>
      <c r="F1687" s="57">
        <v>9.4</v>
      </c>
      <c r="G1687" s="57">
        <v>6</v>
      </c>
      <c r="H1687" s="49"/>
      <c r="I1687" s="49">
        <f t="shared" si="146"/>
        <v>1299.42687</v>
      </c>
      <c r="J1687" s="37" t="str">
        <f t="shared" si="147"/>
        <v>선익시스템</v>
      </c>
      <c r="K1687" s="37" t="str">
        <f t="shared" si="148"/>
        <v>A171090</v>
      </c>
    </row>
    <row r="1688" spans="1:11" x14ac:dyDescent="0.4">
      <c r="A1688" s="49"/>
      <c r="B1688" s="54" t="s">
        <v>3665</v>
      </c>
      <c r="C1688" s="37" t="s">
        <v>3666</v>
      </c>
      <c r="D1688" s="55" t="s">
        <v>820</v>
      </c>
      <c r="E1688" s="58">
        <v>77.55</v>
      </c>
      <c r="F1688" s="57">
        <v>0.12</v>
      </c>
      <c r="G1688" s="57"/>
      <c r="H1688" s="49"/>
      <c r="I1688" s="49" t="str">
        <f t="shared" si="146"/>
        <v/>
      </c>
      <c r="J1688" s="37" t="str">
        <f t="shared" si="147"/>
        <v>라이온켐텍</v>
      </c>
      <c r="K1688" s="37" t="str">
        <f t="shared" si="148"/>
        <v>A171120</v>
      </c>
    </row>
    <row r="1689" spans="1:11" x14ac:dyDescent="0.4">
      <c r="A1689" s="49"/>
      <c r="B1689" s="54" t="s">
        <v>3667</v>
      </c>
      <c r="C1689" s="37" t="s">
        <v>3668</v>
      </c>
      <c r="D1689" s="55" t="s">
        <v>820</v>
      </c>
      <c r="E1689" s="56">
        <v>118.54</v>
      </c>
      <c r="F1689" s="55">
        <v>2.46</v>
      </c>
      <c r="G1689" s="55"/>
      <c r="J1689" s="37" t="str">
        <f t="shared" si="147"/>
        <v>에이엘티</v>
      </c>
      <c r="K1689" s="37" t="str">
        <f t="shared" si="148"/>
        <v>A172670</v>
      </c>
    </row>
    <row r="1690" spans="1:11" x14ac:dyDescent="0.4">
      <c r="A1690" s="49"/>
      <c r="B1690" s="54" t="s">
        <v>3669</v>
      </c>
      <c r="C1690" s="37" t="s">
        <v>3670</v>
      </c>
      <c r="D1690" s="55" t="s">
        <v>820</v>
      </c>
      <c r="E1690" s="58">
        <v>94.72</v>
      </c>
      <c r="F1690" s="57">
        <v>0.49</v>
      </c>
      <c r="G1690" s="57"/>
      <c r="H1690" s="49"/>
      <c r="I1690" s="49" t="str">
        <f t="shared" ref="I1690:I1703" si="149">IF((G1690&gt;$G$8),E1690+ROW()/100000,"")</f>
        <v/>
      </c>
      <c r="J1690" s="37" t="str">
        <f t="shared" si="147"/>
        <v>오파스넷</v>
      </c>
      <c r="K1690" s="37" t="str">
        <f t="shared" si="148"/>
        <v>A173130</v>
      </c>
    </row>
    <row r="1691" spans="1:11" x14ac:dyDescent="0.4">
      <c r="A1691" s="49"/>
      <c r="B1691" s="54" t="s">
        <v>3671</v>
      </c>
      <c r="C1691" s="37" t="s">
        <v>3672</v>
      </c>
      <c r="D1691" s="55" t="s">
        <v>820</v>
      </c>
      <c r="E1691" s="58">
        <v>54.72</v>
      </c>
      <c r="F1691" s="57">
        <v>0.05</v>
      </c>
      <c r="G1691" s="57"/>
      <c r="H1691" s="49"/>
      <c r="I1691" s="49" t="str">
        <f t="shared" si="149"/>
        <v/>
      </c>
      <c r="J1691" s="37" t="str">
        <f t="shared" si="147"/>
        <v>에프엔씨엔터</v>
      </c>
      <c r="K1691" s="37" t="str">
        <f t="shared" si="148"/>
        <v>A173940</v>
      </c>
    </row>
    <row r="1692" spans="1:11" x14ac:dyDescent="0.4">
      <c r="A1692" s="49"/>
      <c r="B1692" s="54" t="s">
        <v>563</v>
      </c>
      <c r="C1692" s="37" t="s">
        <v>564</v>
      </c>
      <c r="D1692" s="55" t="s">
        <v>820</v>
      </c>
      <c r="E1692" s="58">
        <v>1231.4000000000001</v>
      </c>
      <c r="F1692" s="57">
        <v>12.86</v>
      </c>
      <c r="G1692" s="57"/>
      <c r="H1692" s="49"/>
      <c r="I1692" s="49" t="str">
        <f t="shared" si="149"/>
        <v/>
      </c>
      <c r="J1692" s="37" t="str">
        <f t="shared" si="147"/>
        <v>앱클론</v>
      </c>
      <c r="K1692" s="37" t="str">
        <f t="shared" si="148"/>
        <v>A174900</v>
      </c>
    </row>
    <row r="1693" spans="1:11" x14ac:dyDescent="0.4">
      <c r="A1693" s="49"/>
      <c r="B1693" s="54" t="s">
        <v>3673</v>
      </c>
      <c r="C1693" s="37" t="s">
        <v>3674</v>
      </c>
      <c r="D1693" s="55" t="s">
        <v>820</v>
      </c>
      <c r="E1693" s="56">
        <v>92.42</v>
      </c>
      <c r="F1693" s="55">
        <v>0.4</v>
      </c>
      <c r="G1693" s="55"/>
      <c r="I1693" s="49" t="str">
        <f t="shared" si="149"/>
        <v/>
      </c>
      <c r="J1693" s="37" t="str">
        <f t="shared" si="147"/>
        <v>휴먼테크놀로지</v>
      </c>
      <c r="K1693" s="37" t="str">
        <f t="shared" si="148"/>
        <v>A175140</v>
      </c>
    </row>
    <row r="1694" spans="1:11" x14ac:dyDescent="0.4">
      <c r="A1694" s="49"/>
      <c r="B1694" s="54" t="s">
        <v>3675</v>
      </c>
      <c r="C1694" s="37" t="s">
        <v>3676</v>
      </c>
      <c r="D1694" s="55" t="s">
        <v>820</v>
      </c>
      <c r="E1694" s="58">
        <v>81.5</v>
      </c>
      <c r="F1694" s="57">
        <v>0</v>
      </c>
      <c r="G1694" s="57"/>
      <c r="H1694" s="49"/>
      <c r="I1694" s="49" t="str">
        <f t="shared" si="149"/>
        <v/>
      </c>
      <c r="J1694" s="37" t="str">
        <f t="shared" si="147"/>
        <v>아이큐어</v>
      </c>
      <c r="K1694" s="37" t="str">
        <f t="shared" si="148"/>
        <v>A175250</v>
      </c>
    </row>
    <row r="1695" spans="1:11" x14ac:dyDescent="0.4">
      <c r="A1695" s="49"/>
      <c r="B1695" s="54" t="s">
        <v>123</v>
      </c>
      <c r="C1695" s="37" t="s">
        <v>124</v>
      </c>
      <c r="D1695" s="55" t="s">
        <v>805</v>
      </c>
      <c r="E1695" s="56">
        <v>5977.05</v>
      </c>
      <c r="F1695" s="55">
        <v>12.89</v>
      </c>
      <c r="G1695" s="55">
        <v>14</v>
      </c>
      <c r="I1695" s="49">
        <f t="shared" si="149"/>
        <v>5977.0669500000004</v>
      </c>
      <c r="J1695" s="37" t="str">
        <f t="shared" si="147"/>
        <v>JB금융지주</v>
      </c>
      <c r="K1695" s="37" t="str">
        <f t="shared" si="148"/>
        <v>A175330</v>
      </c>
    </row>
    <row r="1696" spans="1:11" x14ac:dyDescent="0.4">
      <c r="A1696" s="49"/>
      <c r="B1696" s="54" t="s">
        <v>3677</v>
      </c>
      <c r="C1696" s="37" t="s">
        <v>3678</v>
      </c>
      <c r="D1696" s="55" t="s">
        <v>820</v>
      </c>
      <c r="E1696" s="58">
        <v>300.2</v>
      </c>
      <c r="F1696" s="57">
        <v>0.88</v>
      </c>
      <c r="G1696" s="57">
        <v>1</v>
      </c>
      <c r="H1696" s="49"/>
      <c r="I1696" s="49">
        <f t="shared" si="149"/>
        <v>300.21695999999997</v>
      </c>
      <c r="J1696" s="37" t="str">
        <f t="shared" si="147"/>
        <v>듀켐바이오</v>
      </c>
      <c r="K1696" s="37" t="str">
        <f t="shared" si="148"/>
        <v>A176750</v>
      </c>
    </row>
    <row r="1697" spans="1:11" x14ac:dyDescent="0.4">
      <c r="A1697" s="49"/>
      <c r="B1697" s="54" t="s">
        <v>3679</v>
      </c>
      <c r="C1697" s="37" t="s">
        <v>3680</v>
      </c>
      <c r="D1697" s="55" t="s">
        <v>820</v>
      </c>
      <c r="E1697" s="56">
        <v>20.93</v>
      </c>
      <c r="F1697" s="55">
        <v>2.11</v>
      </c>
      <c r="G1697" s="55"/>
      <c r="I1697" s="49" t="str">
        <f t="shared" si="149"/>
        <v/>
      </c>
      <c r="J1697" s="37" t="str">
        <f t="shared" si="147"/>
        <v>베셀</v>
      </c>
      <c r="K1697" s="37" t="str">
        <f t="shared" si="148"/>
        <v>A177350</v>
      </c>
    </row>
    <row r="1698" spans="1:11" x14ac:dyDescent="0.4">
      <c r="A1698" s="49"/>
      <c r="B1698" s="54" t="s">
        <v>3681</v>
      </c>
      <c r="C1698" s="37" t="s">
        <v>3682</v>
      </c>
      <c r="D1698" s="55" t="s">
        <v>820</v>
      </c>
      <c r="E1698" s="58">
        <v>38.049999999999997</v>
      </c>
      <c r="F1698" s="57">
        <v>0.18</v>
      </c>
      <c r="G1698" s="57"/>
      <c r="H1698" s="49"/>
      <c r="I1698" s="49" t="str">
        <f t="shared" si="149"/>
        <v/>
      </c>
      <c r="J1698" s="37" t="str">
        <f t="shared" si="147"/>
        <v>파버나인</v>
      </c>
      <c r="K1698" s="37" t="str">
        <f t="shared" si="148"/>
        <v>A177830</v>
      </c>
    </row>
    <row r="1699" spans="1:11" x14ac:dyDescent="0.4">
      <c r="A1699" s="49"/>
      <c r="B1699" s="54" t="s">
        <v>3683</v>
      </c>
      <c r="C1699" s="37" t="s">
        <v>3684</v>
      </c>
      <c r="D1699" s="55" t="s">
        <v>820</v>
      </c>
      <c r="E1699" s="58">
        <v>59.91</v>
      </c>
      <c r="F1699" s="57">
        <v>2.1800000000000002</v>
      </c>
      <c r="G1699" s="57">
        <v>1</v>
      </c>
      <c r="H1699" s="49"/>
      <c r="I1699" s="49">
        <f t="shared" si="149"/>
        <v>59.926989999999996</v>
      </c>
      <c r="J1699" s="37" t="str">
        <f t="shared" si="147"/>
        <v>쓰리에이로직스</v>
      </c>
      <c r="K1699" s="37" t="str">
        <f t="shared" si="148"/>
        <v>A177900</v>
      </c>
    </row>
    <row r="1700" spans="1:11" x14ac:dyDescent="0.4">
      <c r="A1700" s="49"/>
      <c r="B1700" s="54" t="s">
        <v>434</v>
      </c>
      <c r="C1700" s="37" t="s">
        <v>435</v>
      </c>
      <c r="D1700" s="55" t="s">
        <v>820</v>
      </c>
      <c r="E1700" s="56">
        <v>2758.74</v>
      </c>
      <c r="F1700" s="55">
        <v>25.41</v>
      </c>
      <c r="G1700" s="55">
        <v>2</v>
      </c>
      <c r="I1700" s="49">
        <f t="shared" si="149"/>
        <v>2758.7569999999996</v>
      </c>
      <c r="J1700" s="37" t="str">
        <f t="shared" si="147"/>
        <v>서진시스템</v>
      </c>
      <c r="K1700" s="37" t="str">
        <f t="shared" si="148"/>
        <v>A178320</v>
      </c>
    </row>
    <row r="1701" spans="1:11" x14ac:dyDescent="0.4">
      <c r="A1701" s="49"/>
      <c r="B1701" s="54" t="s">
        <v>3685</v>
      </c>
      <c r="C1701" s="37" t="s">
        <v>3686</v>
      </c>
      <c r="D1701" s="55" t="s">
        <v>820</v>
      </c>
      <c r="E1701" s="58">
        <v>50.05</v>
      </c>
      <c r="F1701" s="57">
        <v>0.1</v>
      </c>
      <c r="G1701" s="57"/>
      <c r="H1701" s="49"/>
      <c r="I1701" s="49" t="str">
        <f t="shared" si="149"/>
        <v/>
      </c>
      <c r="J1701" s="37" t="str">
        <f t="shared" si="147"/>
        <v>일월지엠엘</v>
      </c>
      <c r="K1701" s="37" t="str">
        <f t="shared" si="148"/>
        <v>A178780</v>
      </c>
    </row>
    <row r="1702" spans="1:11" x14ac:dyDescent="0.4">
      <c r="A1702" s="49"/>
      <c r="B1702" s="54" t="s">
        <v>3687</v>
      </c>
      <c r="C1702" s="37" t="s">
        <v>3688</v>
      </c>
      <c r="D1702" s="55" t="s">
        <v>805</v>
      </c>
      <c r="E1702" s="56">
        <v>588.79</v>
      </c>
      <c r="F1702" s="55">
        <v>2.6</v>
      </c>
      <c r="G1702" s="55">
        <v>4</v>
      </c>
      <c r="I1702" s="49">
        <f t="shared" si="149"/>
        <v>588.80701999999997</v>
      </c>
      <c r="J1702" s="37" t="str">
        <f t="shared" si="147"/>
        <v>PI첨단소재</v>
      </c>
      <c r="K1702" s="37" t="str">
        <f t="shared" si="148"/>
        <v>A178920</v>
      </c>
    </row>
    <row r="1703" spans="1:11" x14ac:dyDescent="0.4">
      <c r="A1703" s="49"/>
      <c r="B1703" s="54" t="s">
        <v>3689</v>
      </c>
      <c r="C1703" s="37" t="s">
        <v>3690</v>
      </c>
      <c r="D1703" s="55" t="s">
        <v>820</v>
      </c>
      <c r="E1703" s="58">
        <v>226.88</v>
      </c>
      <c r="F1703" s="57">
        <v>0.79</v>
      </c>
      <c r="G1703" s="57"/>
      <c r="H1703" s="49"/>
      <c r="I1703" s="49" t="str">
        <f t="shared" si="149"/>
        <v/>
      </c>
      <c r="J1703" s="37" t="str">
        <f t="shared" si="147"/>
        <v>엠아이텍</v>
      </c>
      <c r="K1703" s="37" t="str">
        <f t="shared" si="148"/>
        <v>A179290</v>
      </c>
    </row>
    <row r="1704" spans="1:11" x14ac:dyDescent="0.4">
      <c r="B1704" s="54" t="s">
        <v>3691</v>
      </c>
      <c r="C1704" s="37" t="s">
        <v>3692</v>
      </c>
      <c r="D1704" s="37" t="s">
        <v>820</v>
      </c>
      <c r="E1704" s="61">
        <v>30.07</v>
      </c>
      <c r="F1704" s="37">
        <v>1.33</v>
      </c>
      <c r="J1704" s="37" t="str">
        <f t="shared" si="147"/>
        <v>애드바이오텍</v>
      </c>
      <c r="K1704" s="37" t="str">
        <f t="shared" si="148"/>
        <v>A179530</v>
      </c>
    </row>
    <row r="1705" spans="1:11" x14ac:dyDescent="0.4">
      <c r="A1705" s="49"/>
      <c r="B1705" s="54" t="s">
        <v>3693</v>
      </c>
      <c r="C1705" s="37" t="s">
        <v>3694</v>
      </c>
      <c r="D1705" s="55" t="s">
        <v>820</v>
      </c>
      <c r="E1705" s="58">
        <v>447.26</v>
      </c>
      <c r="F1705" s="57">
        <v>2.78</v>
      </c>
      <c r="G1705" s="57"/>
      <c r="H1705" s="49"/>
      <c r="I1705" s="49" t="str">
        <f>IF((G1705&gt;$G$8),E1705+ROW()/100000,"")</f>
        <v/>
      </c>
      <c r="J1705" s="37" t="str">
        <f t="shared" si="147"/>
        <v>유티아이</v>
      </c>
      <c r="K1705" s="37" t="str">
        <f t="shared" si="148"/>
        <v>A179900</v>
      </c>
    </row>
    <row r="1706" spans="1:11" x14ac:dyDescent="0.4">
      <c r="A1706" s="49"/>
      <c r="B1706" s="54" t="s">
        <v>3695</v>
      </c>
      <c r="C1706" s="37" t="s">
        <v>3696</v>
      </c>
      <c r="D1706" s="55" t="s">
        <v>820</v>
      </c>
      <c r="E1706" s="58">
        <v>453.76</v>
      </c>
      <c r="F1706" s="57">
        <v>1.2</v>
      </c>
      <c r="G1706" s="57"/>
      <c r="H1706" s="49"/>
      <c r="I1706" s="49" t="str">
        <f>IF((G1706&gt;$G$8),E1706+ROW()/100000,"")</f>
        <v/>
      </c>
      <c r="J1706" s="37" t="str">
        <f t="shared" si="147"/>
        <v>DXVX</v>
      </c>
      <c r="K1706" s="37" t="str">
        <f t="shared" si="148"/>
        <v>A180400</v>
      </c>
    </row>
    <row r="1707" spans="1:11" x14ac:dyDescent="0.4">
      <c r="B1707" s="54" t="s">
        <v>599</v>
      </c>
      <c r="C1707" s="37" t="s">
        <v>600</v>
      </c>
      <c r="D1707" s="55" t="s">
        <v>805</v>
      </c>
      <c r="E1707" s="56">
        <v>10434.94</v>
      </c>
      <c r="F1707" s="55">
        <v>12.37</v>
      </c>
      <c r="G1707" s="55"/>
      <c r="J1707" s="37" t="str">
        <f t="shared" si="147"/>
        <v>한진칼</v>
      </c>
      <c r="K1707" s="37" t="str">
        <f t="shared" si="148"/>
        <v>A180640</v>
      </c>
    </row>
    <row r="1708" spans="1:11" x14ac:dyDescent="0.4">
      <c r="A1708" s="49"/>
      <c r="B1708" s="54" t="s">
        <v>3697</v>
      </c>
      <c r="C1708" s="37" t="s">
        <v>3698</v>
      </c>
      <c r="D1708" s="55" t="s">
        <v>805</v>
      </c>
      <c r="E1708" s="58">
        <v>1241.3399999999999</v>
      </c>
      <c r="F1708" s="57">
        <v>3.36</v>
      </c>
      <c r="G1708" s="57">
        <v>8</v>
      </c>
      <c r="H1708" s="49"/>
      <c r="I1708" s="49">
        <f>IF((G1708&gt;$G$8),E1708+ROW()/100000,"")</f>
        <v>1241.35708</v>
      </c>
      <c r="J1708" s="37" t="str">
        <f t="shared" si="147"/>
        <v>NHN</v>
      </c>
      <c r="K1708" s="37" t="str">
        <f t="shared" si="148"/>
        <v>A181710</v>
      </c>
    </row>
    <row r="1709" spans="1:11" x14ac:dyDescent="0.4">
      <c r="B1709" s="54" t="s">
        <v>3699</v>
      </c>
      <c r="C1709" s="37" t="s">
        <v>3700</v>
      </c>
      <c r="D1709" s="55" t="s">
        <v>820</v>
      </c>
      <c r="E1709" s="56">
        <v>183.64</v>
      </c>
      <c r="F1709" s="55">
        <v>0.84</v>
      </c>
      <c r="G1709" s="55"/>
      <c r="J1709" s="37" t="str">
        <f t="shared" si="147"/>
        <v>큐브엔터</v>
      </c>
      <c r="K1709" s="37" t="str">
        <f t="shared" si="148"/>
        <v>A182360</v>
      </c>
    </row>
    <row r="1710" spans="1:11" x14ac:dyDescent="0.4">
      <c r="A1710" s="49"/>
      <c r="B1710" s="54" t="s">
        <v>3701</v>
      </c>
      <c r="C1710" s="37" t="s">
        <v>5158</v>
      </c>
      <c r="D1710" s="55" t="s">
        <v>820</v>
      </c>
      <c r="E1710" s="56">
        <v>261.95999999999998</v>
      </c>
      <c r="F1710" s="55">
        <v>0</v>
      </c>
      <c r="G1710" s="55"/>
      <c r="I1710" s="49" t="str">
        <f t="shared" ref="I1710:I1716" si="150">IF((G1710&gt;$G$8),E1710+ROW()/100000,"")</f>
        <v/>
      </c>
      <c r="J1710" s="37" t="str">
        <f t="shared" si="147"/>
        <v>엔케이젠바이오텍코리아</v>
      </c>
      <c r="K1710" s="37" t="str">
        <f t="shared" si="148"/>
        <v>A182400</v>
      </c>
    </row>
    <row r="1711" spans="1:11" x14ac:dyDescent="0.4">
      <c r="A1711" s="49"/>
      <c r="B1711" s="54" t="s">
        <v>3702</v>
      </c>
      <c r="C1711" s="37" t="s">
        <v>3703</v>
      </c>
      <c r="D1711" s="55" t="s">
        <v>805</v>
      </c>
      <c r="E1711" s="56">
        <v>468.24</v>
      </c>
      <c r="F1711" s="55">
        <v>1.53</v>
      </c>
      <c r="G1711" s="55">
        <v>1</v>
      </c>
      <c r="I1711" s="49">
        <f t="shared" si="150"/>
        <v>468.25711000000001</v>
      </c>
      <c r="J1711" s="37" t="str">
        <f t="shared" si="147"/>
        <v>아세아시멘트</v>
      </c>
      <c r="K1711" s="37" t="str">
        <f t="shared" si="148"/>
        <v>A183190</v>
      </c>
    </row>
    <row r="1712" spans="1:11" x14ac:dyDescent="0.4">
      <c r="A1712" s="49"/>
      <c r="B1712" s="54" t="s">
        <v>446</v>
      </c>
      <c r="C1712" s="37" t="s">
        <v>447</v>
      </c>
      <c r="D1712" s="55" t="s">
        <v>820</v>
      </c>
      <c r="E1712" s="58">
        <v>1163.23</v>
      </c>
      <c r="F1712" s="57">
        <v>13.52</v>
      </c>
      <c r="G1712" s="57">
        <v>3</v>
      </c>
      <c r="H1712" s="49"/>
      <c r="I1712" s="49">
        <f t="shared" si="150"/>
        <v>1163.24712</v>
      </c>
      <c r="J1712" s="37" t="str">
        <f t="shared" si="147"/>
        <v>코미코</v>
      </c>
      <c r="K1712" s="37" t="str">
        <f t="shared" si="148"/>
        <v>A183300</v>
      </c>
    </row>
    <row r="1713" spans="1:11" x14ac:dyDescent="0.4">
      <c r="A1713" s="49"/>
      <c r="B1713" s="54" t="s">
        <v>3704</v>
      </c>
      <c r="C1713" s="37" t="s">
        <v>3705</v>
      </c>
      <c r="D1713" s="55" t="s">
        <v>820</v>
      </c>
      <c r="E1713" s="58">
        <v>96.04</v>
      </c>
      <c r="F1713" s="57">
        <v>1.17</v>
      </c>
      <c r="G1713" s="57"/>
      <c r="H1713" s="49"/>
      <c r="I1713" s="49" t="str">
        <f t="shared" si="150"/>
        <v/>
      </c>
      <c r="J1713" s="37" t="str">
        <f t="shared" si="147"/>
        <v>엔지켐생명과학</v>
      </c>
      <c r="K1713" s="37" t="str">
        <f t="shared" si="148"/>
        <v>A183490</v>
      </c>
    </row>
    <row r="1714" spans="1:11" x14ac:dyDescent="0.4">
      <c r="A1714" s="49"/>
      <c r="B1714" s="54" t="s">
        <v>3706</v>
      </c>
      <c r="C1714" s="37" t="s">
        <v>3707</v>
      </c>
      <c r="D1714" s="55" t="s">
        <v>820</v>
      </c>
      <c r="E1714" s="56">
        <v>54.69</v>
      </c>
      <c r="F1714" s="56">
        <v>0.78</v>
      </c>
      <c r="G1714" s="55"/>
      <c r="I1714" s="49" t="str">
        <f t="shared" si="150"/>
        <v/>
      </c>
      <c r="J1714" s="37" t="str">
        <f t="shared" si="147"/>
        <v>SGA솔루션즈</v>
      </c>
      <c r="K1714" s="37" t="str">
        <f t="shared" si="148"/>
        <v>A184230</v>
      </c>
    </row>
    <row r="1715" spans="1:11" x14ac:dyDescent="0.4">
      <c r="A1715" s="49"/>
      <c r="B1715" s="54" t="s">
        <v>3708</v>
      </c>
      <c r="C1715" s="37" t="s">
        <v>3709</v>
      </c>
      <c r="D1715" s="55" t="s">
        <v>820</v>
      </c>
      <c r="E1715" s="59">
        <v>56.54</v>
      </c>
      <c r="F1715" s="57">
        <v>0.65</v>
      </c>
      <c r="G1715" s="57"/>
      <c r="H1715" s="49"/>
      <c r="I1715" s="49" t="str">
        <f t="shared" si="150"/>
        <v/>
      </c>
      <c r="J1715" s="37" t="str">
        <f t="shared" si="147"/>
        <v>아이진</v>
      </c>
      <c r="K1715" s="37" t="str">
        <f t="shared" si="148"/>
        <v>A185490</v>
      </c>
    </row>
    <row r="1716" spans="1:11" x14ac:dyDescent="0.4">
      <c r="A1716" s="49"/>
      <c r="B1716" s="54" t="s">
        <v>3710</v>
      </c>
      <c r="C1716" s="37" t="s">
        <v>3711</v>
      </c>
      <c r="D1716" s="55" t="s">
        <v>805</v>
      </c>
      <c r="E1716" s="58">
        <v>1289.18</v>
      </c>
      <c r="F1716" s="57">
        <v>3.64</v>
      </c>
      <c r="G1716" s="57">
        <v>4</v>
      </c>
      <c r="H1716" s="49"/>
      <c r="I1716" s="49">
        <f t="shared" si="150"/>
        <v>1289.1971600000002</v>
      </c>
      <c r="J1716" s="37" t="str">
        <f t="shared" si="147"/>
        <v>종근당</v>
      </c>
      <c r="K1716" s="37" t="str">
        <f t="shared" si="148"/>
        <v>A185750</v>
      </c>
    </row>
    <row r="1717" spans="1:11" x14ac:dyDescent="0.4">
      <c r="B1717" s="54" t="s">
        <v>3712</v>
      </c>
      <c r="C1717" s="37" t="s">
        <v>3713</v>
      </c>
      <c r="D1717" s="55" t="s">
        <v>820</v>
      </c>
      <c r="E1717" s="56">
        <v>51.71</v>
      </c>
      <c r="F1717" s="55">
        <v>0.26</v>
      </c>
      <c r="G1717" s="55"/>
      <c r="J1717" s="37" t="str">
        <f t="shared" si="147"/>
        <v>그린플러스</v>
      </c>
      <c r="K1717" s="37" t="str">
        <f t="shared" si="148"/>
        <v>A186230</v>
      </c>
    </row>
    <row r="1718" spans="1:11" x14ac:dyDescent="0.4">
      <c r="A1718" s="49"/>
      <c r="B1718" s="54" t="s">
        <v>3714</v>
      </c>
      <c r="C1718" s="37" t="s">
        <v>3715</v>
      </c>
      <c r="D1718" s="55" t="s">
        <v>820</v>
      </c>
      <c r="E1718" s="58">
        <v>29.96</v>
      </c>
      <c r="F1718" s="57">
        <v>0.28000000000000003</v>
      </c>
      <c r="G1718" s="57"/>
      <c r="H1718" s="49"/>
      <c r="I1718" s="49" t="str">
        <f t="shared" ref="I1718:I1737" si="151">IF((G1718&gt;$G$8),E1718+ROW()/100000,"")</f>
        <v/>
      </c>
      <c r="J1718" s="37" t="str">
        <f t="shared" si="147"/>
        <v>디티앤씨</v>
      </c>
      <c r="K1718" s="37" t="str">
        <f t="shared" si="148"/>
        <v>A187220</v>
      </c>
    </row>
    <row r="1719" spans="1:11" x14ac:dyDescent="0.4">
      <c r="A1719" s="49"/>
      <c r="B1719" s="54" t="s">
        <v>3716</v>
      </c>
      <c r="C1719" s="37" t="s">
        <v>3717</v>
      </c>
      <c r="D1719" s="55" t="s">
        <v>820</v>
      </c>
      <c r="E1719" s="58">
        <v>37.58</v>
      </c>
      <c r="F1719" s="57">
        <v>0.56999999999999995</v>
      </c>
      <c r="G1719" s="57"/>
      <c r="H1719" s="49"/>
      <c r="I1719" s="49" t="str">
        <f t="shared" si="151"/>
        <v/>
      </c>
      <c r="J1719" s="37" t="str">
        <f t="shared" si="147"/>
        <v>신화콘텍</v>
      </c>
      <c r="K1719" s="37" t="str">
        <f t="shared" si="148"/>
        <v>A187270</v>
      </c>
    </row>
    <row r="1720" spans="1:11" x14ac:dyDescent="0.4">
      <c r="A1720" s="49"/>
      <c r="B1720" s="54" t="s">
        <v>3718</v>
      </c>
      <c r="C1720" s="37" t="s">
        <v>3719</v>
      </c>
      <c r="D1720" s="55" t="s">
        <v>820</v>
      </c>
      <c r="E1720" s="58">
        <v>77.39</v>
      </c>
      <c r="F1720" s="57">
        <v>0.24</v>
      </c>
      <c r="G1720" s="57"/>
      <c r="H1720" s="49"/>
      <c r="I1720" s="49" t="str">
        <f t="shared" si="151"/>
        <v/>
      </c>
      <c r="J1720" s="37" t="str">
        <f t="shared" si="147"/>
        <v>HLB제넥스</v>
      </c>
      <c r="K1720" s="37" t="str">
        <f t="shared" si="148"/>
        <v>A187420</v>
      </c>
    </row>
    <row r="1721" spans="1:11" x14ac:dyDescent="0.4">
      <c r="A1721" s="49"/>
      <c r="B1721" s="54" t="s">
        <v>3720</v>
      </c>
      <c r="C1721" s="37" t="s">
        <v>5165</v>
      </c>
      <c r="D1721" s="55" t="s">
        <v>820</v>
      </c>
      <c r="E1721" s="58">
        <v>1035.55</v>
      </c>
      <c r="F1721" s="57">
        <v>35.81</v>
      </c>
      <c r="G1721" s="57"/>
      <c r="H1721" s="49"/>
      <c r="I1721" s="49" t="str">
        <f t="shared" si="151"/>
        <v/>
      </c>
      <c r="J1721" s="37" t="str">
        <f t="shared" si="147"/>
        <v>페니트리움바이오</v>
      </c>
      <c r="K1721" s="37" t="str">
        <f t="shared" si="148"/>
        <v>A187660</v>
      </c>
    </row>
    <row r="1722" spans="1:11" x14ac:dyDescent="0.4">
      <c r="A1722" s="49"/>
      <c r="B1722" s="54" t="s">
        <v>589</v>
      </c>
      <c r="C1722" s="37" t="s">
        <v>590</v>
      </c>
      <c r="D1722" s="55" t="s">
        <v>820</v>
      </c>
      <c r="E1722" s="58">
        <v>125.21</v>
      </c>
      <c r="F1722" s="57">
        <v>1.79</v>
      </c>
      <c r="G1722" s="57">
        <v>1</v>
      </c>
      <c r="H1722" s="49"/>
      <c r="I1722" s="49">
        <f t="shared" si="151"/>
        <v>125.22721999999999</v>
      </c>
      <c r="J1722" s="37" t="str">
        <f t="shared" si="147"/>
        <v>나노</v>
      </c>
      <c r="K1722" s="37" t="str">
        <f t="shared" si="148"/>
        <v>A187790</v>
      </c>
    </row>
    <row r="1723" spans="1:11" x14ac:dyDescent="0.4">
      <c r="A1723" s="49"/>
      <c r="B1723" s="54" t="s">
        <v>3721</v>
      </c>
      <c r="C1723" s="37" t="s">
        <v>3722</v>
      </c>
      <c r="D1723" s="55" t="s">
        <v>820</v>
      </c>
      <c r="E1723" s="58">
        <v>136.22999999999999</v>
      </c>
      <c r="F1723" s="57">
        <v>0.79</v>
      </c>
      <c r="G1723" s="57"/>
      <c r="H1723" s="49"/>
      <c r="I1723" s="49" t="str">
        <f t="shared" si="151"/>
        <v/>
      </c>
      <c r="J1723" s="37" t="str">
        <f t="shared" si="147"/>
        <v>디바이스</v>
      </c>
      <c r="K1723" s="37" t="str">
        <f t="shared" si="148"/>
        <v>A187870</v>
      </c>
    </row>
    <row r="1724" spans="1:11" x14ac:dyDescent="0.4">
      <c r="A1724" s="49"/>
      <c r="B1724" s="54" t="s">
        <v>3723</v>
      </c>
      <c r="C1724" s="37" t="s">
        <v>3724</v>
      </c>
      <c r="D1724" s="55" t="s">
        <v>820</v>
      </c>
      <c r="E1724" s="58">
        <v>31.59</v>
      </c>
      <c r="F1724" s="57">
        <v>0.49</v>
      </c>
      <c r="G1724" s="57"/>
      <c r="H1724" s="49"/>
      <c r="I1724" s="49" t="str">
        <f t="shared" si="151"/>
        <v/>
      </c>
      <c r="J1724" s="37" t="str">
        <f t="shared" si="147"/>
        <v>바이오포트</v>
      </c>
      <c r="K1724" s="37" t="str">
        <f t="shared" si="148"/>
        <v>A188040</v>
      </c>
    </row>
    <row r="1725" spans="1:11" x14ac:dyDescent="0.4">
      <c r="A1725" s="49"/>
      <c r="B1725" s="54" t="s">
        <v>3725</v>
      </c>
      <c r="C1725" s="37" t="s">
        <v>3726</v>
      </c>
      <c r="D1725" s="55" t="s">
        <v>820</v>
      </c>
      <c r="E1725" s="56">
        <v>12.84</v>
      </c>
      <c r="F1725" s="55">
        <v>0.08</v>
      </c>
      <c r="G1725" s="55"/>
      <c r="I1725" s="49" t="str">
        <f t="shared" si="151"/>
        <v/>
      </c>
      <c r="J1725" s="37" t="str">
        <f t="shared" si="147"/>
        <v>세니젠</v>
      </c>
      <c r="K1725" s="37" t="str">
        <f t="shared" si="148"/>
        <v>A188260</v>
      </c>
    </row>
    <row r="1726" spans="1:11" x14ac:dyDescent="0.4">
      <c r="A1726" s="49"/>
      <c r="B1726" s="54" t="s">
        <v>631</v>
      </c>
      <c r="C1726" s="37" t="s">
        <v>632</v>
      </c>
      <c r="D1726" s="55" t="s">
        <v>820</v>
      </c>
      <c r="E1726" s="58">
        <v>1299.24</v>
      </c>
      <c r="F1726" s="57">
        <v>12.98</v>
      </c>
      <c r="G1726" s="57">
        <v>7</v>
      </c>
      <c r="H1726" s="49"/>
      <c r="I1726" s="49">
        <f t="shared" si="151"/>
        <v>1299.2572600000001</v>
      </c>
      <c r="J1726" s="37" t="str">
        <f t="shared" si="147"/>
        <v>인텔리안테크</v>
      </c>
      <c r="K1726" s="37" t="str">
        <f t="shared" si="148"/>
        <v>A189300</v>
      </c>
    </row>
    <row r="1727" spans="1:11" x14ac:dyDescent="0.4">
      <c r="A1727" s="49"/>
      <c r="B1727" s="54" t="s">
        <v>3727</v>
      </c>
      <c r="C1727" s="37" t="s">
        <v>3728</v>
      </c>
      <c r="D1727" s="55" t="s">
        <v>820</v>
      </c>
      <c r="E1727" s="58">
        <v>41.09</v>
      </c>
      <c r="F1727" s="57">
        <v>0.7</v>
      </c>
      <c r="G1727" s="57"/>
      <c r="H1727" s="49"/>
      <c r="I1727" s="49" t="str">
        <f t="shared" si="151"/>
        <v/>
      </c>
      <c r="J1727" s="37" t="str">
        <f t="shared" si="147"/>
        <v>씨이랩</v>
      </c>
      <c r="K1727" s="37" t="str">
        <f t="shared" si="148"/>
        <v>A189330</v>
      </c>
    </row>
    <row r="1728" spans="1:11" x14ac:dyDescent="0.4">
      <c r="A1728" s="49"/>
      <c r="B1728" s="54" t="s">
        <v>3729</v>
      </c>
      <c r="C1728" s="37" t="s">
        <v>3730</v>
      </c>
      <c r="D1728" s="55" t="s">
        <v>820</v>
      </c>
      <c r="E1728" s="57">
        <v>54.78</v>
      </c>
      <c r="F1728" s="55">
        <v>0.17</v>
      </c>
      <c r="G1728" s="55"/>
      <c r="I1728" s="49" t="str">
        <f t="shared" si="151"/>
        <v/>
      </c>
      <c r="J1728" s="37" t="str">
        <f t="shared" si="147"/>
        <v>포시에스</v>
      </c>
      <c r="K1728" s="37" t="str">
        <f t="shared" si="148"/>
        <v>A189690</v>
      </c>
    </row>
    <row r="1729" spans="1:11" x14ac:dyDescent="0.4">
      <c r="A1729" s="49"/>
      <c r="B1729" s="54" t="s">
        <v>3731</v>
      </c>
      <c r="C1729" s="37" t="s">
        <v>3732</v>
      </c>
      <c r="D1729" s="55" t="s">
        <v>820</v>
      </c>
      <c r="E1729" s="58">
        <v>44.61</v>
      </c>
      <c r="F1729" s="57">
        <v>0.55000000000000004</v>
      </c>
      <c r="G1729" s="57"/>
      <c r="H1729" s="49"/>
      <c r="I1729" s="49" t="str">
        <f t="shared" si="151"/>
        <v/>
      </c>
      <c r="J1729" s="37" t="str">
        <f t="shared" si="147"/>
        <v>서전기전</v>
      </c>
      <c r="K1729" s="37" t="str">
        <f t="shared" si="148"/>
        <v>A189860</v>
      </c>
    </row>
    <row r="1730" spans="1:11" x14ac:dyDescent="0.4">
      <c r="A1730" s="49"/>
      <c r="B1730" s="54" t="s">
        <v>3733</v>
      </c>
      <c r="C1730" s="37" t="s">
        <v>3734</v>
      </c>
      <c r="D1730" s="55" t="s">
        <v>820</v>
      </c>
      <c r="E1730" s="58">
        <v>70.56</v>
      </c>
      <c r="F1730" s="57">
        <v>1.27</v>
      </c>
      <c r="G1730" s="57"/>
      <c r="H1730" s="49"/>
      <c r="I1730" s="49" t="str">
        <f t="shared" si="151"/>
        <v/>
      </c>
      <c r="J1730" s="37" t="str">
        <f t="shared" si="147"/>
        <v>흥국에프엔비</v>
      </c>
      <c r="K1730" s="37" t="str">
        <f t="shared" si="148"/>
        <v>A189980</v>
      </c>
    </row>
    <row r="1731" spans="1:11" x14ac:dyDescent="0.4">
      <c r="A1731" s="49"/>
      <c r="B1731" s="54" t="s">
        <v>3735</v>
      </c>
      <c r="C1731" s="37" t="s">
        <v>3736</v>
      </c>
      <c r="D1731" s="55" t="s">
        <v>820</v>
      </c>
      <c r="E1731" s="58">
        <v>319.74</v>
      </c>
      <c r="F1731" s="57">
        <v>5.88</v>
      </c>
      <c r="G1731" s="57"/>
      <c r="H1731" s="49"/>
      <c r="I1731" s="49" t="str">
        <f t="shared" si="151"/>
        <v/>
      </c>
      <c r="J1731" s="37" t="str">
        <f t="shared" si="147"/>
        <v>나무가</v>
      </c>
      <c r="K1731" s="37" t="str">
        <f t="shared" si="148"/>
        <v>A190510</v>
      </c>
    </row>
    <row r="1732" spans="1:11" x14ac:dyDescent="0.4">
      <c r="A1732" s="49"/>
      <c r="B1732" s="54" t="s">
        <v>3737</v>
      </c>
      <c r="C1732" s="37" t="s">
        <v>3738</v>
      </c>
      <c r="D1732" s="55" t="s">
        <v>820</v>
      </c>
      <c r="E1732" s="56">
        <v>61.84</v>
      </c>
      <c r="F1732" s="55">
        <v>0.5</v>
      </c>
      <c r="G1732" s="55"/>
      <c r="I1732" s="49" t="str">
        <f t="shared" si="151"/>
        <v/>
      </c>
      <c r="J1732" s="37" t="str">
        <f t="shared" si="147"/>
        <v>코리아에셋투자증권</v>
      </c>
      <c r="K1732" s="37" t="str">
        <f t="shared" si="148"/>
        <v>A190650</v>
      </c>
    </row>
    <row r="1733" spans="1:11" x14ac:dyDescent="0.4">
      <c r="A1733" s="49"/>
      <c r="B1733" s="54" t="s">
        <v>3739</v>
      </c>
      <c r="C1733" s="37" t="s">
        <v>3740</v>
      </c>
      <c r="D1733" s="55" t="s">
        <v>820</v>
      </c>
      <c r="E1733" s="58">
        <v>34.450000000000003</v>
      </c>
      <c r="F1733" s="57">
        <v>2.57</v>
      </c>
      <c r="G1733" s="57"/>
      <c r="H1733" s="49"/>
      <c r="I1733" s="49" t="str">
        <f t="shared" si="151"/>
        <v/>
      </c>
      <c r="J1733" s="37" t="str">
        <f t="shared" si="147"/>
        <v>육일씨엔에쓰</v>
      </c>
      <c r="K1733" s="37" t="str">
        <f t="shared" si="148"/>
        <v>A191410</v>
      </c>
    </row>
    <row r="1734" spans="1:11" x14ac:dyDescent="0.4">
      <c r="A1734" s="49"/>
      <c r="B1734" s="54" t="s">
        <v>3741</v>
      </c>
      <c r="C1734" s="37" t="s">
        <v>3742</v>
      </c>
      <c r="D1734" s="55" t="s">
        <v>820</v>
      </c>
      <c r="E1734" s="58">
        <v>105.41</v>
      </c>
      <c r="F1734" s="57">
        <v>0.31</v>
      </c>
      <c r="G1734" s="57"/>
      <c r="H1734" s="49"/>
      <c r="I1734" s="49" t="str">
        <f t="shared" si="151"/>
        <v/>
      </c>
      <c r="J1734" s="37" t="str">
        <f t="shared" si="147"/>
        <v>테고사이언스</v>
      </c>
      <c r="K1734" s="37" t="str">
        <f t="shared" si="148"/>
        <v>A191420</v>
      </c>
    </row>
    <row r="1735" spans="1:11" x14ac:dyDescent="0.4">
      <c r="A1735" s="49"/>
      <c r="B1735" s="54" t="s">
        <v>3743</v>
      </c>
      <c r="C1735" s="37" t="s">
        <v>3744</v>
      </c>
      <c r="D1735" s="55" t="s">
        <v>805</v>
      </c>
      <c r="E1735" s="56">
        <v>1122.19</v>
      </c>
      <c r="F1735" s="55">
        <v>2.35</v>
      </c>
      <c r="G1735" s="55">
        <v>10</v>
      </c>
      <c r="I1735" s="49">
        <f t="shared" si="151"/>
        <v>1122.2073500000001</v>
      </c>
      <c r="J1735" s="37" t="str">
        <f t="shared" si="147"/>
        <v>더블유게임즈</v>
      </c>
      <c r="K1735" s="37" t="str">
        <f t="shared" si="148"/>
        <v>A192080</v>
      </c>
    </row>
    <row r="1736" spans="1:11" x14ac:dyDescent="0.4">
      <c r="A1736" s="49"/>
      <c r="B1736" s="54" t="s">
        <v>3745</v>
      </c>
      <c r="C1736" s="37" t="s">
        <v>3746</v>
      </c>
      <c r="D1736" s="55" t="s">
        <v>820</v>
      </c>
      <c r="E1736" s="58">
        <v>69.61</v>
      </c>
      <c r="F1736" s="57">
        <v>2.72</v>
      </c>
      <c r="G1736" s="57"/>
      <c r="H1736" s="49"/>
      <c r="I1736" s="49" t="str">
        <f t="shared" si="151"/>
        <v/>
      </c>
      <c r="J1736" s="37" t="str">
        <f t="shared" si="147"/>
        <v>케이사인</v>
      </c>
      <c r="K1736" s="37" t="str">
        <f t="shared" si="148"/>
        <v>A192250</v>
      </c>
    </row>
    <row r="1737" spans="1:11" x14ac:dyDescent="0.4">
      <c r="A1737" s="49"/>
      <c r="B1737" s="54" t="s">
        <v>3747</v>
      </c>
      <c r="C1737" s="37" t="s">
        <v>3748</v>
      </c>
      <c r="D1737" s="55" t="s">
        <v>820</v>
      </c>
      <c r="E1737" s="58">
        <v>24.16</v>
      </c>
      <c r="F1737" s="57">
        <v>0.08</v>
      </c>
      <c r="G1737" s="57"/>
      <c r="H1737" s="49"/>
      <c r="I1737" s="49" t="str">
        <f t="shared" si="151"/>
        <v/>
      </c>
      <c r="J1737" s="37" t="str">
        <f t="shared" si="147"/>
        <v>윈하이텍</v>
      </c>
      <c r="K1737" s="37" t="str">
        <f t="shared" si="148"/>
        <v>A192390</v>
      </c>
    </row>
    <row r="1738" spans="1:11" x14ac:dyDescent="0.4">
      <c r="A1738" s="49"/>
      <c r="B1738" s="54" t="s">
        <v>3749</v>
      </c>
      <c r="C1738" s="37" t="s">
        <v>3750</v>
      </c>
      <c r="D1738" s="55" t="s">
        <v>805</v>
      </c>
      <c r="E1738" s="56">
        <v>1056.2</v>
      </c>
      <c r="F1738" s="55">
        <v>1.25</v>
      </c>
      <c r="G1738" s="55">
        <v>1</v>
      </c>
      <c r="J1738" s="37" t="str">
        <f t="shared" si="147"/>
        <v>쿠쿠홀딩스</v>
      </c>
      <c r="K1738" s="37" t="str">
        <f t="shared" si="148"/>
        <v>A192400</v>
      </c>
    </row>
    <row r="1739" spans="1:11" x14ac:dyDescent="0.4">
      <c r="A1739" s="49"/>
      <c r="B1739" s="54" t="s">
        <v>3751</v>
      </c>
      <c r="C1739" s="37" t="s">
        <v>3752</v>
      </c>
      <c r="D1739" s="55" t="s">
        <v>820</v>
      </c>
      <c r="E1739" s="58">
        <v>54.22</v>
      </c>
      <c r="F1739" s="57">
        <v>0.67</v>
      </c>
      <c r="G1739" s="57"/>
      <c r="H1739" s="49"/>
      <c r="I1739" s="49" t="str">
        <f t="shared" ref="I1739:I1766" si="152">IF((G1739&gt;$G$8),E1739+ROW()/100000,"")</f>
        <v/>
      </c>
      <c r="J1739" s="37" t="str">
        <f t="shared" si="147"/>
        <v>오늘이엔엠</v>
      </c>
      <c r="K1739" s="37" t="str">
        <f t="shared" si="148"/>
        <v>A192410</v>
      </c>
    </row>
    <row r="1740" spans="1:11" x14ac:dyDescent="0.4">
      <c r="A1740" s="49"/>
      <c r="B1740" s="54" t="s">
        <v>3753</v>
      </c>
      <c r="C1740" s="37" t="s">
        <v>3754</v>
      </c>
      <c r="D1740" s="55" t="s">
        <v>820</v>
      </c>
      <c r="E1740" s="58">
        <v>153.22999999999999</v>
      </c>
      <c r="F1740" s="57">
        <v>0.16</v>
      </c>
      <c r="G1740" s="57"/>
      <c r="H1740" s="49"/>
      <c r="I1740" s="49" t="str">
        <f t="shared" si="152"/>
        <v/>
      </c>
      <c r="J1740" s="37" t="str">
        <f t="shared" si="147"/>
        <v>슈피겐코리아</v>
      </c>
      <c r="K1740" s="37" t="str">
        <f t="shared" si="148"/>
        <v>A192440</v>
      </c>
    </row>
    <row r="1741" spans="1:11" x14ac:dyDescent="0.4">
      <c r="A1741" s="49"/>
      <c r="B1741" s="54" t="s">
        <v>715</v>
      </c>
      <c r="C1741" s="37" t="s">
        <v>716</v>
      </c>
      <c r="D1741" s="55" t="s">
        <v>805</v>
      </c>
      <c r="E1741" s="58">
        <v>537.30999999999995</v>
      </c>
      <c r="F1741" s="57">
        <v>2.15</v>
      </c>
      <c r="G1741" s="57">
        <v>2</v>
      </c>
      <c r="H1741" s="49"/>
      <c r="I1741" s="49">
        <f t="shared" si="152"/>
        <v>537.32740999999999</v>
      </c>
      <c r="J1741" s="37" t="str">
        <f t="shared" si="147"/>
        <v>드림텍</v>
      </c>
      <c r="K1741" s="37" t="str">
        <f t="shared" si="148"/>
        <v>A192650</v>
      </c>
    </row>
    <row r="1742" spans="1:11" x14ac:dyDescent="0.4">
      <c r="A1742" s="49"/>
      <c r="B1742" s="54" t="s">
        <v>581</v>
      </c>
      <c r="C1742" s="37" t="s">
        <v>582</v>
      </c>
      <c r="D1742" s="55" t="s">
        <v>805</v>
      </c>
      <c r="E1742" s="56">
        <v>2156.41</v>
      </c>
      <c r="F1742" s="55">
        <v>17.28</v>
      </c>
      <c r="G1742" s="55">
        <v>14</v>
      </c>
      <c r="I1742" s="49">
        <f t="shared" si="152"/>
        <v>2156.42742</v>
      </c>
      <c r="J1742" s="37" t="str">
        <f t="shared" ref="J1742:J1805" si="153">C1742</f>
        <v>코스맥스</v>
      </c>
      <c r="K1742" s="37" t="str">
        <f t="shared" ref="K1742:K1805" si="154">B1742</f>
        <v>A192820</v>
      </c>
    </row>
    <row r="1743" spans="1:11" x14ac:dyDescent="0.4">
      <c r="A1743" s="49"/>
      <c r="B1743" s="54" t="s">
        <v>3755</v>
      </c>
      <c r="C1743" s="37" t="s">
        <v>3756</v>
      </c>
      <c r="D1743" s="55" t="s">
        <v>820</v>
      </c>
      <c r="E1743" s="58">
        <v>24.29</v>
      </c>
      <c r="F1743" s="57">
        <v>0.24</v>
      </c>
      <c r="G1743" s="57"/>
      <c r="H1743" s="49"/>
      <c r="I1743" s="49" t="str">
        <f t="shared" si="152"/>
        <v/>
      </c>
      <c r="J1743" s="37" t="str">
        <f t="shared" si="153"/>
        <v>링크드</v>
      </c>
      <c r="K1743" s="37" t="str">
        <f t="shared" si="154"/>
        <v>A193250</v>
      </c>
    </row>
    <row r="1744" spans="1:11" x14ac:dyDescent="0.4">
      <c r="A1744" s="49"/>
      <c r="B1744" s="54" t="s">
        <v>473</v>
      </c>
      <c r="C1744" s="37" t="s">
        <v>474</v>
      </c>
      <c r="D1744" s="55" t="s">
        <v>805</v>
      </c>
      <c r="E1744" s="56">
        <v>391.73</v>
      </c>
      <c r="F1744" s="55">
        <v>2.2400000000000002</v>
      </c>
      <c r="G1744" s="55">
        <v>1</v>
      </c>
      <c r="I1744" s="49">
        <f t="shared" si="152"/>
        <v>391.74744000000004</v>
      </c>
      <c r="J1744" s="37" t="str">
        <f t="shared" si="153"/>
        <v>제이에스코퍼레이션</v>
      </c>
      <c r="K1744" s="37" t="str">
        <f t="shared" si="154"/>
        <v>A194370</v>
      </c>
    </row>
    <row r="1745" spans="1:11" x14ac:dyDescent="0.4">
      <c r="A1745" s="49"/>
      <c r="B1745" s="54" t="s">
        <v>3757</v>
      </c>
      <c r="C1745" s="37" t="s">
        <v>3758</v>
      </c>
      <c r="D1745" s="55" t="s">
        <v>820</v>
      </c>
      <c r="E1745" s="58">
        <v>470.61</v>
      </c>
      <c r="F1745" s="57">
        <v>3.33</v>
      </c>
      <c r="G1745" s="57">
        <v>3</v>
      </c>
      <c r="H1745" s="49"/>
      <c r="I1745" s="49">
        <f t="shared" si="152"/>
        <v>470.62745000000001</v>
      </c>
      <c r="J1745" s="37" t="str">
        <f t="shared" si="153"/>
        <v>데브시스터즈</v>
      </c>
      <c r="K1745" s="37" t="str">
        <f t="shared" si="154"/>
        <v>A194480</v>
      </c>
    </row>
    <row r="1746" spans="1:11" x14ac:dyDescent="0.4">
      <c r="A1746" s="49"/>
      <c r="B1746" s="54" t="s">
        <v>3759</v>
      </c>
      <c r="C1746" s="37" t="s">
        <v>3760</v>
      </c>
      <c r="D1746" s="55" t="s">
        <v>820</v>
      </c>
      <c r="E1746" s="56">
        <v>259.38</v>
      </c>
      <c r="F1746" s="55">
        <v>2.2000000000000002</v>
      </c>
      <c r="G1746" s="55"/>
      <c r="I1746" s="49" t="str">
        <f t="shared" si="152"/>
        <v/>
      </c>
      <c r="J1746" s="37" t="str">
        <f t="shared" si="153"/>
        <v>노바렉스</v>
      </c>
      <c r="K1746" s="37" t="str">
        <f t="shared" si="154"/>
        <v>A194700</v>
      </c>
    </row>
    <row r="1747" spans="1:11" x14ac:dyDescent="0.4">
      <c r="A1747" s="49"/>
      <c r="B1747" s="54" t="s">
        <v>3761</v>
      </c>
      <c r="C1747" s="37" t="s">
        <v>3762</v>
      </c>
      <c r="D1747" s="55" t="s">
        <v>820</v>
      </c>
      <c r="E1747" s="58">
        <v>45.14</v>
      </c>
      <c r="F1747" s="57">
        <v>0.17</v>
      </c>
      <c r="G1747" s="57"/>
      <c r="H1747" s="49"/>
      <c r="I1747" s="49" t="str">
        <f t="shared" si="152"/>
        <v/>
      </c>
      <c r="J1747" s="37" t="str">
        <f t="shared" si="153"/>
        <v>마니커에프앤지</v>
      </c>
      <c r="K1747" s="37" t="str">
        <f t="shared" si="154"/>
        <v>A195500</v>
      </c>
    </row>
    <row r="1748" spans="1:11" x14ac:dyDescent="0.4">
      <c r="A1748" s="49"/>
      <c r="B1748" s="54" t="s">
        <v>539</v>
      </c>
      <c r="C1748" s="37" t="s">
        <v>540</v>
      </c>
      <c r="D1748" s="55" t="s">
        <v>805</v>
      </c>
      <c r="E1748" s="58">
        <v>1098.2</v>
      </c>
      <c r="F1748" s="57">
        <v>14.75</v>
      </c>
      <c r="G1748" s="57">
        <v>11</v>
      </c>
      <c r="H1748" s="49"/>
      <c r="I1748" s="49">
        <f t="shared" si="152"/>
        <v>1098.21748</v>
      </c>
      <c r="J1748" s="37" t="str">
        <f t="shared" si="153"/>
        <v>해성디에스</v>
      </c>
      <c r="K1748" s="37" t="str">
        <f t="shared" si="154"/>
        <v>A195870</v>
      </c>
    </row>
    <row r="1749" spans="1:11" x14ac:dyDescent="0.4">
      <c r="A1749" s="49"/>
      <c r="B1749" s="54" t="s">
        <v>709</v>
      </c>
      <c r="C1749" s="37" t="s">
        <v>710</v>
      </c>
      <c r="D1749" s="55" t="s">
        <v>820</v>
      </c>
      <c r="E1749" s="58">
        <v>1529.81</v>
      </c>
      <c r="F1749" s="57">
        <v>12.07</v>
      </c>
      <c r="G1749" s="57">
        <v>9</v>
      </c>
      <c r="H1749" s="49"/>
      <c r="I1749" s="49">
        <f t="shared" si="152"/>
        <v>1529.8274899999999</v>
      </c>
      <c r="J1749" s="37" t="str">
        <f t="shared" si="153"/>
        <v>HK이노엔</v>
      </c>
      <c r="K1749" s="37" t="str">
        <f t="shared" si="154"/>
        <v>A195940</v>
      </c>
    </row>
    <row r="1750" spans="1:11" x14ac:dyDescent="0.4">
      <c r="A1750" s="49"/>
      <c r="B1750" s="54" t="s">
        <v>3763</v>
      </c>
      <c r="C1750" s="37" t="s">
        <v>3764</v>
      </c>
      <c r="D1750" s="55" t="s">
        <v>820</v>
      </c>
      <c r="E1750" s="58">
        <v>39.86</v>
      </c>
      <c r="F1750" s="57">
        <v>2.25</v>
      </c>
      <c r="G1750" s="57"/>
      <c r="H1750" s="49"/>
      <c r="I1750" s="49" t="str">
        <f t="shared" si="152"/>
        <v/>
      </c>
      <c r="J1750" s="37" t="str">
        <f t="shared" si="153"/>
        <v>에이비프로바이오</v>
      </c>
      <c r="K1750" s="37" t="str">
        <f t="shared" si="154"/>
        <v>A195990</v>
      </c>
    </row>
    <row r="1751" spans="1:11" x14ac:dyDescent="0.4">
      <c r="A1751" s="49"/>
      <c r="B1751" s="54" t="s">
        <v>31</v>
      </c>
      <c r="C1751" s="37" t="s">
        <v>32</v>
      </c>
      <c r="D1751" s="55" t="s">
        <v>820</v>
      </c>
      <c r="E1751" s="56">
        <v>21803.61</v>
      </c>
      <c r="F1751" s="55">
        <v>271.95999999999998</v>
      </c>
      <c r="G1751" s="55">
        <v>2</v>
      </c>
      <c r="I1751" s="49">
        <f t="shared" si="152"/>
        <v>21803.627510000002</v>
      </c>
      <c r="J1751" s="37" t="str">
        <f t="shared" si="153"/>
        <v>알테오젠</v>
      </c>
      <c r="K1751" s="37" t="str">
        <f t="shared" si="154"/>
        <v>A196170</v>
      </c>
    </row>
    <row r="1752" spans="1:11" x14ac:dyDescent="0.4">
      <c r="A1752" s="49"/>
      <c r="B1752" s="54" t="s">
        <v>3765</v>
      </c>
      <c r="C1752" s="37" t="s">
        <v>3766</v>
      </c>
      <c r="D1752" s="55" t="s">
        <v>820</v>
      </c>
      <c r="E1752" s="58">
        <v>68.59</v>
      </c>
      <c r="F1752" s="57">
        <v>0.2</v>
      </c>
      <c r="G1752" s="57"/>
      <c r="H1752" s="49"/>
      <c r="I1752" s="49" t="str">
        <f t="shared" si="152"/>
        <v/>
      </c>
      <c r="J1752" s="37" t="str">
        <f t="shared" si="153"/>
        <v>HLB펩</v>
      </c>
      <c r="K1752" s="37" t="str">
        <f t="shared" si="154"/>
        <v>A196300</v>
      </c>
    </row>
    <row r="1753" spans="1:11" x14ac:dyDescent="0.4">
      <c r="A1753" s="49"/>
      <c r="B1753" s="54" t="s">
        <v>3767</v>
      </c>
      <c r="C1753" s="37" t="s">
        <v>3768</v>
      </c>
      <c r="D1753" s="55" t="s">
        <v>820</v>
      </c>
      <c r="E1753" s="56">
        <v>63.67</v>
      </c>
      <c r="F1753" s="55">
        <v>0.43</v>
      </c>
      <c r="G1753" s="55"/>
      <c r="I1753" s="49" t="str">
        <f t="shared" si="152"/>
        <v/>
      </c>
      <c r="J1753" s="37" t="str">
        <f t="shared" si="153"/>
        <v>코아시아씨엠</v>
      </c>
      <c r="K1753" s="37" t="str">
        <f t="shared" si="154"/>
        <v>A196450</v>
      </c>
    </row>
    <row r="1754" spans="1:11" x14ac:dyDescent="0.4">
      <c r="A1754" s="49"/>
      <c r="B1754" s="54" t="s">
        <v>3769</v>
      </c>
      <c r="C1754" s="37" t="s">
        <v>3770</v>
      </c>
      <c r="D1754" s="55" t="s">
        <v>820</v>
      </c>
      <c r="E1754" s="56">
        <v>36.25</v>
      </c>
      <c r="F1754" s="55">
        <v>0</v>
      </c>
      <c r="G1754" s="55"/>
      <c r="I1754" s="49" t="str">
        <f t="shared" si="152"/>
        <v/>
      </c>
      <c r="J1754" s="37" t="str">
        <f t="shared" si="153"/>
        <v>디에이테크놀로지</v>
      </c>
      <c r="K1754" s="37" t="str">
        <f t="shared" si="154"/>
        <v>A196490</v>
      </c>
    </row>
    <row r="1755" spans="1:11" x14ac:dyDescent="0.4">
      <c r="A1755" s="49"/>
      <c r="B1755" s="54" t="s">
        <v>3771</v>
      </c>
      <c r="C1755" s="37" t="s">
        <v>3772</v>
      </c>
      <c r="D1755" s="55" t="s">
        <v>820</v>
      </c>
      <c r="E1755" s="58">
        <v>39.36</v>
      </c>
      <c r="F1755" s="57">
        <v>0.75</v>
      </c>
      <c r="G1755" s="57"/>
      <c r="H1755" s="49"/>
      <c r="I1755" s="49" t="str">
        <f t="shared" si="152"/>
        <v/>
      </c>
      <c r="J1755" s="37" t="str">
        <f t="shared" si="153"/>
        <v>웹스</v>
      </c>
      <c r="K1755" s="37" t="str">
        <f t="shared" si="154"/>
        <v>A196700</v>
      </c>
    </row>
    <row r="1756" spans="1:11" x14ac:dyDescent="0.4">
      <c r="A1756" s="49"/>
      <c r="B1756" s="54" t="s">
        <v>3773</v>
      </c>
      <c r="C1756" s="37" t="s">
        <v>3774</v>
      </c>
      <c r="D1756" s="55" t="s">
        <v>820</v>
      </c>
      <c r="E1756" s="58">
        <v>28.24</v>
      </c>
      <c r="F1756" s="57">
        <v>0.04</v>
      </c>
      <c r="G1756" s="57"/>
      <c r="H1756" s="49"/>
      <c r="I1756" s="49" t="str">
        <f t="shared" si="152"/>
        <v/>
      </c>
      <c r="J1756" s="37" t="str">
        <f t="shared" si="153"/>
        <v>디지캡</v>
      </c>
      <c r="K1756" s="37" t="str">
        <f t="shared" si="154"/>
        <v>A197140</v>
      </c>
    </row>
    <row r="1757" spans="1:11" x14ac:dyDescent="0.4">
      <c r="A1757" s="49"/>
      <c r="B1757" s="54" t="s">
        <v>3775</v>
      </c>
      <c r="C1757" s="37" t="s">
        <v>3776</v>
      </c>
      <c r="D1757" s="55" t="s">
        <v>820</v>
      </c>
      <c r="E1757" s="56">
        <v>52.44</v>
      </c>
      <c r="F1757" s="55">
        <v>0.28999999999999998</v>
      </c>
      <c r="G1757" s="55"/>
      <c r="I1757" s="49" t="str">
        <f t="shared" si="152"/>
        <v/>
      </c>
      <c r="J1757" s="37" t="str">
        <f t="shared" si="153"/>
        <v>캐프</v>
      </c>
      <c r="K1757" s="37" t="str">
        <f t="shared" si="154"/>
        <v>A198080</v>
      </c>
    </row>
    <row r="1758" spans="1:11" x14ac:dyDescent="0.4">
      <c r="A1758" s="49"/>
      <c r="B1758" s="54" t="s">
        <v>3777</v>
      </c>
      <c r="C1758" s="37" t="s">
        <v>3778</v>
      </c>
      <c r="D1758" s="55" t="s">
        <v>820</v>
      </c>
      <c r="E1758" s="58">
        <v>66.540000000000006</v>
      </c>
      <c r="F1758" s="57">
        <v>0.1</v>
      </c>
      <c r="G1758" s="57"/>
      <c r="H1758" s="49"/>
      <c r="I1758" s="49" t="str">
        <f t="shared" si="152"/>
        <v/>
      </c>
      <c r="J1758" s="37" t="str">
        <f t="shared" si="153"/>
        <v>강동씨앤엘</v>
      </c>
      <c r="K1758" s="37" t="str">
        <f t="shared" si="154"/>
        <v>A198440</v>
      </c>
    </row>
    <row r="1759" spans="1:11" x14ac:dyDescent="0.4">
      <c r="A1759" s="49"/>
      <c r="B1759" s="54" t="s">
        <v>3779</v>
      </c>
      <c r="C1759" s="37" t="s">
        <v>3780</v>
      </c>
      <c r="D1759" s="55" t="s">
        <v>820</v>
      </c>
      <c r="E1759" s="58">
        <v>28.02</v>
      </c>
      <c r="F1759" s="57">
        <v>0.28000000000000003</v>
      </c>
      <c r="G1759" s="57"/>
      <c r="H1759" s="49"/>
      <c r="I1759" s="49" t="str">
        <f t="shared" si="152"/>
        <v/>
      </c>
      <c r="J1759" s="37" t="str">
        <f t="shared" si="153"/>
        <v>한주라이트메탈</v>
      </c>
      <c r="K1759" s="37" t="str">
        <f t="shared" si="154"/>
        <v>A198940</v>
      </c>
    </row>
    <row r="1760" spans="1:11" x14ac:dyDescent="0.4">
      <c r="A1760" s="49"/>
      <c r="B1760" s="54" t="s">
        <v>3781</v>
      </c>
      <c r="C1760" s="37" t="s">
        <v>3782</v>
      </c>
      <c r="D1760" s="55" t="s">
        <v>820</v>
      </c>
      <c r="E1760" s="58">
        <v>366.78</v>
      </c>
      <c r="F1760" s="57">
        <v>19.78</v>
      </c>
      <c r="G1760" s="57"/>
      <c r="H1760" s="49"/>
      <c r="I1760" s="49" t="str">
        <f t="shared" si="152"/>
        <v/>
      </c>
      <c r="J1760" s="37" t="str">
        <f t="shared" si="153"/>
        <v>케이엔알시스템</v>
      </c>
      <c r="K1760" s="37" t="str">
        <f t="shared" si="154"/>
        <v>A199430</v>
      </c>
    </row>
    <row r="1761" spans="1:11" x14ac:dyDescent="0.4">
      <c r="A1761" s="49"/>
      <c r="B1761" s="54" t="s">
        <v>3783</v>
      </c>
      <c r="C1761" s="37" t="s">
        <v>3784</v>
      </c>
      <c r="D1761" s="55" t="s">
        <v>820</v>
      </c>
      <c r="E1761" s="56">
        <v>51.39</v>
      </c>
      <c r="F1761" s="55">
        <v>4.04</v>
      </c>
      <c r="G1761" s="55"/>
      <c r="I1761" s="49" t="str">
        <f t="shared" si="152"/>
        <v/>
      </c>
      <c r="J1761" s="37" t="str">
        <f t="shared" si="153"/>
        <v>뱅크웨어글로벌</v>
      </c>
      <c r="K1761" s="37" t="str">
        <f t="shared" si="154"/>
        <v>A199480</v>
      </c>
    </row>
    <row r="1762" spans="1:11" x14ac:dyDescent="0.4">
      <c r="A1762" s="49"/>
      <c r="B1762" s="54" t="s">
        <v>3785</v>
      </c>
      <c r="C1762" s="37" t="s">
        <v>3786</v>
      </c>
      <c r="D1762" s="55" t="s">
        <v>820</v>
      </c>
      <c r="E1762" s="58">
        <v>66.73</v>
      </c>
      <c r="F1762" s="57">
        <v>1.07</v>
      </c>
      <c r="G1762" s="57"/>
      <c r="H1762" s="49"/>
      <c r="I1762" s="49" t="str">
        <f t="shared" si="152"/>
        <v/>
      </c>
      <c r="J1762" s="37" t="str">
        <f t="shared" si="153"/>
        <v>레이저옵텍</v>
      </c>
      <c r="K1762" s="37" t="str">
        <f t="shared" si="154"/>
        <v>A199550</v>
      </c>
    </row>
    <row r="1763" spans="1:11" x14ac:dyDescent="0.4">
      <c r="A1763" s="49"/>
      <c r="B1763" s="54" t="s">
        <v>3787</v>
      </c>
      <c r="C1763" s="37" t="s">
        <v>3788</v>
      </c>
      <c r="D1763" s="55" t="s">
        <v>820</v>
      </c>
      <c r="E1763" s="58">
        <v>19.53</v>
      </c>
      <c r="F1763" s="57">
        <v>0.05</v>
      </c>
      <c r="G1763" s="57"/>
      <c r="H1763" s="49"/>
      <c r="I1763" s="49" t="str">
        <f t="shared" si="152"/>
        <v/>
      </c>
      <c r="J1763" s="37" t="str">
        <f t="shared" si="153"/>
        <v>바이오인프라</v>
      </c>
      <c r="K1763" s="37" t="str">
        <f t="shared" si="154"/>
        <v>A199730</v>
      </c>
    </row>
    <row r="1764" spans="1:11" x14ac:dyDescent="0.4">
      <c r="A1764" s="49"/>
      <c r="B1764" s="54" t="s">
        <v>3789</v>
      </c>
      <c r="C1764" s="37" t="s">
        <v>3790</v>
      </c>
      <c r="D1764" s="55" t="s">
        <v>820</v>
      </c>
      <c r="E1764" s="58">
        <v>442.5</v>
      </c>
      <c r="F1764" s="57">
        <v>3.28</v>
      </c>
      <c r="G1764" s="57"/>
      <c r="H1764" s="49"/>
      <c r="I1764" s="49" t="str">
        <f t="shared" si="152"/>
        <v/>
      </c>
      <c r="J1764" s="37" t="str">
        <f t="shared" si="153"/>
        <v>툴젠</v>
      </c>
      <c r="K1764" s="37" t="str">
        <f t="shared" si="154"/>
        <v>A199800</v>
      </c>
    </row>
    <row r="1765" spans="1:11" x14ac:dyDescent="0.4">
      <c r="A1765" s="49"/>
      <c r="B1765" s="54" t="s">
        <v>418</v>
      </c>
      <c r="C1765" s="37" t="s">
        <v>419</v>
      </c>
      <c r="D1765" s="55" t="s">
        <v>820</v>
      </c>
      <c r="E1765" s="58">
        <v>235.75</v>
      </c>
      <c r="F1765" s="57">
        <v>4.46</v>
      </c>
      <c r="G1765" s="57"/>
      <c r="H1765" s="49"/>
      <c r="I1765" s="49" t="str">
        <f t="shared" si="152"/>
        <v/>
      </c>
      <c r="J1765" s="37" t="str">
        <f t="shared" si="153"/>
        <v>제일일렉트릭</v>
      </c>
      <c r="K1765" s="37" t="str">
        <f t="shared" si="154"/>
        <v>A199820</v>
      </c>
    </row>
    <row r="1766" spans="1:11" x14ac:dyDescent="0.4">
      <c r="A1766" s="49"/>
      <c r="B1766" s="54" t="s">
        <v>3791</v>
      </c>
      <c r="C1766" s="37" t="s">
        <v>3792</v>
      </c>
      <c r="D1766" s="55" t="s">
        <v>820</v>
      </c>
      <c r="E1766" s="56">
        <v>410.94</v>
      </c>
      <c r="F1766" s="55">
        <v>1.1499999999999999</v>
      </c>
      <c r="G1766" s="55"/>
      <c r="I1766" s="49" t="str">
        <f t="shared" si="152"/>
        <v/>
      </c>
      <c r="J1766" s="37" t="str">
        <f t="shared" si="153"/>
        <v>콜마비앤에이치</v>
      </c>
      <c r="K1766" s="37" t="str">
        <f t="shared" si="154"/>
        <v>A200130</v>
      </c>
    </row>
    <row r="1767" spans="1:11" x14ac:dyDescent="0.4">
      <c r="B1767" s="54" t="s">
        <v>3793</v>
      </c>
      <c r="C1767" s="37" t="s">
        <v>3794</v>
      </c>
      <c r="D1767" s="55" t="s">
        <v>820</v>
      </c>
      <c r="E1767" s="56">
        <v>54</v>
      </c>
      <c r="F1767" s="55">
        <v>3.23</v>
      </c>
      <c r="G1767" s="55"/>
      <c r="J1767" s="37" t="str">
        <f t="shared" si="153"/>
        <v>텔콘RF제약</v>
      </c>
      <c r="K1767" s="37" t="str">
        <f t="shared" si="154"/>
        <v>A200230</v>
      </c>
    </row>
    <row r="1768" spans="1:11" x14ac:dyDescent="0.4">
      <c r="A1768" s="49"/>
      <c r="B1768" s="54" t="s">
        <v>3795</v>
      </c>
      <c r="C1768" s="37" t="s">
        <v>3796</v>
      </c>
      <c r="D1768" s="55" t="s">
        <v>820</v>
      </c>
      <c r="E1768" s="58">
        <v>44.38</v>
      </c>
      <c r="F1768" s="57">
        <v>0.21</v>
      </c>
      <c r="G1768" s="57"/>
      <c r="H1768" s="49"/>
      <c r="I1768" s="49" t="str">
        <f t="shared" ref="I1768:I1777" si="155">IF((G1768&gt;$G$8),E1768+ROW()/100000,"")</f>
        <v/>
      </c>
      <c r="J1768" s="37" t="str">
        <f t="shared" si="153"/>
        <v>아티스트스튜디오</v>
      </c>
      <c r="K1768" s="37" t="str">
        <f t="shared" si="154"/>
        <v>A200350</v>
      </c>
    </row>
    <row r="1769" spans="1:11" x14ac:dyDescent="0.4">
      <c r="A1769" s="49"/>
      <c r="B1769" s="54" t="s">
        <v>3797</v>
      </c>
      <c r="C1769" s="37" t="s">
        <v>3798</v>
      </c>
      <c r="D1769" s="55" t="s">
        <v>820</v>
      </c>
      <c r="E1769" s="58">
        <v>374.9</v>
      </c>
      <c r="F1769" s="57">
        <v>8.42</v>
      </c>
      <c r="G1769" s="57"/>
      <c r="H1769" s="49"/>
      <c r="I1769" s="49" t="str">
        <f t="shared" si="155"/>
        <v/>
      </c>
      <c r="J1769" s="37" t="str">
        <f t="shared" si="153"/>
        <v>에이팩트</v>
      </c>
      <c r="K1769" s="37" t="str">
        <f t="shared" si="154"/>
        <v>A200470</v>
      </c>
    </row>
    <row r="1770" spans="1:11" x14ac:dyDescent="0.4">
      <c r="A1770" s="49"/>
      <c r="B1770" s="54" t="s">
        <v>3799</v>
      </c>
      <c r="C1770" s="37" t="s">
        <v>3800</v>
      </c>
      <c r="D1770" s="55" t="s">
        <v>820</v>
      </c>
      <c r="E1770" s="56">
        <v>477.83</v>
      </c>
      <c r="F1770" s="55">
        <v>7.33</v>
      </c>
      <c r="G1770" s="55">
        <v>2</v>
      </c>
      <c r="I1770" s="49">
        <f t="shared" si="155"/>
        <v>477.84769999999997</v>
      </c>
      <c r="J1770" s="37" t="str">
        <f t="shared" si="153"/>
        <v>휴메딕스</v>
      </c>
      <c r="K1770" s="37" t="str">
        <f t="shared" si="154"/>
        <v>A200670</v>
      </c>
    </row>
    <row r="1771" spans="1:11" x14ac:dyDescent="0.4">
      <c r="A1771" s="49"/>
      <c r="B1771" s="54" t="s">
        <v>621</v>
      </c>
      <c r="C1771" s="37" t="s">
        <v>622</v>
      </c>
      <c r="D1771" s="55" t="s">
        <v>820</v>
      </c>
      <c r="E1771" s="58">
        <v>611.55999999999995</v>
      </c>
      <c r="F1771" s="57">
        <v>13.9</v>
      </c>
      <c r="G1771" s="57">
        <v>3</v>
      </c>
      <c r="H1771" s="49"/>
      <c r="I1771" s="49">
        <f t="shared" si="155"/>
        <v>611.57770999999991</v>
      </c>
      <c r="J1771" s="37" t="str">
        <f t="shared" si="153"/>
        <v>에이디테크놀로지</v>
      </c>
      <c r="K1771" s="37" t="str">
        <f t="shared" si="154"/>
        <v>A200710</v>
      </c>
    </row>
    <row r="1772" spans="1:11" x14ac:dyDescent="0.4">
      <c r="A1772" s="49"/>
      <c r="B1772" s="54" t="s">
        <v>3801</v>
      </c>
      <c r="C1772" s="37" t="s">
        <v>3802</v>
      </c>
      <c r="D1772" s="55" t="s">
        <v>820</v>
      </c>
      <c r="E1772" s="58">
        <v>54.82</v>
      </c>
      <c r="F1772" s="57">
        <v>0.1</v>
      </c>
      <c r="G1772" s="57"/>
      <c r="H1772" s="49"/>
      <c r="I1772" s="49" t="str">
        <f t="shared" si="155"/>
        <v/>
      </c>
      <c r="J1772" s="37" t="str">
        <f t="shared" si="153"/>
        <v>비씨월드제약</v>
      </c>
      <c r="K1772" s="37" t="str">
        <f t="shared" si="154"/>
        <v>A200780</v>
      </c>
    </row>
    <row r="1773" spans="1:11" x14ac:dyDescent="0.4">
      <c r="A1773" s="49"/>
      <c r="B1773" s="54" t="s">
        <v>3803</v>
      </c>
      <c r="C1773" s="37" t="s">
        <v>3804</v>
      </c>
      <c r="D1773" s="55" t="s">
        <v>805</v>
      </c>
      <c r="E1773" s="58">
        <v>448.4</v>
      </c>
      <c r="F1773" s="57">
        <v>3.95</v>
      </c>
      <c r="G1773" s="57"/>
      <c r="H1773" s="49"/>
      <c r="I1773" s="49" t="str">
        <f t="shared" si="155"/>
        <v/>
      </c>
      <c r="J1773" s="37" t="str">
        <f t="shared" si="153"/>
        <v>서연이화</v>
      </c>
      <c r="K1773" s="37" t="str">
        <f t="shared" si="154"/>
        <v>A200880</v>
      </c>
    </row>
    <row r="1774" spans="1:11" x14ac:dyDescent="0.4">
      <c r="A1774" s="49"/>
      <c r="B1774" s="54" t="s">
        <v>3805</v>
      </c>
      <c r="C1774" s="37" t="s">
        <v>3806</v>
      </c>
      <c r="D1774" s="55" t="s">
        <v>820</v>
      </c>
      <c r="E1774" s="58">
        <v>117.34</v>
      </c>
      <c r="F1774" s="57">
        <v>10.65</v>
      </c>
      <c r="G1774" s="57">
        <v>1</v>
      </c>
      <c r="H1774" s="49"/>
      <c r="I1774" s="49">
        <f t="shared" si="155"/>
        <v>117.35774000000001</v>
      </c>
      <c r="J1774" s="37" t="str">
        <f t="shared" si="153"/>
        <v>미투온</v>
      </c>
      <c r="K1774" s="37" t="str">
        <f t="shared" si="154"/>
        <v>A201490</v>
      </c>
    </row>
    <row r="1775" spans="1:11" x14ac:dyDescent="0.4">
      <c r="A1775" s="49"/>
      <c r="B1775" s="54" t="s">
        <v>3807</v>
      </c>
      <c r="C1775" s="37" t="s">
        <v>3808</v>
      </c>
      <c r="D1775" s="55" t="s">
        <v>820</v>
      </c>
      <c r="E1775" s="58">
        <v>284.27</v>
      </c>
      <c r="F1775" s="57">
        <v>5.24</v>
      </c>
      <c r="G1775" s="57"/>
      <c r="H1775" s="49"/>
      <c r="I1775" s="49" t="str">
        <f t="shared" si="155"/>
        <v/>
      </c>
      <c r="J1775" s="37" t="str">
        <f t="shared" si="153"/>
        <v>에이비온</v>
      </c>
      <c r="K1775" s="37" t="str">
        <f t="shared" si="154"/>
        <v>A203400</v>
      </c>
    </row>
    <row r="1776" spans="1:11" x14ac:dyDescent="0.4">
      <c r="A1776" s="49"/>
      <c r="B1776" s="54" t="s">
        <v>3809</v>
      </c>
      <c r="C1776" s="37" t="s">
        <v>3810</v>
      </c>
      <c r="D1776" s="55" t="s">
        <v>820</v>
      </c>
      <c r="E1776" s="56">
        <v>45.55</v>
      </c>
      <c r="F1776" s="55">
        <v>0.32</v>
      </c>
      <c r="G1776" s="55"/>
      <c r="I1776" s="49" t="str">
        <f t="shared" si="155"/>
        <v/>
      </c>
      <c r="J1776" s="37" t="str">
        <f t="shared" si="153"/>
        <v>유니온바이오메트릭스</v>
      </c>
      <c r="K1776" s="37" t="str">
        <f t="shared" si="154"/>
        <v>A203450</v>
      </c>
    </row>
    <row r="1777" spans="1:11" x14ac:dyDescent="0.4">
      <c r="A1777" s="49"/>
      <c r="B1777" s="54" t="s">
        <v>3811</v>
      </c>
      <c r="C1777" s="37" t="s">
        <v>3812</v>
      </c>
      <c r="D1777" s="55" t="s">
        <v>820</v>
      </c>
      <c r="E1777" s="57">
        <v>156.84</v>
      </c>
      <c r="F1777" s="55">
        <v>1.44</v>
      </c>
      <c r="G1777" s="55"/>
      <c r="I1777" s="49" t="str">
        <f t="shared" si="155"/>
        <v/>
      </c>
      <c r="J1777" s="37" t="str">
        <f t="shared" si="153"/>
        <v>드림시큐리티</v>
      </c>
      <c r="K1777" s="37" t="str">
        <f t="shared" si="154"/>
        <v>A203650</v>
      </c>
    </row>
    <row r="1778" spans="1:11" x14ac:dyDescent="0.4">
      <c r="A1778" s="49"/>
      <c r="B1778" s="54" t="s">
        <v>3813</v>
      </c>
      <c r="C1778" s="37" t="s">
        <v>3814</v>
      </c>
      <c r="D1778" s="55" t="s">
        <v>820</v>
      </c>
      <c r="E1778" s="56">
        <v>89.2</v>
      </c>
      <c r="F1778" s="55">
        <v>0</v>
      </c>
      <c r="G1778" s="55"/>
      <c r="J1778" s="37" t="str">
        <f t="shared" si="153"/>
        <v>아크솔루션스</v>
      </c>
      <c r="K1778" s="37" t="str">
        <f t="shared" si="154"/>
        <v>A203690</v>
      </c>
    </row>
    <row r="1779" spans="1:11" x14ac:dyDescent="0.4">
      <c r="A1779" s="49"/>
      <c r="B1779" s="54" t="s">
        <v>3815</v>
      </c>
      <c r="C1779" s="37" t="s">
        <v>3816</v>
      </c>
      <c r="D1779" s="55" t="s">
        <v>820</v>
      </c>
      <c r="E1779" s="58">
        <v>41.62</v>
      </c>
      <c r="F1779" s="57">
        <v>0.19</v>
      </c>
      <c r="G1779" s="57"/>
      <c r="H1779" s="49"/>
      <c r="I1779" s="49" t="str">
        <f t="shared" ref="I1779:I1790" si="156">IF((G1779&gt;$G$8),E1779+ROW()/100000,"")</f>
        <v/>
      </c>
      <c r="J1779" s="37" t="str">
        <f t="shared" si="153"/>
        <v>그리티</v>
      </c>
      <c r="K1779" s="37" t="str">
        <f t="shared" si="154"/>
        <v>A204020</v>
      </c>
    </row>
    <row r="1780" spans="1:11" x14ac:dyDescent="0.4">
      <c r="A1780" s="49"/>
      <c r="B1780" s="54" t="s">
        <v>3817</v>
      </c>
      <c r="C1780" s="37" t="s">
        <v>3818</v>
      </c>
      <c r="D1780" s="55" t="s">
        <v>820</v>
      </c>
      <c r="E1780" s="56">
        <v>1284.24</v>
      </c>
      <c r="F1780" s="55">
        <v>8.86</v>
      </c>
      <c r="G1780" s="55"/>
      <c r="I1780" s="49" t="str">
        <f t="shared" si="156"/>
        <v/>
      </c>
      <c r="J1780" s="37" t="str">
        <f t="shared" si="153"/>
        <v>제이앤티씨</v>
      </c>
      <c r="K1780" s="37" t="str">
        <f t="shared" si="154"/>
        <v>A204270</v>
      </c>
    </row>
    <row r="1781" spans="1:11" x14ac:dyDescent="0.4">
      <c r="A1781" s="49"/>
      <c r="B1781" s="54" t="s">
        <v>571</v>
      </c>
      <c r="C1781" s="37" t="s">
        <v>572</v>
      </c>
      <c r="D1781" s="55" t="s">
        <v>805</v>
      </c>
      <c r="E1781" s="58">
        <v>2948.91</v>
      </c>
      <c r="F1781" s="57">
        <v>55.52</v>
      </c>
      <c r="G1781" s="57">
        <v>21</v>
      </c>
      <c r="H1781" s="49"/>
      <c r="I1781" s="49">
        <f t="shared" si="156"/>
        <v>2948.9278099999997</v>
      </c>
      <c r="J1781" s="37" t="str">
        <f t="shared" si="153"/>
        <v>HL만도</v>
      </c>
      <c r="K1781" s="37" t="str">
        <f t="shared" si="154"/>
        <v>A204320</v>
      </c>
    </row>
    <row r="1782" spans="1:11" x14ac:dyDescent="0.4">
      <c r="A1782" s="49"/>
      <c r="B1782" s="54" t="s">
        <v>3819</v>
      </c>
      <c r="C1782" s="37" t="s">
        <v>3820</v>
      </c>
      <c r="D1782" s="55" t="s">
        <v>820</v>
      </c>
      <c r="E1782" s="58">
        <v>132.35</v>
      </c>
      <c r="F1782" s="57">
        <v>0.69</v>
      </c>
      <c r="G1782" s="57"/>
      <c r="H1782" s="49"/>
      <c r="I1782" s="49" t="str">
        <f t="shared" si="156"/>
        <v/>
      </c>
      <c r="J1782" s="37" t="str">
        <f t="shared" si="153"/>
        <v>티쓰리</v>
      </c>
      <c r="K1782" s="37" t="str">
        <f t="shared" si="154"/>
        <v>A204610</v>
      </c>
    </row>
    <row r="1783" spans="1:11" x14ac:dyDescent="0.4">
      <c r="A1783" s="49"/>
      <c r="B1783" s="54" t="s">
        <v>3821</v>
      </c>
      <c r="C1783" s="37" t="s">
        <v>3822</v>
      </c>
      <c r="D1783" s="55" t="s">
        <v>820</v>
      </c>
      <c r="E1783" s="56">
        <v>345.09</v>
      </c>
      <c r="F1783" s="55">
        <v>12.25</v>
      </c>
      <c r="G1783" s="55"/>
      <c r="I1783" s="49" t="str">
        <f t="shared" si="156"/>
        <v/>
      </c>
      <c r="J1783" s="37" t="str">
        <f t="shared" si="153"/>
        <v>글로벌텍스프리</v>
      </c>
      <c r="K1783" s="37" t="str">
        <f t="shared" si="154"/>
        <v>A204620</v>
      </c>
    </row>
    <row r="1784" spans="1:11" x14ac:dyDescent="0.4">
      <c r="A1784" s="49"/>
      <c r="B1784" s="54" t="s">
        <v>3823</v>
      </c>
      <c r="C1784" s="37" t="s">
        <v>3824</v>
      </c>
      <c r="D1784" s="55" t="s">
        <v>5159</v>
      </c>
      <c r="E1784" s="58">
        <v>23.67</v>
      </c>
      <c r="F1784" s="57">
        <v>0</v>
      </c>
      <c r="G1784" s="57"/>
      <c r="H1784" s="49"/>
      <c r="I1784" s="49" t="str">
        <f t="shared" si="156"/>
        <v/>
      </c>
      <c r="J1784" s="37" t="str">
        <f t="shared" si="153"/>
        <v>스튜디오산타클로스</v>
      </c>
      <c r="K1784" s="37" t="str">
        <f t="shared" si="154"/>
        <v>A204630</v>
      </c>
    </row>
    <row r="1785" spans="1:11" x14ac:dyDescent="0.4">
      <c r="A1785" s="49"/>
      <c r="B1785" s="54" t="s">
        <v>3825</v>
      </c>
      <c r="C1785" s="37" t="s">
        <v>3826</v>
      </c>
      <c r="D1785" s="55" t="s">
        <v>820</v>
      </c>
      <c r="E1785" s="56">
        <v>84.14</v>
      </c>
      <c r="F1785" s="55">
        <v>0.34</v>
      </c>
      <c r="G1785" s="55"/>
      <c r="I1785" s="49" t="str">
        <f t="shared" si="156"/>
        <v/>
      </c>
      <c r="J1785" s="37" t="str">
        <f t="shared" si="153"/>
        <v>지엘팜텍</v>
      </c>
      <c r="K1785" s="37" t="str">
        <f t="shared" si="154"/>
        <v>A204840</v>
      </c>
    </row>
    <row r="1786" spans="1:11" x14ac:dyDescent="0.4">
      <c r="A1786" s="49"/>
      <c r="B1786" s="54" t="s">
        <v>3827</v>
      </c>
      <c r="C1786" s="37" t="s">
        <v>3828</v>
      </c>
      <c r="D1786" s="55" t="s">
        <v>820</v>
      </c>
      <c r="E1786" s="58">
        <v>136.35</v>
      </c>
      <c r="F1786" s="57">
        <v>2.13</v>
      </c>
      <c r="G1786" s="57"/>
      <c r="H1786" s="49"/>
      <c r="I1786" s="49" t="str">
        <f t="shared" si="156"/>
        <v/>
      </c>
      <c r="J1786" s="37" t="str">
        <f t="shared" si="153"/>
        <v>엑셈</v>
      </c>
      <c r="K1786" s="37" t="str">
        <f t="shared" si="154"/>
        <v>A205100</v>
      </c>
    </row>
    <row r="1787" spans="1:11" x14ac:dyDescent="0.4">
      <c r="A1787" s="49"/>
      <c r="B1787" s="54" t="s">
        <v>3829</v>
      </c>
      <c r="C1787" s="37" t="s">
        <v>3830</v>
      </c>
      <c r="D1787" s="55" t="s">
        <v>820</v>
      </c>
      <c r="E1787" s="56">
        <v>102.59</v>
      </c>
      <c r="F1787" s="55">
        <v>1.1499999999999999</v>
      </c>
      <c r="G1787" s="55"/>
      <c r="I1787" s="49" t="str">
        <f t="shared" si="156"/>
        <v/>
      </c>
      <c r="J1787" s="37" t="str">
        <f t="shared" si="153"/>
        <v>휴마시스</v>
      </c>
      <c r="K1787" s="37" t="str">
        <f t="shared" si="154"/>
        <v>A205470</v>
      </c>
    </row>
    <row r="1788" spans="1:11" x14ac:dyDescent="0.4">
      <c r="A1788" s="49"/>
      <c r="B1788" s="54" t="s">
        <v>3831</v>
      </c>
      <c r="C1788" s="37" t="s">
        <v>3832</v>
      </c>
      <c r="D1788" s="55" t="s">
        <v>820</v>
      </c>
      <c r="E1788" s="56">
        <v>107.18</v>
      </c>
      <c r="F1788" s="55">
        <v>0.75</v>
      </c>
      <c r="G1788" s="55"/>
      <c r="I1788" s="49" t="str">
        <f t="shared" si="156"/>
        <v/>
      </c>
      <c r="J1788" s="37" t="str">
        <f t="shared" si="153"/>
        <v>넥써쓰</v>
      </c>
      <c r="K1788" s="37" t="str">
        <f t="shared" si="154"/>
        <v>A205500</v>
      </c>
    </row>
    <row r="1789" spans="1:11" x14ac:dyDescent="0.4">
      <c r="A1789" s="49"/>
      <c r="B1789" s="54" t="s">
        <v>3833</v>
      </c>
      <c r="C1789" s="37" t="s">
        <v>3834</v>
      </c>
      <c r="D1789" s="55" t="s">
        <v>820</v>
      </c>
      <c r="E1789" s="58">
        <v>47.9</v>
      </c>
      <c r="F1789" s="57">
        <v>0.56000000000000005</v>
      </c>
      <c r="G1789" s="57"/>
      <c r="H1789" s="49"/>
      <c r="I1789" s="49" t="str">
        <f t="shared" si="156"/>
        <v/>
      </c>
      <c r="J1789" s="37" t="str">
        <f t="shared" si="153"/>
        <v>베노티앤알</v>
      </c>
      <c r="K1789" s="37" t="str">
        <f t="shared" si="154"/>
        <v>A206400</v>
      </c>
    </row>
    <row r="1790" spans="1:11" x14ac:dyDescent="0.4">
      <c r="A1790" s="49"/>
      <c r="B1790" s="54" t="s">
        <v>3835</v>
      </c>
      <c r="C1790" s="37" t="s">
        <v>3836</v>
      </c>
      <c r="D1790" s="55" t="s">
        <v>820</v>
      </c>
      <c r="E1790" s="58">
        <v>85.89</v>
      </c>
      <c r="F1790" s="57">
        <v>0.33</v>
      </c>
      <c r="G1790" s="57"/>
      <c r="H1790" s="49"/>
      <c r="I1790" s="49" t="str">
        <f t="shared" si="156"/>
        <v/>
      </c>
      <c r="J1790" s="37" t="str">
        <f t="shared" si="153"/>
        <v>덱스터</v>
      </c>
      <c r="K1790" s="37" t="str">
        <f t="shared" si="154"/>
        <v>A206560</v>
      </c>
    </row>
    <row r="1791" spans="1:11" x14ac:dyDescent="0.4">
      <c r="B1791" s="54" t="s">
        <v>3837</v>
      </c>
      <c r="C1791" s="37" t="s">
        <v>3838</v>
      </c>
      <c r="D1791" s="55" t="s">
        <v>820</v>
      </c>
      <c r="E1791" s="56">
        <v>312.83999999999997</v>
      </c>
      <c r="F1791" s="55">
        <v>0.76</v>
      </c>
      <c r="G1791" s="55"/>
      <c r="J1791" s="37" t="str">
        <f t="shared" si="153"/>
        <v>바디텍메드</v>
      </c>
      <c r="K1791" s="37" t="str">
        <f t="shared" si="154"/>
        <v>A206640</v>
      </c>
    </row>
    <row r="1792" spans="1:11" x14ac:dyDescent="0.4">
      <c r="A1792" s="49"/>
      <c r="B1792" s="54" t="s">
        <v>3839</v>
      </c>
      <c r="C1792" s="37" t="s">
        <v>3840</v>
      </c>
      <c r="D1792" s="55" t="s">
        <v>820</v>
      </c>
      <c r="E1792" s="56">
        <v>549.01</v>
      </c>
      <c r="F1792" s="55">
        <v>4.4800000000000004</v>
      </c>
      <c r="G1792" s="55"/>
      <c r="I1792" s="49" t="str">
        <f t="shared" ref="I1792:I1809" si="157">IF((G1792&gt;$G$8),E1792+ROW()/100000,"")</f>
        <v/>
      </c>
      <c r="J1792" s="37" t="str">
        <f t="shared" si="153"/>
        <v>유바이오로직스</v>
      </c>
      <c r="K1792" s="37" t="str">
        <f t="shared" si="154"/>
        <v>A206650</v>
      </c>
    </row>
    <row r="1793" spans="1:11" x14ac:dyDescent="0.4">
      <c r="A1793" s="49"/>
      <c r="B1793" s="54" t="s">
        <v>3841</v>
      </c>
      <c r="C1793" s="37" t="s">
        <v>3842</v>
      </c>
      <c r="D1793" s="55" t="s">
        <v>820</v>
      </c>
      <c r="E1793" s="58">
        <v>93.05</v>
      </c>
      <c r="F1793" s="57">
        <v>3.58</v>
      </c>
      <c r="G1793" s="57"/>
      <c r="H1793" s="49"/>
      <c r="I1793" s="49" t="str">
        <f t="shared" si="157"/>
        <v/>
      </c>
      <c r="J1793" s="37" t="str">
        <f t="shared" si="153"/>
        <v>미스터블루</v>
      </c>
      <c r="K1793" s="37" t="str">
        <f t="shared" si="154"/>
        <v>A207760</v>
      </c>
    </row>
    <row r="1794" spans="1:11" x14ac:dyDescent="0.4">
      <c r="A1794" s="49"/>
      <c r="B1794" s="54" t="s">
        <v>559</v>
      </c>
      <c r="C1794" s="37" t="s">
        <v>560</v>
      </c>
      <c r="D1794" s="55" t="s">
        <v>805</v>
      </c>
      <c r="E1794" s="58">
        <v>82305.31</v>
      </c>
      <c r="F1794" s="57">
        <v>94.49</v>
      </c>
      <c r="G1794" s="57">
        <v>3</v>
      </c>
      <c r="H1794" s="49"/>
      <c r="I1794" s="49">
        <f t="shared" si="157"/>
        <v>82305.327940000003</v>
      </c>
      <c r="J1794" s="37" t="str">
        <f t="shared" si="153"/>
        <v>삼성바이오로직스</v>
      </c>
      <c r="K1794" s="37" t="str">
        <f t="shared" si="154"/>
        <v>A207940</v>
      </c>
    </row>
    <row r="1795" spans="1:11" x14ac:dyDescent="0.4">
      <c r="A1795" s="49"/>
      <c r="B1795" s="54" t="s">
        <v>3843</v>
      </c>
      <c r="C1795" s="37" t="s">
        <v>3844</v>
      </c>
      <c r="D1795" s="55" t="s">
        <v>820</v>
      </c>
      <c r="E1795" s="58">
        <v>89.39</v>
      </c>
      <c r="F1795" s="57">
        <v>0.31</v>
      </c>
      <c r="G1795" s="57"/>
      <c r="H1795" s="49"/>
      <c r="I1795" s="49" t="str">
        <f t="shared" si="157"/>
        <v/>
      </c>
      <c r="J1795" s="37" t="str">
        <f t="shared" si="153"/>
        <v>정다운</v>
      </c>
      <c r="K1795" s="37" t="str">
        <f t="shared" si="154"/>
        <v>A208140</v>
      </c>
    </row>
    <row r="1796" spans="1:11" x14ac:dyDescent="0.4">
      <c r="A1796" s="49"/>
      <c r="B1796" s="54" t="s">
        <v>3845</v>
      </c>
      <c r="C1796" s="37" t="s">
        <v>3846</v>
      </c>
      <c r="D1796" s="55" t="s">
        <v>820</v>
      </c>
      <c r="E1796" s="58">
        <v>23.85</v>
      </c>
      <c r="F1796" s="57">
        <v>0.1</v>
      </c>
      <c r="G1796" s="57"/>
      <c r="H1796" s="49"/>
      <c r="I1796" s="49" t="str">
        <f t="shared" si="157"/>
        <v/>
      </c>
      <c r="J1796" s="37" t="str">
        <f t="shared" si="153"/>
        <v>지란지교시큐리티</v>
      </c>
      <c r="K1796" s="37" t="str">
        <f t="shared" si="154"/>
        <v>A208350</v>
      </c>
    </row>
    <row r="1797" spans="1:11" x14ac:dyDescent="0.4">
      <c r="A1797" s="49"/>
      <c r="B1797" s="54" t="s">
        <v>3847</v>
      </c>
      <c r="C1797" s="37" t="s">
        <v>3848</v>
      </c>
      <c r="D1797" s="55" t="s">
        <v>820</v>
      </c>
      <c r="E1797" s="58">
        <v>129.72999999999999</v>
      </c>
      <c r="F1797" s="57">
        <v>7.8</v>
      </c>
      <c r="G1797" s="57"/>
      <c r="H1797" s="49"/>
      <c r="I1797" s="49" t="str">
        <f t="shared" si="157"/>
        <v/>
      </c>
      <c r="J1797" s="37" t="str">
        <f t="shared" si="153"/>
        <v>셀바스헬스케어</v>
      </c>
      <c r="K1797" s="37" t="str">
        <f t="shared" si="154"/>
        <v>A208370</v>
      </c>
    </row>
    <row r="1798" spans="1:11" x14ac:dyDescent="0.4">
      <c r="A1798" s="49"/>
      <c r="B1798" s="54" t="s">
        <v>3849</v>
      </c>
      <c r="C1798" s="37" t="s">
        <v>3850</v>
      </c>
      <c r="D1798" s="55" t="s">
        <v>820</v>
      </c>
      <c r="E1798" s="58">
        <v>29.1</v>
      </c>
      <c r="F1798" s="57">
        <v>1.5</v>
      </c>
      <c r="G1798" s="57"/>
      <c r="H1798" s="49"/>
      <c r="I1798" s="49" t="str">
        <f t="shared" si="157"/>
        <v/>
      </c>
      <c r="J1798" s="37" t="str">
        <f t="shared" si="153"/>
        <v>썸에이지</v>
      </c>
      <c r="K1798" s="37" t="str">
        <f t="shared" si="154"/>
        <v>A208640</v>
      </c>
    </row>
    <row r="1799" spans="1:11" x14ac:dyDescent="0.4">
      <c r="A1799" s="49"/>
      <c r="B1799" s="54" t="s">
        <v>3851</v>
      </c>
      <c r="C1799" s="37" t="s">
        <v>3852</v>
      </c>
      <c r="D1799" s="55" t="s">
        <v>820</v>
      </c>
      <c r="E1799" s="58">
        <v>27.74</v>
      </c>
      <c r="F1799" s="57">
        <v>1.69</v>
      </c>
      <c r="G1799" s="57"/>
      <c r="H1799" s="49"/>
      <c r="I1799" s="49" t="str">
        <f t="shared" si="157"/>
        <v/>
      </c>
      <c r="J1799" s="37" t="str">
        <f t="shared" si="153"/>
        <v>포톤</v>
      </c>
      <c r="K1799" s="37" t="str">
        <f t="shared" si="154"/>
        <v>A208710</v>
      </c>
    </row>
    <row r="1800" spans="1:11" x14ac:dyDescent="0.4">
      <c r="A1800" s="49"/>
      <c r="B1800" s="54" t="s">
        <v>3853</v>
      </c>
      <c r="C1800" s="37" t="s">
        <v>3854</v>
      </c>
      <c r="D1800" s="55" t="s">
        <v>820</v>
      </c>
      <c r="E1800" s="58">
        <v>55.51</v>
      </c>
      <c r="F1800" s="57">
        <v>0.36</v>
      </c>
      <c r="G1800" s="57"/>
      <c r="H1800" s="49"/>
      <c r="I1800" s="49" t="str">
        <f t="shared" si="157"/>
        <v/>
      </c>
      <c r="J1800" s="37" t="str">
        <f t="shared" si="153"/>
        <v>다산디엠씨</v>
      </c>
      <c r="K1800" s="37" t="str">
        <f t="shared" si="154"/>
        <v>A208860</v>
      </c>
    </row>
    <row r="1801" spans="1:11" x14ac:dyDescent="0.4">
      <c r="A1801" s="49"/>
      <c r="B1801" s="54" t="s">
        <v>3855</v>
      </c>
      <c r="C1801" s="37" t="s">
        <v>3856</v>
      </c>
      <c r="D1801" s="55" t="s">
        <v>820</v>
      </c>
      <c r="E1801" s="58">
        <v>121.45</v>
      </c>
      <c r="F1801" s="57">
        <v>9.32</v>
      </c>
      <c r="G1801" s="57"/>
      <c r="H1801" s="49"/>
      <c r="I1801" s="49" t="str">
        <f t="shared" si="157"/>
        <v/>
      </c>
      <c r="J1801" s="37" t="str">
        <f t="shared" si="153"/>
        <v>와이제이링크</v>
      </c>
      <c r="K1801" s="37" t="str">
        <f t="shared" si="154"/>
        <v>A209640</v>
      </c>
    </row>
    <row r="1802" spans="1:11" x14ac:dyDescent="0.4">
      <c r="A1802" s="49"/>
      <c r="B1802" s="54" t="s">
        <v>3857</v>
      </c>
      <c r="C1802" s="37" t="s">
        <v>3858</v>
      </c>
      <c r="D1802" s="55" t="s">
        <v>820</v>
      </c>
      <c r="E1802" s="58">
        <v>32.619999999999997</v>
      </c>
      <c r="F1802" s="57">
        <v>2.2599999999999998</v>
      </c>
      <c r="G1802" s="57"/>
      <c r="H1802" s="49"/>
      <c r="I1802" s="49" t="str">
        <f t="shared" si="157"/>
        <v/>
      </c>
      <c r="J1802" s="37" t="str">
        <f t="shared" si="153"/>
        <v>캔버스엔</v>
      </c>
      <c r="K1802" s="37" t="str">
        <f t="shared" si="154"/>
        <v>A210120</v>
      </c>
    </row>
    <row r="1803" spans="1:11" x14ac:dyDescent="0.4">
      <c r="A1803" s="49"/>
      <c r="B1803" s="54" t="s">
        <v>3859</v>
      </c>
      <c r="C1803" s="37" t="s">
        <v>3860</v>
      </c>
      <c r="D1803" s="55" t="s">
        <v>805</v>
      </c>
      <c r="E1803" s="58">
        <v>160.66</v>
      </c>
      <c r="F1803" s="57">
        <v>0.8</v>
      </c>
      <c r="G1803" s="57"/>
      <c r="H1803" s="49"/>
      <c r="I1803" s="49" t="str">
        <f t="shared" si="157"/>
        <v/>
      </c>
      <c r="J1803" s="37" t="str">
        <f t="shared" si="153"/>
        <v>디와이파워</v>
      </c>
      <c r="K1803" s="37" t="str">
        <f t="shared" si="154"/>
        <v>A210540</v>
      </c>
    </row>
    <row r="1804" spans="1:11" x14ac:dyDescent="0.4">
      <c r="A1804" s="49"/>
      <c r="B1804" s="54" t="s">
        <v>3861</v>
      </c>
      <c r="C1804" s="37" t="s">
        <v>3862</v>
      </c>
      <c r="D1804" s="55" t="s">
        <v>805</v>
      </c>
      <c r="E1804" s="58">
        <v>240.72</v>
      </c>
      <c r="F1804" s="57">
        <v>1.17</v>
      </c>
      <c r="G1804" s="57"/>
      <c r="H1804" s="49"/>
      <c r="I1804" s="49" t="str">
        <f t="shared" si="157"/>
        <v/>
      </c>
      <c r="J1804" s="37" t="str">
        <f t="shared" si="153"/>
        <v>SK디앤디</v>
      </c>
      <c r="K1804" s="37" t="str">
        <f t="shared" si="154"/>
        <v>A210980</v>
      </c>
    </row>
    <row r="1805" spans="1:11" x14ac:dyDescent="0.4">
      <c r="A1805" s="49"/>
      <c r="B1805" s="54" t="s">
        <v>3863</v>
      </c>
      <c r="C1805" s="37" t="s">
        <v>3864</v>
      </c>
      <c r="D1805" s="55" t="s">
        <v>820</v>
      </c>
      <c r="E1805" s="58">
        <v>692.15</v>
      </c>
      <c r="F1805" s="57">
        <v>2.37</v>
      </c>
      <c r="G1805" s="57">
        <v>1</v>
      </c>
      <c r="H1805" s="49"/>
      <c r="I1805" s="49">
        <f t="shared" si="157"/>
        <v>692.16804999999999</v>
      </c>
      <c r="J1805" s="37" t="str">
        <f t="shared" si="153"/>
        <v>인카금융서비스</v>
      </c>
      <c r="K1805" s="37" t="str">
        <f t="shared" si="154"/>
        <v>A211050</v>
      </c>
    </row>
    <row r="1806" spans="1:11" x14ac:dyDescent="0.4">
      <c r="A1806" s="49"/>
      <c r="B1806" s="54" t="s">
        <v>3865</v>
      </c>
      <c r="C1806" s="37" t="s">
        <v>3866</v>
      </c>
      <c r="D1806" s="55" t="s">
        <v>820</v>
      </c>
      <c r="E1806" s="58">
        <v>257</v>
      </c>
      <c r="F1806" s="57">
        <v>10.73</v>
      </c>
      <c r="G1806" s="57">
        <v>2</v>
      </c>
      <c r="H1806" s="49"/>
      <c r="I1806" s="49">
        <f t="shared" si="157"/>
        <v>257.01805999999999</v>
      </c>
      <c r="J1806" s="37" t="str">
        <f t="shared" ref="J1806:J1869" si="158">C1806</f>
        <v>AP위성</v>
      </c>
      <c r="K1806" s="37" t="str">
        <f t="shared" ref="K1806:K1869" si="159">B1806</f>
        <v>A211270</v>
      </c>
    </row>
    <row r="1807" spans="1:11" x14ac:dyDescent="0.4">
      <c r="A1807" s="49"/>
      <c r="B1807" s="54" t="s">
        <v>3867</v>
      </c>
      <c r="C1807" s="37" t="s">
        <v>3868</v>
      </c>
      <c r="D1807" s="55" t="s">
        <v>820</v>
      </c>
      <c r="E1807" s="58">
        <v>115.17</v>
      </c>
      <c r="F1807" s="57">
        <v>3.14</v>
      </c>
      <c r="G1807" s="57"/>
      <c r="H1807" s="49"/>
      <c r="I1807" s="49" t="str">
        <f t="shared" si="157"/>
        <v/>
      </c>
      <c r="J1807" s="37" t="str">
        <f t="shared" si="158"/>
        <v>네오오토</v>
      </c>
      <c r="K1807" s="37" t="str">
        <f t="shared" si="159"/>
        <v>A212560</v>
      </c>
    </row>
    <row r="1808" spans="1:11" x14ac:dyDescent="0.4">
      <c r="A1808" s="49"/>
      <c r="B1808" s="54" t="s">
        <v>3869</v>
      </c>
      <c r="C1808" s="37" t="s">
        <v>3870</v>
      </c>
      <c r="D1808" s="55" t="s">
        <v>820</v>
      </c>
      <c r="E1808" s="58">
        <v>85.84</v>
      </c>
      <c r="F1808" s="57">
        <v>4.4400000000000004</v>
      </c>
      <c r="G1808" s="57"/>
      <c r="H1808" s="49"/>
      <c r="I1808" s="49" t="str">
        <f t="shared" si="157"/>
        <v/>
      </c>
      <c r="J1808" s="37" t="str">
        <f t="shared" si="158"/>
        <v>아이에스티이</v>
      </c>
      <c r="K1808" s="37" t="str">
        <f t="shared" si="159"/>
        <v>A212710</v>
      </c>
    </row>
    <row r="1809" spans="1:11" x14ac:dyDescent="0.4">
      <c r="A1809" s="49"/>
      <c r="B1809" s="54" t="s">
        <v>420</v>
      </c>
      <c r="C1809" s="37" t="s">
        <v>421</v>
      </c>
      <c r="D1809" s="55" t="s">
        <v>820</v>
      </c>
      <c r="E1809" s="58">
        <v>1036.7</v>
      </c>
      <c r="F1809" s="57">
        <v>9.01</v>
      </c>
      <c r="G1809" s="57">
        <v>8</v>
      </c>
      <c r="H1809" s="49"/>
      <c r="I1809" s="49">
        <f t="shared" si="157"/>
        <v>1036.7180900000001</v>
      </c>
      <c r="J1809" s="37" t="str">
        <f t="shared" si="158"/>
        <v>덕산네오룩스</v>
      </c>
      <c r="K1809" s="37" t="str">
        <f t="shared" si="159"/>
        <v>A213420</v>
      </c>
    </row>
    <row r="1810" spans="1:11" x14ac:dyDescent="0.4">
      <c r="B1810" s="54" t="s">
        <v>3871</v>
      </c>
      <c r="C1810" s="37" t="s">
        <v>3872</v>
      </c>
      <c r="D1810" s="55" t="s">
        <v>805</v>
      </c>
      <c r="E1810" s="56">
        <v>210.4</v>
      </c>
      <c r="F1810" s="55">
        <v>0.5</v>
      </c>
      <c r="G1810" s="55">
        <v>2</v>
      </c>
      <c r="J1810" s="37" t="str">
        <f t="shared" si="158"/>
        <v>한솔제지</v>
      </c>
      <c r="K1810" s="37" t="str">
        <f t="shared" si="159"/>
        <v>A213500</v>
      </c>
    </row>
    <row r="1811" spans="1:11" x14ac:dyDescent="0.4">
      <c r="A1811" s="49"/>
      <c r="B1811" s="54" t="s">
        <v>675</v>
      </c>
      <c r="C1811" s="37" t="s">
        <v>676</v>
      </c>
      <c r="D1811" s="55" t="s">
        <v>820</v>
      </c>
      <c r="E1811" s="58">
        <v>3825.53</v>
      </c>
      <c r="F1811" s="57">
        <v>21.77</v>
      </c>
      <c r="G1811" s="57">
        <v>12</v>
      </c>
      <c r="H1811" s="49"/>
      <c r="I1811" s="49">
        <f t="shared" ref="I1811:I1821" si="160">IF((G1811&gt;$G$8),E1811+ROW()/100000,"")</f>
        <v>3825.5481100000002</v>
      </c>
      <c r="J1811" s="37" t="str">
        <f t="shared" si="158"/>
        <v>클래시스</v>
      </c>
      <c r="K1811" s="37" t="str">
        <f t="shared" si="159"/>
        <v>A214150</v>
      </c>
    </row>
    <row r="1812" spans="1:11" x14ac:dyDescent="0.4">
      <c r="A1812" s="49"/>
      <c r="B1812" s="54" t="s">
        <v>3873</v>
      </c>
      <c r="C1812" s="37" t="s">
        <v>3874</v>
      </c>
      <c r="D1812" s="55" t="s">
        <v>820</v>
      </c>
      <c r="E1812" s="56">
        <v>293.64999999999998</v>
      </c>
      <c r="F1812" s="55">
        <v>4.03</v>
      </c>
      <c r="G1812" s="55"/>
      <c r="I1812" s="49" t="str">
        <f t="shared" si="160"/>
        <v/>
      </c>
      <c r="J1812" s="37" t="str">
        <f t="shared" si="158"/>
        <v>헥토이노베이션</v>
      </c>
      <c r="K1812" s="37" t="str">
        <f t="shared" si="159"/>
        <v>A214180</v>
      </c>
    </row>
    <row r="1813" spans="1:11" x14ac:dyDescent="0.4">
      <c r="A1813" s="49"/>
      <c r="B1813" s="54" t="s">
        <v>3875</v>
      </c>
      <c r="C1813" s="37" t="s">
        <v>3876</v>
      </c>
      <c r="D1813" s="55" t="s">
        <v>820</v>
      </c>
      <c r="E1813" s="58">
        <v>96.54</v>
      </c>
      <c r="F1813" s="57">
        <v>0.64</v>
      </c>
      <c r="G1813" s="57"/>
      <c r="H1813" s="49"/>
      <c r="I1813" s="49" t="str">
        <f t="shared" si="160"/>
        <v/>
      </c>
      <c r="J1813" s="37" t="str">
        <f t="shared" si="158"/>
        <v>라파스</v>
      </c>
      <c r="K1813" s="37" t="str">
        <f t="shared" si="159"/>
        <v>A214260</v>
      </c>
    </row>
    <row r="1814" spans="1:11" x14ac:dyDescent="0.4">
      <c r="A1814" s="49"/>
      <c r="B1814" s="54" t="s">
        <v>3877</v>
      </c>
      <c r="C1814" s="37" t="s">
        <v>3878</v>
      </c>
      <c r="D1814" s="55" t="s">
        <v>820</v>
      </c>
      <c r="E1814" s="58">
        <v>95.68</v>
      </c>
      <c r="F1814" s="57">
        <v>0.69</v>
      </c>
      <c r="G1814" s="57"/>
      <c r="H1814" s="49"/>
      <c r="I1814" s="49" t="str">
        <f t="shared" si="160"/>
        <v/>
      </c>
      <c r="J1814" s="37" t="str">
        <f t="shared" si="158"/>
        <v>FSN</v>
      </c>
      <c r="K1814" s="37" t="str">
        <f t="shared" si="159"/>
        <v>A214270</v>
      </c>
    </row>
    <row r="1815" spans="1:11" x14ac:dyDescent="0.4">
      <c r="A1815" s="49"/>
      <c r="B1815" s="54" t="s">
        <v>194</v>
      </c>
      <c r="C1815" s="37" t="s">
        <v>195</v>
      </c>
      <c r="D1815" s="55" t="s">
        <v>805</v>
      </c>
      <c r="E1815" s="56">
        <v>802</v>
      </c>
      <c r="F1815" s="55">
        <v>3.2</v>
      </c>
      <c r="G1815" s="55">
        <v>11</v>
      </c>
      <c r="I1815" s="49">
        <f t="shared" si="160"/>
        <v>802.01814999999999</v>
      </c>
      <c r="J1815" s="37" t="str">
        <f t="shared" si="158"/>
        <v>이노션</v>
      </c>
      <c r="K1815" s="37" t="str">
        <f t="shared" si="159"/>
        <v>A214320</v>
      </c>
    </row>
    <row r="1816" spans="1:11" x14ac:dyDescent="0.4">
      <c r="A1816" s="49"/>
      <c r="B1816" s="54" t="s">
        <v>3879</v>
      </c>
      <c r="C1816" s="37" t="s">
        <v>3880</v>
      </c>
      <c r="D1816" s="55" t="s">
        <v>805</v>
      </c>
      <c r="E1816" s="56">
        <v>110.33</v>
      </c>
      <c r="F1816" s="55">
        <v>0.36</v>
      </c>
      <c r="G1816" s="55"/>
      <c r="I1816" s="49" t="str">
        <f t="shared" si="160"/>
        <v/>
      </c>
      <c r="J1816" s="37" t="str">
        <f t="shared" si="158"/>
        <v>금호에이치티</v>
      </c>
      <c r="K1816" s="37" t="str">
        <f t="shared" si="159"/>
        <v>A214330</v>
      </c>
    </row>
    <row r="1817" spans="1:11" x14ac:dyDescent="0.4">
      <c r="A1817" s="49"/>
      <c r="B1817" s="54" t="s">
        <v>687</v>
      </c>
      <c r="C1817" s="37" t="s">
        <v>688</v>
      </c>
      <c r="D1817" s="55" t="s">
        <v>820</v>
      </c>
      <c r="E1817" s="58">
        <v>7348.21</v>
      </c>
      <c r="F1817" s="57">
        <v>15.67</v>
      </c>
      <c r="G1817" s="57"/>
      <c r="H1817" s="49"/>
      <c r="I1817" s="49" t="str">
        <f t="shared" si="160"/>
        <v/>
      </c>
      <c r="J1817" s="37" t="str">
        <f t="shared" si="158"/>
        <v>케어젠</v>
      </c>
      <c r="K1817" s="37" t="str">
        <f t="shared" si="159"/>
        <v>A214370</v>
      </c>
    </row>
    <row r="1818" spans="1:11" x14ac:dyDescent="0.4">
      <c r="A1818" s="49"/>
      <c r="B1818" s="54" t="s">
        <v>3881</v>
      </c>
      <c r="C1818" s="37" t="s">
        <v>3882</v>
      </c>
      <c r="D1818" s="55" t="s">
        <v>805</v>
      </c>
      <c r="E1818" s="58">
        <v>140.81</v>
      </c>
      <c r="F1818" s="57">
        <v>0.33</v>
      </c>
      <c r="G1818" s="57"/>
      <c r="H1818" s="49"/>
      <c r="I1818" s="49" t="str">
        <f t="shared" si="160"/>
        <v/>
      </c>
      <c r="J1818" s="37" t="str">
        <f t="shared" si="158"/>
        <v>경보제약</v>
      </c>
      <c r="K1818" s="37" t="str">
        <f t="shared" si="159"/>
        <v>A214390</v>
      </c>
    </row>
    <row r="1819" spans="1:11" x14ac:dyDescent="0.4">
      <c r="A1819" s="49"/>
      <c r="B1819" s="54" t="s">
        <v>3883</v>
      </c>
      <c r="C1819" s="37" t="s">
        <v>3884</v>
      </c>
      <c r="D1819" s="55" t="s">
        <v>805</v>
      </c>
      <c r="E1819" s="58">
        <v>195.81</v>
      </c>
      <c r="F1819" s="57">
        <v>2.4300000000000002</v>
      </c>
      <c r="G1819" s="57">
        <v>1</v>
      </c>
      <c r="H1819" s="49"/>
      <c r="I1819" s="49">
        <f t="shared" si="160"/>
        <v>195.82819000000001</v>
      </c>
      <c r="J1819" s="37" t="str">
        <f t="shared" si="158"/>
        <v>토니모리</v>
      </c>
      <c r="K1819" s="37" t="str">
        <f t="shared" si="159"/>
        <v>A214420</v>
      </c>
    </row>
    <row r="1820" spans="1:11" x14ac:dyDescent="0.4">
      <c r="A1820" s="49"/>
      <c r="B1820" s="54" t="s">
        <v>3885</v>
      </c>
      <c r="C1820" s="37" t="s">
        <v>3886</v>
      </c>
      <c r="D1820" s="55" t="s">
        <v>820</v>
      </c>
      <c r="E1820" s="58">
        <v>770.91</v>
      </c>
      <c r="F1820" s="57">
        <v>5.58</v>
      </c>
      <c r="G1820" s="57">
        <v>2</v>
      </c>
      <c r="H1820" s="49"/>
      <c r="I1820" s="49">
        <f t="shared" si="160"/>
        <v>770.92819999999995</v>
      </c>
      <c r="J1820" s="37" t="str">
        <f t="shared" si="158"/>
        <v>아이쓰리시스템</v>
      </c>
      <c r="K1820" s="37" t="str">
        <f t="shared" si="159"/>
        <v>A214430</v>
      </c>
    </row>
    <row r="1821" spans="1:11" x14ac:dyDescent="0.4">
      <c r="A1821" s="49"/>
      <c r="B1821" s="54" t="s">
        <v>61</v>
      </c>
      <c r="C1821" s="37" t="s">
        <v>62</v>
      </c>
      <c r="D1821" s="55" t="s">
        <v>820</v>
      </c>
      <c r="E1821" s="58">
        <v>3631.18</v>
      </c>
      <c r="F1821" s="57">
        <v>75.989999999999995</v>
      </c>
      <c r="G1821" s="57">
        <v>12</v>
      </c>
      <c r="H1821" s="49"/>
      <c r="I1821" s="49">
        <f t="shared" si="160"/>
        <v>3631.19821</v>
      </c>
      <c r="J1821" s="37" t="str">
        <f t="shared" si="158"/>
        <v>파마리서치</v>
      </c>
      <c r="K1821" s="37" t="str">
        <f t="shared" si="159"/>
        <v>A214450</v>
      </c>
    </row>
    <row r="1822" spans="1:11" x14ac:dyDescent="0.4">
      <c r="B1822" s="54" t="s">
        <v>3887</v>
      </c>
      <c r="C1822" s="37" t="s">
        <v>3888</v>
      </c>
      <c r="D1822" s="55" t="s">
        <v>820</v>
      </c>
      <c r="E1822" s="56">
        <v>22.43</v>
      </c>
      <c r="F1822" s="55">
        <v>0.14000000000000001</v>
      </c>
      <c r="G1822" s="55"/>
      <c r="J1822" s="37" t="str">
        <f t="shared" si="158"/>
        <v>롤링스톤</v>
      </c>
      <c r="K1822" s="37" t="str">
        <f t="shared" si="159"/>
        <v>A214610</v>
      </c>
    </row>
    <row r="1823" spans="1:11" x14ac:dyDescent="0.4">
      <c r="A1823" s="49"/>
      <c r="B1823" s="54" t="s">
        <v>3889</v>
      </c>
      <c r="C1823" s="37" t="s">
        <v>3890</v>
      </c>
      <c r="D1823" s="55" t="s">
        <v>820</v>
      </c>
      <c r="E1823" s="58">
        <v>166.7</v>
      </c>
      <c r="F1823" s="57">
        <v>1.28</v>
      </c>
      <c r="G1823" s="57"/>
      <c r="H1823" s="49"/>
      <c r="I1823" s="49" t="str">
        <f>IF((G1823&gt;$G$8),E1823+ROW()/100000,"")</f>
        <v/>
      </c>
      <c r="J1823" s="37" t="str">
        <f t="shared" si="158"/>
        <v>디알텍</v>
      </c>
      <c r="K1823" s="37" t="str">
        <f t="shared" si="159"/>
        <v>A214680</v>
      </c>
    </row>
    <row r="1824" spans="1:11" x14ac:dyDescent="0.4">
      <c r="A1824" s="49"/>
      <c r="B1824" s="54" t="s">
        <v>3891</v>
      </c>
      <c r="C1824" s="37" t="s">
        <v>3892</v>
      </c>
      <c r="D1824" s="55" t="s">
        <v>820</v>
      </c>
      <c r="E1824" s="58">
        <v>343.89</v>
      </c>
      <c r="F1824" s="57">
        <v>1.1599999999999999</v>
      </c>
      <c r="G1824" s="57">
        <v>1</v>
      </c>
      <c r="H1824" s="49"/>
      <c r="I1824" s="49">
        <f>IF((G1824&gt;$G$8),E1824+ROW()/100000,"")</f>
        <v>343.90823999999998</v>
      </c>
      <c r="J1824" s="37" t="str">
        <f t="shared" si="158"/>
        <v>골프존</v>
      </c>
      <c r="K1824" s="37" t="str">
        <f t="shared" si="159"/>
        <v>A215000</v>
      </c>
    </row>
    <row r="1825" spans="1:11" x14ac:dyDescent="0.4">
      <c r="A1825" s="49"/>
      <c r="B1825" s="54" t="s">
        <v>3893</v>
      </c>
      <c r="C1825" s="37" t="s">
        <v>3894</v>
      </c>
      <c r="D1825" s="55" t="s">
        <v>820</v>
      </c>
      <c r="E1825" s="56">
        <v>71.55</v>
      </c>
      <c r="F1825" s="55">
        <v>1.1299999999999999</v>
      </c>
      <c r="G1825" s="55"/>
      <c r="I1825" s="49" t="str">
        <f>IF((G1825&gt;$G$8),E1825+ROW()/100000,"")</f>
        <v/>
      </c>
      <c r="J1825" s="37" t="str">
        <f t="shared" si="158"/>
        <v>솔디펜스</v>
      </c>
      <c r="K1825" s="37" t="str">
        <f t="shared" si="159"/>
        <v>A215090</v>
      </c>
    </row>
    <row r="1826" spans="1:11" x14ac:dyDescent="0.4">
      <c r="A1826" s="49"/>
      <c r="B1826" s="54" t="s">
        <v>3895</v>
      </c>
      <c r="C1826" s="37" t="s">
        <v>3896</v>
      </c>
      <c r="D1826" s="55" t="s">
        <v>820</v>
      </c>
      <c r="E1826" s="56">
        <v>179.07</v>
      </c>
      <c r="F1826" s="55">
        <v>34.32</v>
      </c>
      <c r="G1826" s="55"/>
      <c r="I1826" s="49" t="str">
        <f>IF((G1826&gt;$G$8),E1826+ROW()/100000,"")</f>
        <v/>
      </c>
      <c r="J1826" s="37" t="str">
        <f t="shared" si="158"/>
        <v>로보로보</v>
      </c>
      <c r="K1826" s="37" t="str">
        <f t="shared" si="159"/>
        <v>A215100</v>
      </c>
    </row>
    <row r="1827" spans="1:11" x14ac:dyDescent="0.4">
      <c r="B1827" s="54" t="s">
        <v>164</v>
      </c>
      <c r="C1827" s="37" t="s">
        <v>165</v>
      </c>
      <c r="D1827" s="55" t="s">
        <v>820</v>
      </c>
      <c r="E1827" s="56">
        <v>497.53</v>
      </c>
      <c r="F1827" s="55">
        <v>1.33</v>
      </c>
      <c r="G1827" s="55">
        <v>1</v>
      </c>
      <c r="J1827" s="37" t="str">
        <f t="shared" si="158"/>
        <v>메가스터디교육</v>
      </c>
      <c r="K1827" s="37" t="str">
        <f t="shared" si="159"/>
        <v>A215200</v>
      </c>
    </row>
    <row r="1828" spans="1:11" x14ac:dyDescent="0.4">
      <c r="A1828" s="49"/>
      <c r="B1828" s="54" t="s">
        <v>3897</v>
      </c>
      <c r="C1828" s="37" t="s">
        <v>3898</v>
      </c>
      <c r="D1828" s="55" t="s">
        <v>820</v>
      </c>
      <c r="E1828" s="58">
        <v>83.83</v>
      </c>
      <c r="F1828" s="57">
        <v>0.79</v>
      </c>
      <c r="G1828" s="57"/>
      <c r="H1828" s="49"/>
      <c r="I1828" s="49" t="str">
        <f>IF((G1828&gt;$G$8),E1828+ROW()/100000,"")</f>
        <v/>
      </c>
      <c r="J1828" s="37" t="str">
        <f t="shared" si="158"/>
        <v>우리산업</v>
      </c>
      <c r="K1828" s="37" t="str">
        <f t="shared" si="159"/>
        <v>A215360</v>
      </c>
    </row>
    <row r="1829" spans="1:11" x14ac:dyDescent="0.4">
      <c r="B1829" s="54" t="s">
        <v>3899</v>
      </c>
      <c r="C1829" s="37" t="s">
        <v>3900</v>
      </c>
      <c r="D1829" s="55" t="s">
        <v>820</v>
      </c>
      <c r="E1829" s="56">
        <v>39.549999999999997</v>
      </c>
      <c r="F1829" s="55">
        <v>1.1499999999999999</v>
      </c>
      <c r="G1829" s="55"/>
      <c r="J1829" s="37" t="str">
        <f t="shared" si="158"/>
        <v>우정바이오</v>
      </c>
      <c r="K1829" s="37" t="str">
        <f t="shared" si="159"/>
        <v>A215380</v>
      </c>
    </row>
    <row r="1830" spans="1:11" x14ac:dyDescent="0.4">
      <c r="B1830" s="54" t="s">
        <v>3901</v>
      </c>
      <c r="C1830" s="37" t="s">
        <v>3902</v>
      </c>
      <c r="D1830" s="55" t="s">
        <v>820</v>
      </c>
      <c r="E1830" s="56">
        <v>18.59</v>
      </c>
      <c r="F1830" s="55">
        <v>7.0000000000000007E-2</v>
      </c>
      <c r="G1830" s="55"/>
      <c r="J1830" s="37" t="str">
        <f t="shared" si="158"/>
        <v>토박스코리아</v>
      </c>
      <c r="K1830" s="37" t="str">
        <f t="shared" si="159"/>
        <v>A215480</v>
      </c>
    </row>
    <row r="1831" spans="1:11" x14ac:dyDescent="0.4">
      <c r="A1831" s="49"/>
      <c r="B1831" s="54" t="s">
        <v>3903</v>
      </c>
      <c r="C1831" s="37" t="s">
        <v>3904</v>
      </c>
      <c r="D1831" s="55" t="s">
        <v>820</v>
      </c>
      <c r="E1831" s="58">
        <v>500.03</v>
      </c>
      <c r="F1831" s="57">
        <v>7.6</v>
      </c>
      <c r="G1831" s="57"/>
      <c r="H1831" s="49"/>
      <c r="I1831" s="49" t="str">
        <f>IF((G1831&gt;$G$8),E1831+ROW()/100000,"")</f>
        <v/>
      </c>
      <c r="J1831" s="37" t="str">
        <f t="shared" si="158"/>
        <v>신라젠</v>
      </c>
      <c r="K1831" s="37" t="str">
        <f t="shared" si="159"/>
        <v>A215600</v>
      </c>
    </row>
    <row r="1832" spans="1:11" x14ac:dyDescent="0.4">
      <c r="A1832" s="49"/>
      <c r="B1832" s="54" t="s">
        <v>3905</v>
      </c>
      <c r="C1832" s="37" t="s">
        <v>3906</v>
      </c>
      <c r="D1832" s="55" t="s">
        <v>820</v>
      </c>
      <c r="E1832" s="56">
        <v>14.66</v>
      </c>
      <c r="F1832" s="55">
        <v>0.84</v>
      </c>
      <c r="G1832" s="55"/>
      <c r="J1832" s="37" t="str">
        <f t="shared" si="158"/>
        <v>이노인스트루먼트</v>
      </c>
      <c r="K1832" s="37" t="str">
        <f t="shared" si="159"/>
        <v>A215790</v>
      </c>
    </row>
    <row r="1833" spans="1:11" x14ac:dyDescent="0.4">
      <c r="A1833" s="49"/>
      <c r="B1833" s="54" t="s">
        <v>3907</v>
      </c>
      <c r="C1833" s="37" t="s">
        <v>3908</v>
      </c>
      <c r="D1833" s="55" t="s">
        <v>820</v>
      </c>
      <c r="E1833" s="58">
        <v>92.98</v>
      </c>
      <c r="F1833" s="57">
        <v>0.27</v>
      </c>
      <c r="G1833" s="57"/>
      <c r="H1833" s="49"/>
      <c r="I1833" s="49" t="str">
        <f t="shared" ref="I1833:I1840" si="161">IF((G1833&gt;$G$8),E1833+ROW()/100000,"")</f>
        <v/>
      </c>
      <c r="J1833" s="37" t="str">
        <f t="shared" si="158"/>
        <v>인크로스</v>
      </c>
      <c r="K1833" s="37" t="str">
        <f t="shared" si="159"/>
        <v>A216050</v>
      </c>
    </row>
    <row r="1834" spans="1:11" x14ac:dyDescent="0.4">
      <c r="A1834" s="49"/>
      <c r="B1834" s="54" t="s">
        <v>3909</v>
      </c>
      <c r="C1834" s="37" t="s">
        <v>3910</v>
      </c>
      <c r="D1834" s="55" t="s">
        <v>820</v>
      </c>
      <c r="E1834" s="58">
        <v>352.34</v>
      </c>
      <c r="F1834" s="57">
        <v>2.02</v>
      </c>
      <c r="G1834" s="57"/>
      <c r="H1834" s="49"/>
      <c r="I1834" s="49" t="str">
        <f t="shared" si="161"/>
        <v/>
      </c>
      <c r="J1834" s="37" t="str">
        <f t="shared" si="158"/>
        <v>제테마</v>
      </c>
      <c r="K1834" s="37" t="str">
        <f t="shared" si="159"/>
        <v>A216080</v>
      </c>
    </row>
    <row r="1835" spans="1:11" x14ac:dyDescent="0.4">
      <c r="A1835" s="49"/>
      <c r="B1835" s="54" t="s">
        <v>3911</v>
      </c>
      <c r="C1835" s="37" t="s">
        <v>3912</v>
      </c>
      <c r="D1835" s="55" t="s">
        <v>820</v>
      </c>
      <c r="E1835" s="58">
        <v>81.95</v>
      </c>
      <c r="F1835" s="57">
        <v>0.82</v>
      </c>
      <c r="G1835" s="57"/>
      <c r="H1835" s="49"/>
      <c r="I1835" s="49" t="str">
        <f t="shared" si="161"/>
        <v/>
      </c>
      <c r="J1835" s="37" t="str">
        <f t="shared" si="158"/>
        <v>제너셈</v>
      </c>
      <c r="K1835" s="37" t="str">
        <f t="shared" si="159"/>
        <v>A217190</v>
      </c>
    </row>
    <row r="1836" spans="1:11" x14ac:dyDescent="0.4">
      <c r="A1836" s="49"/>
      <c r="B1836" s="54" t="s">
        <v>3913</v>
      </c>
      <c r="C1836" s="37" t="s">
        <v>3914</v>
      </c>
      <c r="D1836" s="55" t="s">
        <v>820</v>
      </c>
      <c r="E1836" s="58">
        <v>219.66</v>
      </c>
      <c r="F1836" s="57">
        <v>0.35</v>
      </c>
      <c r="G1836" s="57"/>
      <c r="H1836" s="49"/>
      <c r="I1836" s="49" t="str">
        <f t="shared" si="161"/>
        <v/>
      </c>
      <c r="J1836" s="37" t="str">
        <f t="shared" si="158"/>
        <v>넵튠</v>
      </c>
      <c r="K1836" s="37" t="str">
        <f t="shared" si="159"/>
        <v>A217270</v>
      </c>
    </row>
    <row r="1837" spans="1:11" x14ac:dyDescent="0.4">
      <c r="A1837" s="49"/>
      <c r="B1837" s="54" t="s">
        <v>3915</v>
      </c>
      <c r="C1837" s="37" t="s">
        <v>3916</v>
      </c>
      <c r="D1837" s="55" t="s">
        <v>820</v>
      </c>
      <c r="E1837" s="58">
        <v>126.75</v>
      </c>
      <c r="F1837" s="57">
        <v>3.98</v>
      </c>
      <c r="G1837" s="57"/>
      <c r="H1837" s="49"/>
      <c r="I1837" s="49" t="str">
        <f t="shared" si="161"/>
        <v/>
      </c>
      <c r="J1837" s="37" t="str">
        <f t="shared" si="158"/>
        <v>싸이토젠</v>
      </c>
      <c r="K1837" s="37" t="str">
        <f t="shared" si="159"/>
        <v>A217330</v>
      </c>
    </row>
    <row r="1838" spans="1:11" x14ac:dyDescent="0.4">
      <c r="A1838" s="49"/>
      <c r="B1838" s="54" t="s">
        <v>3917</v>
      </c>
      <c r="C1838" s="37" t="s">
        <v>3918</v>
      </c>
      <c r="D1838" s="55" t="s">
        <v>820</v>
      </c>
      <c r="E1838" s="58">
        <v>54.76</v>
      </c>
      <c r="F1838" s="57">
        <v>0</v>
      </c>
      <c r="G1838" s="57"/>
      <c r="H1838" s="49"/>
      <c r="I1838" s="49" t="str">
        <f t="shared" si="161"/>
        <v/>
      </c>
      <c r="J1838" s="37" t="str">
        <f t="shared" si="158"/>
        <v>에스디생명공학</v>
      </c>
      <c r="K1838" s="37" t="str">
        <f t="shared" si="159"/>
        <v>A217480</v>
      </c>
    </row>
    <row r="1839" spans="1:11" x14ac:dyDescent="0.4">
      <c r="A1839" s="49"/>
      <c r="B1839" s="54" t="s">
        <v>3919</v>
      </c>
      <c r="C1839" s="37" t="s">
        <v>3920</v>
      </c>
      <c r="D1839" s="55" t="s">
        <v>820</v>
      </c>
      <c r="E1839" s="56">
        <v>100.37</v>
      </c>
      <c r="F1839" s="55">
        <v>6.03</v>
      </c>
      <c r="G1839" s="55"/>
      <c r="I1839" s="49" t="str">
        <f t="shared" si="161"/>
        <v/>
      </c>
      <c r="J1839" s="37" t="str">
        <f t="shared" si="158"/>
        <v>러셀</v>
      </c>
      <c r="K1839" s="37" t="str">
        <f t="shared" si="159"/>
        <v>A217500</v>
      </c>
    </row>
    <row r="1840" spans="1:11" x14ac:dyDescent="0.4">
      <c r="A1840" s="49"/>
      <c r="B1840" s="54" t="s">
        <v>3921</v>
      </c>
      <c r="C1840" s="37" t="s">
        <v>3922</v>
      </c>
      <c r="D1840" s="55" t="s">
        <v>805</v>
      </c>
      <c r="E1840" s="58">
        <v>381.65</v>
      </c>
      <c r="F1840" s="57">
        <v>43.22</v>
      </c>
      <c r="G1840" s="57"/>
      <c r="H1840" s="49"/>
      <c r="I1840" s="49" t="str">
        <f t="shared" si="161"/>
        <v/>
      </c>
      <c r="J1840" s="37" t="str">
        <f t="shared" si="158"/>
        <v>티엠씨</v>
      </c>
      <c r="K1840" s="37" t="str">
        <f t="shared" si="159"/>
        <v>A217590</v>
      </c>
    </row>
    <row r="1841" spans="1:11" x14ac:dyDescent="0.4">
      <c r="B1841" s="54" t="s">
        <v>3923</v>
      </c>
      <c r="C1841" s="37" t="s">
        <v>3924</v>
      </c>
      <c r="D1841" s="55" t="s">
        <v>5159</v>
      </c>
      <c r="E1841" s="56">
        <v>26.8</v>
      </c>
      <c r="F1841" s="55">
        <v>0</v>
      </c>
      <c r="G1841" s="55"/>
      <c r="J1841" s="37" t="str">
        <f t="shared" si="158"/>
        <v>선샤인푸드</v>
      </c>
      <c r="K1841" s="37" t="str">
        <f t="shared" si="159"/>
        <v>A217620</v>
      </c>
    </row>
    <row r="1842" spans="1:11" x14ac:dyDescent="0.4">
      <c r="A1842" s="49"/>
      <c r="B1842" s="54" t="s">
        <v>3925</v>
      </c>
      <c r="C1842" s="37" t="s">
        <v>3926</v>
      </c>
      <c r="D1842" s="55" t="s">
        <v>820</v>
      </c>
      <c r="E1842" s="58">
        <v>205.98</v>
      </c>
      <c r="F1842" s="57">
        <v>1.19</v>
      </c>
      <c r="G1842" s="57"/>
      <c r="H1842" s="49"/>
      <c r="I1842" s="49" t="str">
        <f t="shared" ref="I1842:I1848" si="162">IF((G1842&gt;$G$8),E1842+ROW()/100000,"")</f>
        <v/>
      </c>
      <c r="J1842" s="37" t="str">
        <f t="shared" si="158"/>
        <v>강스템바이오텍</v>
      </c>
      <c r="K1842" s="37" t="str">
        <f t="shared" si="159"/>
        <v>A217730</v>
      </c>
    </row>
    <row r="1843" spans="1:11" x14ac:dyDescent="0.4">
      <c r="A1843" s="49"/>
      <c r="B1843" s="54" t="s">
        <v>3927</v>
      </c>
      <c r="C1843" s="37" t="s">
        <v>3928</v>
      </c>
      <c r="D1843" s="55" t="s">
        <v>820</v>
      </c>
      <c r="E1843" s="58">
        <v>187.92</v>
      </c>
      <c r="F1843" s="57">
        <v>1.68</v>
      </c>
      <c r="G1843" s="57"/>
      <c r="H1843" s="49"/>
      <c r="I1843" s="49" t="str">
        <f t="shared" si="162"/>
        <v/>
      </c>
      <c r="J1843" s="37" t="str">
        <f t="shared" si="158"/>
        <v>원익피앤이</v>
      </c>
      <c r="K1843" s="37" t="str">
        <f t="shared" si="159"/>
        <v>A217820</v>
      </c>
    </row>
    <row r="1844" spans="1:11" x14ac:dyDescent="0.4">
      <c r="A1844" s="49"/>
      <c r="B1844" s="54" t="s">
        <v>3929</v>
      </c>
      <c r="C1844" s="37" t="s">
        <v>3930</v>
      </c>
      <c r="D1844" s="55" t="s">
        <v>820</v>
      </c>
      <c r="E1844" s="56">
        <v>59.92</v>
      </c>
      <c r="F1844" s="55">
        <v>0.59</v>
      </c>
      <c r="G1844" s="55"/>
      <c r="I1844" s="49" t="str">
        <f t="shared" si="162"/>
        <v/>
      </c>
      <c r="J1844" s="37" t="str">
        <f t="shared" si="158"/>
        <v>미래생명자원</v>
      </c>
      <c r="K1844" s="37" t="str">
        <f t="shared" si="159"/>
        <v>A218150</v>
      </c>
    </row>
    <row r="1845" spans="1:11" x14ac:dyDescent="0.4">
      <c r="A1845" s="49"/>
      <c r="B1845" s="54" t="s">
        <v>3931</v>
      </c>
      <c r="C1845" s="37" t="s">
        <v>3932</v>
      </c>
      <c r="D1845" s="55" t="s">
        <v>820</v>
      </c>
      <c r="E1845" s="58">
        <v>1505.4</v>
      </c>
      <c r="F1845" s="57">
        <v>12.71</v>
      </c>
      <c r="G1845" s="57">
        <v>4</v>
      </c>
      <c r="H1845" s="49"/>
      <c r="I1845" s="49">
        <f t="shared" si="162"/>
        <v>1505.4184500000001</v>
      </c>
      <c r="J1845" s="37" t="str">
        <f t="shared" si="158"/>
        <v>RFHIC</v>
      </c>
      <c r="K1845" s="37" t="str">
        <f t="shared" si="159"/>
        <v>A218410</v>
      </c>
    </row>
    <row r="1846" spans="1:11" x14ac:dyDescent="0.4">
      <c r="A1846" s="49"/>
      <c r="B1846" s="54" t="s">
        <v>3933</v>
      </c>
      <c r="C1846" s="37" t="s">
        <v>3934</v>
      </c>
      <c r="D1846" s="55" t="s">
        <v>820</v>
      </c>
      <c r="E1846" s="58">
        <v>186.59</v>
      </c>
      <c r="F1846" s="57">
        <v>2.56</v>
      </c>
      <c r="G1846" s="57">
        <v>1</v>
      </c>
      <c r="H1846" s="49"/>
      <c r="I1846" s="49">
        <f t="shared" si="162"/>
        <v>186.60846000000001</v>
      </c>
      <c r="J1846" s="37" t="str">
        <f t="shared" si="158"/>
        <v>타이거일렉</v>
      </c>
      <c r="K1846" s="37" t="str">
        <f t="shared" si="159"/>
        <v>A219130</v>
      </c>
    </row>
    <row r="1847" spans="1:11" x14ac:dyDescent="0.4">
      <c r="A1847" s="49"/>
      <c r="B1847" s="54" t="s">
        <v>3935</v>
      </c>
      <c r="C1847" s="37" t="s">
        <v>3936</v>
      </c>
      <c r="D1847" s="55" t="s">
        <v>820</v>
      </c>
      <c r="E1847" s="58">
        <v>61.59</v>
      </c>
      <c r="F1847" s="57">
        <v>0.67</v>
      </c>
      <c r="G1847" s="57"/>
      <c r="H1847" s="49"/>
      <c r="I1847" s="49" t="str">
        <f t="shared" si="162"/>
        <v/>
      </c>
      <c r="J1847" s="37" t="str">
        <f t="shared" si="158"/>
        <v>링크제니시스</v>
      </c>
      <c r="K1847" s="37" t="str">
        <f t="shared" si="159"/>
        <v>A219420</v>
      </c>
    </row>
    <row r="1848" spans="1:11" x14ac:dyDescent="0.4">
      <c r="A1848" s="49"/>
      <c r="B1848" s="54" t="s">
        <v>3937</v>
      </c>
      <c r="C1848" s="37" t="s">
        <v>3938</v>
      </c>
      <c r="D1848" s="55" t="s">
        <v>820</v>
      </c>
      <c r="E1848" s="56">
        <v>54.12</v>
      </c>
      <c r="F1848" s="55">
        <v>0.69</v>
      </c>
      <c r="G1848" s="55"/>
      <c r="I1848" s="49" t="str">
        <f t="shared" si="162"/>
        <v/>
      </c>
      <c r="J1848" s="37" t="str">
        <f t="shared" si="158"/>
        <v>디와이디</v>
      </c>
      <c r="K1848" s="37" t="str">
        <f t="shared" si="159"/>
        <v>A219550</v>
      </c>
    </row>
    <row r="1849" spans="1:11" x14ac:dyDescent="0.4">
      <c r="B1849" s="54" t="s">
        <v>3939</v>
      </c>
      <c r="C1849" s="37" t="s">
        <v>3940</v>
      </c>
      <c r="D1849" s="55" t="s">
        <v>820</v>
      </c>
      <c r="E1849" s="56">
        <v>56.33</v>
      </c>
      <c r="F1849" s="55">
        <v>0.3</v>
      </c>
      <c r="G1849" s="55"/>
      <c r="J1849" s="37" t="str">
        <f t="shared" si="158"/>
        <v>한국비티비</v>
      </c>
      <c r="K1849" s="37" t="str">
        <f t="shared" si="159"/>
        <v>A219750</v>
      </c>
    </row>
    <row r="1850" spans="1:11" x14ac:dyDescent="0.4">
      <c r="A1850" s="49"/>
      <c r="B1850" s="54" t="s">
        <v>3941</v>
      </c>
      <c r="C1850" s="37" t="s">
        <v>3942</v>
      </c>
      <c r="D1850" s="55" t="s">
        <v>820</v>
      </c>
      <c r="E1850" s="58">
        <v>522.55999999999995</v>
      </c>
      <c r="F1850" s="57">
        <v>19.45</v>
      </c>
      <c r="G1850" s="57"/>
      <c r="H1850" s="49"/>
      <c r="I1850" s="49" t="str">
        <f>IF((G1850&gt;$G$8),E1850+ROW()/100000,"")</f>
        <v/>
      </c>
      <c r="J1850" s="37" t="str">
        <f t="shared" si="158"/>
        <v>퓨쳐켐</v>
      </c>
      <c r="K1850" s="37" t="str">
        <f t="shared" si="159"/>
        <v>A220100</v>
      </c>
    </row>
    <row r="1851" spans="1:11" x14ac:dyDescent="0.4">
      <c r="A1851" s="49"/>
      <c r="B1851" s="54" t="s">
        <v>3943</v>
      </c>
      <c r="C1851" s="37" t="s">
        <v>3944</v>
      </c>
      <c r="D1851" s="55" t="s">
        <v>820</v>
      </c>
      <c r="E1851" s="56">
        <v>47.81</v>
      </c>
      <c r="F1851" s="55">
        <v>0.28000000000000003</v>
      </c>
      <c r="G1851" s="55"/>
      <c r="I1851" s="49" t="str">
        <f>IF((G1851&gt;$G$8),E1851+ROW()/100000,"")</f>
        <v/>
      </c>
      <c r="J1851" s="37" t="str">
        <f t="shared" si="158"/>
        <v>핸디소프트</v>
      </c>
      <c r="K1851" s="37" t="str">
        <f t="shared" si="159"/>
        <v>A220180</v>
      </c>
    </row>
    <row r="1852" spans="1:11" x14ac:dyDescent="0.4">
      <c r="A1852" s="49"/>
      <c r="B1852" s="54" t="s">
        <v>3945</v>
      </c>
      <c r="C1852" s="37" t="s">
        <v>3946</v>
      </c>
      <c r="D1852" s="55" t="s">
        <v>820</v>
      </c>
      <c r="E1852" s="56">
        <v>193.07</v>
      </c>
      <c r="F1852" s="55">
        <v>8.4499999999999993</v>
      </c>
      <c r="G1852" s="55"/>
      <c r="J1852" s="37" t="str">
        <f t="shared" si="158"/>
        <v>켐트로스</v>
      </c>
      <c r="K1852" s="37" t="str">
        <f t="shared" si="159"/>
        <v>A220260</v>
      </c>
    </row>
    <row r="1853" spans="1:11" x14ac:dyDescent="0.4">
      <c r="A1853" s="49"/>
      <c r="B1853" s="54" t="s">
        <v>3947</v>
      </c>
      <c r="C1853" s="37" t="s">
        <v>5201</v>
      </c>
      <c r="D1853" s="55" t="s">
        <v>820</v>
      </c>
      <c r="E1853" s="58">
        <v>427.79</v>
      </c>
      <c r="F1853" s="57">
        <v>15.7</v>
      </c>
      <c r="G1853" s="57"/>
      <c r="H1853" s="49"/>
      <c r="I1853" s="49" t="str">
        <f t="shared" ref="I1853:I1875" si="163">IF((G1853&gt;$G$8),E1853+ROW()/100000,"")</f>
        <v/>
      </c>
      <c r="J1853" s="37" t="str">
        <f t="shared" si="158"/>
        <v>지구홀딩스</v>
      </c>
      <c r="K1853" s="37" t="str">
        <f t="shared" si="159"/>
        <v>A221800</v>
      </c>
    </row>
    <row r="1854" spans="1:11" x14ac:dyDescent="0.4">
      <c r="A1854" s="49"/>
      <c r="B1854" s="54" t="s">
        <v>3948</v>
      </c>
      <c r="C1854" s="37" t="s">
        <v>3949</v>
      </c>
      <c r="D1854" s="55" t="s">
        <v>820</v>
      </c>
      <c r="E1854" s="58">
        <v>51.8</v>
      </c>
      <c r="F1854" s="57">
        <v>0.24</v>
      </c>
      <c r="G1854" s="57"/>
      <c r="H1854" s="49"/>
      <c r="I1854" s="49" t="str">
        <f t="shared" si="163"/>
        <v/>
      </c>
      <c r="J1854" s="37" t="str">
        <f t="shared" si="158"/>
        <v>하이즈항공</v>
      </c>
      <c r="K1854" s="37" t="str">
        <f t="shared" si="159"/>
        <v>A221840</v>
      </c>
    </row>
    <row r="1855" spans="1:11" x14ac:dyDescent="0.4">
      <c r="A1855" s="49"/>
      <c r="B1855" s="54" t="s">
        <v>3950</v>
      </c>
      <c r="C1855" s="37" t="s">
        <v>3951</v>
      </c>
      <c r="D1855" s="55" t="s">
        <v>820</v>
      </c>
      <c r="E1855" s="58">
        <v>41.92</v>
      </c>
      <c r="F1855" s="57">
        <v>0.02</v>
      </c>
      <c r="G1855" s="57"/>
      <c r="H1855" s="49"/>
      <c r="I1855" s="49" t="str">
        <f t="shared" si="163"/>
        <v/>
      </c>
      <c r="J1855" s="37" t="str">
        <f t="shared" si="158"/>
        <v>케이디켐</v>
      </c>
      <c r="K1855" s="37" t="str">
        <f t="shared" si="159"/>
        <v>A221980</v>
      </c>
    </row>
    <row r="1856" spans="1:11" x14ac:dyDescent="0.4">
      <c r="A1856" s="49"/>
      <c r="B1856" s="54" t="s">
        <v>3952</v>
      </c>
      <c r="C1856" s="37" t="s">
        <v>3953</v>
      </c>
      <c r="D1856" s="55" t="s">
        <v>820</v>
      </c>
      <c r="E1856" s="58">
        <v>71.27</v>
      </c>
      <c r="F1856" s="57">
        <v>0.17</v>
      </c>
      <c r="G1856" s="57"/>
      <c r="H1856" s="49"/>
      <c r="I1856" s="49" t="str">
        <f t="shared" si="163"/>
        <v/>
      </c>
      <c r="J1856" s="37" t="str">
        <f t="shared" si="158"/>
        <v>코스맥스엔비티</v>
      </c>
      <c r="K1856" s="37" t="str">
        <f t="shared" si="159"/>
        <v>A222040</v>
      </c>
    </row>
    <row r="1857" spans="1:11" x14ac:dyDescent="0.4">
      <c r="A1857" s="49"/>
      <c r="B1857" s="54" t="s">
        <v>3954</v>
      </c>
      <c r="C1857" s="37" t="s">
        <v>3955</v>
      </c>
      <c r="D1857" s="55" t="s">
        <v>820</v>
      </c>
      <c r="E1857" s="58">
        <v>1137.79</v>
      </c>
      <c r="F1857" s="57">
        <v>17.899999999999999</v>
      </c>
      <c r="G1857" s="57"/>
      <c r="H1857" s="49"/>
      <c r="I1857" s="49" t="str">
        <f t="shared" si="163"/>
        <v/>
      </c>
      <c r="J1857" s="37" t="str">
        <f t="shared" si="158"/>
        <v>씨아이에스</v>
      </c>
      <c r="K1857" s="37" t="str">
        <f t="shared" si="159"/>
        <v>A222080</v>
      </c>
    </row>
    <row r="1858" spans="1:11" x14ac:dyDescent="0.4">
      <c r="A1858" s="49"/>
      <c r="B1858" s="54" t="s">
        <v>3956</v>
      </c>
      <c r="C1858" s="37" t="s">
        <v>3957</v>
      </c>
      <c r="D1858" s="55" t="s">
        <v>820</v>
      </c>
      <c r="E1858" s="58">
        <v>69.5</v>
      </c>
      <c r="F1858" s="57">
        <v>0.1</v>
      </c>
      <c r="G1858" s="57"/>
      <c r="H1858" s="49"/>
      <c r="I1858" s="49" t="str">
        <f t="shared" si="163"/>
        <v/>
      </c>
      <c r="J1858" s="37" t="str">
        <f t="shared" si="158"/>
        <v>팬젠</v>
      </c>
      <c r="K1858" s="37" t="str">
        <f t="shared" si="159"/>
        <v>A222110</v>
      </c>
    </row>
    <row r="1859" spans="1:11" x14ac:dyDescent="0.4">
      <c r="A1859" s="49"/>
      <c r="B1859" s="54" t="s">
        <v>3958</v>
      </c>
      <c r="C1859" s="37" t="s">
        <v>3959</v>
      </c>
      <c r="D1859" s="55" t="s">
        <v>820</v>
      </c>
      <c r="E1859" s="58">
        <v>79.55</v>
      </c>
      <c r="F1859" s="57">
        <v>0</v>
      </c>
      <c r="G1859" s="57"/>
      <c r="H1859" s="49"/>
      <c r="I1859" s="49" t="str">
        <f t="shared" si="163"/>
        <v/>
      </c>
      <c r="J1859" s="37" t="str">
        <f t="shared" si="158"/>
        <v>NPX</v>
      </c>
      <c r="K1859" s="37" t="str">
        <f t="shared" si="159"/>
        <v>A222160</v>
      </c>
    </row>
    <row r="1860" spans="1:11" x14ac:dyDescent="0.4">
      <c r="A1860" s="49"/>
      <c r="B1860" s="54" t="s">
        <v>3960</v>
      </c>
      <c r="C1860" s="37" t="s">
        <v>3961</v>
      </c>
      <c r="D1860" s="55" t="s">
        <v>820</v>
      </c>
      <c r="E1860" s="59">
        <v>72.8</v>
      </c>
      <c r="F1860" s="57">
        <v>1.78</v>
      </c>
      <c r="G1860" s="57"/>
      <c r="H1860" s="49"/>
      <c r="I1860" s="49" t="str">
        <f t="shared" si="163"/>
        <v/>
      </c>
      <c r="J1860" s="37" t="str">
        <f t="shared" si="158"/>
        <v>쎄노텍</v>
      </c>
      <c r="K1860" s="37" t="str">
        <f t="shared" si="159"/>
        <v>A222420</v>
      </c>
    </row>
    <row r="1861" spans="1:11" x14ac:dyDescent="0.4">
      <c r="A1861" s="49"/>
      <c r="B1861" s="54" t="s">
        <v>488</v>
      </c>
      <c r="C1861" s="37" t="s">
        <v>489</v>
      </c>
      <c r="D1861" s="55" t="s">
        <v>820</v>
      </c>
      <c r="E1861" s="56">
        <v>2016.48</v>
      </c>
      <c r="F1861" s="55">
        <v>52.22</v>
      </c>
      <c r="G1861" s="55">
        <v>8</v>
      </c>
      <c r="I1861" s="49">
        <f t="shared" si="163"/>
        <v>2016.4986100000001</v>
      </c>
      <c r="J1861" s="37" t="str">
        <f t="shared" si="158"/>
        <v>심텍</v>
      </c>
      <c r="K1861" s="37" t="str">
        <f t="shared" si="159"/>
        <v>A222800</v>
      </c>
    </row>
    <row r="1862" spans="1:11" x14ac:dyDescent="0.4">
      <c r="A1862" s="49"/>
      <c r="B1862" s="54" t="s">
        <v>3962</v>
      </c>
      <c r="C1862" s="37" t="s">
        <v>3963</v>
      </c>
      <c r="D1862" s="55" t="s">
        <v>5159</v>
      </c>
      <c r="E1862" s="58">
        <v>81.709999999999994</v>
      </c>
      <c r="F1862" s="57">
        <v>0</v>
      </c>
      <c r="G1862" s="57"/>
      <c r="H1862" s="49"/>
      <c r="I1862" s="49" t="str">
        <f t="shared" si="163"/>
        <v/>
      </c>
      <c r="J1862" s="37" t="str">
        <f t="shared" si="158"/>
        <v>세토피아</v>
      </c>
      <c r="K1862" s="37" t="str">
        <f t="shared" si="159"/>
        <v>A222810</v>
      </c>
    </row>
    <row r="1863" spans="1:11" x14ac:dyDescent="0.4">
      <c r="A1863" s="49"/>
      <c r="B1863" s="54" t="s">
        <v>3964</v>
      </c>
      <c r="C1863" s="37" t="s">
        <v>3965</v>
      </c>
      <c r="D1863" s="55" t="s">
        <v>820</v>
      </c>
      <c r="E1863" s="58">
        <v>32.43</v>
      </c>
      <c r="F1863" s="57">
        <v>0.22</v>
      </c>
      <c r="G1863" s="57"/>
      <c r="H1863" s="49"/>
      <c r="I1863" s="49" t="str">
        <f t="shared" si="163"/>
        <v/>
      </c>
      <c r="J1863" s="37" t="str">
        <f t="shared" si="158"/>
        <v>한국맥널티</v>
      </c>
      <c r="K1863" s="37" t="str">
        <f t="shared" si="159"/>
        <v>A222980</v>
      </c>
    </row>
    <row r="1864" spans="1:11" x14ac:dyDescent="0.4">
      <c r="A1864" s="49"/>
      <c r="B1864" s="54" t="s">
        <v>3966</v>
      </c>
      <c r="C1864" s="37" t="s">
        <v>3967</v>
      </c>
      <c r="D1864" s="55" t="s">
        <v>820</v>
      </c>
      <c r="E1864" s="56">
        <v>145.25</v>
      </c>
      <c r="F1864" s="55">
        <v>5.15</v>
      </c>
      <c r="G1864" s="55">
        <v>1</v>
      </c>
      <c r="I1864" s="49">
        <f t="shared" si="163"/>
        <v>145.26864</v>
      </c>
      <c r="J1864" s="37" t="str">
        <f t="shared" si="158"/>
        <v>드림씨아이에스</v>
      </c>
      <c r="K1864" s="37" t="str">
        <f t="shared" si="159"/>
        <v>A223250</v>
      </c>
    </row>
    <row r="1865" spans="1:11" x14ac:dyDescent="0.4">
      <c r="A1865" s="49"/>
      <c r="B1865" s="54" t="s">
        <v>3968</v>
      </c>
      <c r="C1865" s="37" t="s">
        <v>3969</v>
      </c>
      <c r="D1865" s="55" t="s">
        <v>820</v>
      </c>
      <c r="E1865" s="58">
        <v>41.74</v>
      </c>
      <c r="F1865" s="57">
        <v>0.96</v>
      </c>
      <c r="G1865" s="57"/>
      <c r="H1865" s="49"/>
      <c r="I1865" s="49" t="str">
        <f t="shared" si="163"/>
        <v/>
      </c>
      <c r="J1865" s="37" t="str">
        <f t="shared" si="158"/>
        <v>사토시홀딩스</v>
      </c>
      <c r="K1865" s="37" t="str">
        <f t="shared" si="159"/>
        <v>A223310</v>
      </c>
    </row>
    <row r="1866" spans="1:11" x14ac:dyDescent="0.4">
      <c r="A1866" s="49"/>
      <c r="B1866" s="54" t="s">
        <v>3970</v>
      </c>
      <c r="C1866" s="37" t="s">
        <v>3971</v>
      </c>
      <c r="D1866" s="55" t="s">
        <v>820</v>
      </c>
      <c r="E1866" s="58">
        <v>20.59</v>
      </c>
      <c r="F1866" s="57">
        <v>0.26</v>
      </c>
      <c r="G1866" s="57"/>
      <c r="H1866" s="49"/>
      <c r="I1866" s="49" t="str">
        <f t="shared" si="163"/>
        <v/>
      </c>
      <c r="J1866" s="37" t="str">
        <f t="shared" si="158"/>
        <v>더코디</v>
      </c>
      <c r="K1866" s="37" t="str">
        <f t="shared" si="159"/>
        <v>A224060</v>
      </c>
    </row>
    <row r="1867" spans="1:11" x14ac:dyDescent="0.4">
      <c r="A1867" s="49"/>
      <c r="B1867" s="54" t="s">
        <v>3972</v>
      </c>
      <c r="C1867" s="37" t="s">
        <v>3973</v>
      </c>
      <c r="D1867" s="55" t="s">
        <v>820</v>
      </c>
      <c r="E1867" s="58">
        <v>51.26</v>
      </c>
      <c r="F1867" s="57">
        <v>0.23</v>
      </c>
      <c r="G1867" s="57"/>
      <c r="H1867" s="49"/>
      <c r="I1867" s="49" t="str">
        <f t="shared" si="163"/>
        <v/>
      </c>
      <c r="J1867" s="37" t="str">
        <f t="shared" si="158"/>
        <v>에이텍모빌리티</v>
      </c>
      <c r="K1867" s="37" t="str">
        <f t="shared" si="159"/>
        <v>A224110</v>
      </c>
    </row>
    <row r="1868" spans="1:11" x14ac:dyDescent="0.4">
      <c r="A1868" s="49"/>
      <c r="B1868" s="54" t="s">
        <v>3974</v>
      </c>
      <c r="C1868" s="37" t="s">
        <v>3975</v>
      </c>
      <c r="D1868" s="55" t="s">
        <v>820</v>
      </c>
      <c r="E1868" s="58">
        <v>164.9</v>
      </c>
      <c r="F1868" s="57">
        <v>12.97</v>
      </c>
      <c r="G1868" s="57"/>
      <c r="H1868" s="49"/>
      <c r="I1868" s="49" t="str">
        <f t="shared" si="163"/>
        <v/>
      </c>
      <c r="J1868" s="37" t="str">
        <f t="shared" si="158"/>
        <v>LK삼양</v>
      </c>
      <c r="K1868" s="37" t="str">
        <f t="shared" si="159"/>
        <v>A225190</v>
      </c>
    </row>
    <row r="1869" spans="1:11" x14ac:dyDescent="0.4">
      <c r="A1869" s="49"/>
      <c r="B1869" s="54" t="s">
        <v>3976</v>
      </c>
      <c r="C1869" s="37" t="s">
        <v>3977</v>
      </c>
      <c r="D1869" s="55" t="s">
        <v>820</v>
      </c>
      <c r="E1869" s="58">
        <v>34.159999999999997</v>
      </c>
      <c r="F1869" s="57">
        <v>0.18</v>
      </c>
      <c r="G1869" s="57"/>
      <c r="H1869" s="49"/>
      <c r="I1869" s="49" t="str">
        <f t="shared" si="163"/>
        <v/>
      </c>
      <c r="J1869" s="37" t="str">
        <f t="shared" si="158"/>
        <v>제놀루션</v>
      </c>
      <c r="K1869" s="37" t="str">
        <f t="shared" si="159"/>
        <v>A225220</v>
      </c>
    </row>
    <row r="1870" spans="1:11" x14ac:dyDescent="0.4">
      <c r="A1870" s="49"/>
      <c r="B1870" s="54" t="s">
        <v>3978</v>
      </c>
      <c r="C1870" s="37" t="s">
        <v>3979</v>
      </c>
      <c r="D1870" s="55" t="s">
        <v>820</v>
      </c>
      <c r="E1870" s="58">
        <v>13.47</v>
      </c>
      <c r="F1870" s="57">
        <v>0.19</v>
      </c>
      <c r="G1870" s="57"/>
      <c r="H1870" s="49"/>
      <c r="I1870" s="49" t="str">
        <f t="shared" si="163"/>
        <v/>
      </c>
      <c r="J1870" s="37" t="str">
        <f t="shared" ref="J1870:J1933" si="164">C1870</f>
        <v>케이엠제약</v>
      </c>
      <c r="K1870" s="37" t="str">
        <f t="shared" ref="K1870:K1933" si="165">B1870</f>
        <v>A225430</v>
      </c>
    </row>
    <row r="1871" spans="1:11" x14ac:dyDescent="0.4">
      <c r="A1871" s="49"/>
      <c r="B1871" s="54" t="s">
        <v>3980</v>
      </c>
      <c r="C1871" s="37" t="s">
        <v>3981</v>
      </c>
      <c r="D1871" s="55" t="s">
        <v>820</v>
      </c>
      <c r="E1871" s="58">
        <v>107.56</v>
      </c>
      <c r="F1871" s="57">
        <v>0.08</v>
      </c>
      <c r="G1871" s="57"/>
      <c r="H1871" s="49"/>
      <c r="I1871" s="49" t="str">
        <f t="shared" si="163"/>
        <v/>
      </c>
      <c r="J1871" s="37" t="str">
        <f t="shared" si="164"/>
        <v>HC보광산업</v>
      </c>
      <c r="K1871" s="37" t="str">
        <f t="shared" si="165"/>
        <v>A225530</v>
      </c>
    </row>
    <row r="1872" spans="1:11" x14ac:dyDescent="0.4">
      <c r="A1872" s="49"/>
      <c r="B1872" s="54" t="s">
        <v>3982</v>
      </c>
      <c r="C1872" s="37" t="s">
        <v>3983</v>
      </c>
      <c r="D1872" s="55" t="s">
        <v>820</v>
      </c>
      <c r="E1872" s="58">
        <v>781.1</v>
      </c>
      <c r="F1872" s="57">
        <v>2.46</v>
      </c>
      <c r="G1872" s="57"/>
      <c r="H1872" s="49"/>
      <c r="I1872" s="49" t="str">
        <f t="shared" si="163"/>
        <v/>
      </c>
      <c r="J1872" s="37" t="str">
        <f t="shared" si="164"/>
        <v>넥슨게임즈</v>
      </c>
      <c r="K1872" s="37" t="str">
        <f t="shared" si="165"/>
        <v>A225570</v>
      </c>
    </row>
    <row r="1873" spans="1:11" x14ac:dyDescent="0.4">
      <c r="A1873" s="49"/>
      <c r="B1873" s="54" t="s">
        <v>3984</v>
      </c>
      <c r="C1873" s="37" t="s">
        <v>3985</v>
      </c>
      <c r="D1873" s="55" t="s">
        <v>820</v>
      </c>
      <c r="E1873" s="56">
        <v>24.27</v>
      </c>
      <c r="F1873" s="55">
        <v>0.06</v>
      </c>
      <c r="G1873" s="55"/>
      <c r="I1873" s="49" t="str">
        <f t="shared" si="163"/>
        <v/>
      </c>
      <c r="J1873" s="37" t="str">
        <f t="shared" si="164"/>
        <v>패션플랫폼</v>
      </c>
      <c r="K1873" s="37" t="str">
        <f t="shared" si="165"/>
        <v>A225590</v>
      </c>
    </row>
    <row r="1874" spans="1:11" x14ac:dyDescent="0.4">
      <c r="A1874" s="49"/>
      <c r="B1874" s="54" t="s">
        <v>3986</v>
      </c>
      <c r="C1874" s="37" t="s">
        <v>3987</v>
      </c>
      <c r="D1874" s="55" t="s">
        <v>805</v>
      </c>
      <c r="E1874" s="58">
        <v>253.5</v>
      </c>
      <c r="F1874" s="57">
        <v>0.25</v>
      </c>
      <c r="G1874" s="57"/>
      <c r="H1874" s="49"/>
      <c r="I1874" s="49" t="str">
        <f t="shared" si="163"/>
        <v/>
      </c>
      <c r="J1874" s="37" t="str">
        <f t="shared" si="164"/>
        <v>잇츠한불</v>
      </c>
      <c r="K1874" s="37" t="str">
        <f t="shared" si="165"/>
        <v>A226320</v>
      </c>
    </row>
    <row r="1875" spans="1:11" x14ac:dyDescent="0.4">
      <c r="A1875" s="49"/>
      <c r="B1875" s="54" t="s">
        <v>3988</v>
      </c>
      <c r="C1875" s="37" t="s">
        <v>3989</v>
      </c>
      <c r="D1875" s="55" t="s">
        <v>820</v>
      </c>
      <c r="E1875" s="56">
        <v>88.06</v>
      </c>
      <c r="F1875" s="55">
        <v>2.21</v>
      </c>
      <c r="G1875" s="55"/>
      <c r="I1875" s="49" t="str">
        <f t="shared" si="163"/>
        <v/>
      </c>
      <c r="J1875" s="37" t="str">
        <f t="shared" si="164"/>
        <v>신테카바이오</v>
      </c>
      <c r="K1875" s="37" t="str">
        <f t="shared" si="165"/>
        <v>A226330</v>
      </c>
    </row>
    <row r="1876" spans="1:11" x14ac:dyDescent="0.4">
      <c r="B1876" s="54" t="s">
        <v>3990</v>
      </c>
      <c r="C1876" s="37" t="s">
        <v>3991</v>
      </c>
      <c r="D1876" s="55" t="s">
        <v>820</v>
      </c>
      <c r="E1876" s="56">
        <v>20.47</v>
      </c>
      <c r="F1876" s="55">
        <v>0.33</v>
      </c>
      <c r="G1876" s="55"/>
      <c r="J1876" s="37" t="str">
        <f t="shared" si="164"/>
        <v>본느</v>
      </c>
      <c r="K1876" s="37" t="str">
        <f t="shared" si="165"/>
        <v>A226340</v>
      </c>
    </row>
    <row r="1877" spans="1:11" x14ac:dyDescent="0.4">
      <c r="A1877" s="49"/>
      <c r="B1877" s="54" t="s">
        <v>3992</v>
      </c>
      <c r="C1877" s="37" t="s">
        <v>3993</v>
      </c>
      <c r="D1877" s="55" t="s">
        <v>820</v>
      </c>
      <c r="E1877" s="58">
        <v>130.37</v>
      </c>
      <c r="F1877" s="57">
        <v>1.1599999999999999</v>
      </c>
      <c r="G1877" s="57">
        <v>1</v>
      </c>
      <c r="H1877" s="49"/>
      <c r="I1877" s="49">
        <f t="shared" ref="I1877:I1883" si="166">IF((G1877&gt;$G$8),E1877+ROW()/100000,"")</f>
        <v>130.38876999999999</v>
      </c>
      <c r="J1877" s="37" t="str">
        <f t="shared" si="164"/>
        <v>오스테오닉</v>
      </c>
      <c r="K1877" s="37" t="str">
        <f t="shared" si="165"/>
        <v>A226400</v>
      </c>
    </row>
    <row r="1878" spans="1:11" x14ac:dyDescent="0.4">
      <c r="A1878" s="49"/>
      <c r="B1878" s="54" t="s">
        <v>3994</v>
      </c>
      <c r="C1878" s="37" t="s">
        <v>3995</v>
      </c>
      <c r="D1878" s="55" t="s">
        <v>820</v>
      </c>
      <c r="E1878" s="56">
        <v>313.08</v>
      </c>
      <c r="F1878" s="55">
        <v>11.63</v>
      </c>
      <c r="G1878" s="55"/>
      <c r="I1878" s="49" t="str">
        <f t="shared" si="166"/>
        <v/>
      </c>
      <c r="J1878" s="37" t="str">
        <f t="shared" si="164"/>
        <v>엠디바이스</v>
      </c>
      <c r="K1878" s="37" t="str">
        <f t="shared" si="165"/>
        <v>A226590</v>
      </c>
    </row>
    <row r="1879" spans="1:11" x14ac:dyDescent="0.4">
      <c r="A1879" s="49"/>
      <c r="B1879" s="54" t="s">
        <v>45</v>
      </c>
      <c r="C1879" s="37" t="s">
        <v>46</v>
      </c>
      <c r="D1879" s="55" t="s">
        <v>820</v>
      </c>
      <c r="E1879" s="58">
        <v>3634.18</v>
      </c>
      <c r="F1879" s="57">
        <v>109.02</v>
      </c>
      <c r="G1879" s="57">
        <v>1</v>
      </c>
      <c r="H1879" s="49"/>
      <c r="I1879" s="49">
        <f t="shared" si="166"/>
        <v>3634.1987899999999</v>
      </c>
      <c r="J1879" s="37" t="str">
        <f t="shared" si="164"/>
        <v>올릭스</v>
      </c>
      <c r="K1879" s="37" t="str">
        <f t="shared" si="165"/>
        <v>A226950</v>
      </c>
    </row>
    <row r="1880" spans="1:11" x14ac:dyDescent="0.4">
      <c r="A1880" s="49"/>
      <c r="B1880" s="54" t="s">
        <v>3996</v>
      </c>
      <c r="C1880" s="37" t="s">
        <v>3997</v>
      </c>
      <c r="D1880" s="55" t="s">
        <v>820</v>
      </c>
      <c r="E1880" s="59">
        <v>14.77</v>
      </c>
      <c r="F1880" s="57">
        <v>0</v>
      </c>
      <c r="G1880" s="57"/>
      <c r="H1880" s="49"/>
      <c r="I1880" s="49" t="str">
        <f t="shared" si="166"/>
        <v/>
      </c>
      <c r="J1880" s="37" t="str">
        <f t="shared" si="164"/>
        <v>프로브잇</v>
      </c>
      <c r="K1880" s="37" t="str">
        <f t="shared" si="165"/>
        <v>A227100</v>
      </c>
    </row>
    <row r="1881" spans="1:11" x14ac:dyDescent="0.4">
      <c r="A1881" s="49"/>
      <c r="B1881" s="54" t="s">
        <v>3998</v>
      </c>
      <c r="C1881" s="37" t="s">
        <v>3999</v>
      </c>
      <c r="D1881" s="55" t="s">
        <v>820</v>
      </c>
      <c r="E1881" s="58">
        <v>26.75</v>
      </c>
      <c r="F1881" s="57">
        <v>0.22</v>
      </c>
      <c r="G1881" s="57"/>
      <c r="H1881" s="49"/>
      <c r="I1881" s="49" t="str">
        <f t="shared" si="166"/>
        <v/>
      </c>
      <c r="J1881" s="37" t="str">
        <f t="shared" si="164"/>
        <v>아우딘퓨쳐스</v>
      </c>
      <c r="K1881" s="37" t="str">
        <f t="shared" si="165"/>
        <v>A227610</v>
      </c>
    </row>
    <row r="1882" spans="1:11" x14ac:dyDescent="0.4">
      <c r="A1882" s="49"/>
      <c r="B1882" s="54" t="s">
        <v>4000</v>
      </c>
      <c r="C1882" s="37" t="s">
        <v>4001</v>
      </c>
      <c r="D1882" s="55" t="s">
        <v>805</v>
      </c>
      <c r="E1882" s="58">
        <v>120.13</v>
      </c>
      <c r="F1882" s="57">
        <v>0.27</v>
      </c>
      <c r="G1882" s="57"/>
      <c r="H1882" s="49"/>
      <c r="I1882" s="49" t="str">
        <f t="shared" si="166"/>
        <v/>
      </c>
      <c r="J1882" s="37" t="str">
        <f t="shared" si="164"/>
        <v>현대코퍼레이션홀딩스</v>
      </c>
      <c r="K1882" s="37" t="str">
        <f t="shared" si="165"/>
        <v>A227840</v>
      </c>
    </row>
    <row r="1883" spans="1:11" x14ac:dyDescent="0.4">
      <c r="A1883" s="49"/>
      <c r="B1883" s="54" t="s">
        <v>4002</v>
      </c>
      <c r="C1883" s="37" t="s">
        <v>4003</v>
      </c>
      <c r="D1883" s="55" t="s">
        <v>820</v>
      </c>
      <c r="E1883" s="56">
        <v>98.18</v>
      </c>
      <c r="F1883" s="56">
        <v>0.94</v>
      </c>
      <c r="G1883" s="55"/>
      <c r="I1883" s="49" t="str">
        <f t="shared" si="166"/>
        <v/>
      </c>
      <c r="J1883" s="37" t="str">
        <f t="shared" si="164"/>
        <v>엔투텍</v>
      </c>
      <c r="K1883" s="37" t="str">
        <f t="shared" si="165"/>
        <v>A227950</v>
      </c>
    </row>
    <row r="1884" spans="1:11" x14ac:dyDescent="0.4">
      <c r="B1884" s="54" t="s">
        <v>4004</v>
      </c>
      <c r="C1884" s="37" t="s">
        <v>4005</v>
      </c>
      <c r="D1884" s="55" t="s">
        <v>820</v>
      </c>
      <c r="E1884" s="56">
        <v>47.5</v>
      </c>
      <c r="F1884" s="55">
        <v>7.0000000000000007E-2</v>
      </c>
      <c r="G1884" s="55"/>
      <c r="J1884" s="37" t="str">
        <f t="shared" si="164"/>
        <v>동양파일</v>
      </c>
      <c r="K1884" s="37" t="str">
        <f t="shared" si="165"/>
        <v>A228340</v>
      </c>
    </row>
    <row r="1885" spans="1:11" x14ac:dyDescent="0.4">
      <c r="A1885" s="49"/>
      <c r="B1885" s="54" t="s">
        <v>4006</v>
      </c>
      <c r="C1885" s="37" t="s">
        <v>4007</v>
      </c>
      <c r="D1885" s="55" t="s">
        <v>820</v>
      </c>
      <c r="E1885" s="58">
        <v>88.93</v>
      </c>
      <c r="F1885" s="57">
        <v>1.2</v>
      </c>
      <c r="G1885" s="57">
        <v>1</v>
      </c>
      <c r="H1885" s="49"/>
      <c r="I1885" s="49">
        <f t="shared" ref="I1885:I1904" si="167">IF((G1885&gt;$G$8),E1885+ROW()/100000,"")</f>
        <v>88.948850000000007</v>
      </c>
      <c r="J1885" s="37" t="str">
        <f t="shared" si="164"/>
        <v>레이</v>
      </c>
      <c r="K1885" s="37" t="str">
        <f t="shared" si="165"/>
        <v>A228670</v>
      </c>
    </row>
    <row r="1886" spans="1:11" x14ac:dyDescent="0.4">
      <c r="A1886" s="49"/>
      <c r="B1886" s="54" t="s">
        <v>4008</v>
      </c>
      <c r="C1886" s="37" t="s">
        <v>4009</v>
      </c>
      <c r="D1886" s="55" t="s">
        <v>820</v>
      </c>
      <c r="E1886" s="56">
        <v>510.99</v>
      </c>
      <c r="F1886" s="55">
        <v>5.56</v>
      </c>
      <c r="G1886" s="55"/>
      <c r="I1886" s="49" t="str">
        <f t="shared" si="167"/>
        <v/>
      </c>
      <c r="J1886" s="37" t="str">
        <f t="shared" si="164"/>
        <v>지노믹트리</v>
      </c>
      <c r="K1886" s="37" t="str">
        <f t="shared" si="165"/>
        <v>A228760</v>
      </c>
    </row>
    <row r="1887" spans="1:11" x14ac:dyDescent="0.4">
      <c r="A1887" s="49"/>
      <c r="B1887" s="54" t="s">
        <v>4010</v>
      </c>
      <c r="C1887" s="37" t="s">
        <v>4011</v>
      </c>
      <c r="D1887" s="55" t="s">
        <v>820</v>
      </c>
      <c r="E1887" s="58">
        <v>96.73</v>
      </c>
      <c r="F1887" s="57">
        <v>0.23</v>
      </c>
      <c r="G1887" s="57">
        <v>1</v>
      </c>
      <c r="H1887" s="49"/>
      <c r="I1887" s="49">
        <f t="shared" si="167"/>
        <v>96.748870000000011</v>
      </c>
      <c r="J1887" s="37" t="str">
        <f t="shared" si="164"/>
        <v>레이언스</v>
      </c>
      <c r="K1887" s="37" t="str">
        <f t="shared" si="165"/>
        <v>A228850</v>
      </c>
    </row>
    <row r="1888" spans="1:11" x14ac:dyDescent="0.4">
      <c r="A1888" s="49"/>
      <c r="B1888" s="54" t="s">
        <v>4012</v>
      </c>
      <c r="C1888" s="37" t="s">
        <v>4013</v>
      </c>
      <c r="D1888" s="55" t="s">
        <v>820</v>
      </c>
      <c r="E1888" s="58">
        <v>137.29</v>
      </c>
      <c r="F1888" s="57">
        <v>2.87</v>
      </c>
      <c r="G1888" s="57"/>
      <c r="H1888" s="49"/>
      <c r="I1888" s="49" t="str">
        <f t="shared" si="167"/>
        <v/>
      </c>
      <c r="J1888" s="37" t="str">
        <f t="shared" si="164"/>
        <v>젠큐릭스</v>
      </c>
      <c r="K1888" s="37" t="str">
        <f t="shared" si="165"/>
        <v>A229000</v>
      </c>
    </row>
    <row r="1889" spans="1:11" x14ac:dyDescent="0.4">
      <c r="A1889" s="49"/>
      <c r="B1889" s="54" t="s">
        <v>436</v>
      </c>
      <c r="C1889" s="37" t="s">
        <v>437</v>
      </c>
      <c r="D1889" s="55" t="s">
        <v>805</v>
      </c>
      <c r="E1889" s="58">
        <v>1417.93</v>
      </c>
      <c r="F1889" s="57">
        <v>9.8800000000000008</v>
      </c>
      <c r="G1889" s="57">
        <v>6</v>
      </c>
      <c r="H1889" s="49"/>
      <c r="I1889" s="49">
        <f t="shared" si="167"/>
        <v>1417.9488900000001</v>
      </c>
      <c r="J1889" s="37" t="str">
        <f t="shared" si="164"/>
        <v>LS에코에너지</v>
      </c>
      <c r="K1889" s="37" t="str">
        <f t="shared" si="165"/>
        <v>A229640</v>
      </c>
    </row>
    <row r="1890" spans="1:11" x14ac:dyDescent="0.4">
      <c r="A1890" s="49"/>
      <c r="B1890" s="54" t="s">
        <v>4014</v>
      </c>
      <c r="C1890" s="37" t="s">
        <v>4015</v>
      </c>
      <c r="D1890" s="55" t="s">
        <v>820</v>
      </c>
      <c r="E1890" s="58">
        <v>229.98</v>
      </c>
      <c r="F1890" s="57">
        <v>2.95</v>
      </c>
      <c r="G1890" s="57"/>
      <c r="H1890" s="49"/>
      <c r="I1890" s="49" t="str">
        <f t="shared" si="167"/>
        <v/>
      </c>
      <c r="J1890" s="37" t="str">
        <f t="shared" si="164"/>
        <v>에치에프알</v>
      </c>
      <c r="K1890" s="37" t="str">
        <f t="shared" si="165"/>
        <v>A230240</v>
      </c>
    </row>
    <row r="1891" spans="1:11" x14ac:dyDescent="0.4">
      <c r="A1891" s="49"/>
      <c r="B1891" s="54" t="s">
        <v>4016</v>
      </c>
      <c r="C1891" s="37" t="s">
        <v>4017</v>
      </c>
      <c r="D1891" s="55" t="s">
        <v>820</v>
      </c>
      <c r="E1891" s="58">
        <v>490.71</v>
      </c>
      <c r="F1891" s="57">
        <v>2.44</v>
      </c>
      <c r="G1891" s="57">
        <v>1</v>
      </c>
      <c r="H1891" s="49"/>
      <c r="I1891" s="49">
        <f t="shared" si="167"/>
        <v>490.72890999999998</v>
      </c>
      <c r="J1891" s="37" t="str">
        <f t="shared" si="164"/>
        <v>에코마케팅</v>
      </c>
      <c r="K1891" s="37" t="str">
        <f t="shared" si="165"/>
        <v>A230360</v>
      </c>
    </row>
    <row r="1892" spans="1:11" x14ac:dyDescent="0.4">
      <c r="A1892" s="49"/>
      <c r="B1892" s="54" t="s">
        <v>4018</v>
      </c>
      <c r="C1892" s="37" t="s">
        <v>4019</v>
      </c>
      <c r="D1892" s="55" t="s">
        <v>820</v>
      </c>
      <c r="E1892" s="58">
        <v>21.37</v>
      </c>
      <c r="F1892" s="57">
        <v>0</v>
      </c>
      <c r="G1892" s="57"/>
      <c r="H1892" s="49"/>
      <c r="I1892" s="49" t="str">
        <f t="shared" si="167"/>
        <v/>
      </c>
      <c r="J1892" s="37" t="str">
        <f t="shared" si="164"/>
        <v>비유테크놀러지</v>
      </c>
      <c r="K1892" s="37" t="str">
        <f t="shared" si="165"/>
        <v>A230980</v>
      </c>
    </row>
    <row r="1893" spans="1:11" x14ac:dyDescent="0.4">
      <c r="A1893" s="49"/>
      <c r="B1893" s="54" t="s">
        <v>497</v>
      </c>
      <c r="C1893" s="37" t="s">
        <v>498</v>
      </c>
      <c r="D1893" s="55" t="s">
        <v>820</v>
      </c>
      <c r="E1893" s="56">
        <v>1772.18</v>
      </c>
      <c r="F1893" s="55">
        <v>16.239999999999998</v>
      </c>
      <c r="G1893" s="55">
        <v>1</v>
      </c>
      <c r="I1893" s="49">
        <f t="shared" si="167"/>
        <v>1772.19893</v>
      </c>
      <c r="J1893" s="37" t="str">
        <f t="shared" si="164"/>
        <v>와이씨</v>
      </c>
      <c r="K1893" s="37" t="str">
        <f t="shared" si="165"/>
        <v>A232140</v>
      </c>
    </row>
    <row r="1894" spans="1:11" x14ac:dyDescent="0.4">
      <c r="A1894" s="49"/>
      <c r="B1894" s="54" t="s">
        <v>4020</v>
      </c>
      <c r="C1894" s="37" t="s">
        <v>4021</v>
      </c>
      <c r="D1894" s="55" t="s">
        <v>820</v>
      </c>
      <c r="E1894" s="58">
        <v>216.17</v>
      </c>
      <c r="F1894" s="57">
        <v>10.65</v>
      </c>
      <c r="G1894" s="57"/>
      <c r="H1894" s="49"/>
      <c r="I1894" s="49" t="str">
        <f t="shared" si="167"/>
        <v/>
      </c>
      <c r="J1894" s="37" t="str">
        <f t="shared" si="164"/>
        <v>라온로보틱스</v>
      </c>
      <c r="K1894" s="37" t="str">
        <f t="shared" si="165"/>
        <v>A232680</v>
      </c>
    </row>
    <row r="1895" spans="1:11" x14ac:dyDescent="0.4">
      <c r="A1895" s="49"/>
      <c r="B1895" s="54" t="s">
        <v>4022</v>
      </c>
      <c r="C1895" s="37" t="s">
        <v>4023</v>
      </c>
      <c r="D1895" s="55" t="s">
        <v>820</v>
      </c>
      <c r="E1895" s="59">
        <v>35.380000000000003</v>
      </c>
      <c r="F1895" s="57">
        <v>0.21</v>
      </c>
      <c r="G1895" s="57"/>
      <c r="H1895" s="49"/>
      <c r="I1895" s="49" t="str">
        <f t="shared" si="167"/>
        <v/>
      </c>
      <c r="J1895" s="37" t="str">
        <f t="shared" si="164"/>
        <v>아이티센피엔에스</v>
      </c>
      <c r="K1895" s="37" t="str">
        <f t="shared" si="165"/>
        <v>A232830</v>
      </c>
    </row>
    <row r="1896" spans="1:11" x14ac:dyDescent="0.4">
      <c r="A1896" s="49"/>
      <c r="B1896" s="54" t="s">
        <v>4024</v>
      </c>
      <c r="C1896" s="37" t="s">
        <v>4025</v>
      </c>
      <c r="D1896" s="55" t="s">
        <v>820</v>
      </c>
      <c r="E1896" s="58">
        <v>207.96</v>
      </c>
      <c r="F1896" s="57">
        <v>25.88</v>
      </c>
      <c r="G1896" s="57"/>
      <c r="H1896" s="49"/>
      <c r="I1896" s="49" t="str">
        <f t="shared" si="167"/>
        <v/>
      </c>
      <c r="J1896" s="37" t="str">
        <f t="shared" si="164"/>
        <v>싸이닉솔루션</v>
      </c>
      <c r="K1896" s="37" t="str">
        <f t="shared" si="165"/>
        <v>A234030</v>
      </c>
    </row>
    <row r="1897" spans="1:11" x14ac:dyDescent="0.4">
      <c r="A1897" s="49"/>
      <c r="B1897" s="54" t="s">
        <v>4026</v>
      </c>
      <c r="C1897" s="37" t="s">
        <v>4027</v>
      </c>
      <c r="D1897" s="55" t="s">
        <v>805</v>
      </c>
      <c r="E1897" s="58">
        <v>210.12</v>
      </c>
      <c r="F1897" s="57">
        <v>1.06</v>
      </c>
      <c r="G1897" s="57"/>
      <c r="H1897" s="49"/>
      <c r="I1897" s="49" t="str">
        <f t="shared" si="167"/>
        <v/>
      </c>
      <c r="J1897" s="37" t="str">
        <f t="shared" si="164"/>
        <v>JW생명과학</v>
      </c>
      <c r="K1897" s="37" t="str">
        <f t="shared" si="165"/>
        <v>A234080</v>
      </c>
    </row>
    <row r="1898" spans="1:11" x14ac:dyDescent="0.4">
      <c r="A1898" s="49"/>
      <c r="B1898" s="54" t="s">
        <v>4028</v>
      </c>
      <c r="C1898" s="37" t="s">
        <v>4029</v>
      </c>
      <c r="D1898" s="55" t="s">
        <v>820</v>
      </c>
      <c r="E1898" s="56">
        <v>80.14</v>
      </c>
      <c r="F1898" s="55">
        <v>2.35</v>
      </c>
      <c r="G1898" s="55"/>
      <c r="I1898" s="49" t="str">
        <f t="shared" si="167"/>
        <v/>
      </c>
      <c r="J1898" s="37" t="str">
        <f t="shared" si="164"/>
        <v>폴라리스세원</v>
      </c>
      <c r="K1898" s="37" t="str">
        <f t="shared" si="165"/>
        <v>A234100</v>
      </c>
    </row>
    <row r="1899" spans="1:11" x14ac:dyDescent="0.4">
      <c r="A1899" s="49"/>
      <c r="B1899" s="54" t="s">
        <v>4030</v>
      </c>
      <c r="C1899" s="37" t="s">
        <v>4031</v>
      </c>
      <c r="D1899" s="55" t="s">
        <v>820</v>
      </c>
      <c r="E1899" s="59">
        <v>98.08</v>
      </c>
      <c r="F1899" s="57">
        <v>0.41</v>
      </c>
      <c r="G1899" s="57"/>
      <c r="H1899" s="49"/>
      <c r="I1899" s="49" t="str">
        <f t="shared" si="167"/>
        <v/>
      </c>
      <c r="J1899" s="37" t="str">
        <f t="shared" si="164"/>
        <v>에스트래픽</v>
      </c>
      <c r="K1899" s="37" t="str">
        <f t="shared" si="165"/>
        <v>A234300</v>
      </c>
    </row>
    <row r="1900" spans="1:11" x14ac:dyDescent="0.4">
      <c r="A1900" s="49"/>
      <c r="B1900" s="54" t="s">
        <v>4032</v>
      </c>
      <c r="C1900" s="37" t="s">
        <v>4033</v>
      </c>
      <c r="D1900" s="55" t="s">
        <v>820</v>
      </c>
      <c r="E1900" s="56">
        <v>383.49</v>
      </c>
      <c r="F1900" s="55">
        <v>21.93</v>
      </c>
      <c r="G1900" s="55"/>
      <c r="H1900" s="49"/>
      <c r="I1900" s="49" t="str">
        <f t="shared" si="167"/>
        <v/>
      </c>
      <c r="J1900" s="37" t="str">
        <f t="shared" si="164"/>
        <v>헥토파이낸셜</v>
      </c>
      <c r="K1900" s="37" t="str">
        <f t="shared" si="165"/>
        <v>A234340</v>
      </c>
    </row>
    <row r="1901" spans="1:11" x14ac:dyDescent="0.4">
      <c r="A1901" s="49"/>
      <c r="B1901" s="54" t="s">
        <v>4034</v>
      </c>
      <c r="C1901" s="37" t="s">
        <v>4035</v>
      </c>
      <c r="D1901" s="55" t="s">
        <v>820</v>
      </c>
      <c r="E1901" s="58">
        <v>182.14</v>
      </c>
      <c r="F1901" s="57">
        <v>0.77</v>
      </c>
      <c r="G1901" s="57"/>
      <c r="H1901" s="49"/>
      <c r="I1901" s="49" t="str">
        <f t="shared" si="167"/>
        <v/>
      </c>
      <c r="J1901" s="37" t="str">
        <f t="shared" si="164"/>
        <v>녹십자웰빙</v>
      </c>
      <c r="K1901" s="37" t="str">
        <f t="shared" si="165"/>
        <v>A234690</v>
      </c>
    </row>
    <row r="1902" spans="1:11" x14ac:dyDescent="0.4">
      <c r="A1902" s="49"/>
      <c r="B1902" s="54" t="s">
        <v>4036</v>
      </c>
      <c r="C1902" s="37" t="s">
        <v>4037</v>
      </c>
      <c r="D1902" s="55" t="s">
        <v>820</v>
      </c>
      <c r="E1902" s="58">
        <v>71.849999999999994</v>
      </c>
      <c r="F1902" s="57">
        <v>0.59</v>
      </c>
      <c r="G1902" s="57"/>
      <c r="H1902" s="49"/>
      <c r="I1902" s="49" t="str">
        <f t="shared" si="167"/>
        <v/>
      </c>
      <c r="J1902" s="37" t="str">
        <f t="shared" si="164"/>
        <v>자이글</v>
      </c>
      <c r="K1902" s="37" t="str">
        <f t="shared" si="165"/>
        <v>A234920</v>
      </c>
    </row>
    <row r="1903" spans="1:11" x14ac:dyDescent="0.4">
      <c r="A1903" s="49"/>
      <c r="B1903" s="54" t="s">
        <v>4038</v>
      </c>
      <c r="C1903" s="37" t="s">
        <v>4039</v>
      </c>
      <c r="D1903" s="55" t="s">
        <v>820</v>
      </c>
      <c r="E1903" s="58">
        <v>188.86</v>
      </c>
      <c r="F1903" s="57">
        <v>4.53</v>
      </c>
      <c r="G1903" s="57"/>
      <c r="H1903" s="49"/>
      <c r="I1903" s="49" t="str">
        <f t="shared" si="167"/>
        <v/>
      </c>
      <c r="J1903" s="37" t="str">
        <f t="shared" si="164"/>
        <v>메드팩토</v>
      </c>
      <c r="K1903" s="37" t="str">
        <f t="shared" si="165"/>
        <v>A235980</v>
      </c>
    </row>
    <row r="1904" spans="1:11" x14ac:dyDescent="0.4">
      <c r="A1904" s="49"/>
      <c r="B1904" s="54" t="s">
        <v>4040</v>
      </c>
      <c r="C1904" s="37" t="s">
        <v>4041</v>
      </c>
      <c r="D1904" s="55" t="s">
        <v>820</v>
      </c>
      <c r="E1904" s="58">
        <v>342.54</v>
      </c>
      <c r="F1904" s="57">
        <v>2.37</v>
      </c>
      <c r="G1904" s="57">
        <v>1</v>
      </c>
      <c r="H1904" s="49"/>
      <c r="I1904" s="49">
        <f t="shared" si="167"/>
        <v>342.55904000000004</v>
      </c>
      <c r="J1904" s="37" t="str">
        <f t="shared" si="164"/>
        <v>슈프리마</v>
      </c>
      <c r="K1904" s="37" t="str">
        <f t="shared" si="165"/>
        <v>A236200</v>
      </c>
    </row>
    <row r="1905" spans="1:11" x14ac:dyDescent="0.4">
      <c r="B1905" s="54" t="s">
        <v>4042</v>
      </c>
      <c r="C1905" s="37" t="s">
        <v>4043</v>
      </c>
      <c r="D1905" s="55" t="s">
        <v>820</v>
      </c>
      <c r="E1905" s="56">
        <v>33.950000000000003</v>
      </c>
      <c r="F1905" s="55">
        <v>1.37</v>
      </c>
      <c r="G1905" s="55"/>
      <c r="J1905" s="37" t="str">
        <f t="shared" si="164"/>
        <v>엔비티</v>
      </c>
      <c r="K1905" s="37" t="str">
        <f t="shared" si="165"/>
        <v>A236810</v>
      </c>
    </row>
    <row r="1906" spans="1:11" x14ac:dyDescent="0.4">
      <c r="A1906" s="49"/>
      <c r="B1906" s="54" t="s">
        <v>49</v>
      </c>
      <c r="C1906" s="37" t="s">
        <v>50</v>
      </c>
      <c r="D1906" s="55" t="s">
        <v>820</v>
      </c>
      <c r="E1906" s="58">
        <v>3164.29</v>
      </c>
      <c r="F1906" s="57">
        <v>26.3</v>
      </c>
      <c r="G1906" s="57">
        <v>10</v>
      </c>
      <c r="H1906" s="49"/>
      <c r="I1906" s="49">
        <f t="shared" ref="I1906:I1915" si="168">IF((G1906&gt;$G$8),E1906+ROW()/100000,"")</f>
        <v>3164.30906</v>
      </c>
      <c r="J1906" s="37" t="str">
        <f t="shared" si="164"/>
        <v>에스티팜</v>
      </c>
      <c r="K1906" s="37" t="str">
        <f t="shared" si="165"/>
        <v>A237690</v>
      </c>
    </row>
    <row r="1907" spans="1:11" x14ac:dyDescent="0.4">
      <c r="A1907" s="49"/>
      <c r="B1907" s="54" t="s">
        <v>4044</v>
      </c>
      <c r="C1907" s="37" t="s">
        <v>4045</v>
      </c>
      <c r="D1907" s="55" t="s">
        <v>820</v>
      </c>
      <c r="E1907" s="56">
        <v>31.28</v>
      </c>
      <c r="F1907" s="55">
        <v>0.33</v>
      </c>
      <c r="G1907" s="55"/>
      <c r="I1907" s="49" t="str">
        <f t="shared" si="168"/>
        <v/>
      </c>
      <c r="J1907" s="37" t="str">
        <f t="shared" si="164"/>
        <v>피앤씨테크</v>
      </c>
      <c r="K1907" s="37" t="str">
        <f t="shared" si="165"/>
        <v>A237750</v>
      </c>
    </row>
    <row r="1908" spans="1:11" x14ac:dyDescent="0.4">
      <c r="A1908" s="49"/>
      <c r="B1908" s="54" t="s">
        <v>4046</v>
      </c>
      <c r="C1908" s="37" t="s">
        <v>4047</v>
      </c>
      <c r="D1908" s="55" t="s">
        <v>820</v>
      </c>
      <c r="E1908" s="58">
        <v>55.03</v>
      </c>
      <c r="F1908" s="57">
        <v>0.17</v>
      </c>
      <c r="G1908" s="57"/>
      <c r="H1908" s="49"/>
      <c r="I1908" s="49" t="str">
        <f t="shared" si="168"/>
        <v/>
      </c>
      <c r="J1908" s="37" t="str">
        <f t="shared" si="164"/>
        <v>플레이디</v>
      </c>
      <c r="K1908" s="37" t="str">
        <f t="shared" si="165"/>
        <v>A237820</v>
      </c>
    </row>
    <row r="1909" spans="1:11" x14ac:dyDescent="0.4">
      <c r="A1909" s="49"/>
      <c r="B1909" s="54" t="s">
        <v>4048</v>
      </c>
      <c r="C1909" s="37" t="s">
        <v>4049</v>
      </c>
      <c r="D1909" s="55" t="s">
        <v>820</v>
      </c>
      <c r="E1909" s="58">
        <v>234.39</v>
      </c>
      <c r="F1909" s="57">
        <v>0.84</v>
      </c>
      <c r="G1909" s="57">
        <v>1</v>
      </c>
      <c r="H1909" s="49"/>
      <c r="I1909" s="49">
        <f t="shared" si="168"/>
        <v>234.40908999999999</v>
      </c>
      <c r="J1909" s="37" t="str">
        <f t="shared" si="164"/>
        <v>클리오</v>
      </c>
      <c r="K1909" s="37" t="str">
        <f t="shared" si="165"/>
        <v>A237880</v>
      </c>
    </row>
    <row r="1910" spans="1:11" x14ac:dyDescent="0.4">
      <c r="A1910" s="49"/>
      <c r="B1910" s="54" t="s">
        <v>4050</v>
      </c>
      <c r="C1910" s="37" t="s">
        <v>4051</v>
      </c>
      <c r="D1910" s="55" t="s">
        <v>820</v>
      </c>
      <c r="E1910" s="58">
        <v>49.44</v>
      </c>
      <c r="F1910" s="57">
        <v>0.16</v>
      </c>
      <c r="G1910" s="57"/>
      <c r="H1910" s="49"/>
      <c r="I1910" s="49" t="str">
        <f t="shared" si="168"/>
        <v/>
      </c>
      <c r="J1910" s="37" t="str">
        <f t="shared" si="164"/>
        <v>앤디포스</v>
      </c>
      <c r="K1910" s="37" t="str">
        <f t="shared" si="165"/>
        <v>A238090</v>
      </c>
    </row>
    <row r="1911" spans="1:11" x14ac:dyDescent="0.4">
      <c r="A1911" s="49"/>
      <c r="B1911" s="54" t="s">
        <v>4052</v>
      </c>
      <c r="C1911" s="37" t="s">
        <v>4053</v>
      </c>
      <c r="D1911" s="55" t="s">
        <v>820</v>
      </c>
      <c r="E1911" s="58">
        <v>69.81</v>
      </c>
      <c r="F1911" s="57">
        <v>0.66</v>
      </c>
      <c r="G1911" s="57"/>
      <c r="H1911" s="49"/>
      <c r="I1911" s="49" t="str">
        <f t="shared" si="168"/>
        <v/>
      </c>
      <c r="J1911" s="37" t="str">
        <f t="shared" si="164"/>
        <v>얼라인드</v>
      </c>
      <c r="K1911" s="37" t="str">
        <f t="shared" si="165"/>
        <v>A238120</v>
      </c>
    </row>
    <row r="1912" spans="1:11" x14ac:dyDescent="0.4">
      <c r="A1912" s="49"/>
      <c r="B1912" s="54" t="s">
        <v>4054</v>
      </c>
      <c r="C1912" s="37" t="s">
        <v>4055</v>
      </c>
      <c r="D1912" s="55" t="s">
        <v>820</v>
      </c>
      <c r="E1912" s="56">
        <v>24.46</v>
      </c>
      <c r="F1912" s="55">
        <v>0.06</v>
      </c>
      <c r="G1912" s="55"/>
      <c r="I1912" s="49" t="str">
        <f t="shared" si="168"/>
        <v/>
      </c>
      <c r="J1912" s="37" t="str">
        <f t="shared" si="164"/>
        <v>비피도</v>
      </c>
      <c r="K1912" s="37" t="str">
        <f t="shared" si="165"/>
        <v>A238200</v>
      </c>
    </row>
    <row r="1913" spans="1:11" x14ac:dyDescent="0.4">
      <c r="A1913" s="49"/>
      <c r="B1913" s="54" t="s">
        <v>4056</v>
      </c>
      <c r="C1913" s="37" t="s">
        <v>4057</v>
      </c>
      <c r="D1913" s="55" t="s">
        <v>820</v>
      </c>
      <c r="E1913" s="58">
        <v>33.43</v>
      </c>
      <c r="F1913" s="57">
        <v>0.2</v>
      </c>
      <c r="G1913" s="57"/>
      <c r="H1913" s="49"/>
      <c r="I1913" s="49" t="str">
        <f t="shared" si="168"/>
        <v/>
      </c>
      <c r="J1913" s="37" t="str">
        <f t="shared" si="164"/>
        <v>힘스</v>
      </c>
      <c r="K1913" s="37" t="str">
        <f t="shared" si="165"/>
        <v>A238490</v>
      </c>
    </row>
    <row r="1914" spans="1:11" x14ac:dyDescent="0.4">
      <c r="A1914" s="49"/>
      <c r="B1914" s="54" t="s">
        <v>4058</v>
      </c>
      <c r="C1914" s="37" t="s">
        <v>4059</v>
      </c>
      <c r="D1914" s="55" t="s">
        <v>820</v>
      </c>
      <c r="E1914" s="58">
        <v>41.68</v>
      </c>
      <c r="F1914" s="57">
        <v>0.37</v>
      </c>
      <c r="G1914" s="57"/>
      <c r="H1914" s="49"/>
      <c r="I1914" s="49" t="str">
        <f t="shared" si="168"/>
        <v/>
      </c>
      <c r="J1914" s="37" t="str">
        <f t="shared" si="164"/>
        <v>이스트에이드</v>
      </c>
      <c r="K1914" s="37" t="str">
        <f t="shared" si="165"/>
        <v>A239340</v>
      </c>
    </row>
    <row r="1915" spans="1:11" x14ac:dyDescent="0.4">
      <c r="A1915" s="49"/>
      <c r="B1915" s="54" t="s">
        <v>4060</v>
      </c>
      <c r="C1915" s="37" t="s">
        <v>4061</v>
      </c>
      <c r="D1915" s="55" t="s">
        <v>820</v>
      </c>
      <c r="E1915" s="58">
        <v>45.83</v>
      </c>
      <c r="F1915" s="57">
        <v>0.06</v>
      </c>
      <c r="G1915" s="57"/>
      <c r="H1915" s="49"/>
      <c r="I1915" s="49" t="str">
        <f t="shared" si="168"/>
        <v/>
      </c>
      <c r="J1915" s="37" t="str">
        <f t="shared" si="164"/>
        <v>에이치엘사이언스</v>
      </c>
      <c r="K1915" s="37" t="str">
        <f t="shared" si="165"/>
        <v>A239610</v>
      </c>
    </row>
    <row r="1916" spans="1:11" x14ac:dyDescent="0.4">
      <c r="B1916" s="54" t="s">
        <v>4062</v>
      </c>
      <c r="C1916" s="37" t="s">
        <v>4063</v>
      </c>
      <c r="D1916" s="55" t="s">
        <v>820</v>
      </c>
      <c r="E1916" s="56">
        <v>49.98</v>
      </c>
      <c r="F1916" s="55">
        <v>0.52</v>
      </c>
      <c r="G1916" s="55">
        <v>1</v>
      </c>
      <c r="J1916" s="37" t="str">
        <f t="shared" si="164"/>
        <v>피엔에이치테크</v>
      </c>
      <c r="K1916" s="37" t="str">
        <f t="shared" si="165"/>
        <v>A239890</v>
      </c>
    </row>
    <row r="1917" spans="1:11" x14ac:dyDescent="0.4">
      <c r="A1917" s="49"/>
      <c r="B1917" s="54" t="s">
        <v>4064</v>
      </c>
      <c r="C1917" s="37" t="s">
        <v>4065</v>
      </c>
      <c r="D1917" s="55" t="s">
        <v>820</v>
      </c>
      <c r="E1917" s="58">
        <v>161.19</v>
      </c>
      <c r="F1917" s="57">
        <v>1.46</v>
      </c>
      <c r="G1917" s="57">
        <v>1</v>
      </c>
      <c r="H1917" s="49"/>
      <c r="I1917" s="49">
        <f t="shared" ref="I1917:I1932" si="169">IF((G1917&gt;$G$8),E1917+ROW()/100000,"")</f>
        <v>161.20917</v>
      </c>
      <c r="J1917" s="37" t="str">
        <f t="shared" si="164"/>
        <v>동방메디컬</v>
      </c>
      <c r="K1917" s="37" t="str">
        <f t="shared" si="165"/>
        <v>A240550</v>
      </c>
    </row>
    <row r="1918" spans="1:11" x14ac:dyDescent="0.4">
      <c r="A1918" s="49"/>
      <c r="B1918" s="54" t="s">
        <v>4066</v>
      </c>
      <c r="C1918" s="37" t="s">
        <v>4067</v>
      </c>
      <c r="D1918" s="55" t="s">
        <v>820</v>
      </c>
      <c r="E1918" s="58">
        <v>22.48</v>
      </c>
      <c r="F1918" s="57">
        <v>0.19</v>
      </c>
      <c r="G1918" s="57"/>
      <c r="H1918" s="49"/>
      <c r="I1918" s="49" t="str">
        <f t="shared" si="169"/>
        <v/>
      </c>
      <c r="J1918" s="37" t="str">
        <f t="shared" si="164"/>
        <v>유진테크놀로지</v>
      </c>
      <c r="K1918" s="37" t="str">
        <f t="shared" si="165"/>
        <v>A240600</v>
      </c>
    </row>
    <row r="1919" spans="1:11" x14ac:dyDescent="0.4">
      <c r="A1919" s="49"/>
      <c r="B1919" s="54" t="s">
        <v>180</v>
      </c>
      <c r="C1919" s="37" t="s">
        <v>181</v>
      </c>
      <c r="D1919" s="55" t="s">
        <v>820</v>
      </c>
      <c r="E1919" s="58">
        <v>6164.94</v>
      </c>
      <c r="F1919" s="57">
        <v>54.02</v>
      </c>
      <c r="G1919" s="57">
        <v>6</v>
      </c>
      <c r="H1919" s="49"/>
      <c r="I1919" s="49">
        <f t="shared" si="169"/>
        <v>6164.9591899999996</v>
      </c>
      <c r="J1919" s="37" t="str">
        <f t="shared" si="164"/>
        <v>원익IPS</v>
      </c>
      <c r="K1919" s="37" t="str">
        <f t="shared" si="165"/>
        <v>A240810</v>
      </c>
    </row>
    <row r="1920" spans="1:11" x14ac:dyDescent="0.4">
      <c r="A1920" s="49"/>
      <c r="B1920" s="54" t="s">
        <v>4068</v>
      </c>
      <c r="C1920" s="37" t="s">
        <v>4069</v>
      </c>
      <c r="D1920" s="55" t="s">
        <v>820</v>
      </c>
      <c r="E1920" s="58">
        <v>486</v>
      </c>
      <c r="F1920" s="57">
        <v>17.14</v>
      </c>
      <c r="G1920" s="57"/>
      <c r="H1920" s="49"/>
      <c r="I1920" s="49" t="str">
        <f t="shared" si="169"/>
        <v/>
      </c>
      <c r="J1920" s="37" t="str">
        <f t="shared" si="164"/>
        <v>DSC인베스트먼트</v>
      </c>
      <c r="K1920" s="37" t="str">
        <f t="shared" si="165"/>
        <v>A241520</v>
      </c>
    </row>
    <row r="1921" spans="1:11" x14ac:dyDescent="0.4">
      <c r="A1921" s="49"/>
      <c r="B1921" s="54" t="s">
        <v>617</v>
      </c>
      <c r="C1921" s="37" t="s">
        <v>618</v>
      </c>
      <c r="D1921" s="55" t="s">
        <v>805</v>
      </c>
      <c r="E1921" s="58">
        <v>6230.64</v>
      </c>
      <c r="F1921" s="57">
        <v>21.17</v>
      </c>
      <c r="G1921" s="57">
        <v>8</v>
      </c>
      <c r="H1921" s="49"/>
      <c r="I1921" s="49">
        <f t="shared" si="169"/>
        <v>6230.6592100000007</v>
      </c>
      <c r="J1921" s="37" t="str">
        <f t="shared" si="164"/>
        <v>두산밥캣</v>
      </c>
      <c r="K1921" s="37" t="str">
        <f t="shared" si="165"/>
        <v>A241560</v>
      </c>
    </row>
    <row r="1922" spans="1:11" x14ac:dyDescent="0.4">
      <c r="A1922" s="49"/>
      <c r="B1922" s="54" t="s">
        <v>4070</v>
      </c>
      <c r="C1922" s="37" t="s">
        <v>4071</v>
      </c>
      <c r="D1922" s="55" t="s">
        <v>805</v>
      </c>
      <c r="E1922" s="56">
        <v>338.09</v>
      </c>
      <c r="F1922" s="55">
        <v>0.94</v>
      </c>
      <c r="G1922" s="55">
        <v>2</v>
      </c>
      <c r="I1922" s="49">
        <f t="shared" si="169"/>
        <v>338.10921999999999</v>
      </c>
      <c r="J1922" s="37" t="str">
        <f t="shared" si="164"/>
        <v>화승엔터프라이즈</v>
      </c>
      <c r="K1922" s="37" t="str">
        <f t="shared" si="165"/>
        <v>A241590</v>
      </c>
    </row>
    <row r="1923" spans="1:11" x14ac:dyDescent="0.4">
      <c r="A1923" s="49"/>
      <c r="B1923" s="54" t="s">
        <v>4072</v>
      </c>
      <c r="C1923" s="37" t="s">
        <v>4073</v>
      </c>
      <c r="D1923" s="55" t="s">
        <v>820</v>
      </c>
      <c r="E1923" s="58">
        <v>95.93</v>
      </c>
      <c r="F1923" s="57">
        <v>2.75</v>
      </c>
      <c r="G1923" s="57"/>
      <c r="H1923" s="49"/>
      <c r="I1923" s="49" t="str">
        <f t="shared" si="169"/>
        <v/>
      </c>
      <c r="J1923" s="37" t="str">
        <f t="shared" si="164"/>
        <v>유니테크노</v>
      </c>
      <c r="K1923" s="37" t="str">
        <f t="shared" si="165"/>
        <v>A241690</v>
      </c>
    </row>
    <row r="1924" spans="1:11" x14ac:dyDescent="0.4">
      <c r="A1924" s="49"/>
      <c r="B1924" s="54" t="s">
        <v>697</v>
      </c>
      <c r="C1924" s="37" t="s">
        <v>698</v>
      </c>
      <c r="D1924" s="55" t="s">
        <v>820</v>
      </c>
      <c r="E1924" s="58">
        <v>902.46</v>
      </c>
      <c r="F1924" s="57">
        <v>8.1300000000000008</v>
      </c>
      <c r="G1924" s="57">
        <v>12</v>
      </c>
      <c r="H1924" s="49"/>
      <c r="I1924" s="49">
        <f t="shared" si="169"/>
        <v>902.47924</v>
      </c>
      <c r="J1924" s="37" t="str">
        <f t="shared" si="164"/>
        <v>코스메카코리아</v>
      </c>
      <c r="K1924" s="37" t="str">
        <f t="shared" si="165"/>
        <v>A241710</v>
      </c>
    </row>
    <row r="1925" spans="1:11" x14ac:dyDescent="0.4">
      <c r="A1925" s="49"/>
      <c r="B1925" s="54" t="s">
        <v>4074</v>
      </c>
      <c r="C1925" s="37" t="s">
        <v>4075</v>
      </c>
      <c r="D1925" s="55" t="s">
        <v>820</v>
      </c>
      <c r="E1925" s="58">
        <v>291</v>
      </c>
      <c r="F1925" s="57">
        <v>1.27</v>
      </c>
      <c r="G1925" s="57"/>
      <c r="H1925" s="49"/>
      <c r="I1925" s="49" t="str">
        <f t="shared" si="169"/>
        <v/>
      </c>
      <c r="J1925" s="37" t="str">
        <f t="shared" si="164"/>
        <v>메카로</v>
      </c>
      <c r="K1925" s="37" t="str">
        <f t="shared" si="165"/>
        <v>A241770</v>
      </c>
    </row>
    <row r="1926" spans="1:11" x14ac:dyDescent="0.4">
      <c r="A1926" s="49"/>
      <c r="B1926" s="54" t="s">
        <v>4076</v>
      </c>
      <c r="C1926" s="37" t="s">
        <v>4077</v>
      </c>
      <c r="D1926" s="55" t="s">
        <v>820</v>
      </c>
      <c r="E1926" s="58">
        <v>75.42</v>
      </c>
      <c r="F1926" s="57">
        <v>0.42</v>
      </c>
      <c r="G1926" s="57"/>
      <c r="H1926" s="49"/>
      <c r="I1926" s="49" t="str">
        <f t="shared" si="169"/>
        <v/>
      </c>
      <c r="J1926" s="37" t="str">
        <f t="shared" si="164"/>
        <v>티이엠씨씨엔에스</v>
      </c>
      <c r="K1926" s="37" t="str">
        <f t="shared" si="165"/>
        <v>A241790</v>
      </c>
    </row>
    <row r="1927" spans="1:11" x14ac:dyDescent="0.4">
      <c r="A1927" s="49"/>
      <c r="B1927" s="54" t="s">
        <v>4078</v>
      </c>
      <c r="C1927" s="37" t="s">
        <v>4079</v>
      </c>
      <c r="D1927" s="55" t="s">
        <v>820</v>
      </c>
      <c r="E1927" s="56">
        <v>16.8</v>
      </c>
      <c r="F1927" s="55">
        <v>0</v>
      </c>
      <c r="G1927" s="55"/>
      <c r="I1927" s="49" t="str">
        <f t="shared" si="169"/>
        <v/>
      </c>
      <c r="J1927" s="37" t="str">
        <f t="shared" si="164"/>
        <v>피씨엘</v>
      </c>
      <c r="K1927" s="37" t="str">
        <f t="shared" si="165"/>
        <v>A241820</v>
      </c>
    </row>
    <row r="1928" spans="1:11" x14ac:dyDescent="0.4">
      <c r="A1928" s="49"/>
      <c r="B1928" s="54" t="s">
        <v>4080</v>
      </c>
      <c r="C1928" s="37" t="s">
        <v>4081</v>
      </c>
      <c r="D1928" s="55" t="s">
        <v>820</v>
      </c>
      <c r="E1928" s="58">
        <v>60.1</v>
      </c>
      <c r="F1928" s="57">
        <v>0.44</v>
      </c>
      <c r="G1928" s="57"/>
      <c r="H1928" s="49"/>
      <c r="I1928" s="49" t="str">
        <f t="shared" si="169"/>
        <v/>
      </c>
      <c r="J1928" s="37" t="str">
        <f t="shared" si="164"/>
        <v>에이스토리</v>
      </c>
      <c r="K1928" s="37" t="str">
        <f t="shared" si="165"/>
        <v>A241840</v>
      </c>
    </row>
    <row r="1929" spans="1:11" x14ac:dyDescent="0.4">
      <c r="A1929" s="49"/>
      <c r="B1929" s="54" t="s">
        <v>4082</v>
      </c>
      <c r="C1929" s="37" t="s">
        <v>4083</v>
      </c>
      <c r="D1929" s="55" t="s">
        <v>820</v>
      </c>
      <c r="E1929" s="58">
        <v>200.72</v>
      </c>
      <c r="F1929" s="57">
        <v>7.15</v>
      </c>
      <c r="G1929" s="57"/>
      <c r="H1929" s="49"/>
      <c r="I1929" s="49" t="str">
        <f t="shared" si="169"/>
        <v/>
      </c>
      <c r="J1929" s="37" t="str">
        <f t="shared" si="164"/>
        <v>나무기술</v>
      </c>
      <c r="K1929" s="37" t="str">
        <f t="shared" si="165"/>
        <v>A242040</v>
      </c>
    </row>
    <row r="1930" spans="1:11" x14ac:dyDescent="0.4">
      <c r="A1930" s="49"/>
      <c r="B1930" s="54" t="s">
        <v>4084</v>
      </c>
      <c r="C1930" s="37" t="s">
        <v>4085</v>
      </c>
      <c r="D1930" s="55" t="s">
        <v>820</v>
      </c>
      <c r="E1930" s="58">
        <v>342.62</v>
      </c>
      <c r="F1930" s="57">
        <v>0.85</v>
      </c>
      <c r="G1930" s="57"/>
      <c r="H1930" s="49"/>
      <c r="I1930" s="49" t="str">
        <f t="shared" si="169"/>
        <v/>
      </c>
      <c r="J1930" s="37" t="str">
        <f t="shared" si="164"/>
        <v>휴온스</v>
      </c>
      <c r="K1930" s="37" t="str">
        <f t="shared" si="165"/>
        <v>A243070</v>
      </c>
    </row>
    <row r="1931" spans="1:11" x14ac:dyDescent="0.4">
      <c r="A1931" s="49"/>
      <c r="B1931" s="54" t="s">
        <v>4086</v>
      </c>
      <c r="C1931" s="37" t="s">
        <v>4087</v>
      </c>
      <c r="D1931" s="55" t="s">
        <v>820</v>
      </c>
      <c r="E1931" s="56">
        <v>245.62</v>
      </c>
      <c r="F1931" s="56">
        <v>3.31</v>
      </c>
      <c r="G1931" s="55">
        <v>1</v>
      </c>
      <c r="I1931" s="49">
        <f t="shared" si="169"/>
        <v>245.63930999999999</v>
      </c>
      <c r="J1931" s="37" t="str">
        <f t="shared" si="164"/>
        <v>신흥에스이씨</v>
      </c>
      <c r="K1931" s="37" t="str">
        <f t="shared" si="165"/>
        <v>A243840</v>
      </c>
    </row>
    <row r="1932" spans="1:11" x14ac:dyDescent="0.4">
      <c r="A1932" s="49"/>
      <c r="B1932" s="54" t="s">
        <v>4088</v>
      </c>
      <c r="C1932" s="37" t="s">
        <v>4089</v>
      </c>
      <c r="D1932" s="55" t="s">
        <v>820</v>
      </c>
      <c r="E1932" s="58">
        <v>13.42</v>
      </c>
      <c r="F1932" s="57">
        <v>0</v>
      </c>
      <c r="G1932" s="57"/>
      <c r="H1932" s="49"/>
      <c r="I1932" s="49" t="str">
        <f t="shared" si="169"/>
        <v/>
      </c>
      <c r="J1932" s="37" t="str">
        <f t="shared" si="164"/>
        <v>올리패스</v>
      </c>
      <c r="K1932" s="37" t="str">
        <f t="shared" si="165"/>
        <v>A244460</v>
      </c>
    </row>
    <row r="1933" spans="1:11" x14ac:dyDescent="0.4">
      <c r="B1933" s="54" t="s">
        <v>4090</v>
      </c>
      <c r="C1933" s="37" t="s">
        <v>4091</v>
      </c>
      <c r="D1933" s="55" t="s">
        <v>805</v>
      </c>
      <c r="E1933" s="56">
        <v>333.92</v>
      </c>
      <c r="F1933" s="55">
        <v>2.48</v>
      </c>
      <c r="G1933" s="55">
        <v>1</v>
      </c>
      <c r="J1933" s="37" t="str">
        <f t="shared" si="164"/>
        <v>에이플러스에셋</v>
      </c>
      <c r="K1933" s="37" t="str">
        <f t="shared" si="165"/>
        <v>A244920</v>
      </c>
    </row>
    <row r="1934" spans="1:11" x14ac:dyDescent="0.4">
      <c r="A1934" s="49"/>
      <c r="B1934" s="54" t="s">
        <v>4092</v>
      </c>
      <c r="C1934" s="37" t="s">
        <v>4093</v>
      </c>
      <c r="D1934" s="55" t="s">
        <v>820</v>
      </c>
      <c r="E1934" s="58">
        <v>57.47</v>
      </c>
      <c r="F1934" s="57">
        <v>0</v>
      </c>
      <c r="G1934" s="57"/>
      <c r="H1934" s="49"/>
      <c r="I1934" s="49" t="str">
        <f t="shared" ref="I1934:I1951" si="170">IF((G1934&gt;$G$8),E1934+ROW()/100000,"")</f>
        <v/>
      </c>
      <c r="J1934" s="37" t="str">
        <f t="shared" ref="J1934:J1997" si="171">C1934</f>
        <v>EDGC</v>
      </c>
      <c r="K1934" s="37" t="str">
        <f t="shared" ref="K1934:K1997" si="172">B1934</f>
        <v>A245620</v>
      </c>
    </row>
    <row r="1935" spans="1:11" x14ac:dyDescent="0.4">
      <c r="A1935" s="49"/>
      <c r="B1935" s="54" t="s">
        <v>4094</v>
      </c>
      <c r="C1935" s="37" t="s">
        <v>4095</v>
      </c>
      <c r="D1935" s="55" t="s">
        <v>820</v>
      </c>
      <c r="E1935" s="58">
        <v>30.22</v>
      </c>
      <c r="F1935" s="57">
        <v>0</v>
      </c>
      <c r="G1935" s="57"/>
      <c r="H1935" s="49"/>
      <c r="I1935" s="49" t="str">
        <f t="shared" si="170"/>
        <v/>
      </c>
      <c r="J1935" s="37" t="str">
        <f t="shared" si="171"/>
        <v>에스엘에스바이오</v>
      </c>
      <c r="K1935" s="37" t="str">
        <f t="shared" si="172"/>
        <v>A246250</v>
      </c>
    </row>
    <row r="1936" spans="1:11" x14ac:dyDescent="0.4">
      <c r="A1936" s="49"/>
      <c r="B1936" s="54" t="s">
        <v>4096</v>
      </c>
      <c r="C1936" s="37" t="s">
        <v>4097</v>
      </c>
      <c r="D1936" s="55" t="s">
        <v>820</v>
      </c>
      <c r="E1936" s="58">
        <v>91.58</v>
      </c>
      <c r="F1936" s="57">
        <v>3.09</v>
      </c>
      <c r="G1936" s="57"/>
      <c r="H1936" s="49"/>
      <c r="I1936" s="49" t="str">
        <f t="shared" si="170"/>
        <v/>
      </c>
      <c r="J1936" s="37" t="str">
        <f t="shared" si="171"/>
        <v>TS인베스트먼트</v>
      </c>
      <c r="K1936" s="37" t="str">
        <f t="shared" si="172"/>
        <v>A246690</v>
      </c>
    </row>
    <row r="1937" spans="1:11" x14ac:dyDescent="0.4">
      <c r="A1937" s="49"/>
      <c r="B1937" s="54" t="s">
        <v>4098</v>
      </c>
      <c r="C1937" s="37" t="s">
        <v>4099</v>
      </c>
      <c r="D1937" s="55" t="s">
        <v>820</v>
      </c>
      <c r="E1937" s="56">
        <v>159.59</v>
      </c>
      <c r="F1937" s="55">
        <v>3.62</v>
      </c>
      <c r="G1937" s="55"/>
      <c r="I1937" s="49" t="str">
        <f t="shared" si="170"/>
        <v/>
      </c>
      <c r="J1937" s="37" t="str">
        <f t="shared" si="171"/>
        <v>티앤알바이오팹</v>
      </c>
      <c r="K1937" s="37" t="str">
        <f t="shared" si="172"/>
        <v>A246710</v>
      </c>
    </row>
    <row r="1938" spans="1:11" x14ac:dyDescent="0.4">
      <c r="A1938" s="49"/>
      <c r="B1938" s="54" t="s">
        <v>4100</v>
      </c>
      <c r="C1938" s="37" t="s">
        <v>4101</v>
      </c>
      <c r="D1938" s="55" t="s">
        <v>820</v>
      </c>
      <c r="E1938" s="58">
        <v>113.25</v>
      </c>
      <c r="F1938" s="57">
        <v>0.5</v>
      </c>
      <c r="G1938" s="57"/>
      <c r="H1938" s="49"/>
      <c r="I1938" s="49" t="str">
        <f t="shared" si="170"/>
        <v/>
      </c>
      <c r="J1938" s="37" t="str">
        <f t="shared" si="171"/>
        <v>아스타</v>
      </c>
      <c r="K1938" s="37" t="str">
        <f t="shared" si="172"/>
        <v>A246720</v>
      </c>
    </row>
    <row r="1939" spans="1:11" x14ac:dyDescent="0.4">
      <c r="A1939" s="49"/>
      <c r="B1939" s="54" t="s">
        <v>4102</v>
      </c>
      <c r="C1939" s="37" t="s">
        <v>4103</v>
      </c>
      <c r="D1939" s="55" t="s">
        <v>820</v>
      </c>
      <c r="E1939" s="58">
        <v>68.2</v>
      </c>
      <c r="F1939" s="57">
        <v>0.2</v>
      </c>
      <c r="G1939" s="57"/>
      <c r="H1939" s="49"/>
      <c r="I1939" s="49" t="str">
        <f t="shared" si="170"/>
        <v/>
      </c>
      <c r="J1939" s="37" t="str">
        <f t="shared" si="171"/>
        <v>SCL사이언스</v>
      </c>
      <c r="K1939" s="37" t="str">
        <f t="shared" si="172"/>
        <v>A246960</v>
      </c>
    </row>
    <row r="1940" spans="1:11" x14ac:dyDescent="0.4">
      <c r="A1940" s="49"/>
      <c r="B1940" s="54" t="s">
        <v>353</v>
      </c>
      <c r="C1940" s="37" t="s">
        <v>354</v>
      </c>
      <c r="D1940" s="55" t="s">
        <v>820</v>
      </c>
      <c r="E1940" s="58">
        <v>21668.37</v>
      </c>
      <c r="F1940" s="57">
        <v>134.44</v>
      </c>
      <c r="G1940" s="57">
        <v>15</v>
      </c>
      <c r="H1940" s="49"/>
      <c r="I1940" s="49">
        <f t="shared" si="170"/>
        <v>21668.3894</v>
      </c>
      <c r="J1940" s="37" t="str">
        <f t="shared" si="171"/>
        <v>에코프로비엠</v>
      </c>
      <c r="K1940" s="37" t="str">
        <f t="shared" si="172"/>
        <v>A247540</v>
      </c>
    </row>
    <row r="1941" spans="1:11" x14ac:dyDescent="0.4">
      <c r="A1941" s="49"/>
      <c r="B1941" s="54" t="s">
        <v>4104</v>
      </c>
      <c r="C1941" s="37" t="s">
        <v>4105</v>
      </c>
      <c r="D1941" s="55" t="s">
        <v>820</v>
      </c>
      <c r="E1941" s="58">
        <v>18.16</v>
      </c>
      <c r="F1941" s="57">
        <v>0.11</v>
      </c>
      <c r="G1941" s="57"/>
      <c r="H1941" s="49"/>
      <c r="I1941" s="49" t="str">
        <f t="shared" si="170"/>
        <v/>
      </c>
      <c r="J1941" s="37" t="str">
        <f t="shared" si="171"/>
        <v>나노씨엠에스</v>
      </c>
      <c r="K1941" s="37" t="str">
        <f t="shared" si="172"/>
        <v>A247660</v>
      </c>
    </row>
    <row r="1942" spans="1:11" x14ac:dyDescent="0.4">
      <c r="A1942" s="49"/>
      <c r="B1942" s="54" t="s">
        <v>4106</v>
      </c>
      <c r="C1942" s="37" t="s">
        <v>4107</v>
      </c>
      <c r="D1942" s="55" t="s">
        <v>805</v>
      </c>
      <c r="E1942" s="56">
        <v>883.64</v>
      </c>
      <c r="F1942" s="55">
        <v>4.8</v>
      </c>
      <c r="G1942" s="55">
        <v>4</v>
      </c>
      <c r="I1942" s="49">
        <f t="shared" si="170"/>
        <v>883.65941999999995</v>
      </c>
      <c r="J1942" s="37" t="str">
        <f t="shared" si="171"/>
        <v>솔루엠</v>
      </c>
      <c r="K1942" s="37" t="str">
        <f t="shared" si="172"/>
        <v>A248070</v>
      </c>
    </row>
    <row r="1943" spans="1:11" x14ac:dyDescent="0.4">
      <c r="A1943" s="49"/>
      <c r="B1943" s="54" t="s">
        <v>4108</v>
      </c>
      <c r="C1943" s="37" t="s">
        <v>4109</v>
      </c>
      <c r="D1943" s="55" t="s">
        <v>805</v>
      </c>
      <c r="E1943" s="58">
        <v>136.59</v>
      </c>
      <c r="F1943" s="57">
        <v>1.1399999999999999</v>
      </c>
      <c r="G1943" s="57"/>
      <c r="H1943" s="49"/>
      <c r="I1943" s="49" t="str">
        <f t="shared" si="170"/>
        <v/>
      </c>
      <c r="J1943" s="37" t="str">
        <f t="shared" si="171"/>
        <v>샘표식품</v>
      </c>
      <c r="K1943" s="37" t="str">
        <f t="shared" si="172"/>
        <v>A248170</v>
      </c>
    </row>
    <row r="1944" spans="1:11" x14ac:dyDescent="0.4">
      <c r="A1944" s="49"/>
      <c r="B1944" s="54" t="s">
        <v>59</v>
      </c>
      <c r="C1944" s="37" t="s">
        <v>60</v>
      </c>
      <c r="D1944" s="55" t="s">
        <v>805</v>
      </c>
      <c r="E1944" s="57">
        <v>1227.56</v>
      </c>
      <c r="F1944" s="55">
        <v>88.17</v>
      </c>
      <c r="G1944" s="55"/>
      <c r="H1944" s="49"/>
      <c r="I1944" s="49" t="str">
        <f t="shared" si="170"/>
        <v/>
      </c>
      <c r="J1944" s="37" t="str">
        <f t="shared" si="171"/>
        <v>일동제약</v>
      </c>
      <c r="K1944" s="37" t="str">
        <f t="shared" si="172"/>
        <v>A249420</v>
      </c>
    </row>
    <row r="1945" spans="1:11" x14ac:dyDescent="0.4">
      <c r="A1945" s="49"/>
      <c r="B1945" s="54" t="s">
        <v>4110</v>
      </c>
      <c r="C1945" s="37" t="s">
        <v>4111</v>
      </c>
      <c r="D1945" s="55" t="s">
        <v>820</v>
      </c>
      <c r="E1945" s="58">
        <v>56.71</v>
      </c>
      <c r="F1945" s="57">
        <v>0.15</v>
      </c>
      <c r="G1945" s="57"/>
      <c r="H1945" s="49"/>
      <c r="I1945" s="49" t="str">
        <f t="shared" si="170"/>
        <v/>
      </c>
      <c r="J1945" s="37" t="str">
        <f t="shared" si="171"/>
        <v>보라티알</v>
      </c>
      <c r="K1945" s="37" t="str">
        <f t="shared" si="172"/>
        <v>A250000</v>
      </c>
    </row>
    <row r="1946" spans="1:11" x14ac:dyDescent="0.4">
      <c r="A1946" s="49"/>
      <c r="B1946" s="54" t="s">
        <v>4112</v>
      </c>
      <c r="C1946" s="37" t="s">
        <v>4113</v>
      </c>
      <c r="D1946" s="55" t="s">
        <v>820</v>
      </c>
      <c r="E1946" s="58">
        <v>160.86000000000001</v>
      </c>
      <c r="F1946" s="57">
        <v>13.33</v>
      </c>
      <c r="G1946" s="57"/>
      <c r="H1946" s="49"/>
      <c r="I1946" s="49" t="str">
        <f t="shared" si="170"/>
        <v/>
      </c>
      <c r="J1946" s="37" t="str">
        <f t="shared" si="171"/>
        <v>모비스</v>
      </c>
      <c r="K1946" s="37" t="str">
        <f t="shared" si="172"/>
        <v>A250060</v>
      </c>
    </row>
    <row r="1947" spans="1:11" x14ac:dyDescent="0.4">
      <c r="A1947" s="49"/>
      <c r="B1947" s="54" t="s">
        <v>4114</v>
      </c>
      <c r="C1947" s="37" t="s">
        <v>4115</v>
      </c>
      <c r="D1947" s="55" t="s">
        <v>820</v>
      </c>
      <c r="E1947" s="58">
        <v>13.2</v>
      </c>
      <c r="F1947" s="57">
        <v>0.54</v>
      </c>
      <c r="G1947" s="57"/>
      <c r="H1947" s="49"/>
      <c r="I1947" s="49" t="str">
        <f t="shared" si="170"/>
        <v/>
      </c>
      <c r="J1947" s="37" t="str">
        <f t="shared" si="171"/>
        <v>예선테크</v>
      </c>
      <c r="K1947" s="37" t="str">
        <f t="shared" si="172"/>
        <v>A250930</v>
      </c>
    </row>
    <row r="1948" spans="1:11" x14ac:dyDescent="0.4">
      <c r="A1948" s="49"/>
      <c r="B1948" s="54" t="s">
        <v>4116</v>
      </c>
      <c r="C1948" s="37" t="s">
        <v>4117</v>
      </c>
      <c r="D1948" s="55" t="s">
        <v>820</v>
      </c>
      <c r="E1948" s="58">
        <v>124.96</v>
      </c>
      <c r="F1948" s="57">
        <v>0.56999999999999995</v>
      </c>
      <c r="G1948" s="57"/>
      <c r="H1948" s="49"/>
      <c r="I1948" s="49" t="str">
        <f t="shared" si="170"/>
        <v/>
      </c>
      <c r="J1948" s="37" t="str">
        <f t="shared" si="171"/>
        <v>바이오에프디엔씨</v>
      </c>
      <c r="K1948" s="37" t="str">
        <f t="shared" si="172"/>
        <v>A251120</v>
      </c>
    </row>
    <row r="1949" spans="1:11" x14ac:dyDescent="0.4">
      <c r="A1949" s="49"/>
      <c r="B1949" s="54" t="s">
        <v>225</v>
      </c>
      <c r="C1949" s="37" t="s">
        <v>226</v>
      </c>
      <c r="D1949" s="55" t="s">
        <v>805</v>
      </c>
      <c r="E1949" s="58">
        <v>4521.1499999999996</v>
      </c>
      <c r="F1949" s="57">
        <v>11.36</v>
      </c>
      <c r="G1949" s="57">
        <v>17</v>
      </c>
      <c r="H1949" s="49"/>
      <c r="I1949" s="49">
        <f t="shared" si="170"/>
        <v>4521.1694899999993</v>
      </c>
      <c r="J1949" s="37" t="str">
        <f t="shared" si="171"/>
        <v>넷마블</v>
      </c>
      <c r="K1949" s="37" t="str">
        <f t="shared" si="172"/>
        <v>A251270</v>
      </c>
    </row>
    <row r="1950" spans="1:11" x14ac:dyDescent="0.4">
      <c r="A1950" s="49"/>
      <c r="B1950" s="54" t="s">
        <v>4118</v>
      </c>
      <c r="C1950" s="37" t="s">
        <v>4119</v>
      </c>
      <c r="D1950" s="55" t="s">
        <v>820</v>
      </c>
      <c r="E1950" s="58">
        <v>245.15</v>
      </c>
      <c r="F1950" s="57">
        <v>2.79</v>
      </c>
      <c r="G1950" s="57"/>
      <c r="H1950" s="49"/>
      <c r="I1950" s="49" t="str">
        <f t="shared" si="170"/>
        <v/>
      </c>
      <c r="J1950" s="37" t="str">
        <f t="shared" si="171"/>
        <v>와이엠티</v>
      </c>
      <c r="K1950" s="37" t="str">
        <f t="shared" si="172"/>
        <v>A251370</v>
      </c>
    </row>
    <row r="1951" spans="1:11" x14ac:dyDescent="0.4">
      <c r="A1951" s="49"/>
      <c r="B1951" s="54" t="s">
        <v>4120</v>
      </c>
      <c r="C1951" s="37" t="s">
        <v>4121</v>
      </c>
      <c r="D1951" s="55" t="s">
        <v>820</v>
      </c>
      <c r="E1951" s="56">
        <v>111.6</v>
      </c>
      <c r="F1951" s="55">
        <v>1.68</v>
      </c>
      <c r="G1951" s="55"/>
      <c r="I1951" s="49" t="str">
        <f t="shared" si="170"/>
        <v/>
      </c>
      <c r="J1951" s="37" t="str">
        <f t="shared" si="171"/>
        <v>브이원텍</v>
      </c>
      <c r="K1951" s="37" t="str">
        <f t="shared" si="172"/>
        <v>A251630</v>
      </c>
    </row>
    <row r="1952" spans="1:11" x14ac:dyDescent="0.4">
      <c r="B1952" s="54" t="s">
        <v>4122</v>
      </c>
      <c r="C1952" s="37" t="s">
        <v>4123</v>
      </c>
      <c r="D1952" s="55" t="s">
        <v>820</v>
      </c>
      <c r="E1952" s="56">
        <v>646.04</v>
      </c>
      <c r="F1952" s="55">
        <v>3.48</v>
      </c>
      <c r="G1952" s="55">
        <v>6</v>
      </c>
      <c r="J1952" s="37" t="str">
        <f t="shared" si="171"/>
        <v>펌텍코리아</v>
      </c>
      <c r="K1952" s="37" t="str">
        <f t="shared" si="172"/>
        <v>A251970</v>
      </c>
    </row>
    <row r="1953" spans="1:11" x14ac:dyDescent="0.4">
      <c r="A1953" s="49"/>
      <c r="B1953" s="54" t="s">
        <v>4124</v>
      </c>
      <c r="C1953" s="37" t="s">
        <v>4125</v>
      </c>
      <c r="D1953" s="55" t="s">
        <v>820</v>
      </c>
      <c r="E1953" s="56">
        <v>33.94</v>
      </c>
      <c r="F1953" s="55">
        <v>0.14000000000000001</v>
      </c>
      <c r="G1953" s="55"/>
      <c r="I1953" s="49" t="str">
        <f>IF((G1953&gt;$G$8),E1953+ROW()/100000,"")</f>
        <v/>
      </c>
      <c r="J1953" s="37" t="str">
        <f t="shared" si="171"/>
        <v>세화피앤씨</v>
      </c>
      <c r="K1953" s="37" t="str">
        <f t="shared" si="172"/>
        <v>A252500</v>
      </c>
    </row>
    <row r="1954" spans="1:11" x14ac:dyDescent="0.4">
      <c r="A1954" s="49"/>
      <c r="B1954" s="54" t="s">
        <v>506</v>
      </c>
      <c r="C1954" s="37" t="s">
        <v>507</v>
      </c>
      <c r="D1954" s="55" t="s">
        <v>820</v>
      </c>
      <c r="E1954" s="58">
        <v>663</v>
      </c>
      <c r="F1954" s="57">
        <v>11.07</v>
      </c>
      <c r="G1954" s="57">
        <v>1</v>
      </c>
      <c r="H1954" s="49"/>
      <c r="I1954" s="49">
        <f>IF((G1954&gt;$G$8),E1954+ROW()/100000,"")</f>
        <v>663.01954000000001</v>
      </c>
      <c r="J1954" s="37" t="str">
        <f t="shared" si="171"/>
        <v>샘씨엔에스</v>
      </c>
      <c r="K1954" s="37" t="str">
        <f t="shared" si="172"/>
        <v>A252990</v>
      </c>
    </row>
    <row r="1955" spans="1:11" x14ac:dyDescent="0.4">
      <c r="B1955" s="54" t="s">
        <v>275</v>
      </c>
      <c r="C1955" s="37" t="s">
        <v>276</v>
      </c>
      <c r="D1955" s="55" t="s">
        <v>820</v>
      </c>
      <c r="E1955" s="56">
        <v>1342.11</v>
      </c>
      <c r="F1955" s="55">
        <v>4.66</v>
      </c>
      <c r="G1955" s="55">
        <v>14</v>
      </c>
      <c r="J1955" s="37" t="str">
        <f t="shared" si="171"/>
        <v>스튜디오드래곤</v>
      </c>
      <c r="K1955" s="37" t="str">
        <f t="shared" si="172"/>
        <v>A253450</v>
      </c>
    </row>
    <row r="1956" spans="1:11" x14ac:dyDescent="0.4">
      <c r="A1956" s="49"/>
      <c r="B1956" s="54" t="s">
        <v>4126</v>
      </c>
      <c r="C1956" s="37" t="s">
        <v>4127</v>
      </c>
      <c r="D1956" s="55" t="s">
        <v>820</v>
      </c>
      <c r="E1956" s="58">
        <v>786.14</v>
      </c>
      <c r="F1956" s="57">
        <v>15.99</v>
      </c>
      <c r="G1956" s="57"/>
      <c r="H1956" s="49"/>
      <c r="I1956" s="49" t="str">
        <f t="shared" ref="I1956:I1969" si="173">IF((G1956&gt;$G$8),E1956+ROW()/100000,"")</f>
        <v/>
      </c>
      <c r="J1956" s="37" t="str">
        <f t="shared" si="171"/>
        <v>네오셈</v>
      </c>
      <c r="K1956" s="37" t="str">
        <f t="shared" si="172"/>
        <v>A253590</v>
      </c>
    </row>
    <row r="1957" spans="1:11" x14ac:dyDescent="0.4">
      <c r="A1957" s="49"/>
      <c r="B1957" s="54" t="s">
        <v>4128</v>
      </c>
      <c r="C1957" s="37" t="s">
        <v>4129</v>
      </c>
      <c r="D1957" s="55" t="s">
        <v>820</v>
      </c>
      <c r="E1957" s="58">
        <v>89.07</v>
      </c>
      <c r="F1957" s="57">
        <v>3.2</v>
      </c>
      <c r="G1957" s="57"/>
      <c r="H1957" s="49"/>
      <c r="I1957" s="49" t="str">
        <f t="shared" si="173"/>
        <v/>
      </c>
      <c r="J1957" s="37" t="str">
        <f t="shared" si="171"/>
        <v>수젠텍</v>
      </c>
      <c r="K1957" s="37" t="str">
        <f t="shared" si="172"/>
        <v>A253840</v>
      </c>
    </row>
    <row r="1958" spans="1:11" x14ac:dyDescent="0.4">
      <c r="A1958" s="49"/>
      <c r="B1958" s="54" t="s">
        <v>4130</v>
      </c>
      <c r="C1958" s="37" t="s">
        <v>4131</v>
      </c>
      <c r="D1958" s="55" t="s">
        <v>820</v>
      </c>
      <c r="E1958" s="56">
        <v>37.340000000000003</v>
      </c>
      <c r="F1958" s="56">
        <v>0.48</v>
      </c>
      <c r="G1958" s="55"/>
      <c r="I1958" s="49" t="str">
        <f t="shared" si="173"/>
        <v/>
      </c>
      <c r="J1958" s="37" t="str">
        <f t="shared" si="171"/>
        <v>자비스</v>
      </c>
      <c r="K1958" s="37" t="str">
        <f t="shared" si="172"/>
        <v>A254120</v>
      </c>
    </row>
    <row r="1959" spans="1:11" x14ac:dyDescent="0.4">
      <c r="A1959" s="49"/>
      <c r="B1959" s="54" t="s">
        <v>4132</v>
      </c>
      <c r="C1959" s="37" t="s">
        <v>4133</v>
      </c>
      <c r="D1959" s="55" t="s">
        <v>820</v>
      </c>
      <c r="E1959" s="58">
        <v>299.58999999999997</v>
      </c>
      <c r="F1959" s="57">
        <v>4.96</v>
      </c>
      <c r="G1959" s="57">
        <v>1</v>
      </c>
      <c r="H1959" s="49"/>
      <c r="I1959" s="49">
        <f t="shared" si="173"/>
        <v>299.60958999999997</v>
      </c>
      <c r="J1959" s="37" t="str">
        <f t="shared" si="171"/>
        <v>미래반도체</v>
      </c>
      <c r="K1959" s="37" t="str">
        <f t="shared" si="172"/>
        <v>A254490</v>
      </c>
    </row>
    <row r="1960" spans="1:11" x14ac:dyDescent="0.4">
      <c r="A1960" s="49"/>
      <c r="B1960" s="54" t="s">
        <v>4134</v>
      </c>
      <c r="C1960" s="37" t="s">
        <v>4135</v>
      </c>
      <c r="D1960" s="55" t="s">
        <v>820</v>
      </c>
      <c r="E1960" s="56">
        <v>320.49</v>
      </c>
      <c r="F1960" s="56">
        <v>10.53</v>
      </c>
      <c r="G1960" s="55"/>
      <c r="I1960" s="49" t="str">
        <f t="shared" si="173"/>
        <v/>
      </c>
      <c r="J1960" s="37" t="str">
        <f t="shared" si="171"/>
        <v>SG</v>
      </c>
      <c r="K1960" s="37" t="str">
        <f t="shared" si="172"/>
        <v>A255220</v>
      </c>
    </row>
    <row r="1961" spans="1:11" x14ac:dyDescent="0.4">
      <c r="A1961" s="49"/>
      <c r="B1961" s="54" t="s">
        <v>4136</v>
      </c>
      <c r="C1961" s="37" t="s">
        <v>4137</v>
      </c>
      <c r="D1961" s="55" t="s">
        <v>820</v>
      </c>
      <c r="E1961" s="58">
        <v>137.11000000000001</v>
      </c>
      <c r="F1961" s="57">
        <v>0.7</v>
      </c>
      <c r="G1961" s="57"/>
      <c r="H1961" s="49"/>
      <c r="I1961" s="49" t="str">
        <f t="shared" si="173"/>
        <v/>
      </c>
      <c r="J1961" s="37" t="str">
        <f t="shared" si="171"/>
        <v>야스</v>
      </c>
      <c r="K1961" s="37" t="str">
        <f t="shared" si="172"/>
        <v>A255440</v>
      </c>
    </row>
    <row r="1962" spans="1:11" x14ac:dyDescent="0.4">
      <c r="A1962" s="49"/>
      <c r="B1962" s="54" t="s">
        <v>4138</v>
      </c>
      <c r="C1962" s="37" t="s">
        <v>4139</v>
      </c>
      <c r="D1962" s="55" t="s">
        <v>820</v>
      </c>
      <c r="E1962" s="58">
        <v>45.58</v>
      </c>
      <c r="F1962" s="57">
        <v>0.06</v>
      </c>
      <c r="G1962" s="57"/>
      <c r="H1962" s="49"/>
      <c r="I1962" s="49" t="str">
        <f t="shared" si="173"/>
        <v/>
      </c>
      <c r="J1962" s="37" t="str">
        <f t="shared" si="171"/>
        <v>한독크린텍</v>
      </c>
      <c r="K1962" s="37" t="str">
        <f t="shared" si="172"/>
        <v>A256150</v>
      </c>
    </row>
    <row r="1963" spans="1:11" x14ac:dyDescent="0.4">
      <c r="A1963" s="49"/>
      <c r="B1963" s="54" t="s">
        <v>4140</v>
      </c>
      <c r="C1963" s="37" t="s">
        <v>4141</v>
      </c>
      <c r="D1963" s="55" t="s">
        <v>820</v>
      </c>
      <c r="E1963" s="58">
        <v>62.87</v>
      </c>
      <c r="F1963" s="57">
        <v>0.04</v>
      </c>
      <c r="G1963" s="57"/>
      <c r="H1963" s="49"/>
      <c r="I1963" s="49" t="str">
        <f t="shared" si="173"/>
        <v/>
      </c>
      <c r="J1963" s="37" t="str">
        <f t="shared" si="171"/>
        <v>포인트엔지니어링</v>
      </c>
      <c r="K1963" s="37" t="str">
        <f t="shared" si="172"/>
        <v>A256630</v>
      </c>
    </row>
    <row r="1964" spans="1:11" x14ac:dyDescent="0.4">
      <c r="A1964" s="49"/>
      <c r="B1964" s="54" t="s">
        <v>4142</v>
      </c>
      <c r="C1964" s="37" t="s">
        <v>4143</v>
      </c>
      <c r="D1964" s="55" t="s">
        <v>820</v>
      </c>
      <c r="E1964" s="58">
        <v>309.14</v>
      </c>
      <c r="F1964" s="57">
        <v>11.31</v>
      </c>
      <c r="G1964" s="57"/>
      <c r="H1964" s="49"/>
      <c r="I1964" s="49" t="str">
        <f t="shared" si="173"/>
        <v/>
      </c>
      <c r="J1964" s="37" t="str">
        <f t="shared" si="171"/>
        <v>한국비엔씨</v>
      </c>
      <c r="K1964" s="37" t="str">
        <f t="shared" si="172"/>
        <v>A256840</v>
      </c>
    </row>
    <row r="1965" spans="1:11" x14ac:dyDescent="0.4">
      <c r="A1965" s="49"/>
      <c r="B1965" s="54" t="s">
        <v>4144</v>
      </c>
      <c r="C1965" s="37" t="s">
        <v>4145</v>
      </c>
      <c r="D1965" s="55" t="s">
        <v>820</v>
      </c>
      <c r="E1965" s="58">
        <v>163.44</v>
      </c>
      <c r="F1965" s="57">
        <v>1.48</v>
      </c>
      <c r="G1965" s="57"/>
      <c r="H1965" s="49"/>
      <c r="I1965" s="49" t="str">
        <f t="shared" si="173"/>
        <v/>
      </c>
      <c r="J1965" s="37" t="str">
        <f t="shared" si="171"/>
        <v>킵스파마</v>
      </c>
      <c r="K1965" s="37" t="str">
        <f t="shared" si="172"/>
        <v>A256940</v>
      </c>
    </row>
    <row r="1966" spans="1:11" x14ac:dyDescent="0.4">
      <c r="A1966" s="49"/>
      <c r="B1966" s="54" t="s">
        <v>4146</v>
      </c>
      <c r="C1966" s="37" t="s">
        <v>4147</v>
      </c>
      <c r="D1966" s="55" t="s">
        <v>820</v>
      </c>
      <c r="E1966" s="58">
        <v>42.39</v>
      </c>
      <c r="F1966" s="57">
        <v>0.23</v>
      </c>
      <c r="G1966" s="57"/>
      <c r="H1966" s="49"/>
      <c r="I1966" s="49" t="str">
        <f t="shared" si="173"/>
        <v/>
      </c>
      <c r="J1966" s="37" t="str">
        <f t="shared" si="171"/>
        <v>피엔티엠에스</v>
      </c>
      <c r="K1966" s="37" t="str">
        <f t="shared" si="172"/>
        <v>A257370</v>
      </c>
    </row>
    <row r="1967" spans="1:11" x14ac:dyDescent="0.4">
      <c r="A1967" s="49"/>
      <c r="B1967" s="54" t="s">
        <v>551</v>
      </c>
      <c r="C1967" s="37" t="s">
        <v>552</v>
      </c>
      <c r="D1967" s="55" t="s">
        <v>820</v>
      </c>
      <c r="E1967" s="58">
        <v>2682.39</v>
      </c>
      <c r="F1967" s="57">
        <v>36.200000000000003</v>
      </c>
      <c r="G1967" s="57">
        <v>8</v>
      </c>
      <c r="H1967" s="49"/>
      <c r="I1967" s="49">
        <f t="shared" si="173"/>
        <v>2682.40967</v>
      </c>
      <c r="J1967" s="37" t="str">
        <f t="shared" si="171"/>
        <v>실리콘투</v>
      </c>
      <c r="K1967" s="37" t="str">
        <f t="shared" si="172"/>
        <v>A257720</v>
      </c>
    </row>
    <row r="1968" spans="1:11" x14ac:dyDescent="0.4">
      <c r="A1968" s="49"/>
      <c r="B1968" s="54" t="s">
        <v>4148</v>
      </c>
      <c r="C1968" s="37" t="s">
        <v>4149</v>
      </c>
      <c r="D1968" s="55" t="s">
        <v>820</v>
      </c>
      <c r="E1968" s="56">
        <v>44.95</v>
      </c>
      <c r="F1968" s="55">
        <v>0.18</v>
      </c>
      <c r="G1968" s="55"/>
      <c r="I1968" s="49" t="str">
        <f t="shared" si="173"/>
        <v/>
      </c>
      <c r="J1968" s="37" t="str">
        <f t="shared" si="171"/>
        <v>케일럼</v>
      </c>
      <c r="K1968" s="37" t="str">
        <f t="shared" si="172"/>
        <v>A258610</v>
      </c>
    </row>
    <row r="1969" spans="1:11" x14ac:dyDescent="0.4">
      <c r="A1969" s="49"/>
      <c r="B1969" s="54" t="s">
        <v>4150</v>
      </c>
      <c r="C1969" s="37" t="s">
        <v>4151</v>
      </c>
      <c r="D1969" s="55" t="s">
        <v>820</v>
      </c>
      <c r="E1969" s="58">
        <v>31.76</v>
      </c>
      <c r="F1969" s="57">
        <v>1.91</v>
      </c>
      <c r="G1969" s="57"/>
      <c r="H1969" s="49"/>
      <c r="I1969" s="49" t="str">
        <f t="shared" si="173"/>
        <v/>
      </c>
      <c r="J1969" s="37" t="str">
        <f t="shared" si="171"/>
        <v>소프트캠프</v>
      </c>
      <c r="K1969" s="37" t="str">
        <f t="shared" si="172"/>
        <v>A258790</v>
      </c>
    </row>
    <row r="1970" spans="1:11" x14ac:dyDescent="0.4">
      <c r="B1970" s="54" t="s">
        <v>4152</v>
      </c>
      <c r="C1970" s="37" t="s">
        <v>4153</v>
      </c>
      <c r="D1970" s="55" t="s">
        <v>820</v>
      </c>
      <c r="E1970" s="56">
        <v>28.75</v>
      </c>
      <c r="F1970" s="55">
        <v>0</v>
      </c>
      <c r="G1970" s="55"/>
      <c r="J1970" s="37" t="str">
        <f t="shared" si="171"/>
        <v>세종메디칼</v>
      </c>
      <c r="K1970" s="37" t="str">
        <f t="shared" si="172"/>
        <v>A258830</v>
      </c>
    </row>
    <row r="1971" spans="1:11" x14ac:dyDescent="0.4">
      <c r="A1971" s="49"/>
      <c r="B1971" s="54" t="s">
        <v>4154</v>
      </c>
      <c r="C1971" s="37" t="s">
        <v>4155</v>
      </c>
      <c r="D1971" s="55" t="s">
        <v>820</v>
      </c>
      <c r="E1971" s="58">
        <v>158.88999999999999</v>
      </c>
      <c r="F1971" s="57">
        <v>3.18</v>
      </c>
      <c r="G1971" s="57">
        <v>1</v>
      </c>
      <c r="H1971" s="49"/>
      <c r="I1971" s="49">
        <f t="shared" ref="I1971:I1979" si="174">IF((G1971&gt;$G$8),E1971+ROW()/100000,"")</f>
        <v>158.90970999999999</v>
      </c>
      <c r="J1971" s="37" t="str">
        <f t="shared" si="171"/>
        <v>엠플러스</v>
      </c>
      <c r="K1971" s="37" t="str">
        <f t="shared" si="172"/>
        <v>A259630</v>
      </c>
    </row>
    <row r="1972" spans="1:11" x14ac:dyDescent="0.4">
      <c r="A1972" s="49"/>
      <c r="B1972" s="54" t="s">
        <v>146</v>
      </c>
      <c r="C1972" s="37" t="s">
        <v>147</v>
      </c>
      <c r="D1972" s="55" t="s">
        <v>805</v>
      </c>
      <c r="E1972" s="58">
        <v>11780.04</v>
      </c>
      <c r="F1972" s="57">
        <v>29.28</v>
      </c>
      <c r="G1972" s="57">
        <v>19</v>
      </c>
      <c r="H1972" s="49"/>
      <c r="I1972" s="49">
        <f t="shared" si="174"/>
        <v>11780.059720000001</v>
      </c>
      <c r="J1972" s="37" t="str">
        <f t="shared" si="171"/>
        <v>크래프톤</v>
      </c>
      <c r="K1972" s="37" t="str">
        <f t="shared" si="172"/>
        <v>A259960</v>
      </c>
    </row>
    <row r="1973" spans="1:11" x14ac:dyDescent="0.4">
      <c r="A1973" s="49"/>
      <c r="B1973" s="54" t="s">
        <v>4156</v>
      </c>
      <c r="C1973" s="37" t="s">
        <v>4157</v>
      </c>
      <c r="D1973" s="55" t="s">
        <v>820</v>
      </c>
      <c r="E1973" s="58">
        <v>57.4</v>
      </c>
      <c r="F1973" s="57">
        <v>2.54</v>
      </c>
      <c r="G1973" s="57"/>
      <c r="H1973" s="49"/>
      <c r="I1973" s="49" t="str">
        <f t="shared" si="174"/>
        <v/>
      </c>
      <c r="J1973" s="37" t="str">
        <f t="shared" si="171"/>
        <v>알리코제약</v>
      </c>
      <c r="K1973" s="37" t="str">
        <f t="shared" si="172"/>
        <v>A260660</v>
      </c>
    </row>
    <row r="1974" spans="1:11" x14ac:dyDescent="0.4">
      <c r="A1974" s="49"/>
      <c r="B1974" s="54" t="s">
        <v>4158</v>
      </c>
      <c r="C1974" s="37" t="s">
        <v>4159</v>
      </c>
      <c r="D1974" s="55" t="s">
        <v>820</v>
      </c>
      <c r="E1974" s="58">
        <v>77.75</v>
      </c>
      <c r="F1974" s="57">
        <v>0.99</v>
      </c>
      <c r="G1974" s="57"/>
      <c r="H1974" s="49"/>
      <c r="I1974" s="49" t="str">
        <f t="shared" si="174"/>
        <v/>
      </c>
      <c r="J1974" s="37" t="str">
        <f t="shared" si="171"/>
        <v>씨티케이</v>
      </c>
      <c r="K1974" s="37" t="str">
        <f t="shared" si="172"/>
        <v>A260930</v>
      </c>
    </row>
    <row r="1975" spans="1:11" x14ac:dyDescent="0.4">
      <c r="A1975" s="49"/>
      <c r="B1975" s="54" t="s">
        <v>404</v>
      </c>
      <c r="C1975" s="37" t="s">
        <v>405</v>
      </c>
      <c r="D1975" s="55" t="s">
        <v>820</v>
      </c>
      <c r="E1975" s="58">
        <v>182.53</v>
      </c>
      <c r="F1975" s="57">
        <v>2.94</v>
      </c>
      <c r="G1975" s="57"/>
      <c r="H1975" s="49"/>
      <c r="I1975" s="49" t="str">
        <f t="shared" si="174"/>
        <v/>
      </c>
      <c r="J1975" s="37" t="str">
        <f t="shared" si="171"/>
        <v>에스앤디</v>
      </c>
      <c r="K1975" s="37" t="str">
        <f t="shared" si="172"/>
        <v>A260970</v>
      </c>
    </row>
    <row r="1976" spans="1:11" x14ac:dyDescent="0.4">
      <c r="A1976" s="49"/>
      <c r="B1976" s="54" t="s">
        <v>4160</v>
      </c>
      <c r="C1976" s="37" t="s">
        <v>4161</v>
      </c>
      <c r="D1976" s="55" t="s">
        <v>820</v>
      </c>
      <c r="E1976" s="58">
        <v>64.11</v>
      </c>
      <c r="F1976" s="57">
        <v>0.25</v>
      </c>
      <c r="G1976" s="57"/>
      <c r="H1976" s="49"/>
      <c r="I1976" s="49" t="str">
        <f t="shared" si="174"/>
        <v/>
      </c>
      <c r="J1976" s="37" t="str">
        <f t="shared" si="171"/>
        <v>덴티스</v>
      </c>
      <c r="K1976" s="37" t="str">
        <f t="shared" si="172"/>
        <v>A261200</v>
      </c>
    </row>
    <row r="1977" spans="1:11" x14ac:dyDescent="0.4">
      <c r="A1977" s="49"/>
      <c r="B1977" s="54" t="s">
        <v>4162</v>
      </c>
      <c r="C1977" s="37" t="s">
        <v>4163</v>
      </c>
      <c r="D1977" s="55" t="s">
        <v>820</v>
      </c>
      <c r="E1977" s="58">
        <v>106</v>
      </c>
      <c r="F1977" s="57">
        <v>21.35</v>
      </c>
      <c r="G1977" s="57"/>
      <c r="H1977" s="49"/>
      <c r="I1977" s="49" t="str">
        <f t="shared" si="174"/>
        <v/>
      </c>
      <c r="J1977" s="37" t="str">
        <f t="shared" si="171"/>
        <v>이지스</v>
      </c>
      <c r="K1977" s="37" t="str">
        <f t="shared" si="172"/>
        <v>A261520</v>
      </c>
    </row>
    <row r="1978" spans="1:11" x14ac:dyDescent="0.4">
      <c r="A1978" s="49"/>
      <c r="B1978" s="54" t="s">
        <v>4164</v>
      </c>
      <c r="C1978" s="37" t="s">
        <v>4165</v>
      </c>
      <c r="D1978" s="55" t="s">
        <v>820</v>
      </c>
      <c r="E1978" s="58">
        <v>67.430000000000007</v>
      </c>
      <c r="F1978" s="57">
        <v>0.3</v>
      </c>
      <c r="G1978" s="57"/>
      <c r="H1978" s="49"/>
      <c r="I1978" s="49" t="str">
        <f t="shared" si="174"/>
        <v/>
      </c>
      <c r="J1978" s="37" t="str">
        <f t="shared" si="171"/>
        <v>차백신연구소</v>
      </c>
      <c r="K1978" s="37" t="str">
        <f t="shared" si="172"/>
        <v>A261780</v>
      </c>
    </row>
    <row r="1979" spans="1:11" x14ac:dyDescent="0.4">
      <c r="A1979" s="49"/>
      <c r="B1979" s="54" t="s">
        <v>4166</v>
      </c>
      <c r="C1979" s="37" t="s">
        <v>4167</v>
      </c>
      <c r="D1979" s="55" t="s">
        <v>820</v>
      </c>
      <c r="E1979" s="58">
        <v>79.569999999999993</v>
      </c>
      <c r="F1979" s="57">
        <v>0.6</v>
      </c>
      <c r="G1979" s="57"/>
      <c r="H1979" s="49"/>
      <c r="I1979" s="49" t="str">
        <f t="shared" si="174"/>
        <v/>
      </c>
      <c r="J1979" s="37" t="str">
        <f t="shared" si="171"/>
        <v>에이프로</v>
      </c>
      <c r="K1979" s="37" t="str">
        <f t="shared" si="172"/>
        <v>A262260</v>
      </c>
    </row>
    <row r="1980" spans="1:11" x14ac:dyDescent="0.4">
      <c r="B1980" s="54" t="s">
        <v>4168</v>
      </c>
      <c r="C1980" s="37" t="s">
        <v>4169</v>
      </c>
      <c r="D1980" s="55" t="s">
        <v>820</v>
      </c>
      <c r="E1980" s="56">
        <v>38.130000000000003</v>
      </c>
      <c r="F1980" s="55">
        <v>0.1</v>
      </c>
      <c r="G1980" s="55"/>
      <c r="J1980" s="37" t="str">
        <f t="shared" si="171"/>
        <v>아이퀘스트</v>
      </c>
      <c r="K1980" s="37" t="str">
        <f t="shared" si="172"/>
        <v>A262840</v>
      </c>
    </row>
    <row r="1981" spans="1:11" x14ac:dyDescent="0.4">
      <c r="A1981" s="49"/>
      <c r="B1981" s="54" t="s">
        <v>4170</v>
      </c>
      <c r="C1981" s="37" t="s">
        <v>4171</v>
      </c>
      <c r="D1981" s="55" t="s">
        <v>820</v>
      </c>
      <c r="E1981" s="58">
        <v>41.44</v>
      </c>
      <c r="F1981" s="57">
        <v>0.25</v>
      </c>
      <c r="G1981" s="57"/>
      <c r="H1981" s="49"/>
      <c r="I1981" s="49" t="str">
        <f t="shared" ref="I1981:I1987" si="175">IF((G1981&gt;$G$8),E1981+ROW()/100000,"")</f>
        <v/>
      </c>
      <c r="J1981" s="37" t="str">
        <f t="shared" si="171"/>
        <v>디케이앤디</v>
      </c>
      <c r="K1981" s="37" t="str">
        <f t="shared" si="172"/>
        <v>A263020</v>
      </c>
    </row>
    <row r="1982" spans="1:11" x14ac:dyDescent="0.4">
      <c r="A1982" s="49"/>
      <c r="B1982" s="54" t="s">
        <v>4172</v>
      </c>
      <c r="C1982" s="37" t="s">
        <v>4173</v>
      </c>
      <c r="D1982" s="55" t="s">
        <v>820</v>
      </c>
      <c r="E1982" s="56">
        <v>35.32</v>
      </c>
      <c r="F1982" s="55">
        <v>0.33</v>
      </c>
      <c r="G1982" s="55"/>
      <c r="I1982" s="49" t="str">
        <f t="shared" si="175"/>
        <v/>
      </c>
      <c r="J1982" s="37" t="str">
        <f t="shared" si="171"/>
        <v>유틸렉스</v>
      </c>
      <c r="K1982" s="37" t="str">
        <f t="shared" si="172"/>
        <v>A263050</v>
      </c>
    </row>
    <row r="1983" spans="1:11" x14ac:dyDescent="0.4">
      <c r="A1983" s="49"/>
      <c r="B1983" s="54" t="s">
        <v>4174</v>
      </c>
      <c r="C1983" s="37" t="s">
        <v>4175</v>
      </c>
      <c r="D1983" s="55" t="s">
        <v>820</v>
      </c>
      <c r="E1983" s="58">
        <v>95.74</v>
      </c>
      <c r="F1983" s="57">
        <v>0.51</v>
      </c>
      <c r="G1983" s="57"/>
      <c r="H1983" s="49"/>
      <c r="I1983" s="49" t="str">
        <f t="shared" si="175"/>
        <v/>
      </c>
      <c r="J1983" s="37" t="str">
        <f t="shared" si="171"/>
        <v>덕우전자</v>
      </c>
      <c r="K1983" s="37" t="str">
        <f t="shared" si="172"/>
        <v>A263600</v>
      </c>
    </row>
    <row r="1984" spans="1:11" x14ac:dyDescent="0.4">
      <c r="A1984" s="49"/>
      <c r="B1984" s="54" t="s">
        <v>4176</v>
      </c>
      <c r="C1984" s="37" t="s">
        <v>4177</v>
      </c>
      <c r="D1984" s="55" t="s">
        <v>820</v>
      </c>
      <c r="E1984" s="58">
        <v>60.82</v>
      </c>
      <c r="F1984" s="57">
        <v>0.24</v>
      </c>
      <c r="G1984" s="57"/>
      <c r="H1984" s="49"/>
      <c r="I1984" s="49" t="str">
        <f t="shared" si="175"/>
        <v/>
      </c>
      <c r="J1984" s="37" t="str">
        <f t="shared" si="171"/>
        <v>디알젬</v>
      </c>
      <c r="K1984" s="37" t="str">
        <f t="shared" si="172"/>
        <v>A263690</v>
      </c>
    </row>
    <row r="1985" spans="1:11" x14ac:dyDescent="0.4">
      <c r="A1985" s="49"/>
      <c r="B1985" s="54" t="s">
        <v>4178</v>
      </c>
      <c r="C1985" s="37" t="s">
        <v>4179</v>
      </c>
      <c r="D1985" s="55" t="s">
        <v>820</v>
      </c>
      <c r="E1985" s="56">
        <v>52.42</v>
      </c>
      <c r="F1985" s="55">
        <v>0.45</v>
      </c>
      <c r="G1985" s="55"/>
      <c r="I1985" s="49" t="str">
        <f t="shared" si="175"/>
        <v/>
      </c>
      <c r="J1985" s="37" t="str">
        <f t="shared" si="171"/>
        <v>케어랩스</v>
      </c>
      <c r="K1985" s="37" t="str">
        <f t="shared" si="172"/>
        <v>A263700</v>
      </c>
    </row>
    <row r="1986" spans="1:11" x14ac:dyDescent="0.4">
      <c r="A1986" s="49"/>
      <c r="B1986" s="54" t="s">
        <v>4180</v>
      </c>
      <c r="C1986" s="37" t="s">
        <v>4181</v>
      </c>
      <c r="D1986" s="55" t="s">
        <v>820</v>
      </c>
      <c r="E1986" s="58">
        <v>148.08000000000001</v>
      </c>
      <c r="F1986" s="57">
        <v>0.44</v>
      </c>
      <c r="G1986" s="57">
        <v>2</v>
      </c>
      <c r="H1986" s="49"/>
      <c r="I1986" s="49">
        <f t="shared" si="175"/>
        <v>148.09986000000001</v>
      </c>
      <c r="J1986" s="37" t="str">
        <f t="shared" si="171"/>
        <v>디앤씨미디어</v>
      </c>
      <c r="K1986" s="37" t="str">
        <f t="shared" si="172"/>
        <v>A263720</v>
      </c>
    </row>
    <row r="1987" spans="1:11" x14ac:dyDescent="0.4">
      <c r="A1987" s="49"/>
      <c r="B1987" s="54" t="s">
        <v>673</v>
      </c>
      <c r="C1987" s="37" t="s">
        <v>674</v>
      </c>
      <c r="D1987" s="55" t="s">
        <v>820</v>
      </c>
      <c r="E1987" s="58">
        <v>3443.69</v>
      </c>
      <c r="F1987" s="57">
        <v>11.61</v>
      </c>
      <c r="G1987" s="57">
        <v>5</v>
      </c>
      <c r="H1987" s="49"/>
      <c r="I1987" s="49">
        <f t="shared" si="175"/>
        <v>3443.7098700000001</v>
      </c>
      <c r="J1987" s="37" t="str">
        <f t="shared" si="171"/>
        <v>펄어비스</v>
      </c>
      <c r="K1987" s="37" t="str">
        <f t="shared" si="172"/>
        <v>A263750</v>
      </c>
    </row>
    <row r="1988" spans="1:11" x14ac:dyDescent="0.4">
      <c r="A1988" s="49"/>
      <c r="B1988" s="54" t="s">
        <v>4182</v>
      </c>
      <c r="C1988" s="37" t="s">
        <v>4183</v>
      </c>
      <c r="D1988" s="55" t="s">
        <v>820</v>
      </c>
      <c r="E1988" s="56">
        <v>49.77</v>
      </c>
      <c r="F1988" s="55">
        <v>0.28000000000000003</v>
      </c>
      <c r="G1988" s="55"/>
      <c r="J1988" s="37" t="str">
        <f t="shared" si="171"/>
        <v>유에스티</v>
      </c>
      <c r="K1988" s="37" t="str">
        <f t="shared" si="172"/>
        <v>A263770</v>
      </c>
    </row>
    <row r="1989" spans="1:11" x14ac:dyDescent="0.4">
      <c r="B1989" s="54" t="s">
        <v>4184</v>
      </c>
      <c r="C1989" s="37" t="s">
        <v>4185</v>
      </c>
      <c r="D1989" s="55" t="s">
        <v>820</v>
      </c>
      <c r="E1989" s="56">
        <v>78.94</v>
      </c>
      <c r="F1989" s="55">
        <v>2.79</v>
      </c>
      <c r="G1989" s="55"/>
      <c r="J1989" s="37" t="str">
        <f t="shared" si="171"/>
        <v>데이타솔루션</v>
      </c>
      <c r="K1989" s="37" t="str">
        <f t="shared" si="172"/>
        <v>A263800</v>
      </c>
    </row>
    <row r="1990" spans="1:11" x14ac:dyDescent="0.4">
      <c r="A1990" s="49"/>
      <c r="B1990" s="54" t="s">
        <v>4186</v>
      </c>
      <c r="C1990" s="37" t="s">
        <v>4187</v>
      </c>
      <c r="D1990" s="55" t="s">
        <v>820</v>
      </c>
      <c r="E1990" s="56">
        <v>48.57</v>
      </c>
      <c r="F1990" s="55">
        <v>1.07</v>
      </c>
      <c r="G1990" s="55"/>
      <c r="I1990" s="49" t="str">
        <f t="shared" ref="I1990:I1997" si="176">IF((G1990&gt;$G$8),E1990+ROW()/100000,"")</f>
        <v/>
      </c>
      <c r="J1990" s="37" t="str">
        <f t="shared" si="171"/>
        <v>상신전자</v>
      </c>
      <c r="K1990" s="37" t="str">
        <f t="shared" si="172"/>
        <v>A263810</v>
      </c>
    </row>
    <row r="1991" spans="1:11" x14ac:dyDescent="0.4">
      <c r="A1991" s="49"/>
      <c r="B1991" s="54" t="s">
        <v>4188</v>
      </c>
      <c r="C1991" s="37" t="s">
        <v>4189</v>
      </c>
      <c r="D1991" s="55" t="s">
        <v>820</v>
      </c>
      <c r="E1991" s="58">
        <v>138.37</v>
      </c>
      <c r="F1991" s="57">
        <v>1.06</v>
      </c>
      <c r="G1991" s="57">
        <v>1</v>
      </c>
      <c r="H1991" s="49"/>
      <c r="I1991" s="49">
        <f t="shared" si="176"/>
        <v>138.38991000000001</v>
      </c>
      <c r="J1991" s="37" t="str">
        <f t="shared" si="171"/>
        <v>지니언스</v>
      </c>
      <c r="K1991" s="37" t="str">
        <f t="shared" si="172"/>
        <v>A263860</v>
      </c>
    </row>
    <row r="1992" spans="1:11" x14ac:dyDescent="0.4">
      <c r="A1992" s="49"/>
      <c r="B1992" s="54" t="s">
        <v>4190</v>
      </c>
      <c r="C1992" s="37" t="s">
        <v>4191</v>
      </c>
      <c r="D1992" s="55" t="s">
        <v>820</v>
      </c>
      <c r="E1992" s="56">
        <v>40.9</v>
      </c>
      <c r="F1992" s="55">
        <v>0.1</v>
      </c>
      <c r="G1992" s="55"/>
      <c r="I1992" s="49" t="str">
        <f t="shared" si="176"/>
        <v/>
      </c>
      <c r="J1992" s="37" t="str">
        <f t="shared" si="171"/>
        <v>휴엠앤씨</v>
      </c>
      <c r="K1992" s="37" t="str">
        <f t="shared" si="172"/>
        <v>A263920</v>
      </c>
    </row>
    <row r="1993" spans="1:11" x14ac:dyDescent="0.4">
      <c r="A1993" s="49"/>
      <c r="B1993" s="54" t="s">
        <v>4192</v>
      </c>
      <c r="C1993" s="37" t="s">
        <v>4193</v>
      </c>
      <c r="D1993" s="55" t="s">
        <v>820</v>
      </c>
      <c r="E1993" s="58">
        <v>175.99</v>
      </c>
      <c r="F1993" s="57">
        <v>0.89</v>
      </c>
      <c r="G1993" s="57"/>
      <c r="H1993" s="49"/>
      <c r="I1993" s="49" t="str">
        <f t="shared" si="176"/>
        <v/>
      </c>
      <c r="J1993" s="37" t="str">
        <f t="shared" si="171"/>
        <v>유비쿼스</v>
      </c>
      <c r="K1993" s="37" t="str">
        <f t="shared" si="172"/>
        <v>A264450</v>
      </c>
    </row>
    <row r="1994" spans="1:11" x14ac:dyDescent="0.4">
      <c r="A1994" s="49"/>
      <c r="B1994" s="54" t="s">
        <v>4194</v>
      </c>
      <c r="C1994" s="37" t="s">
        <v>4195</v>
      </c>
      <c r="D1994" s="55" t="s">
        <v>820</v>
      </c>
      <c r="E1994" s="58">
        <v>188.4</v>
      </c>
      <c r="F1994" s="57">
        <v>4.17</v>
      </c>
      <c r="G1994" s="57"/>
      <c r="H1994" s="49"/>
      <c r="I1994" s="49" t="str">
        <f t="shared" si="176"/>
        <v/>
      </c>
      <c r="J1994" s="37" t="str">
        <f t="shared" si="171"/>
        <v>씨앤지하이테크</v>
      </c>
      <c r="K1994" s="37" t="str">
        <f t="shared" si="172"/>
        <v>A264660</v>
      </c>
    </row>
    <row r="1995" spans="1:11" x14ac:dyDescent="0.4">
      <c r="A1995" s="49"/>
      <c r="B1995" s="54" t="s">
        <v>4196</v>
      </c>
      <c r="C1995" s="37" t="s">
        <v>4197</v>
      </c>
      <c r="D1995" s="55" t="s">
        <v>820</v>
      </c>
      <c r="E1995" s="58">
        <v>240.54</v>
      </c>
      <c r="F1995" s="57">
        <v>14.15</v>
      </c>
      <c r="G1995" s="57"/>
      <c r="H1995" s="49"/>
      <c r="I1995" s="49" t="str">
        <f t="shared" si="176"/>
        <v/>
      </c>
      <c r="J1995" s="37" t="str">
        <f t="shared" si="171"/>
        <v>이랜시스</v>
      </c>
      <c r="K1995" s="37" t="str">
        <f t="shared" si="172"/>
        <v>A264850</v>
      </c>
    </row>
    <row r="1996" spans="1:11" x14ac:dyDescent="0.4">
      <c r="A1996" s="49"/>
      <c r="B1996" s="54" t="s">
        <v>4198</v>
      </c>
      <c r="C1996" s="37" t="s">
        <v>4199</v>
      </c>
      <c r="D1996" s="55" t="s">
        <v>805</v>
      </c>
      <c r="E1996" s="58">
        <v>110.21</v>
      </c>
      <c r="F1996" s="57">
        <v>0.16</v>
      </c>
      <c r="G1996" s="57"/>
      <c r="H1996" s="49"/>
      <c r="I1996" s="49" t="str">
        <f t="shared" si="176"/>
        <v/>
      </c>
      <c r="J1996" s="37" t="str">
        <f t="shared" si="171"/>
        <v>크라운제과</v>
      </c>
      <c r="K1996" s="37" t="str">
        <f t="shared" si="172"/>
        <v>A264900</v>
      </c>
    </row>
    <row r="1997" spans="1:11" x14ac:dyDescent="0.4">
      <c r="A1997" s="49"/>
      <c r="B1997" s="54" t="s">
        <v>4200</v>
      </c>
      <c r="C1997" s="37" t="s">
        <v>4201</v>
      </c>
      <c r="D1997" s="55" t="s">
        <v>820</v>
      </c>
      <c r="E1997" s="58">
        <v>346.17</v>
      </c>
      <c r="F1997" s="57">
        <v>3.68</v>
      </c>
      <c r="G1997" s="57"/>
      <c r="H1997" s="49"/>
      <c r="I1997" s="49" t="str">
        <f t="shared" si="176"/>
        <v/>
      </c>
      <c r="J1997" s="37" t="str">
        <f t="shared" si="171"/>
        <v>AP시스템</v>
      </c>
      <c r="K1997" s="37" t="str">
        <f t="shared" si="172"/>
        <v>A265520</v>
      </c>
    </row>
    <row r="1998" spans="1:11" x14ac:dyDescent="0.4">
      <c r="B1998" s="54" t="s">
        <v>4202</v>
      </c>
      <c r="C1998" s="37" t="s">
        <v>4203</v>
      </c>
      <c r="D1998" s="55" t="s">
        <v>820</v>
      </c>
      <c r="E1998" s="56">
        <v>94.07</v>
      </c>
      <c r="F1998" s="55">
        <v>0.99</v>
      </c>
      <c r="G1998" s="55"/>
      <c r="J1998" s="37" t="str">
        <f t="shared" ref="J1998:J2061" si="177">C1998</f>
        <v>영화테크</v>
      </c>
      <c r="K1998" s="37" t="str">
        <f t="shared" ref="K1998:K2061" si="178">B1998</f>
        <v>A265560</v>
      </c>
    </row>
    <row r="1999" spans="1:11" x14ac:dyDescent="0.4">
      <c r="A1999" s="49"/>
      <c r="B1999" s="54" t="s">
        <v>4204</v>
      </c>
      <c r="C1999" s="37" t="s">
        <v>4205</v>
      </c>
      <c r="D1999" s="55" t="s">
        <v>820</v>
      </c>
      <c r="E1999" s="56">
        <v>150.77000000000001</v>
      </c>
      <c r="F1999" s="55">
        <v>2.78</v>
      </c>
      <c r="G1999" s="55"/>
      <c r="I1999" s="49" t="str">
        <f t="shared" ref="I1999:I2004" si="179">IF((G1999&gt;$G$8),E1999+ROW()/100000,"")</f>
        <v/>
      </c>
      <c r="J1999" s="37" t="str">
        <f t="shared" si="177"/>
        <v>엔에프씨</v>
      </c>
      <c r="K1999" s="37" t="str">
        <f t="shared" si="178"/>
        <v>A265740</v>
      </c>
    </row>
    <row r="2000" spans="1:11" x14ac:dyDescent="0.4">
      <c r="A2000" s="49"/>
      <c r="B2000" s="54" t="s">
        <v>166</v>
      </c>
      <c r="C2000" s="37" t="s">
        <v>167</v>
      </c>
      <c r="D2000" s="55" t="s">
        <v>805</v>
      </c>
      <c r="E2000" s="58">
        <v>23105.48</v>
      </c>
      <c r="F2000" s="57">
        <v>43.37</v>
      </c>
      <c r="G2000" s="57">
        <v>3</v>
      </c>
      <c r="H2000" s="49"/>
      <c r="I2000" s="49">
        <f t="shared" si="179"/>
        <v>23105.5</v>
      </c>
      <c r="J2000" s="37" t="str">
        <f t="shared" si="177"/>
        <v>HD현대</v>
      </c>
      <c r="K2000" s="37" t="str">
        <f t="shared" si="178"/>
        <v>A267250</v>
      </c>
    </row>
    <row r="2001" spans="1:11" x14ac:dyDescent="0.4">
      <c r="A2001" s="49"/>
      <c r="B2001" s="54" t="s">
        <v>15</v>
      </c>
      <c r="C2001" s="37" t="s">
        <v>16</v>
      </c>
      <c r="D2001" s="55" t="s">
        <v>805</v>
      </c>
      <c r="E2001" s="58">
        <v>37849.49</v>
      </c>
      <c r="F2001" s="57">
        <v>136.12</v>
      </c>
      <c r="G2001" s="57">
        <v>14</v>
      </c>
      <c r="H2001" s="49"/>
      <c r="I2001" s="49">
        <f t="shared" si="179"/>
        <v>37849.510009999998</v>
      </c>
      <c r="J2001" s="37" t="str">
        <f t="shared" si="177"/>
        <v>HD현대일렉트릭</v>
      </c>
      <c r="K2001" s="37" t="str">
        <f t="shared" si="178"/>
        <v>A267260</v>
      </c>
    </row>
    <row r="2002" spans="1:11" x14ac:dyDescent="0.4">
      <c r="A2002" s="49"/>
      <c r="B2002" s="54" t="s">
        <v>544</v>
      </c>
      <c r="C2002" s="37" t="s">
        <v>668</v>
      </c>
      <c r="D2002" s="55" t="s">
        <v>805</v>
      </c>
      <c r="E2002" s="58">
        <v>6749.96</v>
      </c>
      <c r="F2002" s="57">
        <v>34.36</v>
      </c>
      <c r="G2002" s="57">
        <v>4</v>
      </c>
      <c r="H2002" s="49"/>
      <c r="I2002" s="49">
        <f t="shared" si="179"/>
        <v>6749.98002</v>
      </c>
      <c r="J2002" s="37" t="str">
        <f t="shared" si="177"/>
        <v>HD건설기계</v>
      </c>
      <c r="K2002" s="37" t="str">
        <f t="shared" si="178"/>
        <v>A267270</v>
      </c>
    </row>
    <row r="2003" spans="1:11" x14ac:dyDescent="0.4">
      <c r="A2003" s="49"/>
      <c r="B2003" s="54" t="s">
        <v>4206</v>
      </c>
      <c r="C2003" s="37" t="s">
        <v>4207</v>
      </c>
      <c r="D2003" s="55" t="s">
        <v>805</v>
      </c>
      <c r="E2003" s="58">
        <v>133.83000000000001</v>
      </c>
      <c r="F2003" s="57">
        <v>0.28999999999999998</v>
      </c>
      <c r="G2003" s="57"/>
      <c r="H2003" s="49"/>
      <c r="I2003" s="49" t="str">
        <f t="shared" si="179"/>
        <v/>
      </c>
      <c r="J2003" s="37" t="str">
        <f t="shared" si="177"/>
        <v>경동도시가스</v>
      </c>
      <c r="K2003" s="37" t="str">
        <f t="shared" si="178"/>
        <v>A267290</v>
      </c>
    </row>
    <row r="2004" spans="1:11" x14ac:dyDescent="0.4">
      <c r="A2004" s="49"/>
      <c r="B2004" s="54" t="s">
        <v>4208</v>
      </c>
      <c r="C2004" s="37" t="s">
        <v>4209</v>
      </c>
      <c r="D2004" s="55" t="s">
        <v>820</v>
      </c>
      <c r="E2004" s="58">
        <v>210.71</v>
      </c>
      <c r="F2004" s="57">
        <v>9.8699999999999992</v>
      </c>
      <c r="G2004" s="57"/>
      <c r="H2004" s="49"/>
      <c r="I2004" s="49" t="str">
        <f t="shared" si="179"/>
        <v/>
      </c>
      <c r="J2004" s="37" t="str">
        <f t="shared" si="177"/>
        <v>나인테크</v>
      </c>
      <c r="K2004" s="37" t="str">
        <f t="shared" si="178"/>
        <v>A267320</v>
      </c>
    </row>
    <row r="2005" spans="1:11" x14ac:dyDescent="0.4">
      <c r="B2005" s="54" t="s">
        <v>4210</v>
      </c>
      <c r="C2005" s="37" t="s">
        <v>4211</v>
      </c>
      <c r="D2005" s="55" t="s">
        <v>820</v>
      </c>
      <c r="E2005" s="56">
        <v>28.72</v>
      </c>
      <c r="F2005" s="55">
        <v>0.06</v>
      </c>
      <c r="G2005" s="55"/>
      <c r="J2005" s="37" t="str">
        <f t="shared" si="177"/>
        <v>배럴</v>
      </c>
      <c r="K2005" s="37" t="str">
        <f t="shared" si="178"/>
        <v>A267790</v>
      </c>
    </row>
    <row r="2006" spans="1:11" x14ac:dyDescent="0.4">
      <c r="B2006" s="54" t="s">
        <v>4212</v>
      </c>
      <c r="C2006" s="37" t="s">
        <v>4213</v>
      </c>
      <c r="D2006" s="55" t="s">
        <v>805</v>
      </c>
      <c r="E2006" s="56">
        <v>119.66</v>
      </c>
      <c r="F2006" s="55">
        <v>0.12</v>
      </c>
      <c r="G2006" s="55"/>
      <c r="J2006" s="37" t="str">
        <f t="shared" si="177"/>
        <v>아시아나IDT</v>
      </c>
      <c r="K2006" s="37" t="str">
        <f t="shared" si="178"/>
        <v>A267850</v>
      </c>
    </row>
    <row r="2007" spans="1:11" x14ac:dyDescent="0.4">
      <c r="A2007" s="49"/>
      <c r="B2007" s="54" t="s">
        <v>4214</v>
      </c>
      <c r="C2007" s="37" t="s">
        <v>4215</v>
      </c>
      <c r="D2007" s="55" t="s">
        <v>820</v>
      </c>
      <c r="E2007" s="58">
        <v>306.55</v>
      </c>
      <c r="F2007" s="57">
        <v>0.28999999999999998</v>
      </c>
      <c r="G2007" s="57"/>
      <c r="H2007" s="49"/>
      <c r="I2007" s="49" t="str">
        <f t="shared" ref="I2007:I2021" si="180">IF((G2007&gt;$G$8),E2007+ROW()/100000,"")</f>
        <v/>
      </c>
      <c r="J2007" s="37" t="str">
        <f t="shared" si="177"/>
        <v>매일유업</v>
      </c>
      <c r="K2007" s="37" t="str">
        <f t="shared" si="178"/>
        <v>A267980</v>
      </c>
    </row>
    <row r="2008" spans="1:11" x14ac:dyDescent="0.4">
      <c r="A2008" s="49"/>
      <c r="B2008" s="54" t="s">
        <v>4216</v>
      </c>
      <c r="C2008" s="37" t="s">
        <v>4217</v>
      </c>
      <c r="D2008" s="55" t="s">
        <v>805</v>
      </c>
      <c r="E2008" s="56">
        <v>656</v>
      </c>
      <c r="F2008" s="55">
        <v>0.22</v>
      </c>
      <c r="G2008" s="55"/>
      <c r="I2008" s="49" t="str">
        <f t="shared" si="180"/>
        <v/>
      </c>
      <c r="J2008" s="37" t="str">
        <f t="shared" si="177"/>
        <v>미원에스씨</v>
      </c>
      <c r="K2008" s="37" t="str">
        <f t="shared" si="178"/>
        <v>A268280</v>
      </c>
    </row>
    <row r="2009" spans="1:11" x14ac:dyDescent="0.4">
      <c r="A2009" s="49"/>
      <c r="B2009" s="54" t="s">
        <v>4218</v>
      </c>
      <c r="C2009" s="37" t="s">
        <v>4219</v>
      </c>
      <c r="D2009" s="55" t="s">
        <v>820</v>
      </c>
      <c r="E2009" s="59">
        <v>132.09</v>
      </c>
      <c r="F2009" s="57">
        <v>0</v>
      </c>
      <c r="G2009" s="57"/>
      <c r="H2009" s="49"/>
      <c r="I2009" s="49" t="str">
        <f t="shared" si="180"/>
        <v/>
      </c>
      <c r="J2009" s="37" t="str">
        <f t="shared" si="177"/>
        <v>시스웍</v>
      </c>
      <c r="K2009" s="37" t="str">
        <f t="shared" si="178"/>
        <v>A269620</v>
      </c>
    </row>
    <row r="2010" spans="1:11" x14ac:dyDescent="0.4">
      <c r="A2010" s="49"/>
      <c r="B2010" s="54" t="s">
        <v>4220</v>
      </c>
      <c r="C2010" s="37" t="s">
        <v>4221</v>
      </c>
      <c r="D2010" s="55" t="s">
        <v>820</v>
      </c>
      <c r="E2010" s="58">
        <v>43.05</v>
      </c>
      <c r="F2010" s="57">
        <v>1.31</v>
      </c>
      <c r="G2010" s="57"/>
      <c r="H2010" s="49"/>
      <c r="I2010" s="49" t="str">
        <f t="shared" si="180"/>
        <v/>
      </c>
      <c r="J2010" s="37" t="str">
        <f t="shared" si="177"/>
        <v>앱튼</v>
      </c>
      <c r="K2010" s="37" t="str">
        <f t="shared" si="178"/>
        <v>A270520</v>
      </c>
    </row>
    <row r="2011" spans="1:11" x14ac:dyDescent="0.4">
      <c r="A2011" s="49"/>
      <c r="B2011" s="54" t="s">
        <v>4222</v>
      </c>
      <c r="C2011" s="37" t="s">
        <v>4223</v>
      </c>
      <c r="D2011" s="55" t="s">
        <v>820</v>
      </c>
      <c r="E2011" s="58">
        <v>289.35000000000002</v>
      </c>
      <c r="F2011" s="57">
        <v>8.92</v>
      </c>
      <c r="G2011" s="57"/>
      <c r="H2011" s="49"/>
      <c r="I2011" s="49" t="str">
        <f t="shared" si="180"/>
        <v/>
      </c>
      <c r="J2011" s="37" t="str">
        <f t="shared" si="177"/>
        <v>에브리봇</v>
      </c>
      <c r="K2011" s="37" t="str">
        <f t="shared" si="178"/>
        <v>A270660</v>
      </c>
    </row>
    <row r="2012" spans="1:11" x14ac:dyDescent="0.4">
      <c r="A2012" s="49"/>
      <c r="B2012" s="54" t="s">
        <v>4224</v>
      </c>
      <c r="C2012" s="37" t="s">
        <v>4225</v>
      </c>
      <c r="D2012" s="55" t="s">
        <v>820</v>
      </c>
      <c r="E2012" s="58">
        <v>43.15</v>
      </c>
      <c r="F2012" s="57">
        <v>0.18</v>
      </c>
      <c r="G2012" s="57"/>
      <c r="H2012" s="49"/>
      <c r="I2012" s="49" t="str">
        <f t="shared" si="180"/>
        <v/>
      </c>
      <c r="J2012" s="37" t="str">
        <f t="shared" si="177"/>
        <v>뉴트리</v>
      </c>
      <c r="K2012" s="37" t="str">
        <f t="shared" si="178"/>
        <v>A270870</v>
      </c>
    </row>
    <row r="2013" spans="1:11" x14ac:dyDescent="0.4">
      <c r="A2013" s="49"/>
      <c r="B2013" s="54" t="s">
        <v>4226</v>
      </c>
      <c r="C2013" s="37" t="s">
        <v>4227</v>
      </c>
      <c r="D2013" s="55" t="s">
        <v>805</v>
      </c>
      <c r="E2013" s="58">
        <v>5274.12</v>
      </c>
      <c r="F2013" s="57">
        <v>17.21</v>
      </c>
      <c r="G2013" s="57">
        <v>18</v>
      </c>
      <c r="H2013" s="49"/>
      <c r="I2013" s="49">
        <f t="shared" si="180"/>
        <v>5274.1401299999998</v>
      </c>
      <c r="J2013" s="37" t="str">
        <f t="shared" si="177"/>
        <v>오리온</v>
      </c>
      <c r="K2013" s="37" t="str">
        <f t="shared" si="178"/>
        <v>A271560</v>
      </c>
    </row>
    <row r="2014" spans="1:11" x14ac:dyDescent="0.4">
      <c r="A2014" s="49"/>
      <c r="B2014" s="54" t="s">
        <v>4228</v>
      </c>
      <c r="C2014" s="37" t="s">
        <v>4229</v>
      </c>
      <c r="D2014" s="55" t="s">
        <v>820</v>
      </c>
      <c r="E2014" s="58">
        <v>48.72</v>
      </c>
      <c r="F2014" s="57">
        <v>1.53</v>
      </c>
      <c r="G2014" s="57"/>
      <c r="H2014" s="49"/>
      <c r="I2014" s="49" t="str">
        <f t="shared" si="180"/>
        <v/>
      </c>
      <c r="J2014" s="37" t="str">
        <f t="shared" si="177"/>
        <v>팸텍</v>
      </c>
      <c r="K2014" s="37" t="str">
        <f t="shared" si="178"/>
        <v>A271830</v>
      </c>
    </row>
    <row r="2015" spans="1:11" x14ac:dyDescent="0.4">
      <c r="A2015" s="49"/>
      <c r="B2015" s="54" t="s">
        <v>4230</v>
      </c>
      <c r="C2015" s="37" t="s">
        <v>4231</v>
      </c>
      <c r="D2015" s="55" t="s">
        <v>805</v>
      </c>
      <c r="E2015" s="58">
        <v>581.74</v>
      </c>
      <c r="F2015" s="57">
        <v>1.1000000000000001</v>
      </c>
      <c r="G2015" s="57">
        <v>1</v>
      </c>
      <c r="H2015" s="49"/>
      <c r="I2015" s="49">
        <f t="shared" si="180"/>
        <v>581.76014999999995</v>
      </c>
      <c r="J2015" s="37" t="str">
        <f t="shared" si="177"/>
        <v>일진하이솔루스</v>
      </c>
      <c r="K2015" s="37" t="str">
        <f t="shared" si="178"/>
        <v>A271940</v>
      </c>
    </row>
    <row r="2016" spans="1:11" x14ac:dyDescent="0.4">
      <c r="A2016" s="49"/>
      <c r="B2016" s="54" t="s">
        <v>4232</v>
      </c>
      <c r="C2016" s="37" t="s">
        <v>4233</v>
      </c>
      <c r="D2016" s="55" t="s">
        <v>805</v>
      </c>
      <c r="E2016" s="58">
        <v>232.78</v>
      </c>
      <c r="F2016" s="57">
        <v>1.36</v>
      </c>
      <c r="G2016" s="57"/>
      <c r="H2016" s="49"/>
      <c r="I2016" s="49" t="str">
        <f t="shared" si="180"/>
        <v/>
      </c>
      <c r="J2016" s="37" t="str">
        <f t="shared" si="177"/>
        <v>제일약품</v>
      </c>
      <c r="K2016" s="37" t="str">
        <f t="shared" si="178"/>
        <v>A271980</v>
      </c>
    </row>
    <row r="2017" spans="1:11" x14ac:dyDescent="0.4">
      <c r="A2017" s="49"/>
      <c r="B2017" s="54" t="s">
        <v>4234</v>
      </c>
      <c r="C2017" s="37" t="s">
        <v>4235</v>
      </c>
      <c r="D2017" s="55" t="s">
        <v>820</v>
      </c>
      <c r="E2017" s="58">
        <v>264.04000000000002</v>
      </c>
      <c r="F2017" s="57">
        <v>5.47</v>
      </c>
      <c r="G2017" s="57"/>
      <c r="H2017" s="49"/>
      <c r="I2017" s="49" t="str">
        <f t="shared" si="180"/>
        <v/>
      </c>
      <c r="J2017" s="37" t="str">
        <f t="shared" si="177"/>
        <v>케이엔제이</v>
      </c>
      <c r="K2017" s="37" t="str">
        <f t="shared" si="178"/>
        <v>A272110</v>
      </c>
    </row>
    <row r="2018" spans="1:11" x14ac:dyDescent="0.4">
      <c r="A2018" s="49"/>
      <c r="B2018" s="54" t="s">
        <v>309</v>
      </c>
      <c r="C2018" s="37" t="s">
        <v>310</v>
      </c>
      <c r="D2018" s="55" t="s">
        <v>805</v>
      </c>
      <c r="E2018" s="58">
        <v>21461.24</v>
      </c>
      <c r="F2018" s="57">
        <v>170.76</v>
      </c>
      <c r="G2018" s="57">
        <v>3</v>
      </c>
      <c r="H2018" s="49"/>
      <c r="I2018" s="49">
        <f t="shared" si="180"/>
        <v>21461.260180000001</v>
      </c>
      <c r="J2018" s="37" t="str">
        <f t="shared" si="177"/>
        <v>한화시스템</v>
      </c>
      <c r="K2018" s="37" t="str">
        <f t="shared" si="178"/>
        <v>A272210</v>
      </c>
    </row>
    <row r="2019" spans="1:11" x14ac:dyDescent="0.4">
      <c r="A2019" s="49"/>
      <c r="B2019" s="54" t="s">
        <v>635</v>
      </c>
      <c r="C2019" s="37" t="s">
        <v>636</v>
      </c>
      <c r="D2019" s="55" t="s">
        <v>820</v>
      </c>
      <c r="E2019" s="56">
        <v>696.47</v>
      </c>
      <c r="F2019" s="55">
        <v>10.130000000000001</v>
      </c>
      <c r="G2019" s="55">
        <v>2</v>
      </c>
      <c r="I2019" s="49">
        <f t="shared" si="180"/>
        <v>696.49018999999998</v>
      </c>
      <c r="J2019" s="37" t="str">
        <f t="shared" si="177"/>
        <v>이녹스첨단소재</v>
      </c>
      <c r="K2019" s="37" t="str">
        <f t="shared" si="178"/>
        <v>A272290</v>
      </c>
    </row>
    <row r="2020" spans="1:11" x14ac:dyDescent="0.4">
      <c r="A2020" s="49"/>
      <c r="B2020" s="54" t="s">
        <v>4236</v>
      </c>
      <c r="C2020" s="37" t="s">
        <v>4237</v>
      </c>
      <c r="D2020" s="55" t="s">
        <v>805</v>
      </c>
      <c r="E2020" s="56">
        <v>369.05</v>
      </c>
      <c r="F2020" s="55">
        <v>1.07</v>
      </c>
      <c r="G2020" s="55">
        <v>5</v>
      </c>
      <c r="I2020" s="49">
        <f t="shared" si="180"/>
        <v>369.0702</v>
      </c>
      <c r="J2020" s="37" t="str">
        <f t="shared" si="177"/>
        <v>진에어</v>
      </c>
      <c r="K2020" s="37" t="str">
        <f t="shared" si="178"/>
        <v>A272450</v>
      </c>
    </row>
    <row r="2021" spans="1:11" x14ac:dyDescent="0.4">
      <c r="A2021" s="49"/>
      <c r="B2021" s="54" t="s">
        <v>4238</v>
      </c>
      <c r="C2021" s="37" t="s">
        <v>4239</v>
      </c>
      <c r="D2021" s="55" t="s">
        <v>805</v>
      </c>
      <c r="E2021" s="58">
        <v>187</v>
      </c>
      <c r="F2021" s="57">
        <v>0.52</v>
      </c>
      <c r="G2021" s="57"/>
      <c r="H2021" s="49"/>
      <c r="I2021" s="49" t="str">
        <f t="shared" si="180"/>
        <v/>
      </c>
      <c r="J2021" s="37" t="str">
        <f t="shared" si="177"/>
        <v>삼양패키징</v>
      </c>
      <c r="K2021" s="37" t="str">
        <f t="shared" si="178"/>
        <v>A272550</v>
      </c>
    </row>
    <row r="2022" spans="1:11" x14ac:dyDescent="0.4">
      <c r="B2022" s="54" t="s">
        <v>4240</v>
      </c>
      <c r="C2022" s="37" t="s">
        <v>4241</v>
      </c>
      <c r="D2022" s="55" t="s">
        <v>820</v>
      </c>
      <c r="E2022" s="56">
        <v>62.97</v>
      </c>
      <c r="F2022" s="55">
        <v>1.62</v>
      </c>
      <c r="G2022" s="55"/>
      <c r="J2022" s="37" t="str">
        <f t="shared" si="177"/>
        <v>와이즈버즈</v>
      </c>
      <c r="K2022" s="37" t="str">
        <f t="shared" si="178"/>
        <v>A273060</v>
      </c>
    </row>
    <row r="2023" spans="1:11" x14ac:dyDescent="0.4">
      <c r="A2023" s="49"/>
      <c r="B2023" s="54" t="s">
        <v>4242</v>
      </c>
      <c r="C2023" s="37" t="s">
        <v>4243</v>
      </c>
      <c r="D2023" s="55" t="s">
        <v>820</v>
      </c>
      <c r="E2023" s="58">
        <v>83.23</v>
      </c>
      <c r="F2023" s="57">
        <v>0.2</v>
      </c>
      <c r="G2023" s="57"/>
      <c r="H2023" s="49"/>
      <c r="I2023" s="49" t="str">
        <f>IF((G2023&gt;$G$8),E2023+ROW()/100000,"")</f>
        <v/>
      </c>
      <c r="J2023" s="37" t="str">
        <f t="shared" si="177"/>
        <v>와이엠텍</v>
      </c>
      <c r="K2023" s="37" t="str">
        <f t="shared" si="178"/>
        <v>A273640</v>
      </c>
    </row>
    <row r="2024" spans="1:11" x14ac:dyDescent="0.4">
      <c r="A2024" s="49"/>
      <c r="B2024" s="54" t="s">
        <v>4244</v>
      </c>
      <c r="C2024" s="37" t="s">
        <v>4245</v>
      </c>
      <c r="D2024" s="55" t="s">
        <v>820</v>
      </c>
      <c r="E2024" s="58">
        <v>305.14999999999998</v>
      </c>
      <c r="F2024" s="57">
        <v>19.329999999999998</v>
      </c>
      <c r="G2024" s="57"/>
      <c r="H2024" s="49"/>
      <c r="I2024" s="49" t="str">
        <f>IF((G2024&gt;$G$8),E2024+ROW()/100000,"")</f>
        <v/>
      </c>
      <c r="J2024" s="37" t="str">
        <f t="shared" si="177"/>
        <v>켄코아에어로스페이스</v>
      </c>
      <c r="K2024" s="37" t="str">
        <f t="shared" si="178"/>
        <v>A274090</v>
      </c>
    </row>
    <row r="2025" spans="1:11" x14ac:dyDescent="0.4">
      <c r="A2025" s="49"/>
      <c r="B2025" s="54" t="s">
        <v>4246</v>
      </c>
      <c r="C2025" s="37" t="s">
        <v>4247</v>
      </c>
      <c r="D2025" s="55" t="s">
        <v>820</v>
      </c>
      <c r="E2025" s="56">
        <v>32.35</v>
      </c>
      <c r="F2025" s="55">
        <v>0.08</v>
      </c>
      <c r="G2025" s="55"/>
      <c r="I2025" s="49" t="str">
        <f>IF((G2025&gt;$G$8),E2025+ROW()/100000,"")</f>
        <v/>
      </c>
      <c r="J2025" s="37" t="str">
        <f t="shared" si="177"/>
        <v>이노시뮬레이션</v>
      </c>
      <c r="K2025" s="37" t="str">
        <f t="shared" si="178"/>
        <v>A274400</v>
      </c>
    </row>
    <row r="2026" spans="1:11" x14ac:dyDescent="0.4">
      <c r="B2026" s="54" t="s">
        <v>4248</v>
      </c>
      <c r="C2026" s="37" t="s">
        <v>4249</v>
      </c>
      <c r="D2026" s="55" t="s">
        <v>820</v>
      </c>
      <c r="E2026" s="56">
        <v>16.760000000000002</v>
      </c>
      <c r="F2026" s="55">
        <v>0.05</v>
      </c>
      <c r="G2026" s="55"/>
      <c r="J2026" s="37" t="str">
        <f t="shared" si="177"/>
        <v>에스에스알</v>
      </c>
      <c r="K2026" s="37" t="str">
        <f t="shared" si="178"/>
        <v>A275630</v>
      </c>
    </row>
    <row r="2027" spans="1:11" x14ac:dyDescent="0.4">
      <c r="A2027" s="49"/>
      <c r="B2027" s="54" t="s">
        <v>4250</v>
      </c>
      <c r="C2027" s="37" t="s">
        <v>4251</v>
      </c>
      <c r="D2027" s="55" t="s">
        <v>820</v>
      </c>
      <c r="E2027" s="56">
        <v>17.5</v>
      </c>
      <c r="F2027" s="55">
        <v>0.49</v>
      </c>
      <c r="G2027" s="55"/>
      <c r="J2027" s="37" t="str">
        <f t="shared" si="177"/>
        <v>스코넥</v>
      </c>
      <c r="K2027" s="37" t="str">
        <f t="shared" si="178"/>
        <v>A276040</v>
      </c>
    </row>
    <row r="2028" spans="1:11" x14ac:dyDescent="0.4">
      <c r="A2028" s="49"/>
      <c r="B2028" s="54" t="s">
        <v>4252</v>
      </c>
      <c r="C2028" s="37" t="s">
        <v>4253</v>
      </c>
      <c r="D2028" s="55" t="s">
        <v>820</v>
      </c>
      <c r="E2028" s="56">
        <v>21.49</v>
      </c>
      <c r="F2028" s="55">
        <v>0.17</v>
      </c>
      <c r="G2028" s="55"/>
      <c r="I2028" s="49" t="str">
        <f>IF((G2028&gt;$G$8),E2028+ROW()/100000,"")</f>
        <v/>
      </c>
      <c r="J2028" s="37" t="str">
        <f t="shared" si="177"/>
        <v>한울앤제주</v>
      </c>
      <c r="K2028" s="37" t="str">
        <f t="shared" si="178"/>
        <v>A276730</v>
      </c>
    </row>
    <row r="2029" spans="1:11" x14ac:dyDescent="0.4">
      <c r="A2029" s="49"/>
      <c r="B2029" s="54" t="s">
        <v>4254</v>
      </c>
      <c r="C2029" s="37" t="s">
        <v>4255</v>
      </c>
      <c r="D2029" s="55" t="s">
        <v>820</v>
      </c>
      <c r="E2029" s="58">
        <v>71.06</v>
      </c>
      <c r="F2029" s="57">
        <v>0.13</v>
      </c>
      <c r="G2029" s="57"/>
      <c r="H2029" s="49"/>
      <c r="I2029" s="49" t="str">
        <f>IF((G2029&gt;$G$8),E2029+ROW()/100000,"")</f>
        <v/>
      </c>
      <c r="J2029" s="37" t="str">
        <f t="shared" si="177"/>
        <v>린드먼아시아</v>
      </c>
      <c r="K2029" s="37" t="str">
        <f t="shared" si="178"/>
        <v>A277070</v>
      </c>
    </row>
    <row r="2030" spans="1:11" x14ac:dyDescent="0.4">
      <c r="A2030" s="49"/>
      <c r="B2030" s="54" t="s">
        <v>4256</v>
      </c>
      <c r="C2030" s="37" t="s">
        <v>4257</v>
      </c>
      <c r="D2030" s="55" t="s">
        <v>820</v>
      </c>
      <c r="E2030" s="58">
        <v>45.48</v>
      </c>
      <c r="F2030" s="57">
        <v>0.13</v>
      </c>
      <c r="G2030" s="57"/>
      <c r="H2030" s="49"/>
      <c r="I2030" s="49" t="str">
        <f>IF((G2030&gt;$G$8),E2030+ROW()/100000,"")</f>
        <v/>
      </c>
      <c r="J2030" s="37" t="str">
        <f t="shared" si="177"/>
        <v>인산가</v>
      </c>
      <c r="K2030" s="37" t="str">
        <f t="shared" si="178"/>
        <v>A277410</v>
      </c>
    </row>
    <row r="2031" spans="1:11" x14ac:dyDescent="0.4">
      <c r="A2031" s="49"/>
      <c r="B2031" s="54" t="s">
        <v>236</v>
      </c>
      <c r="C2031" s="37" t="s">
        <v>237</v>
      </c>
      <c r="D2031" s="55" t="s">
        <v>820</v>
      </c>
      <c r="E2031" s="58">
        <v>16683.88</v>
      </c>
      <c r="F2031" s="57">
        <v>152.37</v>
      </c>
      <c r="G2031" s="57"/>
      <c r="H2031" s="49"/>
      <c r="I2031" s="49" t="str">
        <f>IF((G2031&gt;$G$8),E2031+ROW()/100000,"")</f>
        <v/>
      </c>
      <c r="J2031" s="37" t="str">
        <f t="shared" si="177"/>
        <v>레인보우로보틱스</v>
      </c>
      <c r="K2031" s="37" t="str">
        <f t="shared" si="178"/>
        <v>A277810</v>
      </c>
    </row>
    <row r="2032" spans="1:11" x14ac:dyDescent="0.4">
      <c r="B2032" s="54" t="s">
        <v>4258</v>
      </c>
      <c r="C2032" s="37" t="s">
        <v>4259</v>
      </c>
      <c r="D2032" s="55" t="s">
        <v>820</v>
      </c>
      <c r="E2032" s="56">
        <v>114.57</v>
      </c>
      <c r="F2032" s="55">
        <v>1.05</v>
      </c>
      <c r="G2032" s="55"/>
      <c r="J2032" s="37" t="str">
        <f t="shared" si="177"/>
        <v>티에스아이</v>
      </c>
      <c r="K2032" s="37" t="str">
        <f t="shared" si="178"/>
        <v>A277880</v>
      </c>
    </row>
    <row r="2033" spans="1:11" x14ac:dyDescent="0.4">
      <c r="A2033" s="49"/>
      <c r="B2033" s="54" t="s">
        <v>4260</v>
      </c>
      <c r="C2033" s="37" t="s">
        <v>4261</v>
      </c>
      <c r="D2033" s="55" t="s">
        <v>820</v>
      </c>
      <c r="E2033" s="56">
        <v>643.83000000000004</v>
      </c>
      <c r="F2033" s="55">
        <v>5.15</v>
      </c>
      <c r="G2033" s="55">
        <v>4</v>
      </c>
      <c r="I2033" s="49">
        <f t="shared" ref="I2033:I2062" si="181">IF((G2033&gt;$G$8),E2033+ROW()/100000,"")</f>
        <v>643.85032999999999</v>
      </c>
      <c r="J2033" s="37" t="str">
        <f t="shared" si="177"/>
        <v>천보</v>
      </c>
      <c r="K2033" s="37" t="str">
        <f t="shared" si="178"/>
        <v>A278280</v>
      </c>
    </row>
    <row r="2034" spans="1:11" x14ac:dyDescent="0.4">
      <c r="A2034" s="49"/>
      <c r="B2034" s="54" t="s">
        <v>63</v>
      </c>
      <c r="C2034" s="37" t="s">
        <v>64</v>
      </c>
      <c r="D2034" s="55" t="s">
        <v>805</v>
      </c>
      <c r="E2034" s="58">
        <v>11697.86</v>
      </c>
      <c r="F2034" s="57">
        <v>138.84</v>
      </c>
      <c r="G2034" s="57">
        <v>16</v>
      </c>
      <c r="H2034" s="49"/>
      <c r="I2034" s="49">
        <f t="shared" si="181"/>
        <v>11697.88034</v>
      </c>
      <c r="J2034" s="37" t="str">
        <f t="shared" si="177"/>
        <v>에이피알</v>
      </c>
      <c r="K2034" s="37" t="str">
        <f t="shared" si="178"/>
        <v>A278470</v>
      </c>
    </row>
    <row r="2035" spans="1:11" x14ac:dyDescent="0.4">
      <c r="A2035" s="49"/>
      <c r="B2035" s="54" t="s">
        <v>4262</v>
      </c>
      <c r="C2035" s="37" t="s">
        <v>4263</v>
      </c>
      <c r="D2035" s="55" t="s">
        <v>820</v>
      </c>
      <c r="E2035" s="58">
        <v>104.58</v>
      </c>
      <c r="F2035" s="57">
        <v>1.34</v>
      </c>
      <c r="G2035" s="57"/>
      <c r="H2035" s="49"/>
      <c r="I2035" s="49" t="str">
        <f t="shared" si="181"/>
        <v/>
      </c>
      <c r="J2035" s="37" t="str">
        <f t="shared" si="177"/>
        <v>HLB바이오스텝</v>
      </c>
      <c r="K2035" s="37" t="str">
        <f t="shared" si="178"/>
        <v>A278650</v>
      </c>
    </row>
    <row r="2036" spans="1:11" x14ac:dyDescent="0.4">
      <c r="A2036" s="49"/>
      <c r="B2036" s="54" t="s">
        <v>4264</v>
      </c>
      <c r="C2036" s="37" t="s">
        <v>4265</v>
      </c>
      <c r="D2036" s="55" t="s">
        <v>820</v>
      </c>
      <c r="E2036" s="56">
        <v>27.45</v>
      </c>
      <c r="F2036" s="55">
        <v>0.12</v>
      </c>
      <c r="G2036" s="55"/>
      <c r="I2036" s="49" t="str">
        <f t="shared" si="181"/>
        <v/>
      </c>
      <c r="J2036" s="37" t="str">
        <f t="shared" si="177"/>
        <v>미디어젠</v>
      </c>
      <c r="K2036" s="37" t="str">
        <f t="shared" si="178"/>
        <v>A279600</v>
      </c>
    </row>
    <row r="2037" spans="1:11" x14ac:dyDescent="0.4">
      <c r="A2037" s="49"/>
      <c r="B2037" s="54" t="s">
        <v>4266</v>
      </c>
      <c r="C2037" s="37" t="s">
        <v>4267</v>
      </c>
      <c r="D2037" s="55" t="s">
        <v>805</v>
      </c>
      <c r="E2037" s="56">
        <v>1181.68</v>
      </c>
      <c r="F2037" s="55">
        <v>2.13</v>
      </c>
      <c r="G2037" s="55">
        <v>12</v>
      </c>
      <c r="I2037" s="49">
        <f t="shared" si="181"/>
        <v>1181.70037</v>
      </c>
      <c r="J2037" s="37" t="str">
        <f t="shared" si="177"/>
        <v>롯데웰푸드</v>
      </c>
      <c r="K2037" s="37" t="str">
        <f t="shared" si="178"/>
        <v>A280360</v>
      </c>
    </row>
    <row r="2038" spans="1:11" x14ac:dyDescent="0.4">
      <c r="A2038" s="49"/>
      <c r="B2038" s="54" t="s">
        <v>671</v>
      </c>
      <c r="C2038" s="37" t="s">
        <v>672</v>
      </c>
      <c r="D2038" s="55" t="s">
        <v>820</v>
      </c>
      <c r="E2038" s="58">
        <v>1554.53</v>
      </c>
      <c r="F2038" s="57">
        <v>16.39</v>
      </c>
      <c r="G2038" s="57">
        <v>1</v>
      </c>
      <c r="H2038" s="49"/>
      <c r="I2038" s="49">
        <f t="shared" si="181"/>
        <v>1554.5503799999999</v>
      </c>
      <c r="J2038" s="37" t="str">
        <f t="shared" si="177"/>
        <v>레이크머티리얼즈</v>
      </c>
      <c r="K2038" s="37" t="str">
        <f t="shared" si="178"/>
        <v>A281740</v>
      </c>
    </row>
    <row r="2039" spans="1:11" x14ac:dyDescent="0.4">
      <c r="A2039" s="49"/>
      <c r="B2039" s="54" t="s">
        <v>449</v>
      </c>
      <c r="C2039" s="37" t="s">
        <v>450</v>
      </c>
      <c r="D2039" s="55" t="s">
        <v>805</v>
      </c>
      <c r="E2039" s="58">
        <v>1016.93</v>
      </c>
      <c r="F2039" s="57">
        <v>5.92</v>
      </c>
      <c r="G2039" s="57"/>
      <c r="H2039" s="49"/>
      <c r="I2039" s="49" t="str">
        <f t="shared" si="181"/>
        <v/>
      </c>
      <c r="J2039" s="37" t="str">
        <f t="shared" si="177"/>
        <v>케이씨텍</v>
      </c>
      <c r="K2039" s="37" t="str">
        <f t="shared" si="178"/>
        <v>A281820</v>
      </c>
    </row>
    <row r="2040" spans="1:11" x14ac:dyDescent="0.4">
      <c r="A2040" s="49"/>
      <c r="B2040" s="54" t="s">
        <v>4268</v>
      </c>
      <c r="C2040" s="37" t="s">
        <v>4269</v>
      </c>
      <c r="D2040" s="55" t="s">
        <v>805</v>
      </c>
      <c r="E2040" s="58">
        <v>2157.0300000000002</v>
      </c>
      <c r="F2040" s="57">
        <v>5.84</v>
      </c>
      <c r="G2040" s="57">
        <v>13</v>
      </c>
      <c r="H2040" s="49"/>
      <c r="I2040" s="49">
        <f t="shared" si="181"/>
        <v>2157.0504000000001</v>
      </c>
      <c r="J2040" s="37" t="str">
        <f t="shared" si="177"/>
        <v>BGF리테일</v>
      </c>
      <c r="K2040" s="37" t="str">
        <f t="shared" si="178"/>
        <v>A282330</v>
      </c>
    </row>
    <row r="2041" spans="1:11" x14ac:dyDescent="0.4">
      <c r="A2041" s="49"/>
      <c r="B2041" s="54" t="s">
        <v>4270</v>
      </c>
      <c r="C2041" s="37" t="s">
        <v>4271</v>
      </c>
      <c r="D2041" s="55" t="s">
        <v>820</v>
      </c>
      <c r="E2041" s="58">
        <v>150.28</v>
      </c>
      <c r="F2041" s="57">
        <v>1.54</v>
      </c>
      <c r="G2041" s="57"/>
      <c r="H2041" s="49"/>
      <c r="I2041" s="49" t="str">
        <f t="shared" si="181"/>
        <v/>
      </c>
      <c r="J2041" s="37" t="str">
        <f t="shared" si="177"/>
        <v>금양그린파워</v>
      </c>
      <c r="K2041" s="37" t="str">
        <f t="shared" si="178"/>
        <v>A282720</v>
      </c>
    </row>
    <row r="2042" spans="1:11" x14ac:dyDescent="0.4">
      <c r="A2042" s="49"/>
      <c r="B2042" s="54" t="s">
        <v>4272</v>
      </c>
      <c r="C2042" s="37" t="s">
        <v>4273</v>
      </c>
      <c r="D2042" s="55" t="s">
        <v>820</v>
      </c>
      <c r="E2042" s="58">
        <v>188.67</v>
      </c>
      <c r="F2042" s="57">
        <v>7.25</v>
      </c>
      <c r="G2042" s="57">
        <v>1</v>
      </c>
      <c r="H2042" s="49"/>
      <c r="I2042" s="49">
        <f t="shared" si="181"/>
        <v>188.69041999999999</v>
      </c>
      <c r="J2042" s="37" t="str">
        <f t="shared" si="177"/>
        <v>코윈테크</v>
      </c>
      <c r="K2042" s="37" t="str">
        <f t="shared" si="178"/>
        <v>A282880</v>
      </c>
    </row>
    <row r="2043" spans="1:11" x14ac:dyDescent="0.4">
      <c r="A2043" s="49"/>
      <c r="B2043" s="54" t="s">
        <v>4274</v>
      </c>
      <c r="C2043" s="37" t="s">
        <v>4275</v>
      </c>
      <c r="D2043" s="55" t="s">
        <v>820</v>
      </c>
      <c r="E2043" s="58">
        <v>35.97</v>
      </c>
      <c r="F2043" s="57">
        <v>0</v>
      </c>
      <c r="G2043" s="57"/>
      <c r="H2043" s="49"/>
      <c r="I2043" s="49" t="str">
        <f t="shared" si="181"/>
        <v/>
      </c>
      <c r="J2043" s="37" t="str">
        <f t="shared" si="177"/>
        <v>카이노스메드</v>
      </c>
      <c r="K2043" s="37" t="str">
        <f t="shared" si="178"/>
        <v>A284620</v>
      </c>
    </row>
    <row r="2044" spans="1:11" x14ac:dyDescent="0.4">
      <c r="A2044" s="49"/>
      <c r="B2044" s="54" t="s">
        <v>4276</v>
      </c>
      <c r="C2044" s="37" t="s">
        <v>4277</v>
      </c>
      <c r="D2044" s="55" t="s">
        <v>805</v>
      </c>
      <c r="E2044" s="58">
        <v>585.61</v>
      </c>
      <c r="F2044" s="57">
        <v>0.64</v>
      </c>
      <c r="G2044" s="57"/>
      <c r="H2044" s="49"/>
      <c r="I2044" s="49" t="str">
        <f t="shared" si="181"/>
        <v/>
      </c>
      <c r="J2044" s="37" t="str">
        <f t="shared" si="177"/>
        <v>쿠쿠홈시스</v>
      </c>
      <c r="K2044" s="37" t="str">
        <f t="shared" si="178"/>
        <v>A284740</v>
      </c>
    </row>
    <row r="2045" spans="1:11" x14ac:dyDescent="0.4">
      <c r="A2045" s="49"/>
      <c r="B2045" s="54" t="s">
        <v>196</v>
      </c>
      <c r="C2045" s="37" t="s">
        <v>197</v>
      </c>
      <c r="D2045" s="55" t="s">
        <v>805</v>
      </c>
      <c r="E2045" s="58">
        <v>1190.1600000000001</v>
      </c>
      <c r="F2045" s="57">
        <v>4.84</v>
      </c>
      <c r="G2045" s="57">
        <v>2</v>
      </c>
      <c r="H2045" s="49"/>
      <c r="I2045" s="49">
        <f t="shared" si="181"/>
        <v>1190.1804500000001</v>
      </c>
      <c r="J2045" s="37" t="str">
        <f t="shared" si="177"/>
        <v>SK케미칼</v>
      </c>
      <c r="K2045" s="37" t="str">
        <f t="shared" si="178"/>
        <v>A285130</v>
      </c>
    </row>
    <row r="2046" spans="1:11" x14ac:dyDescent="0.4">
      <c r="A2046" s="49"/>
      <c r="B2046" s="54" t="s">
        <v>4278</v>
      </c>
      <c r="C2046" s="37" t="s">
        <v>4279</v>
      </c>
      <c r="D2046" s="55" t="s">
        <v>820</v>
      </c>
      <c r="E2046" s="58">
        <v>271.27</v>
      </c>
      <c r="F2046" s="57">
        <v>3.58</v>
      </c>
      <c r="G2046" s="57">
        <v>1</v>
      </c>
      <c r="H2046" s="49"/>
      <c r="I2046" s="49">
        <f t="shared" si="181"/>
        <v>271.29046</v>
      </c>
      <c r="J2046" s="37" t="str">
        <f t="shared" si="177"/>
        <v>노바텍</v>
      </c>
      <c r="K2046" s="37" t="str">
        <f t="shared" si="178"/>
        <v>A285490</v>
      </c>
    </row>
    <row r="2047" spans="1:11" x14ac:dyDescent="0.4">
      <c r="A2047" s="49"/>
      <c r="B2047" s="54" t="s">
        <v>4280</v>
      </c>
      <c r="C2047" s="37" t="s">
        <v>4281</v>
      </c>
      <c r="D2047" s="55" t="s">
        <v>820</v>
      </c>
      <c r="E2047" s="57">
        <v>24.91</v>
      </c>
      <c r="F2047" s="55">
        <v>0.11</v>
      </c>
      <c r="G2047" s="55"/>
      <c r="I2047" s="49" t="str">
        <f t="shared" si="181"/>
        <v/>
      </c>
      <c r="J2047" s="37" t="str">
        <f t="shared" si="177"/>
        <v>진영</v>
      </c>
      <c r="K2047" s="37" t="str">
        <f t="shared" si="178"/>
        <v>A285800</v>
      </c>
    </row>
    <row r="2048" spans="1:11" x14ac:dyDescent="0.4">
      <c r="A2048" s="49"/>
      <c r="B2048" s="54" t="s">
        <v>4282</v>
      </c>
      <c r="C2048" s="37" t="s">
        <v>4283</v>
      </c>
      <c r="D2048" s="55" t="s">
        <v>820</v>
      </c>
      <c r="E2048" s="58">
        <v>50.13</v>
      </c>
      <c r="F2048" s="57">
        <v>0.78</v>
      </c>
      <c r="G2048" s="57"/>
      <c r="H2048" s="49"/>
      <c r="I2048" s="49" t="str">
        <f t="shared" si="181"/>
        <v/>
      </c>
      <c r="J2048" s="37" t="str">
        <f t="shared" si="177"/>
        <v>나노실리칸첨단소재</v>
      </c>
      <c r="K2048" s="37" t="str">
        <f t="shared" si="178"/>
        <v>A286750</v>
      </c>
    </row>
    <row r="2049" spans="1:11" x14ac:dyDescent="0.4">
      <c r="A2049" s="49"/>
      <c r="B2049" s="54" t="s">
        <v>4284</v>
      </c>
      <c r="C2049" s="37" t="s">
        <v>4285</v>
      </c>
      <c r="D2049" s="55" t="s">
        <v>805</v>
      </c>
      <c r="E2049" s="56">
        <v>359.32</v>
      </c>
      <c r="F2049" s="55">
        <v>0.6</v>
      </c>
      <c r="G2049" s="55">
        <v>4</v>
      </c>
      <c r="I2049" s="49">
        <f t="shared" si="181"/>
        <v>359.34048999999999</v>
      </c>
      <c r="J2049" s="37" t="str">
        <f t="shared" si="177"/>
        <v>롯데이노베이트</v>
      </c>
      <c r="K2049" s="37" t="str">
        <f t="shared" si="178"/>
        <v>A286940</v>
      </c>
    </row>
    <row r="2050" spans="1:11" x14ac:dyDescent="0.4">
      <c r="A2050" s="49"/>
      <c r="B2050" s="54" t="s">
        <v>4286</v>
      </c>
      <c r="C2050" s="37" t="s">
        <v>4287</v>
      </c>
      <c r="D2050" s="55" t="s">
        <v>820</v>
      </c>
      <c r="E2050" s="58">
        <v>762.61</v>
      </c>
      <c r="F2050" s="57">
        <v>26.18</v>
      </c>
      <c r="G2050" s="57"/>
      <c r="H2050" s="49"/>
      <c r="I2050" s="49" t="str">
        <f t="shared" si="181"/>
        <v/>
      </c>
      <c r="J2050" s="37" t="str">
        <f t="shared" si="177"/>
        <v>인투셀</v>
      </c>
      <c r="K2050" s="37" t="str">
        <f t="shared" si="178"/>
        <v>A287840</v>
      </c>
    </row>
    <row r="2051" spans="1:11" x14ac:dyDescent="0.4">
      <c r="A2051" s="49"/>
      <c r="B2051" s="54" t="s">
        <v>4288</v>
      </c>
      <c r="C2051" s="37" t="s">
        <v>4289</v>
      </c>
      <c r="D2051" s="55" t="s">
        <v>820</v>
      </c>
      <c r="E2051" s="58">
        <v>82.1</v>
      </c>
      <c r="F2051" s="57">
        <v>1.18</v>
      </c>
      <c r="G2051" s="57"/>
      <c r="H2051" s="49"/>
      <c r="I2051" s="49" t="str">
        <f t="shared" si="181"/>
        <v/>
      </c>
      <c r="J2051" s="37" t="str">
        <f t="shared" si="177"/>
        <v>파라택시스코리아</v>
      </c>
      <c r="K2051" s="37" t="str">
        <f t="shared" si="178"/>
        <v>A288330</v>
      </c>
    </row>
    <row r="2052" spans="1:11" x14ac:dyDescent="0.4">
      <c r="A2052" s="49"/>
      <c r="B2052" s="54" t="s">
        <v>4290</v>
      </c>
      <c r="C2052" s="37" t="s">
        <v>5210</v>
      </c>
      <c r="D2052" s="55" t="s">
        <v>820</v>
      </c>
      <c r="E2052" s="58">
        <v>60.58</v>
      </c>
      <c r="F2052" s="57">
        <v>1.89</v>
      </c>
      <c r="G2052" s="57">
        <v>1</v>
      </c>
      <c r="H2052" s="49"/>
      <c r="I2052" s="49">
        <f t="shared" si="181"/>
        <v>60.600519999999996</v>
      </c>
      <c r="J2052" s="37" t="str">
        <f t="shared" si="177"/>
        <v>에스프리즘</v>
      </c>
      <c r="K2052" s="37" t="str">
        <f t="shared" si="178"/>
        <v>A288620</v>
      </c>
    </row>
    <row r="2053" spans="1:11" x14ac:dyDescent="0.4">
      <c r="A2053" s="49"/>
      <c r="B2053" s="54" t="s">
        <v>4291</v>
      </c>
      <c r="C2053" s="37" t="s">
        <v>4292</v>
      </c>
      <c r="D2053" s="55" t="s">
        <v>820</v>
      </c>
      <c r="E2053" s="58">
        <v>23.84</v>
      </c>
      <c r="F2053" s="57">
        <v>0.43</v>
      </c>
      <c r="G2053" s="57"/>
      <c r="H2053" s="49"/>
      <c r="I2053" s="49" t="str">
        <f t="shared" si="181"/>
        <v/>
      </c>
      <c r="J2053" s="37" t="str">
        <f t="shared" si="177"/>
        <v>모아데이타</v>
      </c>
      <c r="K2053" s="37" t="str">
        <f t="shared" si="178"/>
        <v>A288980</v>
      </c>
    </row>
    <row r="2054" spans="1:11" x14ac:dyDescent="0.4">
      <c r="A2054" s="49"/>
      <c r="B2054" s="54" t="s">
        <v>4293</v>
      </c>
      <c r="C2054" s="37" t="s">
        <v>4294</v>
      </c>
      <c r="D2054" s="55" t="s">
        <v>820</v>
      </c>
      <c r="E2054" s="57">
        <v>21.75</v>
      </c>
      <c r="F2054" s="55">
        <v>0.15</v>
      </c>
      <c r="G2054" s="55"/>
      <c r="I2054" s="49" t="str">
        <f t="shared" si="181"/>
        <v/>
      </c>
      <c r="J2054" s="37" t="str">
        <f t="shared" si="177"/>
        <v>아이스크림에듀</v>
      </c>
      <c r="K2054" s="37" t="str">
        <f t="shared" si="178"/>
        <v>A289010</v>
      </c>
    </row>
    <row r="2055" spans="1:11" x14ac:dyDescent="0.4">
      <c r="A2055" s="49"/>
      <c r="B2055" s="54" t="s">
        <v>4295</v>
      </c>
      <c r="C2055" s="37" t="s">
        <v>4296</v>
      </c>
      <c r="D2055" s="55" t="s">
        <v>820</v>
      </c>
      <c r="E2055" s="58">
        <v>215.09</v>
      </c>
      <c r="F2055" s="57">
        <v>2.33</v>
      </c>
      <c r="G2055" s="57"/>
      <c r="H2055" s="49"/>
      <c r="I2055" s="49" t="str">
        <f t="shared" si="181"/>
        <v/>
      </c>
      <c r="J2055" s="37" t="str">
        <f t="shared" si="177"/>
        <v>SV인베스트먼트</v>
      </c>
      <c r="K2055" s="37" t="str">
        <f t="shared" si="178"/>
        <v>A289080</v>
      </c>
    </row>
    <row r="2056" spans="1:11" x14ac:dyDescent="0.4">
      <c r="A2056" s="49"/>
      <c r="B2056" s="54" t="s">
        <v>4297</v>
      </c>
      <c r="C2056" s="37" t="s">
        <v>4298</v>
      </c>
      <c r="D2056" s="55" t="s">
        <v>820</v>
      </c>
      <c r="E2056" s="56">
        <v>81.22</v>
      </c>
      <c r="F2056" s="55">
        <v>0.34</v>
      </c>
      <c r="G2056" s="55"/>
      <c r="I2056" s="49" t="str">
        <f t="shared" si="181"/>
        <v/>
      </c>
      <c r="J2056" s="37" t="str">
        <f t="shared" si="177"/>
        <v>자이언트스텝</v>
      </c>
      <c r="K2056" s="37" t="str">
        <f t="shared" si="178"/>
        <v>A289220</v>
      </c>
    </row>
    <row r="2057" spans="1:11" x14ac:dyDescent="0.4">
      <c r="A2057" s="49"/>
      <c r="B2057" s="54" t="s">
        <v>4299</v>
      </c>
      <c r="C2057" s="37" t="s">
        <v>4300</v>
      </c>
      <c r="D2057" s="55" t="s">
        <v>820</v>
      </c>
      <c r="E2057" s="58">
        <v>211.46</v>
      </c>
      <c r="F2057" s="57">
        <v>1.8</v>
      </c>
      <c r="G2057" s="57"/>
      <c r="H2057" s="49"/>
      <c r="I2057" s="49" t="str">
        <f t="shared" si="181"/>
        <v/>
      </c>
      <c r="J2057" s="37" t="str">
        <f t="shared" si="177"/>
        <v>웨이비스</v>
      </c>
      <c r="K2057" s="37" t="str">
        <f t="shared" si="178"/>
        <v>A289930</v>
      </c>
    </row>
    <row r="2058" spans="1:11" x14ac:dyDescent="0.4">
      <c r="A2058" s="49"/>
      <c r="B2058" s="54" t="s">
        <v>4301</v>
      </c>
      <c r="C2058" s="37" t="s">
        <v>4302</v>
      </c>
      <c r="D2058" s="55" t="s">
        <v>820</v>
      </c>
      <c r="E2058" s="56">
        <v>48.36</v>
      </c>
      <c r="F2058" s="55">
        <v>0.08</v>
      </c>
      <c r="G2058" s="55"/>
      <c r="I2058" s="49" t="str">
        <f t="shared" si="181"/>
        <v/>
      </c>
      <c r="J2058" s="37" t="str">
        <f t="shared" si="177"/>
        <v>트윔</v>
      </c>
      <c r="K2058" s="37" t="str">
        <f t="shared" si="178"/>
        <v>A290090</v>
      </c>
    </row>
    <row r="2059" spans="1:11" x14ac:dyDescent="0.4">
      <c r="A2059" s="49"/>
      <c r="B2059" s="54" t="s">
        <v>4303</v>
      </c>
      <c r="C2059" s="37" t="s">
        <v>4304</v>
      </c>
      <c r="D2059" s="55" t="s">
        <v>820</v>
      </c>
      <c r="E2059" s="58">
        <v>47.31</v>
      </c>
      <c r="F2059" s="57">
        <v>0.45</v>
      </c>
      <c r="G2059" s="57"/>
      <c r="H2059" s="49"/>
      <c r="I2059" s="49" t="str">
        <f t="shared" si="181"/>
        <v/>
      </c>
      <c r="J2059" s="37" t="str">
        <f t="shared" si="177"/>
        <v>DH오토리드</v>
      </c>
      <c r="K2059" s="37" t="str">
        <f t="shared" si="178"/>
        <v>A290120</v>
      </c>
    </row>
    <row r="2060" spans="1:11" x14ac:dyDescent="0.4">
      <c r="A2060" s="49"/>
      <c r="B2060" s="54" t="s">
        <v>4305</v>
      </c>
      <c r="C2060" s="37" t="s">
        <v>4306</v>
      </c>
      <c r="D2060" s="55" t="s">
        <v>820</v>
      </c>
      <c r="E2060" s="58">
        <v>34.78</v>
      </c>
      <c r="F2060" s="57">
        <v>0.45</v>
      </c>
      <c r="G2060" s="57"/>
      <c r="H2060" s="49"/>
      <c r="I2060" s="49" t="str">
        <f t="shared" si="181"/>
        <v/>
      </c>
      <c r="J2060" s="37" t="str">
        <f t="shared" si="177"/>
        <v>휴네시온</v>
      </c>
      <c r="K2060" s="37" t="str">
        <f t="shared" si="178"/>
        <v>A290270</v>
      </c>
    </row>
    <row r="2061" spans="1:11" x14ac:dyDescent="0.4">
      <c r="A2061" s="49"/>
      <c r="B2061" s="54" t="s">
        <v>4307</v>
      </c>
      <c r="C2061" s="37" t="s">
        <v>4308</v>
      </c>
      <c r="D2061" s="55" t="s">
        <v>820</v>
      </c>
      <c r="E2061" s="58">
        <v>26.73</v>
      </c>
      <c r="F2061" s="57">
        <v>0.22</v>
      </c>
      <c r="G2061" s="57"/>
      <c r="H2061" s="49"/>
      <c r="I2061" s="49" t="str">
        <f t="shared" si="181"/>
        <v/>
      </c>
      <c r="J2061" s="37" t="str">
        <f t="shared" si="177"/>
        <v>신도기연</v>
      </c>
      <c r="K2061" s="37" t="str">
        <f t="shared" si="178"/>
        <v>A290520</v>
      </c>
    </row>
    <row r="2062" spans="1:11" x14ac:dyDescent="0.4">
      <c r="A2062" s="49"/>
      <c r="B2062" s="54" t="s">
        <v>4309</v>
      </c>
      <c r="C2062" s="37" t="s">
        <v>4310</v>
      </c>
      <c r="D2062" s="55" t="s">
        <v>820</v>
      </c>
      <c r="E2062" s="56">
        <v>225.81</v>
      </c>
      <c r="F2062" s="55">
        <v>4.0599999999999996</v>
      </c>
      <c r="G2062" s="55"/>
      <c r="I2062" s="49" t="str">
        <f t="shared" si="181"/>
        <v/>
      </c>
      <c r="J2062" s="37" t="str">
        <f t="shared" ref="J2062:J2125" si="182">C2062</f>
        <v>디케이티</v>
      </c>
      <c r="K2062" s="37" t="str">
        <f t="shared" ref="K2062:K2125" si="183">B2062</f>
        <v>A290550</v>
      </c>
    </row>
    <row r="2063" spans="1:11" x14ac:dyDescent="0.4">
      <c r="B2063" s="54" t="s">
        <v>4311</v>
      </c>
      <c r="C2063" s="37" t="s">
        <v>4312</v>
      </c>
      <c r="D2063" s="55" t="s">
        <v>820</v>
      </c>
      <c r="E2063" s="56">
        <v>43.45</v>
      </c>
      <c r="F2063" s="55">
        <v>0.28000000000000003</v>
      </c>
      <c r="G2063" s="55"/>
      <c r="J2063" s="37" t="str">
        <f t="shared" si="182"/>
        <v>파라택시스이더리움</v>
      </c>
      <c r="K2063" s="37" t="str">
        <f t="shared" si="183"/>
        <v>A290560</v>
      </c>
    </row>
    <row r="2064" spans="1:11" x14ac:dyDescent="0.4">
      <c r="A2064" s="49"/>
      <c r="B2064" s="54" t="s">
        <v>535</v>
      </c>
      <c r="C2064" s="37" t="s">
        <v>536</v>
      </c>
      <c r="D2064" s="55" t="s">
        <v>820</v>
      </c>
      <c r="E2064" s="58">
        <v>2449.4299999999998</v>
      </c>
      <c r="F2064" s="57">
        <v>52.49</v>
      </c>
      <c r="G2064" s="57">
        <v>1</v>
      </c>
      <c r="H2064" s="49"/>
      <c r="I2064" s="49">
        <f>IF((G2064&gt;$G$8),E2064+ROW()/100000,"")</f>
        <v>2449.45064</v>
      </c>
      <c r="J2064" s="37" t="str">
        <f t="shared" si="182"/>
        <v>엘앤씨바이오</v>
      </c>
      <c r="K2064" s="37" t="str">
        <f t="shared" si="183"/>
        <v>A290650</v>
      </c>
    </row>
    <row r="2065" spans="1:11" x14ac:dyDescent="0.4">
      <c r="A2065" s="49"/>
      <c r="B2065" s="54" t="s">
        <v>4313</v>
      </c>
      <c r="C2065" s="37" t="s">
        <v>5205</v>
      </c>
      <c r="D2065" s="55" t="s">
        <v>820</v>
      </c>
      <c r="E2065" s="56">
        <v>63.45</v>
      </c>
      <c r="F2065" s="55">
        <v>1.54</v>
      </c>
      <c r="G2065" s="55"/>
      <c r="I2065" s="49" t="str">
        <f>IF((G2065&gt;$G$8),E2065+ROW()/100000,"")</f>
        <v/>
      </c>
      <c r="J2065" s="37" t="str">
        <f t="shared" si="182"/>
        <v>다이나믹솔루션</v>
      </c>
      <c r="K2065" s="37" t="str">
        <f t="shared" si="183"/>
        <v>A290660</v>
      </c>
    </row>
    <row r="2066" spans="1:11" x14ac:dyDescent="0.4">
      <c r="A2066" s="49"/>
      <c r="B2066" s="54" t="s">
        <v>4314</v>
      </c>
      <c r="C2066" s="37" t="s">
        <v>4315</v>
      </c>
      <c r="D2066" s="55" t="s">
        <v>820</v>
      </c>
      <c r="E2066" s="58">
        <v>100.81</v>
      </c>
      <c r="F2066" s="57">
        <v>0.31</v>
      </c>
      <c r="G2066" s="57"/>
      <c r="H2066" s="49"/>
      <c r="I2066" s="49" t="str">
        <f>IF((G2066&gt;$G$8),E2066+ROW()/100000,"")</f>
        <v/>
      </c>
      <c r="J2066" s="37" t="str">
        <f t="shared" si="182"/>
        <v>대보마그네틱</v>
      </c>
      <c r="K2066" s="37" t="str">
        <f t="shared" si="183"/>
        <v>A290670</v>
      </c>
    </row>
    <row r="2067" spans="1:11" x14ac:dyDescent="0.4">
      <c r="A2067" s="49"/>
      <c r="B2067" s="54" t="s">
        <v>4316</v>
      </c>
      <c r="C2067" s="37" t="s">
        <v>4317</v>
      </c>
      <c r="D2067" s="55" t="s">
        <v>820</v>
      </c>
      <c r="E2067" s="58">
        <v>156.74</v>
      </c>
      <c r="F2067" s="57">
        <v>5.6</v>
      </c>
      <c r="G2067" s="57"/>
      <c r="H2067" s="49"/>
      <c r="I2067" s="49" t="str">
        <f>IF((G2067&gt;$G$8),E2067+ROW()/100000,"")</f>
        <v/>
      </c>
      <c r="J2067" s="37" t="str">
        <f t="shared" si="182"/>
        <v>소룩스</v>
      </c>
      <c r="K2067" s="37" t="str">
        <f t="shared" si="183"/>
        <v>A290690</v>
      </c>
    </row>
    <row r="2068" spans="1:11" x14ac:dyDescent="0.4">
      <c r="A2068" s="49"/>
      <c r="B2068" s="54" t="s">
        <v>4318</v>
      </c>
      <c r="C2068" s="37" t="s">
        <v>4319</v>
      </c>
      <c r="D2068" s="55" t="s">
        <v>820</v>
      </c>
      <c r="E2068" s="58">
        <v>80.25</v>
      </c>
      <c r="F2068" s="57">
        <v>7.0000000000000007E-2</v>
      </c>
      <c r="G2068" s="57"/>
      <c r="H2068" s="49"/>
      <c r="I2068" s="49" t="str">
        <f>IF((G2068&gt;$G$8),E2068+ROW()/100000,"")</f>
        <v/>
      </c>
      <c r="J2068" s="37" t="str">
        <f t="shared" si="182"/>
        <v>푸드나무</v>
      </c>
      <c r="K2068" s="37" t="str">
        <f t="shared" si="183"/>
        <v>A290720</v>
      </c>
    </row>
    <row r="2069" spans="1:11" x14ac:dyDescent="0.4">
      <c r="B2069" s="54" t="s">
        <v>771</v>
      </c>
      <c r="C2069" s="37" t="s">
        <v>772</v>
      </c>
      <c r="D2069" s="55" t="s">
        <v>820</v>
      </c>
      <c r="E2069" s="56">
        <v>294.39999999999998</v>
      </c>
      <c r="F2069" s="55">
        <v>3.44</v>
      </c>
      <c r="G2069" s="55"/>
      <c r="J2069" s="37" t="str">
        <f t="shared" si="182"/>
        <v>액트로</v>
      </c>
      <c r="K2069" s="37" t="str">
        <f t="shared" si="183"/>
        <v>A290740</v>
      </c>
    </row>
    <row r="2070" spans="1:11" x14ac:dyDescent="0.4">
      <c r="A2070" s="49"/>
      <c r="B2070" s="54" t="s">
        <v>4320</v>
      </c>
      <c r="C2070" s="37" t="s">
        <v>4321</v>
      </c>
      <c r="D2070" s="55" t="s">
        <v>820</v>
      </c>
      <c r="E2070" s="56">
        <v>30.47</v>
      </c>
      <c r="F2070" s="55">
        <v>0.64</v>
      </c>
      <c r="G2070" s="55"/>
      <c r="I2070" s="49" t="str">
        <f>IF((G2070&gt;$G$8),E2070+ROW()/100000,"")</f>
        <v/>
      </c>
      <c r="J2070" s="37" t="str">
        <f t="shared" si="182"/>
        <v>엔피</v>
      </c>
      <c r="K2070" s="37" t="str">
        <f t="shared" si="183"/>
        <v>A291230</v>
      </c>
    </row>
    <row r="2071" spans="1:11" x14ac:dyDescent="0.4">
      <c r="A2071" s="49"/>
      <c r="B2071" s="54" t="s">
        <v>4322</v>
      </c>
      <c r="C2071" s="37" t="s">
        <v>4323</v>
      </c>
      <c r="D2071" s="55" t="s">
        <v>820</v>
      </c>
      <c r="E2071" s="58">
        <v>51.05</v>
      </c>
      <c r="F2071" s="57">
        <v>0.43</v>
      </c>
      <c r="G2071" s="57"/>
      <c r="H2071" s="49"/>
      <c r="I2071" s="49" t="str">
        <f>IF((G2071&gt;$G$8),E2071+ROW()/100000,"")</f>
        <v/>
      </c>
      <c r="J2071" s="37" t="str">
        <f t="shared" si="182"/>
        <v>압타머사이언스</v>
      </c>
      <c r="K2071" s="37" t="str">
        <f t="shared" si="183"/>
        <v>A291650</v>
      </c>
    </row>
    <row r="2072" spans="1:11" x14ac:dyDescent="0.4">
      <c r="A2072" s="49"/>
      <c r="B2072" s="54" t="s">
        <v>4324</v>
      </c>
      <c r="C2072" s="37" t="s">
        <v>4325</v>
      </c>
      <c r="D2072" s="55" t="s">
        <v>820</v>
      </c>
      <c r="E2072" s="58">
        <v>26.66</v>
      </c>
      <c r="F2072" s="57">
        <v>0.66</v>
      </c>
      <c r="G2072" s="57"/>
      <c r="H2072" s="49"/>
      <c r="I2072" s="49" t="str">
        <f>IF((G2072&gt;$G$8),E2072+ROW()/100000,"")</f>
        <v/>
      </c>
      <c r="J2072" s="37" t="str">
        <f t="shared" si="182"/>
        <v>핀텔</v>
      </c>
      <c r="K2072" s="37" t="str">
        <f t="shared" si="183"/>
        <v>A291810</v>
      </c>
    </row>
    <row r="2073" spans="1:11" x14ac:dyDescent="0.4">
      <c r="A2073" s="49"/>
      <c r="B2073" s="54" t="s">
        <v>4326</v>
      </c>
      <c r="C2073" s="37" t="s">
        <v>4327</v>
      </c>
      <c r="D2073" s="55" t="s">
        <v>805</v>
      </c>
      <c r="E2073" s="56">
        <v>184.48</v>
      </c>
      <c r="F2073" s="55">
        <v>0.44</v>
      </c>
      <c r="G2073" s="55"/>
      <c r="I2073" s="49" t="str">
        <f>IF((G2073&gt;$G$8),E2073+ROW()/100000,"")</f>
        <v/>
      </c>
      <c r="J2073" s="37" t="str">
        <f t="shared" si="182"/>
        <v>하나제약</v>
      </c>
      <c r="K2073" s="37" t="str">
        <f t="shared" si="183"/>
        <v>A293480</v>
      </c>
    </row>
    <row r="2074" spans="1:11" x14ac:dyDescent="0.4">
      <c r="B2074" s="54" t="s">
        <v>4328</v>
      </c>
      <c r="C2074" s="37" t="s">
        <v>4329</v>
      </c>
      <c r="D2074" s="55" t="s">
        <v>820</v>
      </c>
      <c r="E2074" s="56">
        <v>1313.58</v>
      </c>
      <c r="F2074" s="55">
        <v>3.64</v>
      </c>
      <c r="G2074" s="55">
        <v>8</v>
      </c>
      <c r="J2074" s="37" t="str">
        <f t="shared" si="182"/>
        <v>카카오게임즈</v>
      </c>
      <c r="K2074" s="37" t="str">
        <f t="shared" si="183"/>
        <v>A293490</v>
      </c>
    </row>
    <row r="2075" spans="1:11" x14ac:dyDescent="0.4">
      <c r="A2075" s="49"/>
      <c r="B2075" s="54" t="s">
        <v>4330</v>
      </c>
      <c r="C2075" s="37" t="s">
        <v>4331</v>
      </c>
      <c r="D2075" s="55" t="s">
        <v>820</v>
      </c>
      <c r="E2075" s="58">
        <v>201.25</v>
      </c>
      <c r="F2075" s="57">
        <v>5.32</v>
      </c>
      <c r="G2075" s="57"/>
      <c r="H2075" s="49"/>
      <c r="I2075" s="49" t="str">
        <f t="shared" ref="I2075:I2080" si="184">IF((G2075&gt;$G$8),E2075+ROW()/100000,"")</f>
        <v/>
      </c>
      <c r="J2075" s="37" t="str">
        <f t="shared" si="182"/>
        <v>나우IB</v>
      </c>
      <c r="K2075" s="37" t="str">
        <f t="shared" si="183"/>
        <v>A293580</v>
      </c>
    </row>
    <row r="2076" spans="1:11" x14ac:dyDescent="0.4">
      <c r="A2076" s="49"/>
      <c r="B2076" s="54" t="s">
        <v>4332</v>
      </c>
      <c r="C2076" s="37" t="s">
        <v>4333</v>
      </c>
      <c r="D2076" s="55" t="s">
        <v>820</v>
      </c>
      <c r="E2076" s="58">
        <v>209.58</v>
      </c>
      <c r="F2076" s="57">
        <v>2.04</v>
      </c>
      <c r="G2076" s="57"/>
      <c r="H2076" s="49"/>
      <c r="I2076" s="49" t="str">
        <f t="shared" si="184"/>
        <v/>
      </c>
      <c r="J2076" s="37" t="str">
        <f t="shared" si="182"/>
        <v>압타바이오</v>
      </c>
      <c r="K2076" s="37" t="str">
        <f t="shared" si="183"/>
        <v>A293780</v>
      </c>
    </row>
    <row r="2077" spans="1:11" x14ac:dyDescent="0.4">
      <c r="A2077" s="49"/>
      <c r="B2077" s="54" t="s">
        <v>4334</v>
      </c>
      <c r="C2077" s="37" t="s">
        <v>4335</v>
      </c>
      <c r="D2077" s="55" t="s">
        <v>820</v>
      </c>
      <c r="E2077" s="58">
        <v>61.21</v>
      </c>
      <c r="F2077" s="57">
        <v>0</v>
      </c>
      <c r="G2077" s="57"/>
      <c r="H2077" s="49"/>
      <c r="I2077" s="49" t="str">
        <f t="shared" si="184"/>
        <v/>
      </c>
      <c r="J2077" s="37" t="str">
        <f t="shared" si="182"/>
        <v>이오플로우</v>
      </c>
      <c r="K2077" s="37" t="str">
        <f t="shared" si="183"/>
        <v>A294090</v>
      </c>
    </row>
    <row r="2078" spans="1:11" x14ac:dyDescent="0.4">
      <c r="A2078" s="49"/>
      <c r="B2078" s="54" t="s">
        <v>4336</v>
      </c>
      <c r="C2078" s="37" t="s">
        <v>4337</v>
      </c>
      <c r="D2078" s="55" t="s">
        <v>820</v>
      </c>
      <c r="E2078" s="58">
        <v>99.3</v>
      </c>
      <c r="F2078" s="57">
        <v>1.32</v>
      </c>
      <c r="G2078" s="57"/>
      <c r="H2078" s="49"/>
      <c r="I2078" s="49" t="str">
        <f t="shared" si="184"/>
        <v/>
      </c>
      <c r="J2078" s="37" t="str">
        <f t="shared" si="182"/>
        <v>레몬</v>
      </c>
      <c r="K2078" s="37" t="str">
        <f t="shared" si="183"/>
        <v>A294140</v>
      </c>
    </row>
    <row r="2079" spans="1:11" x14ac:dyDescent="0.4">
      <c r="A2079" s="49"/>
      <c r="B2079" s="54" t="s">
        <v>4338</v>
      </c>
      <c r="C2079" s="37" t="s">
        <v>4339</v>
      </c>
      <c r="D2079" s="55" t="s">
        <v>820</v>
      </c>
      <c r="E2079" s="58">
        <v>345.64</v>
      </c>
      <c r="F2079" s="57">
        <v>4.8499999999999996</v>
      </c>
      <c r="G2079" s="57">
        <v>1</v>
      </c>
      <c r="H2079" s="49"/>
      <c r="I2079" s="49">
        <f t="shared" si="184"/>
        <v>345.66078999999996</v>
      </c>
      <c r="J2079" s="37" t="str">
        <f t="shared" si="182"/>
        <v>쿠콘</v>
      </c>
      <c r="K2079" s="37" t="str">
        <f t="shared" si="183"/>
        <v>A294570</v>
      </c>
    </row>
    <row r="2080" spans="1:11" x14ac:dyDescent="0.4">
      <c r="A2080" s="49"/>
      <c r="B2080" s="54" t="s">
        <v>4340</v>
      </c>
      <c r="C2080" s="37" t="s">
        <v>4341</v>
      </c>
      <c r="D2080" s="55" t="s">
        <v>820</v>
      </c>
      <c r="E2080" s="56">
        <v>115.22</v>
      </c>
      <c r="F2080" s="55">
        <v>4.96</v>
      </c>
      <c r="G2080" s="55"/>
      <c r="I2080" s="49" t="str">
        <f t="shared" si="184"/>
        <v/>
      </c>
      <c r="J2080" s="37" t="str">
        <f t="shared" si="182"/>
        <v>서남</v>
      </c>
      <c r="K2080" s="37" t="str">
        <f t="shared" si="183"/>
        <v>A294630</v>
      </c>
    </row>
    <row r="2081" spans="1:11" x14ac:dyDescent="0.4">
      <c r="B2081" s="54" t="s">
        <v>4342</v>
      </c>
      <c r="C2081" s="37" t="s">
        <v>5171</v>
      </c>
      <c r="D2081" s="55" t="s">
        <v>805</v>
      </c>
      <c r="E2081" s="56">
        <v>1525.75</v>
      </c>
      <c r="F2081" s="55">
        <v>5.77</v>
      </c>
      <c r="G2081" s="55">
        <v>16</v>
      </c>
      <c r="J2081" s="37" t="str">
        <f t="shared" si="182"/>
        <v>IPARK현대산업개발</v>
      </c>
      <c r="K2081" s="37" t="str">
        <f t="shared" si="183"/>
        <v>A294870</v>
      </c>
    </row>
    <row r="2082" spans="1:11" x14ac:dyDescent="0.4">
      <c r="B2082" s="54" t="s">
        <v>4343</v>
      </c>
      <c r="C2082" s="37" t="s">
        <v>4344</v>
      </c>
      <c r="D2082" s="55" t="s">
        <v>820</v>
      </c>
      <c r="E2082" s="56">
        <v>892.64</v>
      </c>
      <c r="F2082" s="55">
        <v>19.98</v>
      </c>
      <c r="G2082" s="55">
        <v>3</v>
      </c>
      <c r="J2082" s="37" t="str">
        <f t="shared" si="182"/>
        <v>에이치브이엠</v>
      </c>
      <c r="K2082" s="37" t="str">
        <f t="shared" si="183"/>
        <v>A295310</v>
      </c>
    </row>
    <row r="2083" spans="1:11" x14ac:dyDescent="0.4">
      <c r="A2083" s="49"/>
      <c r="B2083" s="54" t="s">
        <v>4345</v>
      </c>
      <c r="C2083" s="37" t="s">
        <v>5191</v>
      </c>
      <c r="D2083" s="55" t="s">
        <v>820</v>
      </c>
      <c r="E2083" s="58">
        <v>28.84</v>
      </c>
      <c r="F2083" s="57">
        <v>0.06</v>
      </c>
      <c r="G2083" s="57"/>
      <c r="H2083" s="49"/>
      <c r="I2083" s="49" t="str">
        <f t="shared" ref="I2083:I2094" si="185">IF((G2083&gt;$G$8),E2083+ROW()/100000,"")</f>
        <v/>
      </c>
      <c r="J2083" s="37" t="str">
        <f t="shared" si="182"/>
        <v>이노에이엑스</v>
      </c>
      <c r="K2083" s="37" t="str">
        <f t="shared" si="183"/>
        <v>A296640</v>
      </c>
    </row>
    <row r="2084" spans="1:11" x14ac:dyDescent="0.4">
      <c r="A2084" s="49"/>
      <c r="B2084" s="54" t="s">
        <v>426</v>
      </c>
      <c r="C2084" s="37" t="s">
        <v>427</v>
      </c>
      <c r="D2084" s="55" t="s">
        <v>820</v>
      </c>
      <c r="E2084" s="58">
        <v>189.8</v>
      </c>
      <c r="F2084" s="57">
        <v>1.55</v>
      </c>
      <c r="G2084" s="57">
        <v>2</v>
      </c>
      <c r="H2084" s="49"/>
      <c r="I2084" s="49">
        <f t="shared" si="185"/>
        <v>189.82084</v>
      </c>
      <c r="J2084" s="37" t="str">
        <f t="shared" si="182"/>
        <v>씨에스베어링</v>
      </c>
      <c r="K2084" s="37" t="str">
        <f t="shared" si="183"/>
        <v>A297090</v>
      </c>
    </row>
    <row r="2085" spans="1:11" x14ac:dyDescent="0.4">
      <c r="A2085" s="49"/>
      <c r="B2085" s="54" t="s">
        <v>4346</v>
      </c>
      <c r="C2085" s="37" t="s">
        <v>4347</v>
      </c>
      <c r="D2085" s="55" t="s">
        <v>820</v>
      </c>
      <c r="E2085" s="58">
        <v>48.82</v>
      </c>
      <c r="F2085" s="57">
        <v>0.28999999999999998</v>
      </c>
      <c r="G2085" s="57"/>
      <c r="H2085" s="49"/>
      <c r="I2085" s="49" t="str">
        <f t="shared" si="185"/>
        <v/>
      </c>
      <c r="J2085" s="37" t="str">
        <f t="shared" si="182"/>
        <v>알로이스</v>
      </c>
      <c r="K2085" s="37" t="str">
        <f t="shared" si="183"/>
        <v>A297570</v>
      </c>
    </row>
    <row r="2086" spans="1:11" x14ac:dyDescent="0.4">
      <c r="A2086" s="49"/>
      <c r="B2086" s="54" t="s">
        <v>4348</v>
      </c>
      <c r="C2086" s="37" t="s">
        <v>4349</v>
      </c>
      <c r="D2086" s="55" t="s">
        <v>820</v>
      </c>
      <c r="E2086" s="58">
        <v>160.54</v>
      </c>
      <c r="F2086" s="57">
        <v>1.28</v>
      </c>
      <c r="G2086" s="57"/>
      <c r="H2086" s="49"/>
      <c r="I2086" s="49" t="str">
        <f t="shared" si="185"/>
        <v/>
      </c>
      <c r="J2086" s="37" t="str">
        <f t="shared" si="182"/>
        <v>HB솔루션</v>
      </c>
      <c r="K2086" s="37" t="str">
        <f t="shared" si="183"/>
        <v>A297890</v>
      </c>
    </row>
    <row r="2087" spans="1:11" x14ac:dyDescent="0.4">
      <c r="A2087" s="49"/>
      <c r="B2087" s="54" t="s">
        <v>4350</v>
      </c>
      <c r="C2087" s="37" t="s">
        <v>4351</v>
      </c>
      <c r="D2087" s="55" t="s">
        <v>805</v>
      </c>
      <c r="E2087" s="56">
        <v>147.5</v>
      </c>
      <c r="F2087" s="55">
        <v>0</v>
      </c>
      <c r="G2087" s="55"/>
      <c r="I2087" s="49" t="str">
        <f t="shared" si="185"/>
        <v/>
      </c>
      <c r="J2087" s="37" t="str">
        <f t="shared" si="182"/>
        <v>효성화학</v>
      </c>
      <c r="K2087" s="37" t="str">
        <f t="shared" si="183"/>
        <v>A298000</v>
      </c>
    </row>
    <row r="2088" spans="1:11" x14ac:dyDescent="0.4">
      <c r="A2088" s="49"/>
      <c r="B2088" s="54" t="s">
        <v>677</v>
      </c>
      <c r="C2088" s="37" t="s">
        <v>678</v>
      </c>
      <c r="D2088" s="55" t="s">
        <v>805</v>
      </c>
      <c r="E2088" s="56">
        <v>1841.43</v>
      </c>
      <c r="F2088" s="55">
        <v>7.57</v>
      </c>
      <c r="G2088" s="55">
        <v>6</v>
      </c>
      <c r="I2088" s="49">
        <f t="shared" si="185"/>
        <v>1841.4508800000001</v>
      </c>
      <c r="J2088" s="37" t="str">
        <f t="shared" si="182"/>
        <v>효성티앤씨</v>
      </c>
      <c r="K2088" s="37" t="str">
        <f t="shared" si="183"/>
        <v>A298020</v>
      </c>
    </row>
    <row r="2089" spans="1:11" x14ac:dyDescent="0.4">
      <c r="A2089" s="49"/>
      <c r="B2089" s="54" t="s">
        <v>11</v>
      </c>
      <c r="C2089" s="37" t="s">
        <v>12</v>
      </c>
      <c r="D2089" s="55" t="s">
        <v>805</v>
      </c>
      <c r="E2089" s="58">
        <v>26323.200000000001</v>
      </c>
      <c r="F2089" s="57">
        <v>123.02</v>
      </c>
      <c r="G2089" s="57">
        <v>12</v>
      </c>
      <c r="H2089" s="49"/>
      <c r="I2089" s="49">
        <f t="shared" si="185"/>
        <v>26323.220890000001</v>
      </c>
      <c r="J2089" s="37" t="str">
        <f t="shared" si="182"/>
        <v>효성중공업</v>
      </c>
      <c r="K2089" s="37" t="str">
        <f t="shared" si="183"/>
        <v>A298040</v>
      </c>
    </row>
    <row r="2090" spans="1:11" x14ac:dyDescent="0.4">
      <c r="A2090" s="49"/>
      <c r="B2090" s="54" t="s">
        <v>4352</v>
      </c>
      <c r="C2090" s="37" t="s">
        <v>4353</v>
      </c>
      <c r="D2090" s="55" t="s">
        <v>805</v>
      </c>
      <c r="E2090" s="58">
        <v>1124.47</v>
      </c>
      <c r="F2090" s="57">
        <v>3.79</v>
      </c>
      <c r="G2090" s="57">
        <v>6</v>
      </c>
      <c r="H2090" s="49"/>
      <c r="I2090" s="49">
        <f t="shared" si="185"/>
        <v>1124.4909</v>
      </c>
      <c r="J2090" s="37" t="str">
        <f t="shared" si="182"/>
        <v>HS효성첨단소재</v>
      </c>
      <c r="K2090" s="37" t="str">
        <f t="shared" si="183"/>
        <v>A298050</v>
      </c>
    </row>
    <row r="2091" spans="1:11" x14ac:dyDescent="0.4">
      <c r="A2091" s="49"/>
      <c r="B2091" s="54" t="s">
        <v>4354</v>
      </c>
      <c r="C2091" s="37" t="s">
        <v>5198</v>
      </c>
      <c r="D2091" s="55" t="s">
        <v>820</v>
      </c>
      <c r="E2091" s="56">
        <v>40.31</v>
      </c>
      <c r="F2091" s="55">
        <v>0.19</v>
      </c>
      <c r="G2091" s="55"/>
      <c r="I2091" s="49" t="str">
        <f t="shared" si="185"/>
        <v/>
      </c>
      <c r="J2091" s="37" t="str">
        <f t="shared" si="182"/>
        <v>풍전약품</v>
      </c>
      <c r="K2091" s="37" t="str">
        <f t="shared" si="183"/>
        <v>A298060</v>
      </c>
    </row>
    <row r="2092" spans="1:11" x14ac:dyDescent="0.4">
      <c r="A2092" s="49"/>
      <c r="B2092" s="54" t="s">
        <v>41</v>
      </c>
      <c r="C2092" s="37" t="s">
        <v>42</v>
      </c>
      <c r="D2092" s="55" t="s">
        <v>820</v>
      </c>
      <c r="E2092" s="58">
        <v>10727.76</v>
      </c>
      <c r="F2092" s="57">
        <v>187.78</v>
      </c>
      <c r="G2092" s="57">
        <v>7</v>
      </c>
      <c r="H2092" s="49"/>
      <c r="I2092" s="49">
        <f t="shared" si="185"/>
        <v>10727.780920000001</v>
      </c>
      <c r="J2092" s="37" t="str">
        <f t="shared" si="182"/>
        <v>에이비엘바이오</v>
      </c>
      <c r="K2092" s="37" t="str">
        <f t="shared" si="183"/>
        <v>A298380</v>
      </c>
    </row>
    <row r="2093" spans="1:11" x14ac:dyDescent="0.4">
      <c r="A2093" s="49"/>
      <c r="B2093" s="54" t="s">
        <v>4355</v>
      </c>
      <c r="C2093" s="37" t="s">
        <v>4356</v>
      </c>
      <c r="D2093" s="55" t="s">
        <v>820</v>
      </c>
      <c r="E2093" s="58">
        <v>115.31</v>
      </c>
      <c r="F2093" s="57">
        <v>0.31</v>
      </c>
      <c r="G2093" s="57"/>
      <c r="H2093" s="49"/>
      <c r="I2093" s="49" t="str">
        <f t="shared" si="185"/>
        <v/>
      </c>
      <c r="J2093" s="37" t="str">
        <f t="shared" si="182"/>
        <v>더네이쳐홀딩스</v>
      </c>
      <c r="K2093" s="37" t="str">
        <f t="shared" si="183"/>
        <v>A298540</v>
      </c>
    </row>
    <row r="2094" spans="1:11" x14ac:dyDescent="0.4">
      <c r="A2094" s="49"/>
      <c r="B2094" s="54" t="s">
        <v>4357</v>
      </c>
      <c r="C2094" s="37" t="s">
        <v>4358</v>
      </c>
      <c r="D2094" s="55" t="s">
        <v>805</v>
      </c>
      <c r="E2094" s="58">
        <v>217.18</v>
      </c>
      <c r="F2094" s="57">
        <v>1.35</v>
      </c>
      <c r="G2094" s="57"/>
      <c r="H2094" s="49"/>
      <c r="I2094" s="49" t="str">
        <f t="shared" si="185"/>
        <v/>
      </c>
      <c r="J2094" s="37" t="str">
        <f t="shared" si="182"/>
        <v>에어부산</v>
      </c>
      <c r="K2094" s="37" t="str">
        <f t="shared" si="183"/>
        <v>A298690</v>
      </c>
    </row>
    <row r="2095" spans="1:11" x14ac:dyDescent="0.4">
      <c r="A2095" s="49"/>
      <c r="B2095" s="54" t="s">
        <v>4359</v>
      </c>
      <c r="C2095" s="37" t="s">
        <v>4360</v>
      </c>
      <c r="D2095" s="55" t="s">
        <v>820</v>
      </c>
      <c r="E2095" s="56">
        <v>450.66</v>
      </c>
      <c r="F2095" s="55">
        <v>22.7</v>
      </c>
      <c r="G2095" s="55"/>
      <c r="J2095" s="37" t="str">
        <f t="shared" si="182"/>
        <v>슈어소프트테크</v>
      </c>
      <c r="K2095" s="37" t="str">
        <f t="shared" si="183"/>
        <v>A298830</v>
      </c>
    </row>
    <row r="2096" spans="1:11" x14ac:dyDescent="0.4">
      <c r="A2096" s="49"/>
      <c r="B2096" s="54" t="s">
        <v>4361</v>
      </c>
      <c r="C2096" s="37" t="s">
        <v>4362</v>
      </c>
      <c r="D2096" s="55" t="s">
        <v>820</v>
      </c>
      <c r="E2096" s="57">
        <v>253.04</v>
      </c>
      <c r="F2096" s="55">
        <v>3.03</v>
      </c>
      <c r="G2096" s="55">
        <v>1</v>
      </c>
      <c r="I2096" s="49">
        <f t="shared" ref="I2096:I2110" si="186">IF((G2096&gt;$G$8),E2096+ROW()/100000,"")</f>
        <v>253.06095999999999</v>
      </c>
      <c r="J2096" s="37" t="str">
        <f t="shared" si="182"/>
        <v>하나기술</v>
      </c>
      <c r="K2096" s="37" t="str">
        <f t="shared" si="183"/>
        <v>A299030</v>
      </c>
    </row>
    <row r="2097" spans="1:11" x14ac:dyDescent="0.4">
      <c r="A2097" s="49"/>
      <c r="B2097" s="54" t="s">
        <v>649</v>
      </c>
      <c r="C2097" s="37" t="s">
        <v>650</v>
      </c>
      <c r="D2097" s="55" t="s">
        <v>820</v>
      </c>
      <c r="E2097" s="58">
        <v>129.31</v>
      </c>
      <c r="F2097" s="57">
        <v>8.52</v>
      </c>
      <c r="G2097" s="57"/>
      <c r="H2097" s="49"/>
      <c r="I2097" s="49" t="str">
        <f t="shared" si="186"/>
        <v/>
      </c>
      <c r="J2097" s="37" t="str">
        <f t="shared" si="182"/>
        <v>더블유에스아이</v>
      </c>
      <c r="K2097" s="37" t="str">
        <f t="shared" si="183"/>
        <v>A299170</v>
      </c>
    </row>
    <row r="2098" spans="1:11" x14ac:dyDescent="0.4">
      <c r="A2098" s="49"/>
      <c r="B2098" s="54" t="s">
        <v>4363</v>
      </c>
      <c r="C2098" s="37" t="s">
        <v>4364</v>
      </c>
      <c r="D2098" s="55" t="s">
        <v>820</v>
      </c>
      <c r="E2098" s="56">
        <v>82.02</v>
      </c>
      <c r="F2098" s="55">
        <v>1.89</v>
      </c>
      <c r="G2098" s="55"/>
      <c r="I2098" s="49" t="str">
        <f t="shared" si="186"/>
        <v/>
      </c>
      <c r="J2098" s="37" t="str">
        <f t="shared" si="182"/>
        <v>셀리드</v>
      </c>
      <c r="K2098" s="37" t="str">
        <f t="shared" si="183"/>
        <v>A299660</v>
      </c>
    </row>
    <row r="2099" spans="1:11" x14ac:dyDescent="0.4">
      <c r="A2099" s="49"/>
      <c r="B2099" s="54" t="s">
        <v>4365</v>
      </c>
      <c r="C2099" s="37" t="s">
        <v>4366</v>
      </c>
      <c r="D2099" s="55" t="s">
        <v>820</v>
      </c>
      <c r="E2099" s="58">
        <v>76.8</v>
      </c>
      <c r="F2099" s="57">
        <v>0.54</v>
      </c>
      <c r="G2099" s="57"/>
      <c r="H2099" s="49"/>
      <c r="I2099" s="49" t="str">
        <f t="shared" si="186"/>
        <v/>
      </c>
      <c r="J2099" s="37" t="str">
        <f t="shared" si="182"/>
        <v>위지윅스튜디오</v>
      </c>
      <c r="K2099" s="37" t="str">
        <f t="shared" si="183"/>
        <v>A299900</v>
      </c>
    </row>
    <row r="2100" spans="1:11" x14ac:dyDescent="0.4">
      <c r="A2100" s="49"/>
      <c r="B2100" s="54" t="s">
        <v>4367</v>
      </c>
      <c r="C2100" s="37" t="s">
        <v>4368</v>
      </c>
      <c r="D2100" s="55" t="s">
        <v>820</v>
      </c>
      <c r="E2100" s="58">
        <v>212.1</v>
      </c>
      <c r="F2100" s="57">
        <v>4.04</v>
      </c>
      <c r="G2100" s="57"/>
      <c r="H2100" s="49"/>
      <c r="I2100" s="49" t="str">
        <f t="shared" si="186"/>
        <v/>
      </c>
      <c r="J2100" s="37" t="str">
        <f t="shared" si="182"/>
        <v>플리토</v>
      </c>
      <c r="K2100" s="37" t="str">
        <f t="shared" si="183"/>
        <v>A300080</v>
      </c>
    </row>
    <row r="2101" spans="1:11" x14ac:dyDescent="0.4">
      <c r="A2101" s="49"/>
      <c r="B2101" s="54" t="s">
        <v>4369</v>
      </c>
      <c r="C2101" s="37" t="s">
        <v>4370</v>
      </c>
      <c r="D2101" s="55" t="s">
        <v>820</v>
      </c>
      <c r="E2101" s="58">
        <v>36.19</v>
      </c>
      <c r="F2101" s="57">
        <v>0.48</v>
      </c>
      <c r="G2101" s="57"/>
      <c r="H2101" s="49"/>
      <c r="I2101" s="49" t="str">
        <f t="shared" si="186"/>
        <v/>
      </c>
      <c r="J2101" s="37" t="str">
        <f t="shared" si="182"/>
        <v>라온피플</v>
      </c>
      <c r="K2101" s="37" t="str">
        <f t="shared" si="183"/>
        <v>A300120</v>
      </c>
    </row>
    <row r="2102" spans="1:11" x14ac:dyDescent="0.4">
      <c r="A2102" s="49"/>
      <c r="B2102" s="54" t="s">
        <v>4371</v>
      </c>
      <c r="C2102" s="37" t="s">
        <v>4372</v>
      </c>
      <c r="D2102" s="55" t="s">
        <v>805</v>
      </c>
      <c r="E2102" s="58">
        <v>1339.26</v>
      </c>
      <c r="F2102" s="57">
        <v>2.0699999999999998</v>
      </c>
      <c r="G2102" s="57">
        <v>1</v>
      </c>
      <c r="H2102" s="49"/>
      <c r="I2102" s="49">
        <f t="shared" si="186"/>
        <v>1339.2810199999999</v>
      </c>
      <c r="J2102" s="37" t="str">
        <f t="shared" si="182"/>
        <v>한일시멘트</v>
      </c>
      <c r="K2102" s="37" t="str">
        <f t="shared" si="183"/>
        <v>A300720</v>
      </c>
    </row>
    <row r="2103" spans="1:11" x14ac:dyDescent="0.4">
      <c r="A2103" s="49"/>
      <c r="B2103" s="54" t="s">
        <v>4373</v>
      </c>
      <c r="C2103" s="37" t="s">
        <v>4374</v>
      </c>
      <c r="D2103" s="55" t="s">
        <v>820</v>
      </c>
      <c r="E2103" s="58">
        <v>34</v>
      </c>
      <c r="F2103" s="57">
        <v>0.15</v>
      </c>
      <c r="G2103" s="57"/>
      <c r="H2103" s="49"/>
      <c r="I2103" s="49" t="str">
        <f t="shared" si="186"/>
        <v/>
      </c>
      <c r="J2103" s="37" t="str">
        <f t="shared" si="182"/>
        <v>바이브컴퍼니</v>
      </c>
      <c r="K2103" s="37" t="str">
        <f t="shared" si="183"/>
        <v>A301300</v>
      </c>
    </row>
    <row r="2104" spans="1:11" x14ac:dyDescent="0.4">
      <c r="A2104" s="49"/>
      <c r="B2104" s="54" t="s">
        <v>4375</v>
      </c>
      <c r="C2104" s="37" t="s">
        <v>4376</v>
      </c>
      <c r="D2104" s="55" t="s">
        <v>820</v>
      </c>
      <c r="E2104" s="58">
        <v>68.64</v>
      </c>
      <c r="F2104" s="57">
        <v>1.03</v>
      </c>
      <c r="G2104" s="57"/>
      <c r="H2104" s="49"/>
      <c r="I2104" s="49" t="str">
        <f t="shared" si="186"/>
        <v/>
      </c>
      <c r="J2104" s="37" t="str">
        <f t="shared" si="182"/>
        <v>이노메트리</v>
      </c>
      <c r="K2104" s="37" t="str">
        <f t="shared" si="183"/>
        <v>A302430</v>
      </c>
    </row>
    <row r="2105" spans="1:11" x14ac:dyDescent="0.4">
      <c r="A2105" s="49"/>
      <c r="B2105" s="54" t="s">
        <v>4377</v>
      </c>
      <c r="C2105" s="37" t="s">
        <v>4378</v>
      </c>
      <c r="D2105" s="55" t="s">
        <v>805</v>
      </c>
      <c r="E2105" s="58">
        <v>3839.38</v>
      </c>
      <c r="F2105" s="57">
        <v>8.51</v>
      </c>
      <c r="G2105" s="57">
        <v>1</v>
      </c>
      <c r="H2105" s="49"/>
      <c r="I2105" s="49">
        <f t="shared" si="186"/>
        <v>3839.4010499999999</v>
      </c>
      <c r="J2105" s="37" t="str">
        <f t="shared" si="182"/>
        <v>SK바이오사이언스</v>
      </c>
      <c r="K2105" s="37" t="str">
        <f t="shared" si="183"/>
        <v>A302440</v>
      </c>
    </row>
    <row r="2106" spans="1:11" x14ac:dyDescent="0.4">
      <c r="A2106" s="49"/>
      <c r="B2106" s="54" t="s">
        <v>4379</v>
      </c>
      <c r="C2106" s="37" t="s">
        <v>4380</v>
      </c>
      <c r="D2106" s="55" t="s">
        <v>820</v>
      </c>
      <c r="E2106" s="58">
        <v>107.08</v>
      </c>
      <c r="F2106" s="57">
        <v>2.2400000000000002</v>
      </c>
      <c r="G2106" s="57"/>
      <c r="H2106" s="49"/>
      <c r="I2106" s="49" t="str">
        <f t="shared" si="186"/>
        <v/>
      </c>
      <c r="J2106" s="37" t="str">
        <f t="shared" si="182"/>
        <v>리메드</v>
      </c>
      <c r="K2106" s="37" t="str">
        <f t="shared" si="183"/>
        <v>A302550</v>
      </c>
    </row>
    <row r="2107" spans="1:11" x14ac:dyDescent="0.4">
      <c r="A2107" s="49"/>
      <c r="B2107" s="54" t="s">
        <v>4381</v>
      </c>
      <c r="C2107" s="37" t="s">
        <v>4382</v>
      </c>
      <c r="D2107" s="55" t="s">
        <v>820</v>
      </c>
      <c r="E2107" s="59">
        <v>23.32</v>
      </c>
      <c r="F2107" s="57">
        <v>0.25</v>
      </c>
      <c r="G2107" s="57"/>
      <c r="H2107" s="49"/>
      <c r="I2107" s="49" t="str">
        <f t="shared" si="186"/>
        <v/>
      </c>
      <c r="J2107" s="37" t="str">
        <f t="shared" si="182"/>
        <v>지니틱스</v>
      </c>
      <c r="K2107" s="37" t="str">
        <f t="shared" si="183"/>
        <v>A303030</v>
      </c>
    </row>
    <row r="2108" spans="1:11" x14ac:dyDescent="0.4">
      <c r="A2108" s="49"/>
      <c r="B2108" s="54" t="s">
        <v>4383</v>
      </c>
      <c r="C2108" s="37" t="s">
        <v>4384</v>
      </c>
      <c r="D2108" s="55" t="s">
        <v>820</v>
      </c>
      <c r="E2108" s="56">
        <v>69.28</v>
      </c>
      <c r="F2108" s="55">
        <v>0.57999999999999996</v>
      </c>
      <c r="G2108" s="55"/>
      <c r="I2108" s="49" t="str">
        <f t="shared" si="186"/>
        <v/>
      </c>
      <c r="J2108" s="37" t="str">
        <f t="shared" si="182"/>
        <v>프로티아</v>
      </c>
      <c r="K2108" s="37" t="str">
        <f t="shared" si="183"/>
        <v>A303360</v>
      </c>
    </row>
    <row r="2109" spans="1:11" x14ac:dyDescent="0.4">
      <c r="A2109" s="49"/>
      <c r="B2109" s="54" t="s">
        <v>4385</v>
      </c>
      <c r="C2109" s="37" t="s">
        <v>4386</v>
      </c>
      <c r="D2109" s="55" t="s">
        <v>820</v>
      </c>
      <c r="E2109" s="58">
        <v>34.75</v>
      </c>
      <c r="F2109" s="57">
        <v>0.22</v>
      </c>
      <c r="G2109" s="57"/>
      <c r="H2109" s="49"/>
      <c r="I2109" s="49" t="str">
        <f t="shared" si="186"/>
        <v/>
      </c>
      <c r="J2109" s="37" t="str">
        <f t="shared" si="182"/>
        <v>이노뎁</v>
      </c>
      <c r="K2109" s="37" t="str">
        <f t="shared" si="183"/>
        <v>A303530</v>
      </c>
    </row>
    <row r="2110" spans="1:11" x14ac:dyDescent="0.4">
      <c r="A2110" s="49"/>
      <c r="B2110" s="54" t="s">
        <v>4387</v>
      </c>
      <c r="C2110" s="37" t="s">
        <v>4388</v>
      </c>
      <c r="D2110" s="55" t="s">
        <v>820</v>
      </c>
      <c r="E2110" s="56">
        <v>119.62</v>
      </c>
      <c r="F2110" s="55">
        <v>0.66</v>
      </c>
      <c r="G2110" s="55"/>
      <c r="I2110" s="49" t="str">
        <f t="shared" si="186"/>
        <v/>
      </c>
      <c r="J2110" s="37" t="str">
        <f t="shared" si="182"/>
        <v>동국생명과학</v>
      </c>
      <c r="K2110" s="37" t="str">
        <f t="shared" si="183"/>
        <v>A303810</v>
      </c>
    </row>
    <row r="2111" spans="1:11" x14ac:dyDescent="0.4">
      <c r="B2111" s="54" t="s">
        <v>4389</v>
      </c>
      <c r="C2111" s="37" t="s">
        <v>4390</v>
      </c>
      <c r="D2111" s="55" t="s">
        <v>820</v>
      </c>
      <c r="E2111" s="56">
        <v>324.29000000000002</v>
      </c>
      <c r="F2111" s="55">
        <v>7.67</v>
      </c>
      <c r="G2111" s="55"/>
      <c r="J2111" s="37" t="str">
        <f t="shared" si="182"/>
        <v>솔트룩스</v>
      </c>
      <c r="K2111" s="37" t="str">
        <f t="shared" si="183"/>
        <v>A304100</v>
      </c>
    </row>
    <row r="2112" spans="1:11" x14ac:dyDescent="0.4">
      <c r="A2112" s="49"/>
      <c r="B2112" s="54" t="s">
        <v>695</v>
      </c>
      <c r="C2112" s="37" t="s">
        <v>696</v>
      </c>
      <c r="D2112" s="55" t="s">
        <v>820</v>
      </c>
      <c r="E2112" s="58">
        <v>472.49</v>
      </c>
      <c r="F2112" s="57">
        <v>3.97</v>
      </c>
      <c r="G2112" s="57">
        <v>1</v>
      </c>
      <c r="H2112" s="49"/>
      <c r="I2112" s="49">
        <f t="shared" ref="I2112:I2118" si="187">IF((G2112&gt;$G$8),E2112+ROW()/100000,"")</f>
        <v>472.51112000000001</v>
      </c>
      <c r="J2112" s="37" t="str">
        <f t="shared" si="182"/>
        <v>에스바이오메딕스</v>
      </c>
      <c r="K2112" s="37" t="str">
        <f t="shared" si="183"/>
        <v>A304360</v>
      </c>
    </row>
    <row r="2113" spans="1:11" x14ac:dyDescent="0.4">
      <c r="A2113" s="49"/>
      <c r="B2113" s="54" t="s">
        <v>4391</v>
      </c>
      <c r="C2113" s="37" t="s">
        <v>4392</v>
      </c>
      <c r="D2113" s="55" t="s">
        <v>820</v>
      </c>
      <c r="E2113" s="58">
        <v>16.11</v>
      </c>
      <c r="F2113" s="57">
        <v>0.85</v>
      </c>
      <c r="G2113" s="57"/>
      <c r="H2113" s="49"/>
      <c r="I2113" s="49" t="str">
        <f t="shared" si="187"/>
        <v/>
      </c>
      <c r="J2113" s="37" t="str">
        <f t="shared" si="182"/>
        <v>피플바이오</v>
      </c>
      <c r="K2113" s="37" t="str">
        <f t="shared" si="183"/>
        <v>A304840</v>
      </c>
    </row>
    <row r="2114" spans="1:11" x14ac:dyDescent="0.4">
      <c r="A2114" s="49"/>
      <c r="B2114" s="54" t="s">
        <v>4393</v>
      </c>
      <c r="C2114" s="37" t="s">
        <v>4394</v>
      </c>
      <c r="D2114" s="55" t="s">
        <v>820</v>
      </c>
      <c r="E2114" s="58">
        <v>146.71</v>
      </c>
      <c r="F2114" s="57">
        <v>1.62</v>
      </c>
      <c r="G2114" s="57">
        <v>1</v>
      </c>
      <c r="H2114" s="49"/>
      <c r="I2114" s="49">
        <f t="shared" si="187"/>
        <v>146.73114000000001</v>
      </c>
      <c r="J2114" s="37" t="str">
        <f t="shared" si="182"/>
        <v>마이크로디지탈</v>
      </c>
      <c r="K2114" s="37" t="str">
        <f t="shared" si="183"/>
        <v>A305090</v>
      </c>
    </row>
    <row r="2115" spans="1:11" x14ac:dyDescent="0.4">
      <c r="A2115" s="49"/>
      <c r="B2115" s="54" t="s">
        <v>4395</v>
      </c>
      <c r="C2115" s="37" t="s">
        <v>4396</v>
      </c>
      <c r="D2115" s="55" t="s">
        <v>820</v>
      </c>
      <c r="E2115" s="58">
        <v>99.74</v>
      </c>
      <c r="F2115" s="57">
        <v>3.87</v>
      </c>
      <c r="G2115" s="57"/>
      <c r="H2115" s="49"/>
      <c r="I2115" s="49" t="str">
        <f t="shared" si="187"/>
        <v/>
      </c>
      <c r="J2115" s="37" t="str">
        <f t="shared" si="182"/>
        <v>에스제이그룹</v>
      </c>
      <c r="K2115" s="37" t="str">
        <f t="shared" si="183"/>
        <v>A306040</v>
      </c>
    </row>
    <row r="2116" spans="1:11" x14ac:dyDescent="0.4">
      <c r="A2116" s="49"/>
      <c r="B2116" s="54" t="s">
        <v>438</v>
      </c>
      <c r="C2116" s="37" t="s">
        <v>439</v>
      </c>
      <c r="D2116" s="55" t="s">
        <v>805</v>
      </c>
      <c r="E2116" s="58">
        <v>376.66</v>
      </c>
      <c r="F2116" s="57">
        <v>1.05</v>
      </c>
      <c r="G2116" s="57">
        <v>3</v>
      </c>
      <c r="H2116" s="49"/>
      <c r="I2116" s="49">
        <f t="shared" si="187"/>
        <v>376.68116000000003</v>
      </c>
      <c r="J2116" s="37" t="str">
        <f t="shared" si="182"/>
        <v>세아제강</v>
      </c>
      <c r="K2116" s="37" t="str">
        <f t="shared" si="183"/>
        <v>A306200</v>
      </c>
    </row>
    <row r="2117" spans="1:11" x14ac:dyDescent="0.4">
      <c r="A2117" s="49"/>
      <c r="B2117" s="54" t="s">
        <v>4397</v>
      </c>
      <c r="C2117" s="37" t="s">
        <v>4398</v>
      </c>
      <c r="D2117" s="55" t="s">
        <v>820</v>
      </c>
      <c r="E2117" s="58">
        <v>137.97</v>
      </c>
      <c r="F2117" s="57">
        <v>1.69</v>
      </c>
      <c r="G2117" s="57">
        <v>1</v>
      </c>
      <c r="H2117" s="49"/>
      <c r="I2117" s="49">
        <f t="shared" si="187"/>
        <v>137.99117000000001</v>
      </c>
      <c r="J2117" s="37" t="str">
        <f t="shared" si="182"/>
        <v>지아이에스</v>
      </c>
      <c r="K2117" s="37" t="str">
        <f t="shared" si="183"/>
        <v>A306620</v>
      </c>
    </row>
    <row r="2118" spans="1:11" x14ac:dyDescent="0.4">
      <c r="A2118" s="49"/>
      <c r="B2118" s="54" t="s">
        <v>4399</v>
      </c>
      <c r="C2118" s="37" t="s">
        <v>4400</v>
      </c>
      <c r="D2118" s="55" t="s">
        <v>820</v>
      </c>
      <c r="E2118" s="58">
        <v>312.33999999999997</v>
      </c>
      <c r="F2118" s="57">
        <v>6.85</v>
      </c>
      <c r="G2118" s="57"/>
      <c r="H2118" s="49"/>
      <c r="I2118" s="49" t="str">
        <f t="shared" si="187"/>
        <v/>
      </c>
      <c r="J2118" s="37" t="str">
        <f t="shared" si="182"/>
        <v>아이엘</v>
      </c>
      <c r="K2118" s="37" t="str">
        <f t="shared" si="183"/>
        <v>A307180</v>
      </c>
    </row>
    <row r="2119" spans="1:11" x14ac:dyDescent="0.4">
      <c r="A2119" s="49"/>
      <c r="B2119" s="54" t="s">
        <v>4401</v>
      </c>
      <c r="C2119" s="37" t="s">
        <v>4402</v>
      </c>
      <c r="D2119" s="55" t="s">
        <v>820</v>
      </c>
      <c r="E2119" s="56">
        <v>53.49</v>
      </c>
      <c r="F2119" s="55">
        <v>0.28999999999999998</v>
      </c>
      <c r="G2119" s="55"/>
      <c r="J2119" s="37" t="str">
        <f t="shared" si="182"/>
        <v>원바이오젠</v>
      </c>
      <c r="K2119" s="37" t="str">
        <f t="shared" si="183"/>
        <v>A307280</v>
      </c>
    </row>
    <row r="2120" spans="1:11" x14ac:dyDescent="0.4">
      <c r="A2120" s="49"/>
      <c r="B2120" s="54" t="s">
        <v>4403</v>
      </c>
      <c r="C2120" s="37" t="s">
        <v>5202</v>
      </c>
      <c r="D2120" s="55" t="s">
        <v>820</v>
      </c>
      <c r="E2120" s="57">
        <v>207.98</v>
      </c>
      <c r="F2120" s="55">
        <v>0.8</v>
      </c>
      <c r="G2120" s="55"/>
      <c r="I2120" s="49" t="str">
        <f>IF((G2120&gt;$G$8),E2120+ROW()/100000,"")</f>
        <v/>
      </c>
      <c r="J2120" s="37" t="str">
        <f t="shared" si="182"/>
        <v>국전</v>
      </c>
      <c r="K2120" s="37" t="str">
        <f t="shared" si="183"/>
        <v>A307750</v>
      </c>
    </row>
    <row r="2121" spans="1:11" x14ac:dyDescent="0.4">
      <c r="A2121" s="49"/>
      <c r="B2121" s="54" t="s">
        <v>4404</v>
      </c>
      <c r="C2121" s="37" t="s">
        <v>4405</v>
      </c>
      <c r="D2121" s="55" t="s">
        <v>820</v>
      </c>
      <c r="E2121" s="56">
        <v>55.51</v>
      </c>
      <c r="F2121" s="55">
        <v>0.82</v>
      </c>
      <c r="G2121" s="55"/>
      <c r="I2121" s="49" t="str">
        <f>IF((G2121&gt;$G$8),E2121+ROW()/100000,"")</f>
        <v/>
      </c>
      <c r="J2121" s="37" t="str">
        <f t="shared" si="182"/>
        <v>비투엔</v>
      </c>
      <c r="K2121" s="37" t="str">
        <f t="shared" si="183"/>
        <v>A307870</v>
      </c>
    </row>
    <row r="2122" spans="1:11" x14ac:dyDescent="0.4">
      <c r="A2122" s="49"/>
      <c r="B2122" s="54" t="s">
        <v>4406</v>
      </c>
      <c r="C2122" s="37" t="s">
        <v>4407</v>
      </c>
      <c r="D2122" s="55" t="s">
        <v>820</v>
      </c>
      <c r="E2122" s="58">
        <v>113.95</v>
      </c>
      <c r="F2122" s="57">
        <v>2.0099999999999998</v>
      </c>
      <c r="G2122" s="57"/>
      <c r="H2122" s="49"/>
      <c r="I2122" s="49" t="str">
        <f>IF((G2122&gt;$G$8),E2122+ROW()/100000,"")</f>
        <v/>
      </c>
      <c r="J2122" s="37" t="str">
        <f t="shared" si="182"/>
        <v>컴퍼니케이</v>
      </c>
      <c r="K2122" s="37" t="str">
        <f t="shared" si="183"/>
        <v>A307930</v>
      </c>
    </row>
    <row r="2123" spans="1:11" x14ac:dyDescent="0.4">
      <c r="A2123" s="49"/>
      <c r="B2123" s="54" t="s">
        <v>244</v>
      </c>
      <c r="C2123" s="37" t="s">
        <v>245</v>
      </c>
      <c r="D2123" s="55" t="s">
        <v>805</v>
      </c>
      <c r="E2123" s="56">
        <v>13739.41</v>
      </c>
      <c r="F2123" s="55">
        <v>101.76</v>
      </c>
      <c r="G2123" s="55">
        <v>12</v>
      </c>
      <c r="I2123" s="49">
        <f>IF((G2123&gt;$G$8),E2123+ROW()/100000,"")</f>
        <v>13739.43123</v>
      </c>
      <c r="J2123" s="37" t="str">
        <f t="shared" si="182"/>
        <v>현대오토에버</v>
      </c>
      <c r="K2123" s="37" t="str">
        <f t="shared" si="183"/>
        <v>A307950</v>
      </c>
    </row>
    <row r="2124" spans="1:11" x14ac:dyDescent="0.4">
      <c r="A2124" s="49"/>
      <c r="B2124" s="54" t="s">
        <v>4408</v>
      </c>
      <c r="C2124" s="37" t="s">
        <v>4409</v>
      </c>
      <c r="D2124" s="55" t="s">
        <v>820</v>
      </c>
      <c r="E2124" s="56">
        <v>144.11000000000001</v>
      </c>
      <c r="F2124" s="55">
        <v>11.69</v>
      </c>
      <c r="G2124" s="55"/>
      <c r="I2124" s="49" t="str">
        <f>IF((G2124&gt;$G$8),E2124+ROW()/100000,"")</f>
        <v/>
      </c>
      <c r="J2124" s="37" t="str">
        <f t="shared" si="182"/>
        <v>바이젠셀</v>
      </c>
      <c r="K2124" s="37" t="str">
        <f t="shared" si="183"/>
        <v>A308080</v>
      </c>
    </row>
    <row r="2125" spans="1:11" x14ac:dyDescent="0.4">
      <c r="B2125" s="54" t="s">
        <v>4410</v>
      </c>
      <c r="C2125" s="37" t="s">
        <v>4411</v>
      </c>
      <c r="D2125" s="55" t="s">
        <v>820</v>
      </c>
      <c r="E2125" s="56">
        <v>26.95</v>
      </c>
      <c r="F2125" s="55">
        <v>1.92</v>
      </c>
      <c r="G2125" s="55"/>
      <c r="J2125" s="37" t="str">
        <f t="shared" si="182"/>
        <v>형지글로벌</v>
      </c>
      <c r="K2125" s="37" t="str">
        <f t="shared" si="183"/>
        <v>A308100</v>
      </c>
    </row>
    <row r="2126" spans="1:11" x14ac:dyDescent="0.4">
      <c r="B2126" s="54" t="s">
        <v>4412</v>
      </c>
      <c r="C2126" s="37" t="s">
        <v>4413</v>
      </c>
      <c r="D2126" s="55" t="s">
        <v>805</v>
      </c>
      <c r="E2126" s="56">
        <v>50.11</v>
      </c>
      <c r="F2126" s="55">
        <v>0.56999999999999995</v>
      </c>
      <c r="G2126" s="55"/>
      <c r="J2126" s="37" t="str">
        <f t="shared" ref="J2126:J2189" si="188">C2126</f>
        <v>씨티알모빌리티</v>
      </c>
      <c r="K2126" s="37" t="str">
        <f t="shared" ref="K2126:K2189" si="189">B2126</f>
        <v>A308170</v>
      </c>
    </row>
    <row r="2127" spans="1:11" x14ac:dyDescent="0.4">
      <c r="A2127" s="49"/>
      <c r="B2127" s="54" t="s">
        <v>4414</v>
      </c>
      <c r="C2127" s="37" t="s">
        <v>4415</v>
      </c>
      <c r="D2127" s="55" t="s">
        <v>820</v>
      </c>
      <c r="E2127" s="58">
        <v>355.43</v>
      </c>
      <c r="F2127" s="57">
        <v>7</v>
      </c>
      <c r="G2127" s="57"/>
      <c r="H2127" s="49"/>
      <c r="I2127" s="49" t="str">
        <f t="shared" ref="I2127:I2132" si="190">IF((G2127&gt;$G$8),E2127+ROW()/100000,"")</f>
        <v/>
      </c>
      <c r="J2127" s="37" t="str">
        <f t="shared" si="188"/>
        <v>셀비온</v>
      </c>
      <c r="K2127" s="37" t="str">
        <f t="shared" si="189"/>
        <v>A308430</v>
      </c>
    </row>
    <row r="2128" spans="1:11" x14ac:dyDescent="0.4">
      <c r="A2128" s="49"/>
      <c r="B2128" s="54" t="s">
        <v>4416</v>
      </c>
      <c r="C2128" s="37" t="s">
        <v>4417</v>
      </c>
      <c r="D2128" s="55" t="s">
        <v>820</v>
      </c>
      <c r="E2128" s="58">
        <v>475.53</v>
      </c>
      <c r="F2128" s="57">
        <v>9.34</v>
      </c>
      <c r="G2128" s="57"/>
      <c r="H2128" s="49"/>
      <c r="I2128" s="49" t="str">
        <f t="shared" si="190"/>
        <v/>
      </c>
      <c r="J2128" s="37" t="str">
        <f t="shared" si="188"/>
        <v>아이티켐</v>
      </c>
      <c r="K2128" s="37" t="str">
        <f t="shared" si="189"/>
        <v>A309710</v>
      </c>
    </row>
    <row r="2129" spans="1:11" x14ac:dyDescent="0.4">
      <c r="A2129" s="49"/>
      <c r="B2129" s="54" t="s">
        <v>4418</v>
      </c>
      <c r="C2129" s="37" t="s">
        <v>4419</v>
      </c>
      <c r="D2129" s="55" t="s">
        <v>820</v>
      </c>
      <c r="E2129" s="58">
        <v>22.14</v>
      </c>
      <c r="F2129" s="57">
        <v>0.44</v>
      </c>
      <c r="G2129" s="57"/>
      <c r="H2129" s="49"/>
      <c r="I2129" s="49" t="str">
        <f t="shared" si="190"/>
        <v/>
      </c>
      <c r="J2129" s="37" t="str">
        <f t="shared" si="188"/>
        <v>조이웍스앤코</v>
      </c>
      <c r="K2129" s="37" t="str">
        <f t="shared" si="189"/>
        <v>A309930</v>
      </c>
    </row>
    <row r="2130" spans="1:11" x14ac:dyDescent="0.4">
      <c r="A2130" s="49"/>
      <c r="B2130" s="54" t="s">
        <v>4420</v>
      </c>
      <c r="C2130" s="37" t="s">
        <v>4421</v>
      </c>
      <c r="D2130" s="55" t="s">
        <v>820</v>
      </c>
      <c r="E2130" s="58">
        <v>163.22</v>
      </c>
      <c r="F2130" s="57">
        <v>1.66</v>
      </c>
      <c r="G2130" s="57"/>
      <c r="H2130" s="49"/>
      <c r="I2130" s="49" t="str">
        <f t="shared" si="190"/>
        <v/>
      </c>
      <c r="J2130" s="37" t="str">
        <f t="shared" si="188"/>
        <v>LB인베스트먼트</v>
      </c>
      <c r="K2130" s="37" t="str">
        <f t="shared" si="189"/>
        <v>A309960</v>
      </c>
    </row>
    <row r="2131" spans="1:11" x14ac:dyDescent="0.4">
      <c r="A2131" s="49"/>
      <c r="B2131" s="54" t="s">
        <v>4422</v>
      </c>
      <c r="C2131" s="37" t="s">
        <v>4423</v>
      </c>
      <c r="D2131" s="55" t="s">
        <v>820</v>
      </c>
      <c r="E2131" s="58">
        <v>172.14</v>
      </c>
      <c r="F2131" s="57">
        <v>1.33</v>
      </c>
      <c r="G2131" s="57"/>
      <c r="H2131" s="49"/>
      <c r="I2131" s="49" t="str">
        <f t="shared" si="190"/>
        <v/>
      </c>
      <c r="J2131" s="37" t="str">
        <f t="shared" si="188"/>
        <v>애니플러스</v>
      </c>
      <c r="K2131" s="37" t="str">
        <f t="shared" si="189"/>
        <v>A310200</v>
      </c>
    </row>
    <row r="2132" spans="1:11" x14ac:dyDescent="0.4">
      <c r="A2132" s="49"/>
      <c r="B2132" s="54" t="s">
        <v>39</v>
      </c>
      <c r="C2132" s="37" t="s">
        <v>40</v>
      </c>
      <c r="D2132" s="55" t="s">
        <v>820</v>
      </c>
      <c r="E2132" s="58">
        <v>6152.63</v>
      </c>
      <c r="F2132" s="57">
        <v>28.59</v>
      </c>
      <c r="G2132" s="57">
        <v>1</v>
      </c>
      <c r="H2132" s="49"/>
      <c r="I2132" s="49">
        <f t="shared" si="190"/>
        <v>6152.6513199999999</v>
      </c>
      <c r="J2132" s="37" t="str">
        <f t="shared" si="188"/>
        <v>보로노이</v>
      </c>
      <c r="K2132" s="37" t="str">
        <f t="shared" si="189"/>
        <v>A310210</v>
      </c>
    </row>
    <row r="2133" spans="1:11" x14ac:dyDescent="0.4">
      <c r="B2133" s="54" t="s">
        <v>4424</v>
      </c>
      <c r="C2133" s="37" t="s">
        <v>4425</v>
      </c>
      <c r="D2133" s="55" t="s">
        <v>820</v>
      </c>
      <c r="E2133" s="56">
        <v>27.27</v>
      </c>
      <c r="F2133" s="55">
        <v>0.17</v>
      </c>
      <c r="G2133" s="55"/>
      <c r="J2133" s="37" t="str">
        <f t="shared" si="188"/>
        <v>디와이씨</v>
      </c>
      <c r="K2133" s="37" t="str">
        <f t="shared" si="189"/>
        <v>A310870</v>
      </c>
    </row>
    <row r="2134" spans="1:11" x14ac:dyDescent="0.4">
      <c r="B2134" s="54" t="s">
        <v>4426</v>
      </c>
      <c r="C2134" s="37" t="s">
        <v>4427</v>
      </c>
      <c r="D2134" s="55" t="s">
        <v>820</v>
      </c>
      <c r="E2134" s="56">
        <v>92.97</v>
      </c>
      <c r="F2134" s="55">
        <v>0.48</v>
      </c>
      <c r="G2134" s="55"/>
      <c r="J2134" s="37" t="str">
        <f t="shared" si="188"/>
        <v>지오엘리먼트</v>
      </c>
      <c r="K2134" s="37" t="str">
        <f t="shared" si="189"/>
        <v>A311320</v>
      </c>
    </row>
    <row r="2135" spans="1:11" x14ac:dyDescent="0.4">
      <c r="A2135" s="49"/>
      <c r="B2135" s="54" t="s">
        <v>4428</v>
      </c>
      <c r="C2135" s="37" t="s">
        <v>4429</v>
      </c>
      <c r="D2135" s="55" t="s">
        <v>820</v>
      </c>
      <c r="E2135" s="58">
        <v>64.41</v>
      </c>
      <c r="F2135" s="57">
        <v>1.25</v>
      </c>
      <c r="G2135" s="57"/>
      <c r="H2135" s="49"/>
      <c r="I2135" s="49" t="str">
        <f t="shared" ref="I2135:I2150" si="191">IF((G2135&gt;$G$8),E2135+ROW()/100000,"")</f>
        <v/>
      </c>
      <c r="J2135" s="37" t="str">
        <f t="shared" si="188"/>
        <v>네오크레마</v>
      </c>
      <c r="K2135" s="37" t="str">
        <f t="shared" si="189"/>
        <v>A311390</v>
      </c>
    </row>
    <row r="2136" spans="1:11" x14ac:dyDescent="0.4">
      <c r="A2136" s="49"/>
      <c r="B2136" s="54" t="s">
        <v>4430</v>
      </c>
      <c r="C2136" s="37" t="s">
        <v>4431</v>
      </c>
      <c r="D2136" s="55" t="s">
        <v>820</v>
      </c>
      <c r="E2136" s="56">
        <v>112.49</v>
      </c>
      <c r="F2136" s="55">
        <v>0.21</v>
      </c>
      <c r="G2136" s="55"/>
      <c r="I2136" s="49" t="str">
        <f t="shared" si="191"/>
        <v/>
      </c>
      <c r="J2136" s="37" t="str">
        <f t="shared" si="188"/>
        <v>CJ 바이오사이언스</v>
      </c>
      <c r="K2136" s="37" t="str">
        <f t="shared" si="189"/>
        <v>A311690</v>
      </c>
    </row>
    <row r="2137" spans="1:11" x14ac:dyDescent="0.4">
      <c r="A2137" s="49"/>
      <c r="B2137" s="54" t="s">
        <v>4432</v>
      </c>
      <c r="C2137" s="37" t="s">
        <v>4433</v>
      </c>
      <c r="D2137" s="55" t="s">
        <v>820</v>
      </c>
      <c r="E2137" s="56">
        <v>22.2</v>
      </c>
      <c r="F2137" s="55">
        <v>0.11</v>
      </c>
      <c r="G2137" s="55"/>
      <c r="I2137" s="49" t="str">
        <f t="shared" si="191"/>
        <v/>
      </c>
      <c r="J2137" s="37" t="str">
        <f t="shared" si="188"/>
        <v>에이에프더블류</v>
      </c>
      <c r="K2137" s="37" t="str">
        <f t="shared" si="189"/>
        <v>A312610</v>
      </c>
    </row>
    <row r="2138" spans="1:11" x14ac:dyDescent="0.4">
      <c r="A2138" s="49"/>
      <c r="B2138" s="54" t="s">
        <v>4434</v>
      </c>
      <c r="C2138" s="37" t="s">
        <v>4435</v>
      </c>
      <c r="D2138" s="55" t="s">
        <v>820</v>
      </c>
      <c r="E2138" s="58">
        <v>6.01</v>
      </c>
      <c r="F2138" s="57">
        <v>0.67</v>
      </c>
      <c r="G2138" s="57"/>
      <c r="H2138" s="49"/>
      <c r="I2138" s="49" t="str">
        <f t="shared" si="191"/>
        <v/>
      </c>
      <c r="J2138" s="37" t="str">
        <f t="shared" si="188"/>
        <v>캐리</v>
      </c>
      <c r="K2138" s="37" t="str">
        <f t="shared" si="189"/>
        <v>A313760</v>
      </c>
    </row>
    <row r="2139" spans="1:11" x14ac:dyDescent="0.4">
      <c r="A2139" s="49"/>
      <c r="B2139" s="54" t="s">
        <v>4436</v>
      </c>
      <c r="C2139" s="37" t="s">
        <v>4437</v>
      </c>
      <c r="D2139" s="55" t="s">
        <v>820</v>
      </c>
      <c r="E2139" s="58">
        <v>221.92</v>
      </c>
      <c r="F2139" s="57">
        <v>4.7</v>
      </c>
      <c r="G2139" s="57"/>
      <c r="H2139" s="49"/>
      <c r="I2139" s="49" t="str">
        <f t="shared" si="191"/>
        <v/>
      </c>
      <c r="J2139" s="37" t="str">
        <f t="shared" si="188"/>
        <v>지놈앤컴퍼니</v>
      </c>
      <c r="K2139" s="37" t="str">
        <f t="shared" si="189"/>
        <v>A314130</v>
      </c>
    </row>
    <row r="2140" spans="1:11" x14ac:dyDescent="0.4">
      <c r="A2140" s="49"/>
      <c r="B2140" s="54" t="s">
        <v>4438</v>
      </c>
      <c r="C2140" s="37" t="s">
        <v>4439</v>
      </c>
      <c r="D2140" s="55" t="s">
        <v>820</v>
      </c>
      <c r="E2140" s="58">
        <v>62.14</v>
      </c>
      <c r="F2140" s="57">
        <v>0.94</v>
      </c>
      <c r="G2140" s="57"/>
      <c r="H2140" s="49"/>
      <c r="I2140" s="49" t="str">
        <f t="shared" si="191"/>
        <v/>
      </c>
      <c r="J2140" s="37" t="str">
        <f t="shared" si="188"/>
        <v>알피바이오</v>
      </c>
      <c r="K2140" s="37" t="str">
        <f t="shared" si="189"/>
        <v>A314140</v>
      </c>
    </row>
    <row r="2141" spans="1:11" x14ac:dyDescent="0.4">
      <c r="A2141" s="49"/>
      <c r="B2141" s="54" t="s">
        <v>4440</v>
      </c>
      <c r="C2141" s="37" t="s">
        <v>4441</v>
      </c>
      <c r="D2141" s="55" t="s">
        <v>820</v>
      </c>
      <c r="E2141" s="58">
        <v>406.88</v>
      </c>
      <c r="F2141" s="57">
        <v>2.08</v>
      </c>
      <c r="G2141" s="57">
        <v>1</v>
      </c>
      <c r="H2141" s="49"/>
      <c r="I2141" s="49">
        <f t="shared" si="191"/>
        <v>406.90141</v>
      </c>
      <c r="J2141" s="37" t="str">
        <f t="shared" si="188"/>
        <v>바이오다인</v>
      </c>
      <c r="K2141" s="37" t="str">
        <f t="shared" si="189"/>
        <v>A314930</v>
      </c>
    </row>
    <row r="2142" spans="1:11" x14ac:dyDescent="0.4">
      <c r="A2142" s="49"/>
      <c r="B2142" s="54" t="s">
        <v>4442</v>
      </c>
      <c r="C2142" s="37" t="s">
        <v>4443</v>
      </c>
      <c r="D2142" s="55" t="s">
        <v>820</v>
      </c>
      <c r="E2142" s="58">
        <v>107.36</v>
      </c>
      <c r="F2142" s="57">
        <v>1.1100000000000001</v>
      </c>
      <c r="G2142" s="57"/>
      <c r="H2142" s="49"/>
      <c r="I2142" s="49" t="str">
        <f t="shared" si="191"/>
        <v/>
      </c>
      <c r="J2142" s="37" t="str">
        <f t="shared" si="188"/>
        <v>딥노이드</v>
      </c>
      <c r="K2142" s="37" t="str">
        <f t="shared" si="189"/>
        <v>A315640</v>
      </c>
    </row>
    <row r="2143" spans="1:11" x14ac:dyDescent="0.4">
      <c r="A2143" s="49"/>
      <c r="B2143" s="54" t="s">
        <v>129</v>
      </c>
      <c r="C2143" s="37" t="s">
        <v>130</v>
      </c>
      <c r="D2143" s="55" t="s">
        <v>805</v>
      </c>
      <c r="E2143" s="58">
        <v>26426.75</v>
      </c>
      <c r="F2143" s="57">
        <v>58.34</v>
      </c>
      <c r="G2143" s="57">
        <v>18</v>
      </c>
      <c r="H2143" s="49"/>
      <c r="I2143" s="49">
        <f t="shared" si="191"/>
        <v>26426.771430000001</v>
      </c>
      <c r="J2143" s="37" t="str">
        <f t="shared" si="188"/>
        <v>우리금융지주</v>
      </c>
      <c r="K2143" s="37" t="str">
        <f t="shared" si="189"/>
        <v>A316140</v>
      </c>
    </row>
    <row r="2144" spans="1:11" x14ac:dyDescent="0.4">
      <c r="A2144" s="49"/>
      <c r="B2144" s="54" t="s">
        <v>4444</v>
      </c>
      <c r="C2144" s="37" t="s">
        <v>4445</v>
      </c>
      <c r="D2144" s="55" t="s">
        <v>820</v>
      </c>
      <c r="E2144" s="58">
        <v>30.75</v>
      </c>
      <c r="F2144" s="57">
        <v>3.78</v>
      </c>
      <c r="G2144" s="57"/>
      <c r="H2144" s="49"/>
      <c r="I2144" s="49" t="str">
        <f t="shared" si="191"/>
        <v/>
      </c>
      <c r="J2144" s="37" t="str">
        <f t="shared" si="188"/>
        <v>라닉스</v>
      </c>
      <c r="K2144" s="37" t="str">
        <f t="shared" si="189"/>
        <v>A317120</v>
      </c>
    </row>
    <row r="2145" spans="1:11" x14ac:dyDescent="0.4">
      <c r="A2145" s="49"/>
      <c r="B2145" s="54" t="s">
        <v>4446</v>
      </c>
      <c r="C2145" s="37" t="s">
        <v>4447</v>
      </c>
      <c r="D2145" s="55" t="s">
        <v>820</v>
      </c>
      <c r="E2145" s="59">
        <v>52.24</v>
      </c>
      <c r="F2145" s="57">
        <v>2.79</v>
      </c>
      <c r="G2145" s="57"/>
      <c r="H2145" s="49"/>
      <c r="I2145" s="49" t="str">
        <f t="shared" si="191"/>
        <v/>
      </c>
      <c r="J2145" s="37" t="str">
        <f t="shared" si="188"/>
        <v>TS트릴리온</v>
      </c>
      <c r="K2145" s="37" t="str">
        <f t="shared" si="189"/>
        <v>A317240</v>
      </c>
    </row>
    <row r="2146" spans="1:11" x14ac:dyDescent="0.4">
      <c r="A2146" s="49"/>
      <c r="B2146" s="54" t="s">
        <v>4448</v>
      </c>
      <c r="C2146" s="37" t="s">
        <v>4449</v>
      </c>
      <c r="D2146" s="55" t="s">
        <v>820</v>
      </c>
      <c r="E2146" s="58">
        <v>389.67</v>
      </c>
      <c r="F2146" s="57">
        <v>3.63</v>
      </c>
      <c r="G2146" s="57"/>
      <c r="H2146" s="49"/>
      <c r="I2146" s="49" t="str">
        <f t="shared" si="191"/>
        <v/>
      </c>
      <c r="J2146" s="37" t="str">
        <f t="shared" si="188"/>
        <v>덕산테코피아</v>
      </c>
      <c r="K2146" s="37" t="str">
        <f t="shared" si="189"/>
        <v>A317330</v>
      </c>
    </row>
    <row r="2147" spans="1:11" x14ac:dyDescent="0.4">
      <c r="A2147" s="49"/>
      <c r="B2147" s="54" t="s">
        <v>4450</v>
      </c>
      <c r="C2147" s="37" t="s">
        <v>4451</v>
      </c>
      <c r="D2147" s="55" t="s">
        <v>805</v>
      </c>
      <c r="E2147" s="58">
        <v>176.46</v>
      </c>
      <c r="F2147" s="57">
        <v>0.74</v>
      </c>
      <c r="G2147" s="57">
        <v>1</v>
      </c>
      <c r="H2147" s="49"/>
      <c r="I2147" s="49">
        <f t="shared" si="191"/>
        <v>176.48147</v>
      </c>
      <c r="J2147" s="37" t="str">
        <f t="shared" si="188"/>
        <v>자이에스앤디</v>
      </c>
      <c r="K2147" s="37" t="str">
        <f t="shared" si="189"/>
        <v>A317400</v>
      </c>
    </row>
    <row r="2148" spans="1:11" x14ac:dyDescent="0.4">
      <c r="A2148" s="49"/>
      <c r="B2148" s="54" t="s">
        <v>4452</v>
      </c>
      <c r="C2148" s="37" t="s">
        <v>4453</v>
      </c>
      <c r="D2148" s="55" t="s">
        <v>805</v>
      </c>
      <c r="E2148" s="58">
        <v>966.52</v>
      </c>
      <c r="F2148" s="57">
        <v>27.1</v>
      </c>
      <c r="G2148" s="57"/>
      <c r="H2148" s="49"/>
      <c r="I2148" s="49" t="str">
        <f t="shared" si="191"/>
        <v/>
      </c>
      <c r="J2148" s="37" t="str">
        <f t="shared" si="188"/>
        <v>명인제약</v>
      </c>
      <c r="K2148" s="37" t="str">
        <f t="shared" si="189"/>
        <v>A317450</v>
      </c>
    </row>
    <row r="2149" spans="1:11" x14ac:dyDescent="0.4">
      <c r="A2149" s="49"/>
      <c r="B2149" s="54" t="s">
        <v>4454</v>
      </c>
      <c r="C2149" s="37" t="s">
        <v>5199</v>
      </c>
      <c r="D2149" s="55" t="s">
        <v>820</v>
      </c>
      <c r="E2149" s="58">
        <v>76.02</v>
      </c>
      <c r="F2149" s="57">
        <v>0.22</v>
      </c>
      <c r="G2149" s="57"/>
      <c r="H2149" s="49"/>
      <c r="I2149" s="49" t="str">
        <f t="shared" si="191"/>
        <v/>
      </c>
      <c r="J2149" s="37" t="str">
        <f t="shared" si="188"/>
        <v>에피소드컴퍼니</v>
      </c>
      <c r="K2149" s="37" t="str">
        <f t="shared" si="189"/>
        <v>A317530</v>
      </c>
    </row>
    <row r="2150" spans="1:11" x14ac:dyDescent="0.4">
      <c r="A2150" s="49"/>
      <c r="B2150" s="54" t="s">
        <v>4455</v>
      </c>
      <c r="C2150" s="37" t="s">
        <v>4456</v>
      </c>
      <c r="D2150" s="55" t="s">
        <v>820</v>
      </c>
      <c r="E2150" s="56">
        <v>80.540000000000006</v>
      </c>
      <c r="F2150" s="55">
        <v>2.06</v>
      </c>
      <c r="G2150" s="55"/>
      <c r="I2150" s="49" t="str">
        <f t="shared" si="191"/>
        <v/>
      </c>
      <c r="J2150" s="37" t="str">
        <f t="shared" si="188"/>
        <v>퀀타매트릭스</v>
      </c>
      <c r="K2150" s="37" t="str">
        <f t="shared" si="189"/>
        <v>A317690</v>
      </c>
    </row>
    <row r="2151" spans="1:11" x14ac:dyDescent="0.4">
      <c r="B2151" s="54" t="s">
        <v>4457</v>
      </c>
      <c r="C2151" s="37" t="s">
        <v>4458</v>
      </c>
      <c r="D2151" s="55" t="s">
        <v>820</v>
      </c>
      <c r="E2151" s="56">
        <v>126.94</v>
      </c>
      <c r="F2151" s="55">
        <v>3.56</v>
      </c>
      <c r="G2151" s="55"/>
      <c r="J2151" s="37" t="str">
        <f t="shared" si="188"/>
        <v>엑스페릭스</v>
      </c>
      <c r="K2151" s="37" t="str">
        <f t="shared" si="189"/>
        <v>A317770</v>
      </c>
    </row>
    <row r="2152" spans="1:11" x14ac:dyDescent="0.4">
      <c r="A2152" s="49"/>
      <c r="B2152" s="54" t="s">
        <v>4459</v>
      </c>
      <c r="C2152" s="37" t="s">
        <v>4460</v>
      </c>
      <c r="D2152" s="55" t="s">
        <v>820</v>
      </c>
      <c r="E2152" s="58">
        <v>132.52000000000001</v>
      </c>
      <c r="F2152" s="57">
        <v>19.34</v>
      </c>
      <c r="G2152" s="57"/>
      <c r="H2152" s="49"/>
      <c r="I2152" s="49" t="str">
        <f>IF((G2152&gt;$G$8),E2152+ROW()/100000,"")</f>
        <v/>
      </c>
      <c r="J2152" s="37" t="str">
        <f t="shared" si="188"/>
        <v>에스피시스템스</v>
      </c>
      <c r="K2152" s="37" t="str">
        <f t="shared" si="189"/>
        <v>A317830</v>
      </c>
    </row>
    <row r="2153" spans="1:11" x14ac:dyDescent="0.4">
      <c r="B2153" s="54" t="s">
        <v>4461</v>
      </c>
      <c r="C2153" s="37" t="s">
        <v>4462</v>
      </c>
      <c r="D2153" s="55" t="s">
        <v>820</v>
      </c>
      <c r="E2153" s="56">
        <v>72.92</v>
      </c>
      <c r="F2153" s="55">
        <v>4.01</v>
      </c>
      <c r="G2153" s="55"/>
      <c r="J2153" s="37" t="str">
        <f t="shared" si="188"/>
        <v>대모</v>
      </c>
      <c r="K2153" s="37" t="str">
        <f t="shared" si="189"/>
        <v>A317850</v>
      </c>
    </row>
    <row r="2154" spans="1:11" x14ac:dyDescent="0.4">
      <c r="B2154" s="54" t="s">
        <v>4463</v>
      </c>
      <c r="C2154" s="37" t="s">
        <v>4464</v>
      </c>
      <c r="D2154" s="55" t="s">
        <v>820</v>
      </c>
      <c r="E2154" s="56">
        <v>82.05</v>
      </c>
      <c r="F2154" s="55">
        <v>1.45</v>
      </c>
      <c r="G2154" s="55"/>
      <c r="J2154" s="37" t="str">
        <f t="shared" si="188"/>
        <v>엔바이오니아</v>
      </c>
      <c r="K2154" s="37" t="str">
        <f t="shared" si="189"/>
        <v>A317870</v>
      </c>
    </row>
    <row r="2155" spans="1:11" x14ac:dyDescent="0.4">
      <c r="A2155" s="49"/>
      <c r="B2155" s="54" t="s">
        <v>4465</v>
      </c>
      <c r="C2155" s="37" t="s">
        <v>4466</v>
      </c>
      <c r="D2155" s="55" t="s">
        <v>820</v>
      </c>
      <c r="E2155" s="56">
        <v>37.450000000000003</v>
      </c>
      <c r="F2155" s="55">
        <v>0.48</v>
      </c>
      <c r="G2155" s="55"/>
      <c r="I2155" s="49" t="str">
        <f t="shared" ref="I2155:I2179" si="192">IF((G2155&gt;$G$8),E2155+ROW()/100000,"")</f>
        <v/>
      </c>
      <c r="J2155" s="37" t="str">
        <f t="shared" si="188"/>
        <v>KBG</v>
      </c>
      <c r="K2155" s="37" t="str">
        <f t="shared" si="189"/>
        <v>A318000</v>
      </c>
    </row>
    <row r="2156" spans="1:11" x14ac:dyDescent="0.4">
      <c r="A2156" s="49"/>
      <c r="B2156" s="54" t="s">
        <v>4467</v>
      </c>
      <c r="C2156" s="37" t="s">
        <v>4468</v>
      </c>
      <c r="D2156" s="55" t="s">
        <v>820</v>
      </c>
      <c r="E2156" s="58">
        <v>28.55</v>
      </c>
      <c r="F2156" s="57">
        <v>0.14000000000000001</v>
      </c>
      <c r="G2156" s="57"/>
      <c r="H2156" s="49"/>
      <c r="I2156" s="49" t="str">
        <f t="shared" si="192"/>
        <v/>
      </c>
      <c r="J2156" s="37" t="str">
        <f t="shared" si="188"/>
        <v>팜스빌</v>
      </c>
      <c r="K2156" s="37" t="str">
        <f t="shared" si="189"/>
        <v>A318010</v>
      </c>
    </row>
    <row r="2157" spans="1:11" x14ac:dyDescent="0.4">
      <c r="A2157" s="49"/>
      <c r="B2157" s="54" t="s">
        <v>4469</v>
      </c>
      <c r="C2157" s="37" t="s">
        <v>4470</v>
      </c>
      <c r="D2157" s="55" t="s">
        <v>820</v>
      </c>
      <c r="E2157" s="58">
        <v>45.88</v>
      </c>
      <c r="F2157" s="57">
        <v>0.28999999999999998</v>
      </c>
      <c r="G2157" s="57"/>
      <c r="H2157" s="49"/>
      <c r="I2157" s="49" t="str">
        <f t="shared" si="192"/>
        <v/>
      </c>
      <c r="J2157" s="37" t="str">
        <f t="shared" si="188"/>
        <v>포인트모바일</v>
      </c>
      <c r="K2157" s="37" t="str">
        <f t="shared" si="189"/>
        <v>A318020</v>
      </c>
    </row>
    <row r="2158" spans="1:11" x14ac:dyDescent="0.4">
      <c r="A2158" s="49"/>
      <c r="B2158" s="54" t="s">
        <v>685</v>
      </c>
      <c r="C2158" s="37" t="s">
        <v>686</v>
      </c>
      <c r="D2158" s="55" t="s">
        <v>820</v>
      </c>
      <c r="E2158" s="58">
        <v>561.95000000000005</v>
      </c>
      <c r="F2158" s="57">
        <v>18</v>
      </c>
      <c r="G2158" s="57">
        <v>4</v>
      </c>
      <c r="H2158" s="49"/>
      <c r="I2158" s="49">
        <f t="shared" si="192"/>
        <v>561.97158000000002</v>
      </c>
      <c r="J2158" s="37" t="str">
        <f t="shared" si="188"/>
        <v>그래피</v>
      </c>
      <c r="K2158" s="37" t="str">
        <f t="shared" si="189"/>
        <v>A318060</v>
      </c>
    </row>
    <row r="2159" spans="1:11" x14ac:dyDescent="0.4">
      <c r="A2159" s="49"/>
      <c r="B2159" s="54" t="s">
        <v>4471</v>
      </c>
      <c r="C2159" s="37" t="s">
        <v>4472</v>
      </c>
      <c r="D2159" s="55" t="s">
        <v>820</v>
      </c>
      <c r="E2159" s="58">
        <v>64.36</v>
      </c>
      <c r="F2159" s="57">
        <v>0.82</v>
      </c>
      <c r="G2159" s="57">
        <v>1</v>
      </c>
      <c r="H2159" s="49"/>
      <c r="I2159" s="49">
        <f t="shared" si="192"/>
        <v>64.381590000000003</v>
      </c>
      <c r="J2159" s="37" t="str">
        <f t="shared" si="188"/>
        <v>셀바이오휴먼텍</v>
      </c>
      <c r="K2159" s="37" t="str">
        <f t="shared" si="189"/>
        <v>A318160</v>
      </c>
    </row>
    <row r="2160" spans="1:11" x14ac:dyDescent="0.4">
      <c r="A2160" s="49"/>
      <c r="B2160" s="54" t="s">
        <v>4473</v>
      </c>
      <c r="C2160" s="37" t="s">
        <v>4474</v>
      </c>
      <c r="D2160" s="55" t="s">
        <v>820</v>
      </c>
      <c r="E2160" s="58">
        <v>40.89</v>
      </c>
      <c r="F2160" s="57">
        <v>0.14000000000000001</v>
      </c>
      <c r="G2160" s="57"/>
      <c r="H2160" s="49"/>
      <c r="I2160" s="49" t="str">
        <f t="shared" si="192"/>
        <v/>
      </c>
      <c r="J2160" s="37" t="str">
        <f t="shared" si="188"/>
        <v>비비씨</v>
      </c>
      <c r="K2160" s="37" t="str">
        <f t="shared" si="189"/>
        <v>A318410</v>
      </c>
    </row>
    <row r="2161" spans="1:11" x14ac:dyDescent="0.4">
      <c r="A2161" s="49"/>
      <c r="B2161" s="54" t="s">
        <v>4475</v>
      </c>
      <c r="C2161" s="37" t="s">
        <v>4476</v>
      </c>
      <c r="D2161" s="55" t="s">
        <v>820</v>
      </c>
      <c r="E2161" s="56">
        <v>3853.61</v>
      </c>
      <c r="F2161" s="55">
        <v>152.22999999999999</v>
      </c>
      <c r="G2161" s="55"/>
      <c r="I2161" s="49" t="str">
        <f t="shared" si="192"/>
        <v/>
      </c>
      <c r="J2161" s="37" t="str">
        <f t="shared" si="188"/>
        <v>현대무벡스</v>
      </c>
      <c r="K2161" s="37" t="str">
        <f t="shared" si="189"/>
        <v>A319400</v>
      </c>
    </row>
    <row r="2162" spans="1:11" x14ac:dyDescent="0.4">
      <c r="A2162" s="49"/>
      <c r="B2162" s="54" t="s">
        <v>471</v>
      </c>
      <c r="C2162" s="37" t="s">
        <v>472</v>
      </c>
      <c r="D2162" s="55" t="s">
        <v>820</v>
      </c>
      <c r="E2162" s="58">
        <v>1856.77</v>
      </c>
      <c r="F2162" s="57">
        <v>19.16</v>
      </c>
      <c r="G2162" s="57">
        <v>4</v>
      </c>
      <c r="H2162" s="49"/>
      <c r="I2162" s="49">
        <f t="shared" si="192"/>
        <v>1856.79162</v>
      </c>
      <c r="J2162" s="37" t="str">
        <f t="shared" si="188"/>
        <v>피에스케이</v>
      </c>
      <c r="K2162" s="37" t="str">
        <f t="shared" si="189"/>
        <v>A319660</v>
      </c>
    </row>
    <row r="2163" spans="1:11" x14ac:dyDescent="0.4">
      <c r="A2163" s="49"/>
      <c r="B2163" s="54" t="s">
        <v>4477</v>
      </c>
      <c r="C2163" s="37" t="s">
        <v>4478</v>
      </c>
      <c r="D2163" s="55" t="s">
        <v>820</v>
      </c>
      <c r="E2163" s="58">
        <v>62.5</v>
      </c>
      <c r="F2163" s="57">
        <v>0.7</v>
      </c>
      <c r="G2163" s="57"/>
      <c r="H2163" s="49"/>
      <c r="I2163" s="49" t="str">
        <f t="shared" si="192"/>
        <v/>
      </c>
      <c r="J2163" s="37" t="str">
        <f t="shared" si="188"/>
        <v>한울반도체</v>
      </c>
      <c r="K2163" s="37" t="str">
        <f t="shared" si="189"/>
        <v>A320000</v>
      </c>
    </row>
    <row r="2164" spans="1:11" x14ac:dyDescent="0.4">
      <c r="A2164" s="49"/>
      <c r="B2164" s="54" t="s">
        <v>4479</v>
      </c>
      <c r="C2164" s="37" t="s">
        <v>4480</v>
      </c>
      <c r="D2164" s="55" t="s">
        <v>820</v>
      </c>
      <c r="E2164" s="58">
        <v>48.72</v>
      </c>
      <c r="F2164" s="57">
        <v>0.43</v>
      </c>
      <c r="G2164" s="57"/>
      <c r="H2164" s="49"/>
      <c r="I2164" s="49" t="str">
        <f t="shared" si="192"/>
        <v/>
      </c>
      <c r="J2164" s="37" t="str">
        <f t="shared" si="188"/>
        <v>프로이천</v>
      </c>
      <c r="K2164" s="37" t="str">
        <f t="shared" si="189"/>
        <v>A321260</v>
      </c>
    </row>
    <row r="2165" spans="1:11" x14ac:dyDescent="0.4">
      <c r="A2165" s="49"/>
      <c r="B2165" s="54" t="s">
        <v>4481</v>
      </c>
      <c r="C2165" s="37" t="s">
        <v>4482</v>
      </c>
      <c r="D2165" s="55" t="s">
        <v>820</v>
      </c>
      <c r="E2165" s="58">
        <v>109.75</v>
      </c>
      <c r="F2165" s="57">
        <v>7.01</v>
      </c>
      <c r="G2165" s="57"/>
      <c r="H2165" s="49"/>
      <c r="I2165" s="49" t="str">
        <f t="shared" si="192"/>
        <v/>
      </c>
      <c r="J2165" s="37" t="str">
        <f t="shared" si="188"/>
        <v>센서뷰</v>
      </c>
      <c r="K2165" s="37" t="str">
        <f t="shared" si="189"/>
        <v>A321370</v>
      </c>
    </row>
    <row r="2166" spans="1:11" x14ac:dyDescent="0.4">
      <c r="A2166" s="49"/>
      <c r="B2166" s="54" t="s">
        <v>4483</v>
      </c>
      <c r="C2166" s="37" t="s">
        <v>4484</v>
      </c>
      <c r="D2166" s="55" t="s">
        <v>820</v>
      </c>
      <c r="E2166" s="58">
        <v>182.32</v>
      </c>
      <c r="F2166" s="57">
        <v>1.64</v>
      </c>
      <c r="G2166" s="57"/>
      <c r="H2166" s="49"/>
      <c r="I2166" s="49" t="str">
        <f t="shared" si="192"/>
        <v/>
      </c>
      <c r="J2166" s="37" t="str">
        <f t="shared" si="188"/>
        <v>티움바이오</v>
      </c>
      <c r="K2166" s="37" t="str">
        <f t="shared" si="189"/>
        <v>A321550</v>
      </c>
    </row>
    <row r="2167" spans="1:11" x14ac:dyDescent="0.4">
      <c r="A2167" s="49"/>
      <c r="B2167" s="54" t="s">
        <v>4485</v>
      </c>
      <c r="C2167" s="37" t="s">
        <v>4486</v>
      </c>
      <c r="D2167" s="55" t="s">
        <v>820</v>
      </c>
      <c r="E2167" s="56">
        <v>53.01</v>
      </c>
      <c r="F2167" s="55">
        <v>0.13</v>
      </c>
      <c r="G2167" s="55"/>
      <c r="I2167" s="49" t="str">
        <f t="shared" si="192"/>
        <v/>
      </c>
      <c r="J2167" s="37" t="str">
        <f t="shared" si="188"/>
        <v>아티스트컴퍼니</v>
      </c>
      <c r="K2167" s="37" t="str">
        <f t="shared" si="189"/>
        <v>A321820</v>
      </c>
    </row>
    <row r="2168" spans="1:11" x14ac:dyDescent="0.4">
      <c r="A2168" s="49"/>
      <c r="B2168" s="54" t="s">
        <v>410</v>
      </c>
      <c r="C2168" s="37" t="s">
        <v>411</v>
      </c>
      <c r="D2168" s="55" t="s">
        <v>805</v>
      </c>
      <c r="E2168" s="58">
        <v>1164.8</v>
      </c>
      <c r="F2168" s="57">
        <v>25.58</v>
      </c>
      <c r="G2168" s="57">
        <v>1</v>
      </c>
      <c r="H2168" s="49"/>
      <c r="I2168" s="49">
        <f t="shared" si="192"/>
        <v>1164.82168</v>
      </c>
      <c r="J2168" s="37" t="str">
        <f t="shared" si="188"/>
        <v>HD현대에너지솔루션</v>
      </c>
      <c r="K2168" s="37" t="str">
        <f t="shared" si="189"/>
        <v>A322000</v>
      </c>
    </row>
    <row r="2169" spans="1:11" x14ac:dyDescent="0.4">
      <c r="A2169" s="49"/>
      <c r="B2169" s="54" t="s">
        <v>4487</v>
      </c>
      <c r="C2169" s="37" t="s">
        <v>4488</v>
      </c>
      <c r="D2169" s="55" t="s">
        <v>820</v>
      </c>
      <c r="E2169" s="58">
        <v>179.93</v>
      </c>
      <c r="F2169" s="57">
        <v>5.65</v>
      </c>
      <c r="G2169" s="57"/>
      <c r="H2169" s="49"/>
      <c r="I2169" s="49" t="str">
        <f t="shared" si="192"/>
        <v/>
      </c>
      <c r="J2169" s="37" t="str">
        <f t="shared" si="188"/>
        <v>LS티라유텍</v>
      </c>
      <c r="K2169" s="37" t="str">
        <f t="shared" si="189"/>
        <v>A322180</v>
      </c>
    </row>
    <row r="2170" spans="1:11" x14ac:dyDescent="0.4">
      <c r="A2170" s="49"/>
      <c r="B2170" s="54" t="s">
        <v>585</v>
      </c>
      <c r="C2170" s="37" t="s">
        <v>586</v>
      </c>
      <c r="D2170" s="55" t="s">
        <v>820</v>
      </c>
      <c r="E2170" s="58">
        <v>266.95</v>
      </c>
      <c r="F2170" s="57">
        <v>3.75</v>
      </c>
      <c r="G2170" s="57">
        <v>1</v>
      </c>
      <c r="H2170" s="49"/>
      <c r="I2170" s="49">
        <f t="shared" si="192"/>
        <v>266.9717</v>
      </c>
      <c r="J2170" s="37" t="str">
        <f t="shared" si="188"/>
        <v>오로스테크놀로지</v>
      </c>
      <c r="K2170" s="37" t="str">
        <f t="shared" si="189"/>
        <v>A322310</v>
      </c>
    </row>
    <row r="2171" spans="1:11" x14ac:dyDescent="0.4">
      <c r="A2171" s="49"/>
      <c r="B2171" s="54" t="s">
        <v>4489</v>
      </c>
      <c r="C2171" s="37" t="s">
        <v>4490</v>
      </c>
      <c r="D2171" s="55" t="s">
        <v>820</v>
      </c>
      <c r="E2171" s="58">
        <v>211.21</v>
      </c>
      <c r="F2171" s="57">
        <v>2.59</v>
      </c>
      <c r="G2171" s="57"/>
      <c r="H2171" s="49"/>
      <c r="I2171" s="49" t="str">
        <f t="shared" si="192"/>
        <v/>
      </c>
      <c r="J2171" s="37" t="str">
        <f t="shared" si="188"/>
        <v>제이엘케이</v>
      </c>
      <c r="K2171" s="37" t="str">
        <f t="shared" si="189"/>
        <v>A322510</v>
      </c>
    </row>
    <row r="2172" spans="1:11" x14ac:dyDescent="0.4">
      <c r="A2172" s="49"/>
      <c r="B2172" s="54" t="s">
        <v>4491</v>
      </c>
      <c r="C2172" s="37" t="s">
        <v>4492</v>
      </c>
      <c r="D2172" s="55" t="s">
        <v>820</v>
      </c>
      <c r="E2172" s="58">
        <v>17.13</v>
      </c>
      <c r="F2172" s="57">
        <v>1.46</v>
      </c>
      <c r="G2172" s="57"/>
      <c r="H2172" s="49"/>
      <c r="I2172" s="49" t="str">
        <f t="shared" si="192"/>
        <v/>
      </c>
      <c r="J2172" s="37" t="str">
        <f t="shared" si="188"/>
        <v>코퍼스코리아</v>
      </c>
      <c r="K2172" s="37" t="str">
        <f t="shared" si="189"/>
        <v>A322780</v>
      </c>
    </row>
    <row r="2173" spans="1:11" x14ac:dyDescent="0.4">
      <c r="A2173" s="49"/>
      <c r="B2173" s="54" t="s">
        <v>4493</v>
      </c>
      <c r="C2173" s="37" t="s">
        <v>4494</v>
      </c>
      <c r="D2173" s="55" t="s">
        <v>820</v>
      </c>
      <c r="E2173" s="58">
        <v>2412.5</v>
      </c>
      <c r="F2173" s="57">
        <v>25.46</v>
      </c>
      <c r="G2173" s="57"/>
      <c r="H2173" s="49"/>
      <c r="I2173" s="49" t="str">
        <f t="shared" si="192"/>
        <v/>
      </c>
      <c r="J2173" s="37" t="str">
        <f t="shared" si="188"/>
        <v>태성</v>
      </c>
      <c r="K2173" s="37" t="str">
        <f t="shared" si="189"/>
        <v>A323280</v>
      </c>
    </row>
    <row r="2174" spans="1:11" x14ac:dyDescent="0.4">
      <c r="A2174" s="49"/>
      <c r="B2174" s="54" t="s">
        <v>4495</v>
      </c>
      <c r="C2174" s="37" t="s">
        <v>4496</v>
      </c>
      <c r="D2174" s="55" t="s">
        <v>820</v>
      </c>
      <c r="E2174" s="58">
        <v>116.96</v>
      </c>
      <c r="F2174" s="57">
        <v>2.1</v>
      </c>
      <c r="G2174" s="57">
        <v>1</v>
      </c>
      <c r="H2174" s="49"/>
      <c r="I2174" s="49">
        <f t="shared" si="192"/>
        <v>116.98173999999999</v>
      </c>
      <c r="J2174" s="37" t="str">
        <f t="shared" si="188"/>
        <v>다원넥스뷰</v>
      </c>
      <c r="K2174" s="37" t="str">
        <f t="shared" si="189"/>
        <v>A323350</v>
      </c>
    </row>
    <row r="2175" spans="1:11" x14ac:dyDescent="0.4">
      <c r="A2175" s="49"/>
      <c r="B2175" s="54" t="s">
        <v>4497</v>
      </c>
      <c r="C2175" s="37" t="s">
        <v>4498</v>
      </c>
      <c r="D2175" s="55" t="s">
        <v>805</v>
      </c>
      <c r="E2175" s="58">
        <v>12951.68</v>
      </c>
      <c r="F2175" s="57">
        <v>31.91</v>
      </c>
      <c r="G2175" s="57">
        <v>10</v>
      </c>
      <c r="H2175" s="49"/>
      <c r="I2175" s="49">
        <f t="shared" si="192"/>
        <v>12951.70175</v>
      </c>
      <c r="J2175" s="37" t="str">
        <f t="shared" si="188"/>
        <v>카카오뱅크</v>
      </c>
      <c r="K2175" s="37" t="str">
        <f t="shared" si="189"/>
        <v>A323410</v>
      </c>
    </row>
    <row r="2176" spans="1:11" x14ac:dyDescent="0.4">
      <c r="A2176" s="49"/>
      <c r="B2176" s="54" t="s">
        <v>4499</v>
      </c>
      <c r="C2176" s="37" t="s">
        <v>4500</v>
      </c>
      <c r="D2176" s="55" t="s">
        <v>820</v>
      </c>
      <c r="E2176" s="56">
        <v>212.11</v>
      </c>
      <c r="F2176" s="55">
        <v>1.77</v>
      </c>
      <c r="G2176" s="55"/>
      <c r="I2176" s="49" t="str">
        <f t="shared" si="192"/>
        <v/>
      </c>
      <c r="J2176" s="37" t="str">
        <f t="shared" si="188"/>
        <v>박셀바이오</v>
      </c>
      <c r="K2176" s="37" t="str">
        <f t="shared" si="189"/>
        <v>A323990</v>
      </c>
    </row>
    <row r="2177" spans="1:11" x14ac:dyDescent="0.4">
      <c r="A2177" s="49"/>
      <c r="B2177" s="54" t="s">
        <v>43</v>
      </c>
      <c r="C2177" s="37" t="s">
        <v>44</v>
      </c>
      <c r="D2177" s="55" t="s">
        <v>805</v>
      </c>
      <c r="E2177" s="58">
        <v>9381.93</v>
      </c>
      <c r="F2177" s="57">
        <v>29.54</v>
      </c>
      <c r="G2177" s="57">
        <v>13</v>
      </c>
      <c r="H2177" s="49"/>
      <c r="I2177" s="49">
        <f t="shared" si="192"/>
        <v>9381.9517699999997</v>
      </c>
      <c r="J2177" s="37" t="str">
        <f t="shared" si="188"/>
        <v>SK바이오팜</v>
      </c>
      <c r="K2177" s="37" t="str">
        <f t="shared" si="189"/>
        <v>A326030</v>
      </c>
    </row>
    <row r="2178" spans="1:11" x14ac:dyDescent="0.4">
      <c r="A2178" s="49"/>
      <c r="B2178" s="54" t="s">
        <v>4501</v>
      </c>
      <c r="C2178" s="37" t="s">
        <v>4502</v>
      </c>
      <c r="D2178" s="55" t="s">
        <v>820</v>
      </c>
      <c r="E2178" s="58">
        <v>361.28</v>
      </c>
      <c r="F2178" s="57">
        <v>6.08</v>
      </c>
      <c r="G2178" s="57">
        <v>1</v>
      </c>
      <c r="H2178" s="49"/>
      <c r="I2178" s="49">
        <f t="shared" si="192"/>
        <v>361.30177999999995</v>
      </c>
      <c r="J2178" s="37" t="str">
        <f t="shared" si="188"/>
        <v>RF머트리얼즈</v>
      </c>
      <c r="K2178" s="37" t="str">
        <f t="shared" si="189"/>
        <v>A327260</v>
      </c>
    </row>
    <row r="2179" spans="1:11" x14ac:dyDescent="0.4">
      <c r="A2179" s="49"/>
      <c r="B2179" s="54" t="s">
        <v>4503</v>
      </c>
      <c r="C2179" s="37" t="s">
        <v>4504</v>
      </c>
      <c r="D2179" s="55" t="s">
        <v>820</v>
      </c>
      <c r="E2179" s="56">
        <v>1191.8800000000001</v>
      </c>
      <c r="F2179" s="55">
        <v>13.8</v>
      </c>
      <c r="G2179" s="55">
        <v>1</v>
      </c>
      <c r="I2179" s="49">
        <f t="shared" si="192"/>
        <v>1191.9017900000001</v>
      </c>
      <c r="J2179" s="37" t="str">
        <f t="shared" si="188"/>
        <v>루닛</v>
      </c>
      <c r="K2179" s="37" t="str">
        <f t="shared" si="189"/>
        <v>A328130</v>
      </c>
    </row>
    <row r="2180" spans="1:11" x14ac:dyDescent="0.4">
      <c r="B2180" s="54" t="s">
        <v>4505</v>
      </c>
      <c r="C2180" s="37" t="s">
        <v>4506</v>
      </c>
      <c r="D2180" s="55" t="s">
        <v>820</v>
      </c>
      <c r="E2180" s="56">
        <v>27.44</v>
      </c>
      <c r="F2180" s="55">
        <v>0.2</v>
      </c>
      <c r="G2180" s="55"/>
      <c r="J2180" s="37" t="str">
        <f t="shared" si="188"/>
        <v>솔트웨어</v>
      </c>
      <c r="K2180" s="37" t="str">
        <f t="shared" si="189"/>
        <v>A328380</v>
      </c>
    </row>
    <row r="2181" spans="1:11" x14ac:dyDescent="0.4">
      <c r="A2181" s="49"/>
      <c r="B2181" s="54" t="s">
        <v>217</v>
      </c>
      <c r="C2181" s="37" t="s">
        <v>218</v>
      </c>
      <c r="D2181" s="55" t="s">
        <v>805</v>
      </c>
      <c r="E2181" s="56">
        <v>63291.62</v>
      </c>
      <c r="F2181" s="55">
        <v>137.87</v>
      </c>
      <c r="G2181" s="55">
        <v>17</v>
      </c>
      <c r="I2181" s="49">
        <f t="shared" ref="I2181:I2203" si="193">IF((G2181&gt;$G$8),E2181+ROW()/100000,"")</f>
        <v>63291.641810000001</v>
      </c>
      <c r="J2181" s="37" t="str">
        <f t="shared" si="188"/>
        <v>HD현대중공업</v>
      </c>
      <c r="K2181" s="37" t="str">
        <f t="shared" si="189"/>
        <v>A329180</v>
      </c>
    </row>
    <row r="2182" spans="1:11" x14ac:dyDescent="0.4">
      <c r="A2182" s="49"/>
      <c r="B2182" s="54" t="s">
        <v>4507</v>
      </c>
      <c r="C2182" s="37" t="s">
        <v>4508</v>
      </c>
      <c r="D2182" s="55" t="s">
        <v>820</v>
      </c>
      <c r="E2182" s="58">
        <v>130.04</v>
      </c>
      <c r="F2182" s="57">
        <v>9.48</v>
      </c>
      <c r="G2182" s="57"/>
      <c r="H2182" s="49"/>
      <c r="I2182" s="49" t="str">
        <f t="shared" si="193"/>
        <v/>
      </c>
      <c r="J2182" s="37" t="str">
        <f t="shared" si="188"/>
        <v>위더스제약</v>
      </c>
      <c r="K2182" s="37" t="str">
        <f t="shared" si="189"/>
        <v>A330350</v>
      </c>
    </row>
    <row r="2183" spans="1:11" x14ac:dyDescent="0.4">
      <c r="A2183" s="49"/>
      <c r="B2183" s="54" t="s">
        <v>4509</v>
      </c>
      <c r="C2183" s="37" t="s">
        <v>4510</v>
      </c>
      <c r="D2183" s="55" t="s">
        <v>820</v>
      </c>
      <c r="E2183" s="58">
        <v>110.58</v>
      </c>
      <c r="F2183" s="57">
        <v>1.03</v>
      </c>
      <c r="G2183" s="57"/>
      <c r="H2183" s="49"/>
      <c r="I2183" s="49" t="str">
        <f t="shared" si="193"/>
        <v/>
      </c>
      <c r="J2183" s="37" t="str">
        <f t="shared" si="188"/>
        <v>스톤브릿지벤처스</v>
      </c>
      <c r="K2183" s="37" t="str">
        <f t="shared" si="189"/>
        <v>A330730</v>
      </c>
    </row>
    <row r="2184" spans="1:11" x14ac:dyDescent="0.4">
      <c r="A2184" s="49"/>
      <c r="B2184" s="54" t="s">
        <v>4511</v>
      </c>
      <c r="C2184" s="37" t="s">
        <v>4512</v>
      </c>
      <c r="D2184" s="55" t="s">
        <v>820</v>
      </c>
      <c r="E2184" s="58">
        <v>243.56</v>
      </c>
      <c r="F2184" s="57">
        <v>2.7</v>
      </c>
      <c r="G2184" s="57"/>
      <c r="H2184" s="49"/>
      <c r="I2184" s="49" t="str">
        <f t="shared" si="193"/>
        <v/>
      </c>
      <c r="J2184" s="37" t="str">
        <f t="shared" si="188"/>
        <v>네패스아크</v>
      </c>
      <c r="K2184" s="37" t="str">
        <f t="shared" si="189"/>
        <v>A330860</v>
      </c>
    </row>
    <row r="2185" spans="1:11" x14ac:dyDescent="0.4">
      <c r="A2185" s="49"/>
      <c r="B2185" s="54" t="s">
        <v>4513</v>
      </c>
      <c r="C2185" s="37" t="s">
        <v>4514</v>
      </c>
      <c r="D2185" s="55" t="s">
        <v>820</v>
      </c>
      <c r="E2185" s="58">
        <v>93.39</v>
      </c>
      <c r="F2185" s="57">
        <v>0.93</v>
      </c>
      <c r="G2185" s="57"/>
      <c r="H2185" s="49"/>
      <c r="I2185" s="49" t="str">
        <f t="shared" si="193"/>
        <v/>
      </c>
      <c r="J2185" s="37" t="str">
        <f t="shared" si="188"/>
        <v>포커스에이아이</v>
      </c>
      <c r="K2185" s="37" t="str">
        <f t="shared" si="189"/>
        <v>A331380</v>
      </c>
    </row>
    <row r="2186" spans="1:11" x14ac:dyDescent="0.4">
      <c r="A2186" s="49"/>
      <c r="B2186" s="54" t="s">
        <v>4515</v>
      </c>
      <c r="C2186" s="37" t="s">
        <v>4516</v>
      </c>
      <c r="D2186" s="55" t="s">
        <v>820</v>
      </c>
      <c r="E2186" s="58">
        <v>31.74</v>
      </c>
      <c r="F2186" s="57">
        <v>0.14000000000000001</v>
      </c>
      <c r="G2186" s="57"/>
      <c r="H2186" s="49"/>
      <c r="I2186" s="49" t="str">
        <f t="shared" si="193"/>
        <v/>
      </c>
      <c r="J2186" s="37" t="str">
        <f t="shared" si="188"/>
        <v>밸로프</v>
      </c>
      <c r="K2186" s="37" t="str">
        <f t="shared" si="189"/>
        <v>A331520</v>
      </c>
    </row>
    <row r="2187" spans="1:11" x14ac:dyDescent="0.4">
      <c r="A2187" s="49"/>
      <c r="B2187" s="54" t="s">
        <v>4517</v>
      </c>
      <c r="C2187" s="37" t="s">
        <v>4518</v>
      </c>
      <c r="D2187" s="55" t="s">
        <v>820</v>
      </c>
      <c r="E2187" s="58">
        <v>191.45</v>
      </c>
      <c r="F2187" s="57">
        <v>7.3</v>
      </c>
      <c r="G2187" s="57">
        <v>1</v>
      </c>
      <c r="H2187" s="49"/>
      <c r="I2187" s="49">
        <f t="shared" si="193"/>
        <v>191.47187</v>
      </c>
      <c r="J2187" s="37" t="str">
        <f t="shared" si="188"/>
        <v>아우토크립트</v>
      </c>
      <c r="K2187" s="37" t="str">
        <f t="shared" si="189"/>
        <v>A331740</v>
      </c>
    </row>
    <row r="2188" spans="1:11" x14ac:dyDescent="0.4">
      <c r="A2188" s="49"/>
      <c r="B2188" s="54" t="s">
        <v>4519</v>
      </c>
      <c r="C2188" s="37" t="s">
        <v>4520</v>
      </c>
      <c r="D2188" s="55" t="s">
        <v>820</v>
      </c>
      <c r="E2188" s="58">
        <v>40.450000000000003</v>
      </c>
      <c r="F2188" s="57">
        <v>0.5</v>
      </c>
      <c r="G2188" s="57"/>
      <c r="H2188" s="49"/>
      <c r="I2188" s="49" t="str">
        <f t="shared" si="193"/>
        <v/>
      </c>
      <c r="J2188" s="37" t="str">
        <f t="shared" si="188"/>
        <v>셀레믹스</v>
      </c>
      <c r="K2188" s="37" t="str">
        <f t="shared" si="189"/>
        <v>A331920</v>
      </c>
    </row>
    <row r="2189" spans="1:11" x14ac:dyDescent="0.4">
      <c r="A2189" s="49"/>
      <c r="B2189" s="54" t="s">
        <v>4521</v>
      </c>
      <c r="C2189" s="37" t="s">
        <v>4522</v>
      </c>
      <c r="D2189" s="55" t="s">
        <v>820</v>
      </c>
      <c r="E2189" s="58">
        <v>48.84</v>
      </c>
      <c r="F2189" s="57">
        <v>0.83</v>
      </c>
      <c r="G2189" s="57"/>
      <c r="H2189" s="49"/>
      <c r="I2189" s="49" t="str">
        <f t="shared" si="193"/>
        <v/>
      </c>
      <c r="J2189" s="37" t="str">
        <f t="shared" si="188"/>
        <v>누보</v>
      </c>
      <c r="K2189" s="37" t="str">
        <f t="shared" si="189"/>
        <v>A332290</v>
      </c>
    </row>
    <row r="2190" spans="1:11" x14ac:dyDescent="0.4">
      <c r="A2190" s="49"/>
      <c r="B2190" s="54" t="s">
        <v>4523</v>
      </c>
      <c r="C2190" s="37" t="s">
        <v>4524</v>
      </c>
      <c r="D2190" s="55" t="s">
        <v>820</v>
      </c>
      <c r="E2190" s="58">
        <v>66.900000000000006</v>
      </c>
      <c r="F2190" s="57">
        <v>0.06</v>
      </c>
      <c r="G2190" s="57"/>
      <c r="H2190" s="49"/>
      <c r="I2190" s="49" t="str">
        <f t="shared" si="193"/>
        <v/>
      </c>
      <c r="J2190" s="37" t="str">
        <f t="shared" ref="J2190:J2253" si="194">C2190</f>
        <v>아이디피</v>
      </c>
      <c r="K2190" s="37" t="str">
        <f t="shared" ref="K2190:K2253" si="195">B2190</f>
        <v>A332370</v>
      </c>
    </row>
    <row r="2191" spans="1:11" x14ac:dyDescent="0.4">
      <c r="A2191" s="49"/>
      <c r="B2191" s="54" t="s">
        <v>4525</v>
      </c>
      <c r="C2191" s="37" t="s">
        <v>4526</v>
      </c>
      <c r="D2191" s="55" t="s">
        <v>820</v>
      </c>
      <c r="E2191" s="58">
        <v>259.95999999999998</v>
      </c>
      <c r="F2191" s="57">
        <v>21.16</v>
      </c>
      <c r="G2191" s="57"/>
      <c r="H2191" s="49"/>
      <c r="I2191" s="49" t="str">
        <f t="shared" si="193"/>
        <v/>
      </c>
      <c r="J2191" s="37" t="str">
        <f t="shared" si="194"/>
        <v>PS일렉트로닉스</v>
      </c>
      <c r="K2191" s="37" t="str">
        <f t="shared" si="195"/>
        <v>A332570</v>
      </c>
    </row>
    <row r="2192" spans="1:11" x14ac:dyDescent="0.4">
      <c r="A2192" s="49"/>
      <c r="B2192" s="54" t="s">
        <v>4527</v>
      </c>
      <c r="C2192" s="37" t="s">
        <v>5192</v>
      </c>
      <c r="D2192" s="55" t="s">
        <v>820</v>
      </c>
      <c r="E2192" s="56">
        <v>29.34</v>
      </c>
      <c r="F2192" s="55">
        <v>0.89</v>
      </c>
      <c r="G2192" s="55"/>
      <c r="I2192" s="49" t="str">
        <f t="shared" si="193"/>
        <v/>
      </c>
      <c r="J2192" s="37" t="str">
        <f t="shared" si="194"/>
        <v>이노테나</v>
      </c>
      <c r="K2192" s="37" t="str">
        <f t="shared" si="195"/>
        <v>A333050</v>
      </c>
    </row>
    <row r="2193" spans="1:11" x14ac:dyDescent="0.4">
      <c r="A2193" s="49"/>
      <c r="B2193" s="54" t="s">
        <v>4528</v>
      </c>
      <c r="C2193" s="37" t="s">
        <v>4529</v>
      </c>
      <c r="D2193" s="55" t="s">
        <v>820</v>
      </c>
      <c r="E2193" s="58">
        <v>174.84</v>
      </c>
      <c r="F2193" s="57">
        <v>12.13</v>
      </c>
      <c r="G2193" s="57"/>
      <c r="H2193" s="49"/>
      <c r="I2193" s="49" t="str">
        <f t="shared" si="193"/>
        <v/>
      </c>
      <c r="J2193" s="37" t="str">
        <f t="shared" si="194"/>
        <v>일승</v>
      </c>
      <c r="K2193" s="37" t="str">
        <f t="shared" si="195"/>
        <v>A333430</v>
      </c>
    </row>
    <row r="2194" spans="1:11" x14ac:dyDescent="0.4">
      <c r="A2194" s="49"/>
      <c r="B2194" s="54" t="s">
        <v>4530</v>
      </c>
      <c r="C2194" s="37" t="s">
        <v>4531</v>
      </c>
      <c r="D2194" s="55" t="s">
        <v>820</v>
      </c>
      <c r="E2194" s="58">
        <v>66.19</v>
      </c>
      <c r="F2194" s="57">
        <v>0.15</v>
      </c>
      <c r="G2194" s="57"/>
      <c r="H2194" s="49"/>
      <c r="I2194" s="49" t="str">
        <f t="shared" si="193"/>
        <v/>
      </c>
      <c r="J2194" s="37" t="str">
        <f t="shared" si="194"/>
        <v>엔시스</v>
      </c>
      <c r="K2194" s="37" t="str">
        <f t="shared" si="195"/>
        <v>A333620</v>
      </c>
    </row>
    <row r="2195" spans="1:11" x14ac:dyDescent="0.4">
      <c r="A2195" s="49"/>
      <c r="B2195" s="54" t="s">
        <v>4532</v>
      </c>
      <c r="C2195" s="37" t="s">
        <v>4533</v>
      </c>
      <c r="D2195" s="55" t="s">
        <v>820</v>
      </c>
      <c r="E2195" s="58">
        <v>214.6</v>
      </c>
      <c r="F2195" s="57">
        <v>0.62</v>
      </c>
      <c r="G2195" s="57"/>
      <c r="H2195" s="49"/>
      <c r="I2195" s="49" t="str">
        <f t="shared" si="193"/>
        <v/>
      </c>
      <c r="J2195" s="37" t="str">
        <f t="shared" si="194"/>
        <v>프레스티지바이오로직스</v>
      </c>
      <c r="K2195" s="37" t="str">
        <f t="shared" si="195"/>
        <v>A334970</v>
      </c>
    </row>
    <row r="2196" spans="1:11" x14ac:dyDescent="0.4">
      <c r="A2196" s="49"/>
      <c r="B2196" s="54" t="s">
        <v>4534</v>
      </c>
      <c r="C2196" s="37" t="s">
        <v>4535</v>
      </c>
      <c r="D2196" s="55" t="s">
        <v>820</v>
      </c>
      <c r="E2196" s="58">
        <v>56.19</v>
      </c>
      <c r="F2196" s="57">
        <v>0.17</v>
      </c>
      <c r="G2196" s="57"/>
      <c r="H2196" s="49"/>
      <c r="I2196" s="49" t="str">
        <f t="shared" si="193"/>
        <v/>
      </c>
      <c r="J2196" s="37" t="str">
        <f t="shared" si="194"/>
        <v>프리시젼바이오</v>
      </c>
      <c r="K2196" s="37" t="str">
        <f t="shared" si="195"/>
        <v>A335810</v>
      </c>
    </row>
    <row r="2197" spans="1:11" x14ac:dyDescent="0.4">
      <c r="A2197" s="49"/>
      <c r="B2197" s="54" t="s">
        <v>4536</v>
      </c>
      <c r="C2197" s="37" t="s">
        <v>4537</v>
      </c>
      <c r="D2197" s="55" t="s">
        <v>820</v>
      </c>
      <c r="E2197" s="58">
        <v>31.59</v>
      </c>
      <c r="F2197" s="57">
        <v>0.38</v>
      </c>
      <c r="G2197" s="57"/>
      <c r="H2197" s="49"/>
      <c r="I2197" s="49" t="str">
        <f t="shared" si="193"/>
        <v/>
      </c>
      <c r="J2197" s="37" t="str">
        <f t="shared" si="194"/>
        <v>윙스풋</v>
      </c>
      <c r="K2197" s="37" t="str">
        <f t="shared" si="195"/>
        <v>A335870</v>
      </c>
    </row>
    <row r="2198" spans="1:11" x14ac:dyDescent="0.4">
      <c r="A2198" s="49"/>
      <c r="B2198" s="54" t="s">
        <v>4538</v>
      </c>
      <c r="C2198" s="37" t="s">
        <v>4539</v>
      </c>
      <c r="D2198" s="55" t="s">
        <v>820</v>
      </c>
      <c r="E2198" s="56">
        <v>46.71</v>
      </c>
      <c r="F2198" s="55">
        <v>0.32</v>
      </c>
      <c r="G2198" s="55"/>
      <c r="I2198" s="49" t="str">
        <f t="shared" si="193"/>
        <v/>
      </c>
      <c r="J2198" s="37" t="str">
        <f t="shared" si="194"/>
        <v>웨이버스</v>
      </c>
      <c r="K2198" s="37" t="str">
        <f t="shared" si="195"/>
        <v>A336060</v>
      </c>
    </row>
    <row r="2199" spans="1:11" x14ac:dyDescent="0.4">
      <c r="A2199" s="49"/>
      <c r="B2199" s="54" t="s">
        <v>386</v>
      </c>
      <c r="C2199" s="37" t="s">
        <v>387</v>
      </c>
      <c r="D2199" s="55" t="s">
        <v>805</v>
      </c>
      <c r="E2199" s="56">
        <v>2606.65</v>
      </c>
      <c r="F2199" s="55">
        <v>50.5</v>
      </c>
      <c r="G2199" s="55">
        <v>6</v>
      </c>
      <c r="I2199" s="49">
        <f t="shared" si="193"/>
        <v>2606.6719900000003</v>
      </c>
      <c r="J2199" s="37" t="str">
        <f t="shared" si="194"/>
        <v>두산퓨얼셀</v>
      </c>
      <c r="K2199" s="37" t="str">
        <f t="shared" si="195"/>
        <v>A336260</v>
      </c>
    </row>
    <row r="2200" spans="1:11" x14ac:dyDescent="0.4">
      <c r="A2200" s="49"/>
      <c r="B2200" s="54" t="s">
        <v>4540</v>
      </c>
      <c r="C2200" s="37" t="s">
        <v>4541</v>
      </c>
      <c r="D2200" s="55" t="s">
        <v>805</v>
      </c>
      <c r="E2200" s="56">
        <v>628.45000000000005</v>
      </c>
      <c r="F2200" s="55">
        <v>3.93</v>
      </c>
      <c r="G2200" s="55">
        <v>3</v>
      </c>
      <c r="I2200" s="49">
        <f t="shared" si="193"/>
        <v>628.47200000000009</v>
      </c>
      <c r="J2200" s="37" t="str">
        <f t="shared" si="194"/>
        <v>솔루스첨단소재</v>
      </c>
      <c r="K2200" s="37" t="str">
        <f t="shared" si="195"/>
        <v>A336370</v>
      </c>
    </row>
    <row r="2201" spans="1:11" x14ac:dyDescent="0.4">
      <c r="A2201" s="49"/>
      <c r="B2201" s="54" t="s">
        <v>705</v>
      </c>
      <c r="C2201" s="37" t="s">
        <v>706</v>
      </c>
      <c r="D2201" s="55" t="s">
        <v>820</v>
      </c>
      <c r="E2201" s="58">
        <v>696.36</v>
      </c>
      <c r="F2201" s="57">
        <v>6.63</v>
      </c>
      <c r="G2201" s="57">
        <v>2</v>
      </c>
      <c r="H2201" s="49"/>
      <c r="I2201" s="49">
        <f t="shared" si="193"/>
        <v>696.38201000000004</v>
      </c>
      <c r="J2201" s="37" t="str">
        <f t="shared" si="194"/>
        <v>원텍</v>
      </c>
      <c r="K2201" s="37" t="str">
        <f t="shared" si="195"/>
        <v>A336570</v>
      </c>
    </row>
    <row r="2202" spans="1:11" x14ac:dyDescent="0.4">
      <c r="A2202" s="49"/>
      <c r="B2202" s="54" t="s">
        <v>4542</v>
      </c>
      <c r="C2202" s="37" t="s">
        <v>4543</v>
      </c>
      <c r="D2202" s="55" t="s">
        <v>820</v>
      </c>
      <c r="E2202" s="59">
        <v>159.71</v>
      </c>
      <c r="F2202" s="57">
        <v>1.28</v>
      </c>
      <c r="G2202" s="57"/>
      <c r="H2202" s="49"/>
      <c r="I2202" s="49" t="str">
        <f t="shared" si="193"/>
        <v/>
      </c>
      <c r="J2202" s="37" t="str">
        <f t="shared" si="194"/>
        <v>탑런토탈솔루션</v>
      </c>
      <c r="K2202" s="37" t="str">
        <f t="shared" si="195"/>
        <v>A336680</v>
      </c>
    </row>
    <row r="2203" spans="1:11" x14ac:dyDescent="0.4">
      <c r="A2203" s="49"/>
      <c r="B2203" s="54" t="s">
        <v>4544</v>
      </c>
      <c r="C2203" s="37" t="s">
        <v>4545</v>
      </c>
      <c r="D2203" s="55" t="s">
        <v>820</v>
      </c>
      <c r="E2203" s="58">
        <v>161.44</v>
      </c>
      <c r="F2203" s="57">
        <v>1.71</v>
      </c>
      <c r="G2203" s="57"/>
      <c r="H2203" s="49"/>
      <c r="I2203" s="49" t="str">
        <f t="shared" si="193"/>
        <v/>
      </c>
      <c r="J2203" s="37" t="str">
        <f t="shared" si="194"/>
        <v>젝시믹스</v>
      </c>
      <c r="K2203" s="37" t="str">
        <f t="shared" si="195"/>
        <v>A337930</v>
      </c>
    </row>
    <row r="2204" spans="1:11" x14ac:dyDescent="0.4">
      <c r="B2204" s="54" t="s">
        <v>4546</v>
      </c>
      <c r="C2204" s="37" t="s">
        <v>4547</v>
      </c>
      <c r="D2204" s="55" t="s">
        <v>820</v>
      </c>
      <c r="E2204" s="56">
        <v>266.73</v>
      </c>
      <c r="F2204" s="55">
        <v>3.47</v>
      </c>
      <c r="G2204" s="55"/>
      <c r="J2204" s="37" t="str">
        <f t="shared" si="194"/>
        <v>뷰노</v>
      </c>
      <c r="K2204" s="37" t="str">
        <f t="shared" si="195"/>
        <v>A338220</v>
      </c>
    </row>
    <row r="2205" spans="1:11" x14ac:dyDescent="0.4">
      <c r="A2205" s="49"/>
      <c r="B2205" s="54" t="s">
        <v>4548</v>
      </c>
      <c r="C2205" s="37" t="s">
        <v>4549</v>
      </c>
      <c r="D2205" s="55" t="s">
        <v>820</v>
      </c>
      <c r="E2205" s="56">
        <v>388.56</v>
      </c>
      <c r="F2205" s="55">
        <v>9.36</v>
      </c>
      <c r="G2205" s="55"/>
      <c r="I2205" s="49" t="str">
        <f>IF((G2205&gt;$G$8),E2205+ROW()/100000,"")</f>
        <v/>
      </c>
      <c r="J2205" s="37" t="str">
        <f t="shared" si="194"/>
        <v>와이바이오로직스</v>
      </c>
      <c r="K2205" s="37" t="str">
        <f t="shared" si="195"/>
        <v>A338840</v>
      </c>
    </row>
    <row r="2206" spans="1:11" x14ac:dyDescent="0.4">
      <c r="B2206" s="54" t="s">
        <v>4550</v>
      </c>
      <c r="C2206" s="37" t="s">
        <v>4551</v>
      </c>
      <c r="D2206" s="55" t="s">
        <v>805</v>
      </c>
      <c r="E2206" s="56">
        <v>225.09</v>
      </c>
      <c r="F2206" s="55">
        <v>0.49</v>
      </c>
      <c r="G2206" s="55">
        <v>2</v>
      </c>
      <c r="J2206" s="37" t="str">
        <f t="shared" si="194"/>
        <v>교촌에프앤비</v>
      </c>
      <c r="K2206" s="37" t="str">
        <f t="shared" si="195"/>
        <v>A339770</v>
      </c>
    </row>
    <row r="2207" spans="1:11" x14ac:dyDescent="0.4">
      <c r="A2207" s="49"/>
      <c r="B2207" s="54" t="s">
        <v>4552</v>
      </c>
      <c r="C2207" s="37" t="s">
        <v>4553</v>
      </c>
      <c r="D2207" s="55" t="s">
        <v>820</v>
      </c>
      <c r="E2207" s="58">
        <v>111.47</v>
      </c>
      <c r="F2207" s="57">
        <v>0.23</v>
      </c>
      <c r="G2207" s="57">
        <v>1</v>
      </c>
      <c r="H2207" s="49"/>
      <c r="I2207" s="49">
        <f>IF((G2207&gt;$G$8),E2207+ROW()/100000,"")</f>
        <v>111.49207</v>
      </c>
      <c r="J2207" s="37" t="str">
        <f t="shared" si="194"/>
        <v>아이비김영</v>
      </c>
      <c r="K2207" s="37" t="str">
        <f t="shared" si="195"/>
        <v>A339950</v>
      </c>
    </row>
    <row r="2208" spans="1:11" x14ac:dyDescent="0.4">
      <c r="A2208" s="49"/>
      <c r="B2208" s="54" t="s">
        <v>4554</v>
      </c>
      <c r="C2208" s="37" t="s">
        <v>4555</v>
      </c>
      <c r="D2208" s="55" t="s">
        <v>820</v>
      </c>
      <c r="E2208" s="58">
        <v>82.13</v>
      </c>
      <c r="F2208" s="57">
        <v>0.85</v>
      </c>
      <c r="G2208" s="57"/>
      <c r="H2208" s="49"/>
      <c r="I2208" s="49" t="str">
        <f>IF((G2208&gt;$G$8),E2208+ROW()/100000,"")</f>
        <v/>
      </c>
      <c r="J2208" s="37" t="str">
        <f t="shared" si="194"/>
        <v>다보링크</v>
      </c>
      <c r="K2208" s="37" t="str">
        <f t="shared" si="195"/>
        <v>A340360</v>
      </c>
    </row>
    <row r="2209" spans="1:11" x14ac:dyDescent="0.4">
      <c r="A2209" s="49"/>
      <c r="B2209" s="54" t="s">
        <v>4556</v>
      </c>
      <c r="C2209" s="37" t="s">
        <v>4557</v>
      </c>
      <c r="D2209" s="55" t="s">
        <v>820</v>
      </c>
      <c r="E2209" s="58">
        <v>36.409999999999997</v>
      </c>
      <c r="F2209" s="57">
        <v>1.56</v>
      </c>
      <c r="G2209" s="57"/>
      <c r="H2209" s="49"/>
      <c r="I2209" s="49" t="str">
        <f>IF((G2209&gt;$G$8),E2209+ROW()/100000,"")</f>
        <v/>
      </c>
      <c r="J2209" s="37" t="str">
        <f t="shared" si="194"/>
        <v>세림B&amp;G</v>
      </c>
      <c r="K2209" s="37" t="str">
        <f t="shared" si="195"/>
        <v>A340440</v>
      </c>
    </row>
    <row r="2210" spans="1:11" x14ac:dyDescent="0.4">
      <c r="B2210" s="54" t="s">
        <v>4558</v>
      </c>
      <c r="C2210" s="37" t="s">
        <v>4559</v>
      </c>
      <c r="D2210" s="55" t="s">
        <v>820</v>
      </c>
      <c r="E2210" s="56">
        <v>194.65</v>
      </c>
      <c r="F2210" s="55">
        <v>2.08</v>
      </c>
      <c r="G2210" s="55">
        <v>1</v>
      </c>
      <c r="J2210" s="37" t="str">
        <f t="shared" si="194"/>
        <v>지씨지놈</v>
      </c>
      <c r="K2210" s="37" t="str">
        <f t="shared" si="195"/>
        <v>A340450</v>
      </c>
    </row>
    <row r="2211" spans="1:11" x14ac:dyDescent="0.4">
      <c r="A2211" s="49"/>
      <c r="B2211" s="54" t="s">
        <v>4560</v>
      </c>
      <c r="C2211" s="37" t="s">
        <v>4561</v>
      </c>
      <c r="D2211" s="55" t="s">
        <v>820</v>
      </c>
      <c r="E2211" s="58">
        <v>444.6</v>
      </c>
      <c r="F2211" s="57">
        <v>1.82</v>
      </c>
      <c r="G2211" s="57">
        <v>2</v>
      </c>
      <c r="H2211" s="49"/>
      <c r="I2211" s="49">
        <f>IF((G2211&gt;$G$8),E2211+ROW()/100000,"")</f>
        <v>444.62211000000002</v>
      </c>
      <c r="J2211" s="37" t="str">
        <f t="shared" si="194"/>
        <v>티앤엘</v>
      </c>
      <c r="K2211" s="37" t="str">
        <f t="shared" si="195"/>
        <v>A340570</v>
      </c>
    </row>
    <row r="2212" spans="1:11" x14ac:dyDescent="0.4">
      <c r="A2212" s="49"/>
      <c r="B2212" s="54" t="s">
        <v>4562</v>
      </c>
      <c r="C2212" s="37" t="s">
        <v>4563</v>
      </c>
      <c r="D2212" s="55" t="s">
        <v>820</v>
      </c>
      <c r="E2212" s="58">
        <v>37.380000000000003</v>
      </c>
      <c r="F2212" s="57">
        <v>1.6</v>
      </c>
      <c r="G2212" s="57"/>
      <c r="H2212" s="49"/>
      <c r="I2212" s="49" t="str">
        <f>IF((G2212&gt;$G$8),E2212+ROW()/100000,"")</f>
        <v/>
      </c>
      <c r="J2212" s="37" t="str">
        <f t="shared" si="194"/>
        <v>시선AI</v>
      </c>
      <c r="K2212" s="37" t="str">
        <f t="shared" si="195"/>
        <v>A340810</v>
      </c>
    </row>
    <row r="2213" spans="1:11" x14ac:dyDescent="0.4">
      <c r="A2213" s="49"/>
      <c r="B2213" s="54" t="s">
        <v>4564</v>
      </c>
      <c r="C2213" s="37" t="s">
        <v>4565</v>
      </c>
      <c r="D2213" s="55" t="s">
        <v>820</v>
      </c>
      <c r="E2213" s="58">
        <v>81.760000000000005</v>
      </c>
      <c r="F2213" s="57">
        <v>8.25</v>
      </c>
      <c r="G2213" s="57"/>
      <c r="H2213" s="49"/>
      <c r="I2213" s="49" t="str">
        <f>IF((G2213&gt;$G$8),E2213+ROW()/100000,"")</f>
        <v/>
      </c>
      <c r="J2213" s="37" t="str">
        <f t="shared" si="194"/>
        <v>유일에너테크</v>
      </c>
      <c r="K2213" s="37" t="str">
        <f t="shared" si="195"/>
        <v>A340930</v>
      </c>
    </row>
    <row r="2214" spans="1:11" x14ac:dyDescent="0.4">
      <c r="A2214" s="49"/>
      <c r="B2214" s="54" t="s">
        <v>4566</v>
      </c>
      <c r="C2214" s="37" t="s">
        <v>4567</v>
      </c>
      <c r="D2214" s="55" t="s">
        <v>820</v>
      </c>
      <c r="E2214" s="58">
        <v>44.67</v>
      </c>
      <c r="F2214" s="57">
        <v>1.91</v>
      </c>
      <c r="G2214" s="57">
        <v>1</v>
      </c>
      <c r="H2214" s="49"/>
      <c r="I2214" s="49">
        <f>IF((G2214&gt;$G$8),E2214+ROW()/100000,"")</f>
        <v>44.692140000000002</v>
      </c>
      <c r="J2214" s="37" t="str">
        <f t="shared" si="194"/>
        <v>오아</v>
      </c>
      <c r="K2214" s="37" t="str">
        <f t="shared" si="195"/>
        <v>A342870</v>
      </c>
    </row>
    <row r="2215" spans="1:11" x14ac:dyDescent="0.4">
      <c r="A2215" s="49"/>
      <c r="B2215" s="54" t="s">
        <v>4568</v>
      </c>
      <c r="C2215" s="37" t="s">
        <v>4569</v>
      </c>
      <c r="D2215" s="55" t="s">
        <v>805</v>
      </c>
      <c r="E2215" s="58">
        <v>463.14</v>
      </c>
      <c r="F2215" s="57">
        <v>1.1499999999999999</v>
      </c>
      <c r="G2215" s="57"/>
      <c r="H2215" s="49"/>
      <c r="I2215" s="49" t="str">
        <f>IF((G2215&gt;$G$8),E2215+ROW()/100000,"")</f>
        <v/>
      </c>
      <c r="J2215" s="37" t="str">
        <f t="shared" si="194"/>
        <v>KCC글라스</v>
      </c>
      <c r="K2215" s="37" t="str">
        <f t="shared" si="195"/>
        <v>A344820</v>
      </c>
    </row>
    <row r="2216" spans="1:11" x14ac:dyDescent="0.4">
      <c r="B2216" s="54" t="s">
        <v>4570</v>
      </c>
      <c r="C2216" s="37" t="s">
        <v>4571</v>
      </c>
      <c r="D2216" s="55" t="s">
        <v>820</v>
      </c>
      <c r="E2216" s="56">
        <v>19.73</v>
      </c>
      <c r="F2216" s="55">
        <v>0.55000000000000004</v>
      </c>
      <c r="G2216" s="55"/>
      <c r="J2216" s="37" t="str">
        <f t="shared" si="194"/>
        <v>이노진</v>
      </c>
      <c r="K2216" s="37" t="str">
        <f t="shared" si="195"/>
        <v>A344860</v>
      </c>
    </row>
    <row r="2217" spans="1:11" x14ac:dyDescent="0.4">
      <c r="A2217" s="49"/>
      <c r="B2217" s="54" t="s">
        <v>4572</v>
      </c>
      <c r="C2217" s="37" t="s">
        <v>4573</v>
      </c>
      <c r="D2217" s="55" t="s">
        <v>820</v>
      </c>
      <c r="E2217" s="58">
        <v>86.96</v>
      </c>
      <c r="F2217" s="57">
        <v>0.66</v>
      </c>
      <c r="G2217" s="57"/>
      <c r="H2217" s="49"/>
      <c r="I2217" s="49" t="str">
        <f t="shared" ref="I2217:I2222" si="196">IF((G2217&gt;$G$8),E2217+ROW()/100000,"")</f>
        <v/>
      </c>
      <c r="J2217" s="37" t="str">
        <f t="shared" si="194"/>
        <v>센코</v>
      </c>
      <c r="K2217" s="37" t="str">
        <f t="shared" si="195"/>
        <v>A347000</v>
      </c>
    </row>
    <row r="2218" spans="1:11" x14ac:dyDescent="0.4">
      <c r="A2218" s="49"/>
      <c r="B2218" s="54" t="s">
        <v>593</v>
      </c>
      <c r="C2218" s="37" t="s">
        <v>594</v>
      </c>
      <c r="D2218" s="55" t="s">
        <v>820</v>
      </c>
      <c r="E2218" s="58">
        <v>2024.3</v>
      </c>
      <c r="F2218" s="57">
        <v>36.6</v>
      </c>
      <c r="G2218" s="57"/>
      <c r="H2218" s="49"/>
      <c r="I2218" s="49" t="str">
        <f t="shared" si="196"/>
        <v/>
      </c>
      <c r="J2218" s="37" t="str">
        <f t="shared" si="194"/>
        <v>스피어</v>
      </c>
      <c r="K2218" s="37" t="str">
        <f t="shared" si="195"/>
        <v>A347700</v>
      </c>
    </row>
    <row r="2219" spans="1:11" x14ac:dyDescent="0.4">
      <c r="A2219" s="49"/>
      <c r="B2219" s="54" t="s">
        <v>4574</v>
      </c>
      <c r="C2219" s="37" t="s">
        <v>4575</v>
      </c>
      <c r="D2219" s="55" t="s">
        <v>820</v>
      </c>
      <c r="E2219" s="58">
        <v>71.13</v>
      </c>
      <c r="F2219" s="57">
        <v>0.22</v>
      </c>
      <c r="G2219" s="57"/>
      <c r="H2219" s="49"/>
      <c r="I2219" s="49" t="str">
        <f t="shared" si="196"/>
        <v/>
      </c>
      <c r="J2219" s="37" t="str">
        <f t="shared" si="194"/>
        <v>피엔케이피부임상연구센타</v>
      </c>
      <c r="K2219" s="37" t="str">
        <f t="shared" si="195"/>
        <v>A347740</v>
      </c>
    </row>
    <row r="2220" spans="1:11" x14ac:dyDescent="0.4">
      <c r="A2220" s="49"/>
      <c r="B2220" s="54" t="s">
        <v>4576</v>
      </c>
      <c r="C2220" s="37" t="s">
        <v>4577</v>
      </c>
      <c r="D2220" s="55" t="s">
        <v>820</v>
      </c>
      <c r="E2220" s="58">
        <v>24.71</v>
      </c>
      <c r="F2220" s="57">
        <v>0.24</v>
      </c>
      <c r="G2220" s="57"/>
      <c r="H2220" s="49"/>
      <c r="I2220" s="49" t="str">
        <f t="shared" si="196"/>
        <v/>
      </c>
      <c r="J2220" s="37" t="str">
        <f t="shared" si="194"/>
        <v>핌스</v>
      </c>
      <c r="K2220" s="37" t="str">
        <f t="shared" si="195"/>
        <v>A347770</v>
      </c>
    </row>
    <row r="2221" spans="1:11" x14ac:dyDescent="0.4">
      <c r="A2221" s="49"/>
      <c r="B2221" s="54" t="s">
        <v>37</v>
      </c>
      <c r="C2221" s="37" t="s">
        <v>38</v>
      </c>
      <c r="D2221" s="55" t="s">
        <v>820</v>
      </c>
      <c r="E2221" s="58">
        <v>4022.67</v>
      </c>
      <c r="F2221" s="57">
        <v>142.84</v>
      </c>
      <c r="G2221" s="57"/>
      <c r="H2221" s="49"/>
      <c r="I2221" s="49" t="str">
        <f t="shared" si="196"/>
        <v/>
      </c>
      <c r="J2221" s="37" t="str">
        <f t="shared" si="194"/>
        <v>디앤디파마텍</v>
      </c>
      <c r="K2221" s="37" t="str">
        <f t="shared" si="195"/>
        <v>A347850</v>
      </c>
    </row>
    <row r="2222" spans="1:11" x14ac:dyDescent="0.4">
      <c r="A2222" s="49"/>
      <c r="B2222" s="54" t="s">
        <v>4578</v>
      </c>
      <c r="C2222" s="37" t="s">
        <v>4579</v>
      </c>
      <c r="D2222" s="55" t="s">
        <v>820</v>
      </c>
      <c r="E2222" s="58">
        <v>63.68</v>
      </c>
      <c r="F2222" s="57">
        <v>1.18</v>
      </c>
      <c r="G2222" s="57"/>
      <c r="H2222" s="49"/>
      <c r="I2222" s="49" t="str">
        <f t="shared" si="196"/>
        <v/>
      </c>
      <c r="J2222" s="37" t="str">
        <f t="shared" si="194"/>
        <v>알체라</v>
      </c>
      <c r="K2222" s="37" t="str">
        <f t="shared" si="195"/>
        <v>A347860</v>
      </c>
    </row>
    <row r="2223" spans="1:11" x14ac:dyDescent="0.4">
      <c r="B2223" s="54" t="s">
        <v>4580</v>
      </c>
      <c r="C2223" s="37" t="s">
        <v>5193</v>
      </c>
      <c r="D2223" s="55" t="s">
        <v>820</v>
      </c>
      <c r="E2223" s="56">
        <v>102.66</v>
      </c>
      <c r="F2223" s="55">
        <v>0.83</v>
      </c>
      <c r="G2223" s="55"/>
      <c r="J2223" s="37" t="str">
        <f t="shared" si="194"/>
        <v>엠엑스온</v>
      </c>
      <c r="K2223" s="37" t="str">
        <f t="shared" si="195"/>
        <v>A347890</v>
      </c>
    </row>
    <row r="2224" spans="1:11" x14ac:dyDescent="0.4">
      <c r="B2224" s="54" t="s">
        <v>4581</v>
      </c>
      <c r="C2224" s="37" t="s">
        <v>4582</v>
      </c>
      <c r="D2224" s="55" t="s">
        <v>820</v>
      </c>
      <c r="E2224" s="56">
        <v>27.08</v>
      </c>
      <c r="F2224" s="55">
        <v>0.04</v>
      </c>
      <c r="G2224" s="55"/>
      <c r="J2224" s="37" t="str">
        <f t="shared" si="194"/>
        <v>모비릭스</v>
      </c>
      <c r="K2224" s="37" t="str">
        <f t="shared" si="195"/>
        <v>A348030</v>
      </c>
    </row>
    <row r="2225" spans="1:11" x14ac:dyDescent="0.4">
      <c r="A2225" s="49"/>
      <c r="B2225" s="54" t="s">
        <v>4583</v>
      </c>
      <c r="C2225" s="37" t="s">
        <v>4584</v>
      </c>
      <c r="D2225" s="55" t="s">
        <v>820</v>
      </c>
      <c r="E2225" s="59">
        <v>89.97</v>
      </c>
      <c r="F2225" s="57">
        <v>0.43</v>
      </c>
      <c r="G2225" s="57"/>
      <c r="H2225" s="49"/>
      <c r="I2225" s="49" t="str">
        <f t="shared" ref="I2225:I2238" si="197">IF((G2225&gt;$G$8),E2225+ROW()/100000,"")</f>
        <v/>
      </c>
      <c r="J2225" s="37" t="str">
        <f t="shared" si="194"/>
        <v>큐라티스</v>
      </c>
      <c r="K2225" s="37" t="str">
        <f t="shared" si="195"/>
        <v>A348080</v>
      </c>
    </row>
    <row r="2226" spans="1:11" x14ac:dyDescent="0.4">
      <c r="A2226" s="49"/>
      <c r="B2226" s="54" t="s">
        <v>4585</v>
      </c>
      <c r="C2226" s="37" t="s">
        <v>4586</v>
      </c>
      <c r="D2226" s="55" t="s">
        <v>820</v>
      </c>
      <c r="E2226" s="58">
        <v>94.28</v>
      </c>
      <c r="F2226" s="57">
        <v>2.0699999999999998</v>
      </c>
      <c r="G2226" s="57"/>
      <c r="H2226" s="49"/>
      <c r="I2226" s="49" t="str">
        <f t="shared" si="197"/>
        <v/>
      </c>
      <c r="J2226" s="37" t="str">
        <f t="shared" si="194"/>
        <v>고바이오랩</v>
      </c>
      <c r="K2226" s="37" t="str">
        <f t="shared" si="195"/>
        <v>A348150</v>
      </c>
    </row>
    <row r="2227" spans="1:11" x14ac:dyDescent="0.4">
      <c r="A2227" s="49"/>
      <c r="B2227" s="54" t="s">
        <v>4587</v>
      </c>
      <c r="C2227" s="37" t="s">
        <v>4588</v>
      </c>
      <c r="D2227" s="55" t="s">
        <v>820</v>
      </c>
      <c r="E2227" s="56">
        <v>862.26</v>
      </c>
      <c r="F2227" s="55">
        <v>7.12</v>
      </c>
      <c r="G2227" s="55">
        <v>2</v>
      </c>
      <c r="I2227" s="49">
        <f t="shared" si="197"/>
        <v>862.28227000000004</v>
      </c>
      <c r="J2227" s="37" t="str">
        <f t="shared" si="194"/>
        <v>넥스틴</v>
      </c>
      <c r="K2227" s="37" t="str">
        <f t="shared" si="195"/>
        <v>A348210</v>
      </c>
    </row>
    <row r="2228" spans="1:11" x14ac:dyDescent="0.4">
      <c r="A2228" s="49"/>
      <c r="B2228" s="54" t="s">
        <v>246</v>
      </c>
      <c r="C2228" s="37" t="s">
        <v>247</v>
      </c>
      <c r="D2228" s="55" t="s">
        <v>820</v>
      </c>
      <c r="E2228" s="58">
        <v>1009.99</v>
      </c>
      <c r="F2228" s="57">
        <v>46.64</v>
      </c>
      <c r="G2228" s="57"/>
      <c r="H2228" s="49"/>
      <c r="I2228" s="49" t="str">
        <f t="shared" si="197"/>
        <v/>
      </c>
      <c r="J2228" s="37" t="str">
        <f t="shared" si="194"/>
        <v>뉴로메카</v>
      </c>
      <c r="K2228" s="37" t="str">
        <f t="shared" si="195"/>
        <v>A348340</v>
      </c>
    </row>
    <row r="2229" spans="1:11" x14ac:dyDescent="0.4">
      <c r="A2229" s="49"/>
      <c r="B2229" s="54" t="s">
        <v>4589</v>
      </c>
      <c r="C2229" s="37" t="s">
        <v>4590</v>
      </c>
      <c r="D2229" s="55" t="s">
        <v>820</v>
      </c>
      <c r="E2229" s="58">
        <v>98.99</v>
      </c>
      <c r="F2229" s="57">
        <v>0.73</v>
      </c>
      <c r="G2229" s="57"/>
      <c r="H2229" s="49"/>
      <c r="I2229" s="49" t="str">
        <f t="shared" si="197"/>
        <v/>
      </c>
      <c r="J2229" s="37" t="str">
        <f t="shared" si="194"/>
        <v>위드텍</v>
      </c>
      <c r="K2229" s="37" t="str">
        <f t="shared" si="195"/>
        <v>A348350</v>
      </c>
    </row>
    <row r="2230" spans="1:11" x14ac:dyDescent="0.4">
      <c r="A2230" s="49"/>
      <c r="B2230" s="54" t="s">
        <v>707</v>
      </c>
      <c r="C2230" s="37" t="s">
        <v>708</v>
      </c>
      <c r="D2230" s="55" t="s">
        <v>820</v>
      </c>
      <c r="E2230" s="56">
        <v>1665.24</v>
      </c>
      <c r="F2230" s="55">
        <v>22.33</v>
      </c>
      <c r="G2230" s="55"/>
      <c r="I2230" s="49" t="str">
        <f t="shared" si="197"/>
        <v/>
      </c>
      <c r="J2230" s="37" t="str">
        <f t="shared" si="194"/>
        <v>엔켐</v>
      </c>
      <c r="K2230" s="37" t="str">
        <f t="shared" si="195"/>
        <v>A348370</v>
      </c>
    </row>
    <row r="2231" spans="1:11" x14ac:dyDescent="0.4">
      <c r="A2231" s="49"/>
      <c r="B2231" s="54" t="s">
        <v>4591</v>
      </c>
      <c r="C2231" s="37" t="s">
        <v>4592</v>
      </c>
      <c r="D2231" s="55" t="s">
        <v>820</v>
      </c>
      <c r="E2231" s="58">
        <v>40.299999999999997</v>
      </c>
      <c r="F2231" s="57">
        <v>0.25</v>
      </c>
      <c r="G2231" s="57"/>
      <c r="H2231" s="49"/>
      <c r="I2231" s="49" t="str">
        <f t="shared" si="197"/>
        <v/>
      </c>
      <c r="J2231" s="37" t="str">
        <f t="shared" si="194"/>
        <v>넥사다이내믹스</v>
      </c>
      <c r="K2231" s="37" t="str">
        <f t="shared" si="195"/>
        <v>A351320</v>
      </c>
    </row>
    <row r="2232" spans="1:11" x14ac:dyDescent="0.4">
      <c r="A2232" s="49"/>
      <c r="B2232" s="54" t="s">
        <v>4593</v>
      </c>
      <c r="C2232" s="37" t="s">
        <v>4594</v>
      </c>
      <c r="D2232" s="55" t="s">
        <v>820</v>
      </c>
      <c r="E2232" s="58">
        <v>68.709999999999994</v>
      </c>
      <c r="F2232" s="57">
        <v>4.49</v>
      </c>
      <c r="G2232" s="57"/>
      <c r="H2232" s="49"/>
      <c r="I2232" s="49" t="str">
        <f t="shared" si="197"/>
        <v/>
      </c>
      <c r="J2232" s="37" t="str">
        <f t="shared" si="194"/>
        <v>이삭엔지니어링</v>
      </c>
      <c r="K2232" s="37" t="str">
        <f t="shared" si="195"/>
        <v>A351330</v>
      </c>
    </row>
    <row r="2233" spans="1:11" x14ac:dyDescent="0.4">
      <c r="A2233" s="49"/>
      <c r="B2233" s="54" t="s">
        <v>4595</v>
      </c>
      <c r="C2233" s="37" t="s">
        <v>4596</v>
      </c>
      <c r="D2233" s="55" t="s">
        <v>820</v>
      </c>
      <c r="E2233" s="58">
        <v>48.49</v>
      </c>
      <c r="F2233" s="57">
        <v>0.18</v>
      </c>
      <c r="G2233" s="57"/>
      <c r="H2233" s="49"/>
      <c r="I2233" s="49" t="str">
        <f t="shared" si="197"/>
        <v/>
      </c>
      <c r="J2233" s="37" t="str">
        <f t="shared" si="194"/>
        <v>차이커뮤니케이션</v>
      </c>
      <c r="K2233" s="37" t="str">
        <f t="shared" si="195"/>
        <v>A351870</v>
      </c>
    </row>
    <row r="2234" spans="1:11" x14ac:dyDescent="0.4">
      <c r="A2234" s="49"/>
      <c r="B2234" s="54" t="s">
        <v>4597</v>
      </c>
      <c r="C2234" s="37" t="s">
        <v>4598</v>
      </c>
      <c r="D2234" s="55" t="s">
        <v>820</v>
      </c>
      <c r="E2234" s="56">
        <v>99.03</v>
      </c>
      <c r="F2234" s="55">
        <v>0.2</v>
      </c>
      <c r="G2234" s="55"/>
      <c r="I2234" s="49" t="str">
        <f t="shared" si="197"/>
        <v/>
      </c>
      <c r="J2234" s="37" t="str">
        <f t="shared" si="194"/>
        <v>스톰테크</v>
      </c>
      <c r="K2234" s="37" t="str">
        <f t="shared" si="195"/>
        <v>A352090</v>
      </c>
    </row>
    <row r="2235" spans="1:11" x14ac:dyDescent="0.4">
      <c r="A2235" s="49"/>
      <c r="B2235" s="54" t="s">
        <v>4599</v>
      </c>
      <c r="C2235" s="37" t="s">
        <v>4600</v>
      </c>
      <c r="D2235" s="55" t="s">
        <v>820</v>
      </c>
      <c r="E2235" s="58">
        <v>418.44</v>
      </c>
      <c r="F2235" s="57">
        <v>1.5</v>
      </c>
      <c r="G2235" s="57">
        <v>2</v>
      </c>
      <c r="H2235" s="49"/>
      <c r="I2235" s="49">
        <f t="shared" si="197"/>
        <v>418.46235000000001</v>
      </c>
      <c r="J2235" s="37" t="str">
        <f t="shared" si="194"/>
        <v>씨앤씨인터내셔널</v>
      </c>
      <c r="K2235" s="37" t="str">
        <f t="shared" si="195"/>
        <v>A352480</v>
      </c>
    </row>
    <row r="2236" spans="1:11" x14ac:dyDescent="0.4">
      <c r="A2236" s="49"/>
      <c r="B2236" s="54" t="s">
        <v>4601</v>
      </c>
      <c r="C2236" s="37" t="s">
        <v>4602</v>
      </c>
      <c r="D2236" s="55" t="s">
        <v>820</v>
      </c>
      <c r="E2236" s="58">
        <v>55.58</v>
      </c>
      <c r="F2236" s="57">
        <v>0.13</v>
      </c>
      <c r="G2236" s="57"/>
      <c r="H2236" s="49"/>
      <c r="I2236" s="49" t="str">
        <f t="shared" si="197"/>
        <v/>
      </c>
      <c r="J2236" s="37" t="str">
        <f t="shared" si="194"/>
        <v>씨앤투스</v>
      </c>
      <c r="K2236" s="37" t="str">
        <f t="shared" si="195"/>
        <v>A352700</v>
      </c>
    </row>
    <row r="2237" spans="1:11" x14ac:dyDescent="0.4">
      <c r="A2237" s="49"/>
      <c r="B2237" s="54" t="s">
        <v>4603</v>
      </c>
      <c r="C2237" s="37" t="s">
        <v>4604</v>
      </c>
      <c r="D2237" s="55" t="s">
        <v>820</v>
      </c>
      <c r="E2237" s="58">
        <v>13.61</v>
      </c>
      <c r="F2237" s="57">
        <v>0</v>
      </c>
      <c r="G2237" s="57"/>
      <c r="H2237" s="49"/>
      <c r="I2237" s="49" t="str">
        <f t="shared" si="197"/>
        <v/>
      </c>
      <c r="J2237" s="37" t="str">
        <f t="shared" si="194"/>
        <v>셀레스트라</v>
      </c>
      <c r="K2237" s="37" t="str">
        <f t="shared" si="195"/>
        <v>A352770</v>
      </c>
    </row>
    <row r="2238" spans="1:11" x14ac:dyDescent="0.4">
      <c r="A2238" s="49"/>
      <c r="B2238" s="54" t="s">
        <v>229</v>
      </c>
      <c r="C2238" s="37" t="s">
        <v>230</v>
      </c>
      <c r="D2238" s="55" t="s">
        <v>805</v>
      </c>
      <c r="E2238" s="58">
        <v>16677.8</v>
      </c>
      <c r="F2238" s="57">
        <v>100.51</v>
      </c>
      <c r="G2238" s="57">
        <v>17</v>
      </c>
      <c r="H2238" s="49"/>
      <c r="I2238" s="49">
        <f t="shared" si="197"/>
        <v>16677.822379999998</v>
      </c>
      <c r="J2238" s="37" t="str">
        <f t="shared" si="194"/>
        <v>하이브</v>
      </c>
      <c r="K2238" s="37" t="str">
        <f t="shared" si="195"/>
        <v>A352820</v>
      </c>
    </row>
    <row r="2239" spans="1:11" x14ac:dyDescent="0.4">
      <c r="B2239" s="54" t="s">
        <v>4605</v>
      </c>
      <c r="C2239" s="37" t="s">
        <v>4606</v>
      </c>
      <c r="D2239" s="55" t="s">
        <v>820</v>
      </c>
      <c r="E2239" s="56">
        <v>60.47</v>
      </c>
      <c r="F2239" s="55">
        <v>0.44</v>
      </c>
      <c r="G2239" s="55"/>
      <c r="J2239" s="37" t="str">
        <f t="shared" si="194"/>
        <v>오비고</v>
      </c>
      <c r="K2239" s="37" t="str">
        <f t="shared" si="195"/>
        <v>A352910</v>
      </c>
    </row>
    <row r="2240" spans="1:11" x14ac:dyDescent="0.4">
      <c r="A2240" s="49"/>
      <c r="B2240" s="54" t="s">
        <v>4607</v>
      </c>
      <c r="C2240" s="37" t="s">
        <v>4608</v>
      </c>
      <c r="D2240" s="55" t="s">
        <v>820</v>
      </c>
      <c r="E2240" s="58">
        <v>23.31</v>
      </c>
      <c r="F2240" s="57">
        <v>0.03</v>
      </c>
      <c r="G2240" s="57"/>
      <c r="H2240" s="49"/>
      <c r="I2240" s="49" t="str">
        <f t="shared" ref="I2240:I2251" si="198">IF((G2240&gt;$G$8),E2240+ROW()/100000,"")</f>
        <v/>
      </c>
      <c r="J2240" s="37" t="str">
        <f t="shared" si="194"/>
        <v>인바이오</v>
      </c>
      <c r="K2240" s="37" t="str">
        <f t="shared" si="195"/>
        <v>A352940</v>
      </c>
    </row>
    <row r="2241" spans="1:11" x14ac:dyDescent="0.4">
      <c r="A2241" s="49"/>
      <c r="B2241" s="54" t="s">
        <v>4609</v>
      </c>
      <c r="C2241" s="37" t="s">
        <v>4610</v>
      </c>
      <c r="D2241" s="55" t="s">
        <v>820</v>
      </c>
      <c r="E2241" s="58">
        <v>29.3</v>
      </c>
      <c r="F2241" s="57">
        <v>0.08</v>
      </c>
      <c r="G2241" s="57"/>
      <c r="H2241" s="49"/>
      <c r="I2241" s="49" t="str">
        <f t="shared" si="198"/>
        <v/>
      </c>
      <c r="J2241" s="37" t="str">
        <f t="shared" si="194"/>
        <v>휴럼</v>
      </c>
      <c r="K2241" s="37" t="str">
        <f t="shared" si="195"/>
        <v>A353190</v>
      </c>
    </row>
    <row r="2242" spans="1:11" x14ac:dyDescent="0.4">
      <c r="A2242" s="49"/>
      <c r="B2242" s="54" t="s">
        <v>355</v>
      </c>
      <c r="C2242" s="37" t="s">
        <v>356</v>
      </c>
      <c r="D2242" s="55" t="s">
        <v>805</v>
      </c>
      <c r="E2242" s="58">
        <v>3093.5</v>
      </c>
      <c r="F2242" s="57">
        <v>67.08</v>
      </c>
      <c r="G2242" s="57">
        <v>12</v>
      </c>
      <c r="H2242" s="49"/>
      <c r="I2242" s="49">
        <f t="shared" si="198"/>
        <v>3093.5224199999998</v>
      </c>
      <c r="J2242" s="37" t="str">
        <f t="shared" si="194"/>
        <v>대덕전자</v>
      </c>
      <c r="K2242" s="37" t="str">
        <f t="shared" si="195"/>
        <v>A353200</v>
      </c>
    </row>
    <row r="2243" spans="1:11" x14ac:dyDescent="0.4">
      <c r="A2243" s="49"/>
      <c r="B2243" s="54" t="s">
        <v>4611</v>
      </c>
      <c r="C2243" s="37" t="s">
        <v>4612</v>
      </c>
      <c r="D2243" s="55" t="s">
        <v>820</v>
      </c>
      <c r="E2243" s="58">
        <v>39.14</v>
      </c>
      <c r="F2243" s="57">
        <v>0.82</v>
      </c>
      <c r="G2243" s="57"/>
      <c r="H2243" s="49"/>
      <c r="I2243" s="49" t="str">
        <f t="shared" si="198"/>
        <v/>
      </c>
      <c r="J2243" s="37" t="str">
        <f t="shared" si="194"/>
        <v>오토앤</v>
      </c>
      <c r="K2243" s="37" t="str">
        <f t="shared" si="195"/>
        <v>A353590</v>
      </c>
    </row>
    <row r="2244" spans="1:11" x14ac:dyDescent="0.4">
      <c r="A2244" s="49"/>
      <c r="B2244" s="54" t="s">
        <v>4613</v>
      </c>
      <c r="C2244" s="37" t="s">
        <v>4614</v>
      </c>
      <c r="D2244" s="55" t="s">
        <v>820</v>
      </c>
      <c r="E2244" s="58">
        <v>242.49</v>
      </c>
      <c r="F2244" s="57">
        <v>1.78</v>
      </c>
      <c r="G2244" s="57">
        <v>2</v>
      </c>
      <c r="H2244" s="49"/>
      <c r="I2244" s="49">
        <f t="shared" si="198"/>
        <v>242.51244</v>
      </c>
      <c r="J2244" s="37" t="str">
        <f t="shared" si="194"/>
        <v>이지바이오</v>
      </c>
      <c r="K2244" s="37" t="str">
        <f t="shared" si="195"/>
        <v>A353810</v>
      </c>
    </row>
    <row r="2245" spans="1:11" x14ac:dyDescent="0.4">
      <c r="A2245" s="49"/>
      <c r="B2245" s="54" t="s">
        <v>4615</v>
      </c>
      <c r="C2245" s="37" t="s">
        <v>4616</v>
      </c>
      <c r="D2245" s="55" t="s">
        <v>820</v>
      </c>
      <c r="E2245" s="56">
        <v>52.21</v>
      </c>
      <c r="F2245" s="55">
        <v>1</v>
      </c>
      <c r="G2245" s="55"/>
      <c r="I2245" s="49" t="str">
        <f t="shared" si="198"/>
        <v/>
      </c>
      <c r="J2245" s="37" t="str">
        <f t="shared" si="194"/>
        <v>엔젠바이오</v>
      </c>
      <c r="K2245" s="37" t="str">
        <f t="shared" si="195"/>
        <v>A354200</v>
      </c>
    </row>
    <row r="2246" spans="1:11" x14ac:dyDescent="0.4">
      <c r="A2246" s="49"/>
      <c r="B2246" s="54" t="s">
        <v>4617</v>
      </c>
      <c r="C2246" s="37" t="s">
        <v>4618</v>
      </c>
      <c r="D2246" s="55" t="s">
        <v>820</v>
      </c>
      <c r="E2246" s="58">
        <v>329.16</v>
      </c>
      <c r="F2246" s="57">
        <v>5.07</v>
      </c>
      <c r="G2246" s="57">
        <v>2</v>
      </c>
      <c r="H2246" s="49"/>
      <c r="I2246" s="49">
        <f t="shared" si="198"/>
        <v>329.18246000000005</v>
      </c>
      <c r="J2246" s="37" t="str">
        <f t="shared" si="194"/>
        <v>알멕</v>
      </c>
      <c r="K2246" s="37" t="str">
        <f t="shared" si="195"/>
        <v>A354320</v>
      </c>
    </row>
    <row r="2247" spans="1:11" x14ac:dyDescent="0.4">
      <c r="A2247" s="49"/>
      <c r="B2247" s="54" t="s">
        <v>4619</v>
      </c>
      <c r="C2247" s="37" t="s">
        <v>4620</v>
      </c>
      <c r="D2247" s="55" t="s">
        <v>820</v>
      </c>
      <c r="E2247" s="58">
        <v>162.18</v>
      </c>
      <c r="F2247" s="57">
        <v>1.96</v>
      </c>
      <c r="G2247" s="57">
        <v>1</v>
      </c>
      <c r="H2247" s="49"/>
      <c r="I2247" s="49">
        <f t="shared" si="198"/>
        <v>162.20247000000001</v>
      </c>
      <c r="J2247" s="37" t="str">
        <f t="shared" si="194"/>
        <v>코스텍시스</v>
      </c>
      <c r="K2247" s="37" t="str">
        <f t="shared" si="195"/>
        <v>A355150</v>
      </c>
    </row>
    <row r="2248" spans="1:11" x14ac:dyDescent="0.4">
      <c r="A2248" s="49"/>
      <c r="B2248" s="54" t="s">
        <v>4621</v>
      </c>
      <c r="C2248" s="37" t="s">
        <v>4622</v>
      </c>
      <c r="D2248" s="55" t="s">
        <v>820</v>
      </c>
      <c r="E2248" s="58">
        <v>43.37</v>
      </c>
      <c r="F2248" s="57">
        <v>0.89</v>
      </c>
      <c r="G2248" s="57"/>
      <c r="H2248" s="49"/>
      <c r="I2248" s="49" t="str">
        <f t="shared" si="198"/>
        <v/>
      </c>
      <c r="J2248" s="37" t="str">
        <f t="shared" si="194"/>
        <v>크라우드웍스</v>
      </c>
      <c r="K2248" s="37" t="str">
        <f t="shared" si="195"/>
        <v>A355390</v>
      </c>
    </row>
    <row r="2249" spans="1:11" x14ac:dyDescent="0.4">
      <c r="A2249" s="49"/>
      <c r="B2249" s="54" t="s">
        <v>4623</v>
      </c>
      <c r="C2249" s="37" t="s">
        <v>4624</v>
      </c>
      <c r="D2249" s="55" t="s">
        <v>820</v>
      </c>
      <c r="E2249" s="58">
        <v>26.65</v>
      </c>
      <c r="F2249" s="57">
        <v>0.62</v>
      </c>
      <c r="G2249" s="57"/>
      <c r="H2249" s="49"/>
      <c r="I2249" s="49" t="str">
        <f t="shared" si="198"/>
        <v/>
      </c>
      <c r="J2249" s="37" t="str">
        <f t="shared" si="194"/>
        <v>에이텀</v>
      </c>
      <c r="K2249" s="37" t="str">
        <f t="shared" si="195"/>
        <v>A355690</v>
      </c>
    </row>
    <row r="2250" spans="1:11" x14ac:dyDescent="0.4">
      <c r="A2250" s="49"/>
      <c r="B2250" s="54" t="s">
        <v>4625</v>
      </c>
      <c r="C2250" s="37" t="s">
        <v>4626</v>
      </c>
      <c r="D2250" s="55" t="s">
        <v>820</v>
      </c>
      <c r="E2250" s="56">
        <v>232.91</v>
      </c>
      <c r="F2250" s="55">
        <v>14.15</v>
      </c>
      <c r="G2250" s="55"/>
      <c r="I2250" s="49" t="str">
        <f t="shared" si="198"/>
        <v/>
      </c>
      <c r="J2250" s="37" t="str">
        <f t="shared" si="194"/>
        <v>엑스게이트</v>
      </c>
      <c r="K2250" s="37" t="str">
        <f t="shared" si="195"/>
        <v>A356680</v>
      </c>
    </row>
    <row r="2251" spans="1:11" x14ac:dyDescent="0.4">
      <c r="A2251" s="49"/>
      <c r="B2251" s="54" t="s">
        <v>4627</v>
      </c>
      <c r="C2251" s="37" t="s">
        <v>4628</v>
      </c>
      <c r="D2251" s="55" t="s">
        <v>820</v>
      </c>
      <c r="E2251" s="56">
        <v>595.86</v>
      </c>
      <c r="F2251" s="55">
        <v>26.29</v>
      </c>
      <c r="G2251" s="55">
        <v>10</v>
      </c>
      <c r="I2251" s="49">
        <f t="shared" si="198"/>
        <v>595.88251000000002</v>
      </c>
      <c r="J2251" s="37" t="str">
        <f t="shared" si="194"/>
        <v>티엘비</v>
      </c>
      <c r="K2251" s="37" t="str">
        <f t="shared" si="195"/>
        <v>A356860</v>
      </c>
    </row>
    <row r="2252" spans="1:11" x14ac:dyDescent="0.4">
      <c r="B2252" s="54" t="s">
        <v>4629</v>
      </c>
      <c r="C2252" s="37" t="s">
        <v>4630</v>
      </c>
      <c r="D2252" s="55" t="s">
        <v>820</v>
      </c>
      <c r="E2252" s="56">
        <v>41.6</v>
      </c>
      <c r="F2252" s="55">
        <v>7.38</v>
      </c>
      <c r="G2252" s="55"/>
      <c r="J2252" s="37" t="str">
        <f t="shared" si="194"/>
        <v>싸이버원</v>
      </c>
      <c r="K2252" s="37" t="str">
        <f t="shared" si="195"/>
        <v>A356890</v>
      </c>
    </row>
    <row r="2253" spans="1:11" x14ac:dyDescent="0.4">
      <c r="A2253" s="49"/>
      <c r="B2253" s="54" t="s">
        <v>4631</v>
      </c>
      <c r="C2253" s="37" t="s">
        <v>4632</v>
      </c>
      <c r="D2253" s="55" t="s">
        <v>820</v>
      </c>
      <c r="E2253" s="58">
        <v>104.27</v>
      </c>
      <c r="F2253" s="57">
        <v>0.24</v>
      </c>
      <c r="G2253" s="57"/>
      <c r="H2253" s="49"/>
      <c r="I2253" s="49" t="str">
        <f>IF((G2253&gt;$G$8),E2253+ROW()/100000,"")</f>
        <v/>
      </c>
      <c r="J2253" s="37" t="str">
        <f t="shared" si="194"/>
        <v>에이치피오</v>
      </c>
      <c r="K2253" s="37" t="str">
        <f t="shared" si="195"/>
        <v>A357230</v>
      </c>
    </row>
    <row r="2254" spans="1:11" x14ac:dyDescent="0.4">
      <c r="A2254" s="49"/>
      <c r="B2254" s="54" t="s">
        <v>4633</v>
      </c>
      <c r="C2254" s="37" t="s">
        <v>4634</v>
      </c>
      <c r="D2254" s="55" t="s">
        <v>820</v>
      </c>
      <c r="E2254" s="58">
        <v>316.39</v>
      </c>
      <c r="F2254" s="57">
        <v>1.1499999999999999</v>
      </c>
      <c r="G2254" s="57"/>
      <c r="H2254" s="49"/>
      <c r="I2254" s="49" t="str">
        <f>IF((G2254&gt;$G$8),E2254+ROW()/100000,"")</f>
        <v/>
      </c>
      <c r="J2254" s="37" t="str">
        <f t="shared" ref="J2254:J2317" si="199">C2254</f>
        <v>석경에이티</v>
      </c>
      <c r="K2254" s="37" t="str">
        <f t="shared" ref="K2254:K2317" si="200">B2254</f>
        <v>A357550</v>
      </c>
    </row>
    <row r="2255" spans="1:11" x14ac:dyDescent="0.4">
      <c r="A2255" s="49"/>
      <c r="B2255" s="54" t="s">
        <v>477</v>
      </c>
      <c r="C2255" s="37" t="s">
        <v>478</v>
      </c>
      <c r="D2255" s="55" t="s">
        <v>820</v>
      </c>
      <c r="E2255" s="58">
        <v>193.23</v>
      </c>
      <c r="F2255" s="57">
        <v>2.2599999999999998</v>
      </c>
      <c r="G2255" s="57">
        <v>1</v>
      </c>
      <c r="H2255" s="49"/>
      <c r="I2255" s="49">
        <f>IF((G2255&gt;$G$8),E2255+ROW()/100000,"")</f>
        <v>193.25254999999999</v>
      </c>
      <c r="J2255" s="37" t="str">
        <f t="shared" si="199"/>
        <v>아모센스</v>
      </c>
      <c r="K2255" s="37" t="str">
        <f t="shared" si="200"/>
        <v>A357580</v>
      </c>
    </row>
    <row r="2256" spans="1:11" x14ac:dyDescent="0.4">
      <c r="A2256" s="49"/>
      <c r="B2256" s="54" t="s">
        <v>359</v>
      </c>
      <c r="C2256" s="37" t="s">
        <v>360</v>
      </c>
      <c r="D2256" s="55" t="s">
        <v>820</v>
      </c>
      <c r="E2256" s="58">
        <v>3465.35</v>
      </c>
      <c r="F2256" s="57">
        <v>16.37</v>
      </c>
      <c r="G2256" s="57">
        <v>6</v>
      </c>
      <c r="H2256" s="49"/>
      <c r="I2256" s="49">
        <f>IF((G2256&gt;$G$8),E2256+ROW()/100000,"")</f>
        <v>3465.3725599999998</v>
      </c>
      <c r="J2256" s="37" t="str">
        <f t="shared" si="199"/>
        <v>솔브레인</v>
      </c>
      <c r="K2256" s="37" t="str">
        <f t="shared" si="200"/>
        <v>A357780</v>
      </c>
    </row>
    <row r="2257" spans="1:11" x14ac:dyDescent="0.4">
      <c r="B2257" s="54" t="s">
        <v>4635</v>
      </c>
      <c r="C2257" s="37" t="s">
        <v>4636</v>
      </c>
      <c r="D2257" s="55" t="s">
        <v>820</v>
      </c>
      <c r="E2257" s="56">
        <v>109.27</v>
      </c>
      <c r="F2257" s="55">
        <v>3.31</v>
      </c>
      <c r="G2257" s="55"/>
      <c r="J2257" s="37" t="str">
        <f t="shared" si="199"/>
        <v>SKAI</v>
      </c>
      <c r="K2257" s="37" t="str">
        <f t="shared" si="200"/>
        <v>A357880</v>
      </c>
    </row>
    <row r="2258" spans="1:11" x14ac:dyDescent="0.4">
      <c r="A2258" s="49"/>
      <c r="B2258" s="54" t="s">
        <v>4637</v>
      </c>
      <c r="C2258" s="37" t="s">
        <v>4638</v>
      </c>
      <c r="D2258" s="55" t="s">
        <v>820</v>
      </c>
      <c r="E2258" s="58">
        <v>1034.4000000000001</v>
      </c>
      <c r="F2258" s="57">
        <v>13.28</v>
      </c>
      <c r="G2258" s="57"/>
      <c r="H2258" s="49"/>
      <c r="I2258" s="49" t="str">
        <f>IF((G2258&gt;$G$8),E2258+ROW()/100000,"")</f>
        <v/>
      </c>
      <c r="J2258" s="37" t="str">
        <f t="shared" si="199"/>
        <v>지아이이노베이션</v>
      </c>
      <c r="K2258" s="37" t="str">
        <f t="shared" si="200"/>
        <v>A358570</v>
      </c>
    </row>
    <row r="2259" spans="1:11" x14ac:dyDescent="0.4">
      <c r="A2259" s="49"/>
      <c r="B2259" s="54" t="s">
        <v>4639</v>
      </c>
      <c r="C2259" s="37" t="s">
        <v>4640</v>
      </c>
      <c r="D2259" s="55" t="s">
        <v>820</v>
      </c>
      <c r="E2259" s="56">
        <v>49.71</v>
      </c>
      <c r="F2259" s="56">
        <v>0.84</v>
      </c>
      <c r="G2259" s="55"/>
      <c r="I2259" s="49" t="str">
        <f>IF((G2259&gt;$G$8),E2259+ROW()/100000,"")</f>
        <v/>
      </c>
      <c r="J2259" s="37" t="str">
        <f t="shared" si="199"/>
        <v>씨엔알리서치</v>
      </c>
      <c r="K2259" s="37" t="str">
        <f t="shared" si="200"/>
        <v>A359090</v>
      </c>
    </row>
    <row r="2260" spans="1:11" x14ac:dyDescent="0.4">
      <c r="A2260" s="49"/>
      <c r="B2260" s="54" t="s">
        <v>4641</v>
      </c>
      <c r="C2260" s="37" t="s">
        <v>4642</v>
      </c>
      <c r="D2260" s="55" t="s">
        <v>820</v>
      </c>
      <c r="E2260" s="58">
        <v>161.08000000000001</v>
      </c>
      <c r="F2260" s="57">
        <v>0.88</v>
      </c>
      <c r="G2260" s="57"/>
      <c r="H2260" s="49"/>
      <c r="I2260" s="49" t="str">
        <f>IF((G2260&gt;$G$8),E2260+ROW()/100000,"")</f>
        <v/>
      </c>
      <c r="J2260" s="37" t="str">
        <f t="shared" si="199"/>
        <v>탑머티리얼</v>
      </c>
      <c r="K2260" s="37" t="str">
        <f t="shared" si="200"/>
        <v>A360070</v>
      </c>
    </row>
    <row r="2261" spans="1:11" x14ac:dyDescent="0.4">
      <c r="B2261" s="54" t="s">
        <v>4643</v>
      </c>
      <c r="C2261" s="37" t="s">
        <v>4644</v>
      </c>
      <c r="D2261" s="55" t="s">
        <v>820</v>
      </c>
      <c r="E2261" s="56">
        <v>44.05</v>
      </c>
      <c r="F2261" s="55">
        <v>0.13</v>
      </c>
      <c r="G2261" s="55"/>
      <c r="J2261" s="37" t="str">
        <f t="shared" si="199"/>
        <v>코셈</v>
      </c>
      <c r="K2261" s="37" t="str">
        <f t="shared" si="200"/>
        <v>A360350</v>
      </c>
    </row>
    <row r="2262" spans="1:11" x14ac:dyDescent="0.4">
      <c r="A2262" s="49"/>
      <c r="B2262" s="54" t="s">
        <v>4645</v>
      </c>
      <c r="C2262" s="37" t="s">
        <v>4646</v>
      </c>
      <c r="D2262" s="55" t="s">
        <v>820</v>
      </c>
      <c r="E2262" s="58">
        <v>254.86</v>
      </c>
      <c r="F2262" s="57">
        <v>7.33</v>
      </c>
      <c r="G2262" s="57">
        <v>1</v>
      </c>
      <c r="H2262" s="49"/>
      <c r="I2262" s="49">
        <f>IF((G2262&gt;$G$8),E2262+ROW()/100000,"")</f>
        <v>254.88262</v>
      </c>
      <c r="J2262" s="37" t="str">
        <f t="shared" si="199"/>
        <v>제노코</v>
      </c>
      <c r="K2262" s="37" t="str">
        <f t="shared" si="200"/>
        <v>A361390</v>
      </c>
    </row>
    <row r="2263" spans="1:11" x14ac:dyDescent="0.4">
      <c r="A2263" s="49"/>
      <c r="B2263" s="54" t="s">
        <v>4647</v>
      </c>
      <c r="C2263" s="37" t="s">
        <v>4648</v>
      </c>
      <c r="D2263" s="55" t="s">
        <v>820</v>
      </c>
      <c r="E2263" s="58">
        <v>57.49</v>
      </c>
      <c r="F2263" s="57">
        <v>0.82</v>
      </c>
      <c r="G2263" s="57"/>
      <c r="H2263" s="49"/>
      <c r="I2263" s="49" t="str">
        <f>IF((G2263&gt;$G$8),E2263+ROW()/100000,"")</f>
        <v/>
      </c>
      <c r="J2263" s="37" t="str">
        <f t="shared" si="199"/>
        <v>알비더블유</v>
      </c>
      <c r="K2263" s="37" t="str">
        <f t="shared" si="200"/>
        <v>A361570</v>
      </c>
    </row>
    <row r="2264" spans="1:11" x14ac:dyDescent="0.4">
      <c r="B2264" s="54" t="s">
        <v>4649</v>
      </c>
      <c r="C2264" s="37" t="s">
        <v>4650</v>
      </c>
      <c r="D2264" s="55" t="s">
        <v>805</v>
      </c>
      <c r="E2264" s="56">
        <v>2216.4299999999998</v>
      </c>
      <c r="F2264" s="55">
        <v>5.16</v>
      </c>
      <c r="G2264" s="55">
        <v>9</v>
      </c>
      <c r="J2264" s="37" t="str">
        <f t="shared" si="199"/>
        <v>SK아이이테크놀로지</v>
      </c>
      <c r="K2264" s="37" t="str">
        <f t="shared" si="200"/>
        <v>A361610</v>
      </c>
    </row>
    <row r="2265" spans="1:11" x14ac:dyDescent="0.4">
      <c r="A2265" s="49"/>
      <c r="B2265" s="54" t="s">
        <v>4651</v>
      </c>
      <c r="C2265" s="37" t="s">
        <v>4652</v>
      </c>
      <c r="D2265" s="55" t="s">
        <v>820</v>
      </c>
      <c r="E2265" s="56">
        <v>17.23</v>
      </c>
      <c r="F2265" s="55">
        <v>0.06</v>
      </c>
      <c r="G2265" s="55"/>
      <c r="I2265" s="49" t="str">
        <f>IF((G2265&gt;$G$8),E2265+ROW()/100000,"")</f>
        <v/>
      </c>
      <c r="J2265" s="37" t="str">
        <f t="shared" si="199"/>
        <v>삼영에스앤씨</v>
      </c>
      <c r="K2265" s="37" t="str">
        <f t="shared" si="200"/>
        <v>A361670</v>
      </c>
    </row>
    <row r="2266" spans="1:11" x14ac:dyDescent="0.4">
      <c r="A2266" s="49"/>
      <c r="B2266" s="54" t="s">
        <v>4653</v>
      </c>
      <c r="C2266" s="37" t="s">
        <v>4654</v>
      </c>
      <c r="D2266" s="55" t="s">
        <v>820</v>
      </c>
      <c r="E2266" s="58">
        <v>116.12</v>
      </c>
      <c r="F2266" s="57">
        <v>5.42</v>
      </c>
      <c r="G2266" s="57"/>
      <c r="H2266" s="49"/>
      <c r="I2266" s="49" t="str">
        <f>IF((G2266&gt;$G$8),E2266+ROW()/100000,"")</f>
        <v/>
      </c>
      <c r="J2266" s="37" t="str">
        <f t="shared" si="199"/>
        <v>청담글로벌</v>
      </c>
      <c r="K2266" s="37" t="str">
        <f t="shared" si="200"/>
        <v>A362320</v>
      </c>
    </row>
    <row r="2267" spans="1:11" x14ac:dyDescent="0.4">
      <c r="A2267" s="49"/>
      <c r="B2267" s="54" t="s">
        <v>4655</v>
      </c>
      <c r="C2267" s="37" t="s">
        <v>4656</v>
      </c>
      <c r="D2267" s="55" t="s">
        <v>820</v>
      </c>
      <c r="E2267" s="56">
        <v>26.56</v>
      </c>
      <c r="F2267" s="55">
        <v>0.21</v>
      </c>
      <c r="G2267" s="55"/>
      <c r="J2267" s="37" t="str">
        <f t="shared" si="199"/>
        <v>드림인사이트</v>
      </c>
      <c r="K2267" s="37" t="str">
        <f t="shared" si="200"/>
        <v>A362990</v>
      </c>
    </row>
    <row r="2268" spans="1:11" x14ac:dyDescent="0.4">
      <c r="B2268" s="54" t="s">
        <v>4657</v>
      </c>
      <c r="C2268" s="37" t="s">
        <v>4658</v>
      </c>
      <c r="D2268" s="55" t="s">
        <v>820</v>
      </c>
      <c r="E2268" s="56">
        <v>39.65</v>
      </c>
      <c r="F2268" s="55">
        <v>0.33</v>
      </c>
      <c r="G2268" s="55"/>
      <c r="J2268" s="37" t="str">
        <f t="shared" si="199"/>
        <v>진시스템</v>
      </c>
      <c r="K2268" s="37" t="str">
        <f t="shared" si="200"/>
        <v>A363250</v>
      </c>
    </row>
    <row r="2269" spans="1:11" x14ac:dyDescent="0.4">
      <c r="A2269" s="49"/>
      <c r="B2269" s="54" t="s">
        <v>4659</v>
      </c>
      <c r="C2269" s="37" t="s">
        <v>4660</v>
      </c>
      <c r="D2269" s="55" t="s">
        <v>820</v>
      </c>
      <c r="E2269" s="58">
        <v>50.18</v>
      </c>
      <c r="F2269" s="57">
        <v>1.65</v>
      </c>
      <c r="G2269" s="57"/>
      <c r="H2269" s="49"/>
      <c r="I2269" s="49" t="str">
        <f t="shared" ref="I2269:I2289" si="201">IF((G2269&gt;$G$8),E2269+ROW()/100000,"")</f>
        <v/>
      </c>
      <c r="J2269" s="37" t="str">
        <f t="shared" si="199"/>
        <v>모비데이즈</v>
      </c>
      <c r="K2269" s="37" t="str">
        <f t="shared" si="200"/>
        <v>A363260</v>
      </c>
    </row>
    <row r="2270" spans="1:11" x14ac:dyDescent="0.4">
      <c r="A2270" s="49"/>
      <c r="B2270" s="54" t="s">
        <v>4661</v>
      </c>
      <c r="C2270" s="37" t="s">
        <v>4662</v>
      </c>
      <c r="D2270" s="55" t="s">
        <v>805</v>
      </c>
      <c r="E2270" s="58">
        <v>154.57</v>
      </c>
      <c r="F2270" s="57">
        <v>0.2</v>
      </c>
      <c r="G2270" s="57"/>
      <c r="H2270" s="49"/>
      <c r="I2270" s="49" t="str">
        <f t="shared" si="201"/>
        <v/>
      </c>
      <c r="J2270" s="37" t="str">
        <f t="shared" si="199"/>
        <v>티와이홀딩스</v>
      </c>
      <c r="K2270" s="37" t="str">
        <f t="shared" si="200"/>
        <v>A363280</v>
      </c>
    </row>
    <row r="2271" spans="1:11" x14ac:dyDescent="0.4">
      <c r="A2271" s="49"/>
      <c r="B2271" s="54" t="s">
        <v>4663</v>
      </c>
      <c r="C2271" s="37" t="s">
        <v>4664</v>
      </c>
      <c r="D2271" s="55" t="s">
        <v>820</v>
      </c>
      <c r="E2271" s="58">
        <v>54.76</v>
      </c>
      <c r="F2271" s="57">
        <v>7.12</v>
      </c>
      <c r="G2271" s="57"/>
      <c r="H2271" s="49"/>
      <c r="I2271" s="49" t="str">
        <f t="shared" si="201"/>
        <v/>
      </c>
      <c r="J2271" s="37" t="str">
        <f t="shared" si="199"/>
        <v>에이아이코리아</v>
      </c>
      <c r="K2271" s="37" t="str">
        <f t="shared" si="200"/>
        <v>A364950</v>
      </c>
    </row>
    <row r="2272" spans="1:11" x14ac:dyDescent="0.4">
      <c r="A2272" s="49"/>
      <c r="B2272" s="54" t="s">
        <v>4665</v>
      </c>
      <c r="C2272" s="37" t="s">
        <v>4666</v>
      </c>
      <c r="D2272" s="55" t="s">
        <v>820</v>
      </c>
      <c r="E2272" s="58">
        <v>408.02</v>
      </c>
      <c r="F2272" s="57">
        <v>5.09</v>
      </c>
      <c r="G2272" s="57"/>
      <c r="H2272" s="49"/>
      <c r="I2272" s="49" t="str">
        <f t="shared" si="201"/>
        <v/>
      </c>
      <c r="J2272" s="37" t="str">
        <f t="shared" si="199"/>
        <v>큐라클</v>
      </c>
      <c r="K2272" s="37" t="str">
        <f t="shared" si="200"/>
        <v>A365270</v>
      </c>
    </row>
    <row r="2273" spans="1:11" x14ac:dyDescent="0.4">
      <c r="A2273" s="49"/>
      <c r="B2273" s="54" t="s">
        <v>4667</v>
      </c>
      <c r="C2273" s="37" t="s">
        <v>4668</v>
      </c>
      <c r="D2273" s="55" t="s">
        <v>820</v>
      </c>
      <c r="E2273" s="58">
        <v>190.65</v>
      </c>
      <c r="F2273" s="57">
        <v>6.52</v>
      </c>
      <c r="G2273" s="57"/>
      <c r="H2273" s="49"/>
      <c r="I2273" s="49" t="str">
        <f t="shared" si="201"/>
        <v/>
      </c>
      <c r="J2273" s="37" t="str">
        <f t="shared" si="199"/>
        <v>에스와이스틸텍</v>
      </c>
      <c r="K2273" s="37" t="str">
        <f t="shared" si="200"/>
        <v>A365330</v>
      </c>
    </row>
    <row r="2274" spans="1:11" x14ac:dyDescent="0.4">
      <c r="A2274" s="49"/>
      <c r="B2274" s="54" t="s">
        <v>4669</v>
      </c>
      <c r="C2274" s="37" t="s">
        <v>4670</v>
      </c>
      <c r="D2274" s="55" t="s">
        <v>820</v>
      </c>
      <c r="E2274" s="58">
        <v>773.18</v>
      </c>
      <c r="F2274" s="57">
        <v>3.21</v>
      </c>
      <c r="G2274" s="57">
        <v>2</v>
      </c>
      <c r="H2274" s="49"/>
      <c r="I2274" s="49">
        <f t="shared" si="201"/>
        <v>773.20273999999995</v>
      </c>
      <c r="J2274" s="37" t="str">
        <f t="shared" si="199"/>
        <v>성일하이텍</v>
      </c>
      <c r="K2274" s="37" t="str">
        <f t="shared" si="200"/>
        <v>A365340</v>
      </c>
    </row>
    <row r="2275" spans="1:11" x14ac:dyDescent="0.4">
      <c r="A2275" s="49"/>
      <c r="B2275" s="54" t="s">
        <v>4671</v>
      </c>
      <c r="C2275" s="37" t="s">
        <v>4672</v>
      </c>
      <c r="D2275" s="55" t="s">
        <v>820</v>
      </c>
      <c r="E2275" s="58">
        <v>79.709999999999994</v>
      </c>
      <c r="F2275" s="57">
        <v>0.91</v>
      </c>
      <c r="G2275" s="57"/>
      <c r="H2275" s="49"/>
      <c r="I2275" s="49" t="str">
        <f t="shared" si="201"/>
        <v/>
      </c>
      <c r="J2275" s="37" t="str">
        <f t="shared" si="199"/>
        <v>하이딥</v>
      </c>
      <c r="K2275" s="37" t="str">
        <f t="shared" si="200"/>
        <v>A365590</v>
      </c>
    </row>
    <row r="2276" spans="1:11" x14ac:dyDescent="0.4">
      <c r="A2276" s="49"/>
      <c r="B2276" s="54" t="s">
        <v>4673</v>
      </c>
      <c r="C2276" s="37" t="s">
        <v>4674</v>
      </c>
      <c r="D2276" s="55" t="s">
        <v>820</v>
      </c>
      <c r="E2276" s="58">
        <v>23.32</v>
      </c>
      <c r="F2276" s="57">
        <v>0.1</v>
      </c>
      <c r="G2276" s="57"/>
      <c r="H2276" s="49"/>
      <c r="I2276" s="49" t="str">
        <f t="shared" si="201"/>
        <v/>
      </c>
      <c r="J2276" s="37" t="str">
        <f t="shared" si="199"/>
        <v>브이씨</v>
      </c>
      <c r="K2276" s="37" t="str">
        <f t="shared" si="200"/>
        <v>A365900</v>
      </c>
    </row>
    <row r="2277" spans="1:11" x14ac:dyDescent="0.4">
      <c r="A2277" s="49"/>
      <c r="B2277" s="54" t="s">
        <v>4675</v>
      </c>
      <c r="C2277" s="37" t="s">
        <v>4676</v>
      </c>
      <c r="D2277" s="55" t="s">
        <v>820</v>
      </c>
      <c r="E2277" s="59">
        <v>127.54</v>
      </c>
      <c r="F2277" s="57">
        <v>2.97</v>
      </c>
      <c r="G2277" s="57"/>
      <c r="H2277" s="49"/>
      <c r="I2277" s="49" t="str">
        <f t="shared" si="201"/>
        <v/>
      </c>
      <c r="J2277" s="37" t="str">
        <f t="shared" si="199"/>
        <v>공구우먼</v>
      </c>
      <c r="K2277" s="37" t="str">
        <f t="shared" si="200"/>
        <v>A366030</v>
      </c>
    </row>
    <row r="2278" spans="1:11" x14ac:dyDescent="0.4">
      <c r="A2278" s="49"/>
      <c r="B2278" s="54" t="s">
        <v>4677</v>
      </c>
      <c r="C2278" s="37" t="s">
        <v>4678</v>
      </c>
      <c r="D2278" s="55" t="s">
        <v>820</v>
      </c>
      <c r="E2278" s="58">
        <v>32.46</v>
      </c>
      <c r="F2278" s="57">
        <v>0.04</v>
      </c>
      <c r="G2278" s="57"/>
      <c r="H2278" s="49"/>
      <c r="I2278" s="49" t="str">
        <f t="shared" si="201"/>
        <v/>
      </c>
      <c r="J2278" s="37" t="str">
        <f t="shared" si="199"/>
        <v>플래티어</v>
      </c>
      <c r="K2278" s="37" t="str">
        <f t="shared" si="200"/>
        <v>A367000</v>
      </c>
    </row>
    <row r="2279" spans="1:11" x14ac:dyDescent="0.4">
      <c r="A2279" s="49"/>
      <c r="B2279" s="54" t="s">
        <v>4679</v>
      </c>
      <c r="C2279" s="37" t="s">
        <v>4680</v>
      </c>
      <c r="D2279" s="55" t="s">
        <v>820</v>
      </c>
      <c r="E2279" s="58">
        <v>19.84</v>
      </c>
      <c r="F2279" s="57">
        <v>0.23</v>
      </c>
      <c r="G2279" s="57"/>
      <c r="H2279" s="49"/>
      <c r="I2279" s="49" t="str">
        <f t="shared" si="201"/>
        <v/>
      </c>
      <c r="J2279" s="37" t="str">
        <f t="shared" si="199"/>
        <v>아이씨에이치</v>
      </c>
      <c r="K2279" s="37" t="str">
        <f t="shared" si="200"/>
        <v>A368600</v>
      </c>
    </row>
    <row r="2280" spans="1:11" x14ac:dyDescent="0.4">
      <c r="A2280" s="49"/>
      <c r="B2280" s="54" t="s">
        <v>4681</v>
      </c>
      <c r="C2280" s="37" t="s">
        <v>4682</v>
      </c>
      <c r="D2280" s="55" t="s">
        <v>820</v>
      </c>
      <c r="E2280" s="58">
        <v>450.43</v>
      </c>
      <c r="F2280" s="57">
        <v>7.89</v>
      </c>
      <c r="G2280" s="57"/>
      <c r="H2280" s="49"/>
      <c r="I2280" s="49" t="str">
        <f t="shared" si="201"/>
        <v/>
      </c>
      <c r="J2280" s="37" t="str">
        <f t="shared" si="199"/>
        <v>파이버프로</v>
      </c>
      <c r="K2280" s="37" t="str">
        <f t="shared" si="200"/>
        <v>A368770</v>
      </c>
    </row>
    <row r="2281" spans="1:11" x14ac:dyDescent="0.4">
      <c r="A2281" s="49"/>
      <c r="B2281" s="54" t="s">
        <v>4683</v>
      </c>
      <c r="C2281" s="37" t="s">
        <v>4684</v>
      </c>
      <c r="D2281" s="55" t="s">
        <v>820</v>
      </c>
      <c r="E2281" s="58">
        <v>16.39</v>
      </c>
      <c r="F2281" s="57">
        <v>0.06</v>
      </c>
      <c r="G2281" s="57"/>
      <c r="H2281" s="49"/>
      <c r="I2281" s="49" t="str">
        <f t="shared" si="201"/>
        <v/>
      </c>
      <c r="J2281" s="37" t="str">
        <f t="shared" si="199"/>
        <v>오에스피</v>
      </c>
      <c r="K2281" s="37" t="str">
        <f t="shared" si="200"/>
        <v>A368970</v>
      </c>
    </row>
    <row r="2282" spans="1:11" x14ac:dyDescent="0.4">
      <c r="A2282" s="49"/>
      <c r="B2282" s="54" t="s">
        <v>4685</v>
      </c>
      <c r="C2282" s="37" t="s">
        <v>4686</v>
      </c>
      <c r="D2282" s="55" t="s">
        <v>820</v>
      </c>
      <c r="E2282" s="58">
        <v>83.09</v>
      </c>
      <c r="F2282" s="57">
        <v>7.0000000000000007E-2</v>
      </c>
      <c r="G2282" s="57"/>
      <c r="H2282" s="49"/>
      <c r="I2282" s="49" t="str">
        <f t="shared" si="201"/>
        <v/>
      </c>
      <c r="J2282" s="37" t="str">
        <f t="shared" si="199"/>
        <v>블리츠웨이엔터테인먼트</v>
      </c>
      <c r="K2282" s="37" t="str">
        <f t="shared" si="200"/>
        <v>A369370</v>
      </c>
    </row>
    <row r="2283" spans="1:11" x14ac:dyDescent="0.4">
      <c r="A2283" s="49"/>
      <c r="B2283" s="54" t="s">
        <v>4687</v>
      </c>
      <c r="C2283" s="37" t="s">
        <v>4688</v>
      </c>
      <c r="D2283" s="55" t="s">
        <v>820</v>
      </c>
      <c r="E2283" s="58">
        <v>113.89</v>
      </c>
      <c r="F2283" s="57">
        <v>3.95</v>
      </c>
      <c r="G2283" s="57"/>
      <c r="H2283" s="49"/>
      <c r="I2283" s="49" t="str">
        <f t="shared" si="201"/>
        <v/>
      </c>
      <c r="J2283" s="37" t="str">
        <f t="shared" si="199"/>
        <v>퓨런티어</v>
      </c>
      <c r="K2283" s="37" t="str">
        <f t="shared" si="200"/>
        <v>A370090</v>
      </c>
    </row>
    <row r="2284" spans="1:11" x14ac:dyDescent="0.4">
      <c r="A2284" s="49"/>
      <c r="B2284" s="54" t="s">
        <v>4689</v>
      </c>
      <c r="C2284" s="37" t="s">
        <v>4690</v>
      </c>
      <c r="D2284" s="55" t="s">
        <v>820</v>
      </c>
      <c r="E2284" s="56">
        <v>420.62</v>
      </c>
      <c r="F2284" s="55">
        <v>1.08</v>
      </c>
      <c r="G2284" s="55"/>
      <c r="I2284" s="49" t="str">
        <f t="shared" si="201"/>
        <v/>
      </c>
      <c r="J2284" s="37" t="str">
        <f t="shared" si="199"/>
        <v>풍원정밀</v>
      </c>
      <c r="K2284" s="37" t="str">
        <f t="shared" si="200"/>
        <v>A371950</v>
      </c>
    </row>
    <row r="2285" spans="1:11" x14ac:dyDescent="0.4">
      <c r="A2285" s="49"/>
      <c r="B2285" s="54" t="s">
        <v>4691</v>
      </c>
      <c r="C2285" s="37" t="s">
        <v>4692</v>
      </c>
      <c r="D2285" s="55" t="s">
        <v>820</v>
      </c>
      <c r="E2285" s="58">
        <v>269.29000000000002</v>
      </c>
      <c r="F2285" s="57">
        <v>0.92</v>
      </c>
      <c r="G2285" s="57"/>
      <c r="H2285" s="49"/>
      <c r="I2285" s="49" t="str">
        <f t="shared" si="201"/>
        <v/>
      </c>
      <c r="J2285" s="37" t="str">
        <f t="shared" si="199"/>
        <v>윤성에프앤씨</v>
      </c>
      <c r="K2285" s="37" t="str">
        <f t="shared" si="200"/>
        <v>A372170</v>
      </c>
    </row>
    <row r="2286" spans="1:11" x14ac:dyDescent="0.4">
      <c r="A2286" s="49"/>
      <c r="B2286" s="54" t="s">
        <v>4693</v>
      </c>
      <c r="C2286" s="37" t="s">
        <v>4694</v>
      </c>
      <c r="D2286" s="55" t="s">
        <v>820</v>
      </c>
      <c r="E2286" s="58">
        <v>786.56</v>
      </c>
      <c r="F2286" s="57">
        <v>4.76</v>
      </c>
      <c r="G2286" s="57">
        <v>1</v>
      </c>
      <c r="H2286" s="49"/>
      <c r="I2286" s="49">
        <f t="shared" si="201"/>
        <v>786.58285999999998</v>
      </c>
      <c r="J2286" s="37" t="str">
        <f t="shared" si="199"/>
        <v>큐로셀</v>
      </c>
      <c r="K2286" s="37" t="str">
        <f t="shared" si="200"/>
        <v>A372320</v>
      </c>
    </row>
    <row r="2287" spans="1:11" x14ac:dyDescent="0.4">
      <c r="A2287" s="49"/>
      <c r="B2287" s="54" t="s">
        <v>4695</v>
      </c>
      <c r="C2287" s="37" t="s">
        <v>4696</v>
      </c>
      <c r="D2287" s="55" t="s">
        <v>820</v>
      </c>
      <c r="E2287" s="59">
        <v>32.65</v>
      </c>
      <c r="F2287" s="57">
        <v>0.33</v>
      </c>
      <c r="G2287" s="57"/>
      <c r="H2287" s="49"/>
      <c r="I2287" s="49" t="str">
        <f t="shared" si="201"/>
        <v/>
      </c>
      <c r="J2287" s="37" t="str">
        <f t="shared" si="199"/>
        <v>아이티아이즈</v>
      </c>
      <c r="K2287" s="37" t="str">
        <f t="shared" si="200"/>
        <v>A372800</v>
      </c>
    </row>
    <row r="2288" spans="1:11" x14ac:dyDescent="0.4">
      <c r="A2288" s="49"/>
      <c r="B2288" s="54" t="s">
        <v>4697</v>
      </c>
      <c r="C2288" s="37" t="s">
        <v>4698</v>
      </c>
      <c r="D2288" s="55" t="s">
        <v>805</v>
      </c>
      <c r="E2288" s="58">
        <v>75.97</v>
      </c>
      <c r="F2288" s="57">
        <v>2.4500000000000002</v>
      </c>
      <c r="G2288" s="57">
        <v>1</v>
      </c>
      <c r="H2288" s="49"/>
      <c r="I2288" s="49">
        <f t="shared" si="201"/>
        <v>75.99288</v>
      </c>
      <c r="J2288" s="37" t="str">
        <f t="shared" si="199"/>
        <v>한컴라이프케어</v>
      </c>
      <c r="K2288" s="37" t="str">
        <f t="shared" si="200"/>
        <v>A372910</v>
      </c>
    </row>
    <row r="2289" spans="1:11" x14ac:dyDescent="0.4">
      <c r="A2289" s="49"/>
      <c r="B2289" s="54" t="s">
        <v>4699</v>
      </c>
      <c r="C2289" s="37" t="s">
        <v>4700</v>
      </c>
      <c r="D2289" s="55" t="s">
        <v>820</v>
      </c>
      <c r="E2289" s="58">
        <v>26.44</v>
      </c>
      <c r="F2289" s="57">
        <v>0.86</v>
      </c>
      <c r="G2289" s="57"/>
      <c r="H2289" s="49"/>
      <c r="I2289" s="49" t="str">
        <f t="shared" si="201"/>
        <v/>
      </c>
      <c r="J2289" s="37" t="str">
        <f t="shared" si="199"/>
        <v>엑셀세라퓨틱스</v>
      </c>
      <c r="K2289" s="37" t="str">
        <f t="shared" si="200"/>
        <v>A373110</v>
      </c>
    </row>
    <row r="2290" spans="1:11" x14ac:dyDescent="0.4">
      <c r="B2290" s="54" t="s">
        <v>4701</v>
      </c>
      <c r="C2290" s="37" t="s">
        <v>4702</v>
      </c>
      <c r="D2290" s="55" t="s">
        <v>820</v>
      </c>
      <c r="E2290" s="56">
        <v>63.57</v>
      </c>
      <c r="F2290" s="55">
        <v>0.28999999999999998</v>
      </c>
      <c r="G2290" s="55"/>
      <c r="J2290" s="37" t="str">
        <f t="shared" si="199"/>
        <v>데이원컴퍼니</v>
      </c>
      <c r="K2290" s="37" t="str">
        <f t="shared" si="200"/>
        <v>A373160</v>
      </c>
    </row>
    <row r="2291" spans="1:11" x14ac:dyDescent="0.4">
      <c r="A2291" s="49"/>
      <c r="B2291" s="54" t="s">
        <v>4703</v>
      </c>
      <c r="C2291" s="37" t="s">
        <v>4704</v>
      </c>
      <c r="D2291" s="55" t="s">
        <v>820</v>
      </c>
      <c r="E2291" s="58">
        <v>15.16</v>
      </c>
      <c r="F2291" s="57">
        <v>0.36</v>
      </c>
      <c r="G2291" s="57"/>
      <c r="H2291" s="49"/>
      <c r="I2291" s="49" t="str">
        <f t="shared" ref="I2291:I2301" si="202">IF((G2291&gt;$G$8),E2291+ROW()/100000,"")</f>
        <v/>
      </c>
      <c r="J2291" s="37" t="str">
        <f t="shared" si="199"/>
        <v>엠아이큐브솔루션</v>
      </c>
      <c r="K2291" s="37" t="str">
        <f t="shared" si="200"/>
        <v>A373170</v>
      </c>
    </row>
    <row r="2292" spans="1:11" x14ac:dyDescent="0.4">
      <c r="A2292" s="49"/>
      <c r="B2292" s="54" t="s">
        <v>4705</v>
      </c>
      <c r="C2292" s="37" t="s">
        <v>4706</v>
      </c>
      <c r="D2292" s="55" t="s">
        <v>820</v>
      </c>
      <c r="E2292" s="58">
        <v>111.66</v>
      </c>
      <c r="F2292" s="57">
        <v>0.46</v>
      </c>
      <c r="G2292" s="57"/>
      <c r="H2292" s="49"/>
      <c r="I2292" s="49" t="str">
        <f t="shared" si="202"/>
        <v/>
      </c>
      <c r="J2292" s="37" t="str">
        <f t="shared" si="199"/>
        <v>엑스플러스</v>
      </c>
      <c r="K2292" s="37" t="str">
        <f t="shared" si="200"/>
        <v>A373200</v>
      </c>
    </row>
    <row r="2293" spans="1:11" x14ac:dyDescent="0.4">
      <c r="A2293" s="49"/>
      <c r="B2293" s="54" t="s">
        <v>287</v>
      </c>
      <c r="C2293" s="37" t="s">
        <v>288</v>
      </c>
      <c r="D2293" s="55" t="s">
        <v>805</v>
      </c>
      <c r="E2293" s="56">
        <v>99918</v>
      </c>
      <c r="F2293" s="55">
        <v>156.49</v>
      </c>
      <c r="G2293" s="55">
        <v>23</v>
      </c>
      <c r="I2293" s="49">
        <f t="shared" si="202"/>
        <v>99918.022930000006</v>
      </c>
      <c r="J2293" s="37" t="str">
        <f t="shared" si="199"/>
        <v>LG에너지솔루션</v>
      </c>
      <c r="K2293" s="37" t="str">
        <f t="shared" si="200"/>
        <v>A373220</v>
      </c>
    </row>
    <row r="2294" spans="1:11" x14ac:dyDescent="0.4">
      <c r="A2294" s="49"/>
      <c r="B2294" s="54" t="s">
        <v>4707</v>
      </c>
      <c r="C2294" s="37" t="s">
        <v>4708</v>
      </c>
      <c r="D2294" s="55" t="s">
        <v>805</v>
      </c>
      <c r="E2294" s="56">
        <v>1977.24</v>
      </c>
      <c r="F2294" s="55">
        <v>12.08</v>
      </c>
      <c r="G2294" s="55">
        <v>20</v>
      </c>
      <c r="I2294" s="49">
        <f t="shared" si="202"/>
        <v>1977.2629400000001</v>
      </c>
      <c r="J2294" s="37" t="str">
        <f t="shared" si="199"/>
        <v>DL이앤씨</v>
      </c>
      <c r="K2294" s="37" t="str">
        <f t="shared" si="200"/>
        <v>A375500</v>
      </c>
    </row>
    <row r="2295" spans="1:11" x14ac:dyDescent="0.4">
      <c r="A2295" s="49"/>
      <c r="B2295" s="54" t="s">
        <v>4709</v>
      </c>
      <c r="C2295" s="37" t="s">
        <v>4710</v>
      </c>
      <c r="D2295" s="55" t="s">
        <v>820</v>
      </c>
      <c r="E2295" s="58">
        <v>48.17</v>
      </c>
      <c r="F2295" s="57">
        <v>0.65</v>
      </c>
      <c r="G2295" s="57"/>
      <c r="H2295" s="49"/>
      <c r="I2295" s="49" t="str">
        <f t="shared" si="202"/>
        <v/>
      </c>
      <c r="J2295" s="37" t="str">
        <f t="shared" si="199"/>
        <v>피코그램</v>
      </c>
      <c r="K2295" s="37" t="str">
        <f t="shared" si="200"/>
        <v>A376180</v>
      </c>
    </row>
    <row r="2296" spans="1:11" x14ac:dyDescent="0.4">
      <c r="A2296" s="49"/>
      <c r="B2296" s="54" t="s">
        <v>4711</v>
      </c>
      <c r="C2296" s="37" t="s">
        <v>4712</v>
      </c>
      <c r="D2296" s="55" t="s">
        <v>820</v>
      </c>
      <c r="E2296" s="58">
        <v>573.82000000000005</v>
      </c>
      <c r="F2296" s="57">
        <v>2.89</v>
      </c>
      <c r="G2296" s="57"/>
      <c r="H2296" s="49"/>
      <c r="I2296" s="49" t="str">
        <f t="shared" si="202"/>
        <v/>
      </c>
      <c r="J2296" s="37" t="str">
        <f t="shared" si="199"/>
        <v>HEM파마</v>
      </c>
      <c r="K2296" s="37" t="str">
        <f t="shared" si="200"/>
        <v>A376270</v>
      </c>
    </row>
    <row r="2297" spans="1:11" x14ac:dyDescent="0.4">
      <c r="A2297" s="49"/>
      <c r="B2297" s="54" t="s">
        <v>4713</v>
      </c>
      <c r="C2297" s="37" t="s">
        <v>4714</v>
      </c>
      <c r="D2297" s="55" t="s">
        <v>820</v>
      </c>
      <c r="E2297" s="58">
        <v>50.5</v>
      </c>
      <c r="F2297" s="57">
        <v>0.05</v>
      </c>
      <c r="G2297" s="57"/>
      <c r="H2297" s="49"/>
      <c r="I2297" s="49" t="str">
        <f t="shared" si="202"/>
        <v/>
      </c>
      <c r="J2297" s="37" t="str">
        <f t="shared" si="199"/>
        <v>씨유테크</v>
      </c>
      <c r="K2297" s="37" t="str">
        <f t="shared" si="200"/>
        <v>A376290</v>
      </c>
    </row>
    <row r="2298" spans="1:11" x14ac:dyDescent="0.4">
      <c r="A2298" s="49"/>
      <c r="B2298" s="54" t="s">
        <v>4715</v>
      </c>
      <c r="C2298" s="37" t="s">
        <v>4716</v>
      </c>
      <c r="D2298" s="55" t="s">
        <v>820</v>
      </c>
      <c r="E2298" s="58">
        <v>911.55</v>
      </c>
      <c r="F2298" s="57">
        <v>7.9</v>
      </c>
      <c r="G2298" s="57">
        <v>9</v>
      </c>
      <c r="H2298" s="49"/>
      <c r="I2298" s="49">
        <f t="shared" si="202"/>
        <v>911.57297999999992</v>
      </c>
      <c r="J2298" s="37" t="str">
        <f t="shared" si="199"/>
        <v>디어유</v>
      </c>
      <c r="K2298" s="37" t="str">
        <f t="shared" si="200"/>
        <v>A376300</v>
      </c>
    </row>
    <row r="2299" spans="1:11" x14ac:dyDescent="0.4">
      <c r="A2299" s="49"/>
      <c r="B2299" s="54" t="s">
        <v>500</v>
      </c>
      <c r="C2299" s="37" t="s">
        <v>501</v>
      </c>
      <c r="D2299" s="55" t="s">
        <v>820</v>
      </c>
      <c r="E2299" s="56">
        <v>1066.55</v>
      </c>
      <c r="F2299" s="55">
        <v>59.75</v>
      </c>
      <c r="G2299" s="55"/>
      <c r="I2299" s="49" t="str">
        <f t="shared" si="202"/>
        <v/>
      </c>
      <c r="J2299" s="37" t="str">
        <f t="shared" si="199"/>
        <v>로킷헬스케어</v>
      </c>
      <c r="K2299" s="37" t="str">
        <f t="shared" si="200"/>
        <v>A376900</v>
      </c>
    </row>
    <row r="2300" spans="1:11" x14ac:dyDescent="0.4">
      <c r="A2300" s="49"/>
      <c r="B2300" s="54" t="s">
        <v>4717</v>
      </c>
      <c r="C2300" s="37" t="s">
        <v>4718</v>
      </c>
      <c r="D2300" s="55" t="s">
        <v>820</v>
      </c>
      <c r="E2300" s="58">
        <v>93.15</v>
      </c>
      <c r="F2300" s="57">
        <v>6.25</v>
      </c>
      <c r="G2300" s="57"/>
      <c r="H2300" s="49"/>
      <c r="I2300" s="49" t="str">
        <f t="shared" si="202"/>
        <v/>
      </c>
      <c r="J2300" s="37" t="str">
        <f t="shared" si="199"/>
        <v>노을</v>
      </c>
      <c r="K2300" s="37" t="str">
        <f t="shared" si="200"/>
        <v>A376930</v>
      </c>
    </row>
    <row r="2301" spans="1:11" x14ac:dyDescent="0.4">
      <c r="A2301" s="49"/>
      <c r="B2301" s="54" t="s">
        <v>4719</v>
      </c>
      <c r="C2301" s="37" t="s">
        <v>4720</v>
      </c>
      <c r="D2301" s="55" t="s">
        <v>820</v>
      </c>
      <c r="E2301" s="58">
        <v>36.43</v>
      </c>
      <c r="F2301" s="57">
        <v>0.21</v>
      </c>
      <c r="G2301" s="57"/>
      <c r="H2301" s="49"/>
      <c r="I2301" s="49" t="str">
        <f t="shared" si="202"/>
        <v/>
      </c>
      <c r="J2301" s="37" t="str">
        <f t="shared" si="199"/>
        <v>원티드랩</v>
      </c>
      <c r="K2301" s="37" t="str">
        <f t="shared" si="200"/>
        <v>A376980</v>
      </c>
    </row>
    <row r="2302" spans="1:11" x14ac:dyDescent="0.4">
      <c r="A2302" s="49"/>
      <c r="B2302" s="54" t="s">
        <v>4721</v>
      </c>
      <c r="C2302" s="37" t="s">
        <v>4722</v>
      </c>
      <c r="D2302" s="55" t="s">
        <v>820</v>
      </c>
      <c r="E2302" s="57">
        <v>47.26</v>
      </c>
      <c r="F2302" s="55">
        <v>1.36</v>
      </c>
      <c r="G2302" s="55"/>
      <c r="J2302" s="37" t="str">
        <f t="shared" si="199"/>
        <v>비트맥스</v>
      </c>
      <c r="K2302" s="37" t="str">
        <f t="shared" si="200"/>
        <v>A377030</v>
      </c>
    </row>
    <row r="2303" spans="1:11" x14ac:dyDescent="0.4">
      <c r="A2303" s="49"/>
      <c r="B2303" s="54" t="s">
        <v>4723</v>
      </c>
      <c r="C2303" s="37" t="s">
        <v>4724</v>
      </c>
      <c r="D2303" s="55" t="s">
        <v>820</v>
      </c>
      <c r="E2303" s="58">
        <v>35.67</v>
      </c>
      <c r="F2303" s="57">
        <v>1.17</v>
      </c>
      <c r="G2303" s="57"/>
      <c r="H2303" s="49"/>
      <c r="I2303" s="49" t="str">
        <f t="shared" ref="I2303:I2324" si="203">IF((G2303&gt;$G$8),E2303+ROW()/100000,"")</f>
        <v/>
      </c>
      <c r="J2303" s="37" t="str">
        <f t="shared" si="199"/>
        <v>프롬바이오</v>
      </c>
      <c r="K2303" s="37" t="str">
        <f t="shared" si="200"/>
        <v>A377220</v>
      </c>
    </row>
    <row r="2304" spans="1:11" x14ac:dyDescent="0.4">
      <c r="A2304" s="49"/>
      <c r="B2304" s="54" t="s">
        <v>4725</v>
      </c>
      <c r="C2304" s="37" t="s">
        <v>4726</v>
      </c>
      <c r="D2304" s="55" t="s">
        <v>805</v>
      </c>
      <c r="E2304" s="58">
        <v>9041.6200000000008</v>
      </c>
      <c r="F2304" s="57">
        <v>53.91</v>
      </c>
      <c r="G2304" s="57">
        <v>5</v>
      </c>
      <c r="H2304" s="49"/>
      <c r="I2304" s="49">
        <f t="shared" si="203"/>
        <v>9041.6430400000008</v>
      </c>
      <c r="J2304" s="37" t="str">
        <f t="shared" si="199"/>
        <v>카카오페이</v>
      </c>
      <c r="K2304" s="37" t="str">
        <f t="shared" si="200"/>
        <v>A377300</v>
      </c>
    </row>
    <row r="2305" spans="1:11" x14ac:dyDescent="0.4">
      <c r="A2305" s="49"/>
      <c r="B2305" s="54" t="s">
        <v>4727</v>
      </c>
      <c r="C2305" s="37" t="s">
        <v>4728</v>
      </c>
      <c r="D2305" s="55" t="s">
        <v>820</v>
      </c>
      <c r="E2305" s="58">
        <v>25.15</v>
      </c>
      <c r="F2305" s="57">
        <v>0.33</v>
      </c>
      <c r="G2305" s="57"/>
      <c r="H2305" s="49"/>
      <c r="I2305" s="49" t="str">
        <f t="shared" si="203"/>
        <v/>
      </c>
      <c r="J2305" s="37" t="str">
        <f t="shared" si="199"/>
        <v>이지트로닉스</v>
      </c>
      <c r="K2305" s="37" t="str">
        <f t="shared" si="200"/>
        <v>A377330</v>
      </c>
    </row>
    <row r="2306" spans="1:11" x14ac:dyDescent="0.4">
      <c r="A2306" s="49"/>
      <c r="B2306" s="54" t="s">
        <v>4729</v>
      </c>
      <c r="C2306" s="37" t="s">
        <v>4730</v>
      </c>
      <c r="D2306" s="55" t="s">
        <v>820</v>
      </c>
      <c r="E2306" s="56">
        <v>216.63</v>
      </c>
      <c r="F2306" s="55">
        <v>0.7</v>
      </c>
      <c r="G2306" s="55"/>
      <c r="I2306" s="49" t="str">
        <f t="shared" si="203"/>
        <v/>
      </c>
      <c r="J2306" s="37" t="str">
        <f t="shared" si="199"/>
        <v>리파인</v>
      </c>
      <c r="K2306" s="37" t="str">
        <f t="shared" si="200"/>
        <v>A377450</v>
      </c>
    </row>
    <row r="2307" spans="1:11" x14ac:dyDescent="0.4">
      <c r="A2307" s="49"/>
      <c r="B2307" s="54" t="s">
        <v>4731</v>
      </c>
      <c r="C2307" s="37" t="s">
        <v>5203</v>
      </c>
      <c r="D2307" s="55" t="s">
        <v>820</v>
      </c>
      <c r="E2307" s="58">
        <v>253.19</v>
      </c>
      <c r="F2307" s="57">
        <v>0</v>
      </c>
      <c r="G2307" s="57"/>
      <c r="H2307" s="49"/>
      <c r="I2307" s="49" t="str">
        <f t="shared" si="203"/>
        <v/>
      </c>
      <c r="J2307" s="37" t="str">
        <f t="shared" si="199"/>
        <v>큐에이드</v>
      </c>
      <c r="K2307" s="37" t="str">
        <f t="shared" si="200"/>
        <v>A377460</v>
      </c>
    </row>
    <row r="2308" spans="1:11" x14ac:dyDescent="0.4">
      <c r="A2308" s="49"/>
      <c r="B2308" s="54" t="s">
        <v>4732</v>
      </c>
      <c r="C2308" s="37" t="s">
        <v>4733</v>
      </c>
      <c r="D2308" s="55" t="s">
        <v>820</v>
      </c>
      <c r="E2308" s="56">
        <v>116.61</v>
      </c>
      <c r="F2308" s="55">
        <v>2.73</v>
      </c>
      <c r="G2308" s="55"/>
      <c r="I2308" s="49" t="str">
        <f t="shared" si="203"/>
        <v/>
      </c>
      <c r="J2308" s="37" t="str">
        <f t="shared" si="199"/>
        <v>마음AI</v>
      </c>
      <c r="K2308" s="37" t="str">
        <f t="shared" si="200"/>
        <v>A377480</v>
      </c>
    </row>
    <row r="2309" spans="1:11" x14ac:dyDescent="0.4">
      <c r="A2309" s="49"/>
      <c r="B2309" s="54" t="s">
        <v>4734</v>
      </c>
      <c r="C2309" s="37" t="s">
        <v>4735</v>
      </c>
      <c r="D2309" s="55" t="s">
        <v>805</v>
      </c>
      <c r="E2309" s="58">
        <v>573.54999999999995</v>
      </c>
      <c r="F2309" s="57">
        <v>0.49</v>
      </c>
      <c r="G2309" s="57"/>
      <c r="H2309" s="49"/>
      <c r="I2309" s="49" t="str">
        <f t="shared" si="203"/>
        <v/>
      </c>
      <c r="J2309" s="37" t="str">
        <f t="shared" si="199"/>
        <v>바이오노트</v>
      </c>
      <c r="K2309" s="37" t="str">
        <f t="shared" si="200"/>
        <v>A377740</v>
      </c>
    </row>
    <row r="2310" spans="1:11" x14ac:dyDescent="0.4">
      <c r="A2310" s="49"/>
      <c r="B2310" s="54" t="s">
        <v>4736</v>
      </c>
      <c r="C2310" s="37" t="s">
        <v>4737</v>
      </c>
      <c r="D2310" s="55" t="s">
        <v>820</v>
      </c>
      <c r="E2310" s="58">
        <v>345.34</v>
      </c>
      <c r="F2310" s="57">
        <v>1.97</v>
      </c>
      <c r="G2310" s="57"/>
      <c r="H2310" s="49"/>
      <c r="I2310" s="49" t="str">
        <f t="shared" si="203"/>
        <v/>
      </c>
      <c r="J2310" s="37" t="str">
        <f t="shared" si="199"/>
        <v>필에너지</v>
      </c>
      <c r="K2310" s="37" t="str">
        <f t="shared" si="200"/>
        <v>A378340</v>
      </c>
    </row>
    <row r="2311" spans="1:11" x14ac:dyDescent="0.4">
      <c r="A2311" s="49"/>
      <c r="B2311" s="54" t="s">
        <v>4738</v>
      </c>
      <c r="C2311" s="37" t="s">
        <v>4739</v>
      </c>
      <c r="D2311" s="55" t="s">
        <v>820</v>
      </c>
      <c r="E2311" s="58">
        <v>87.58</v>
      </c>
      <c r="F2311" s="57">
        <v>4.53</v>
      </c>
      <c r="G2311" s="57"/>
      <c r="H2311" s="49"/>
      <c r="I2311" s="49" t="str">
        <f t="shared" si="203"/>
        <v/>
      </c>
      <c r="J2311" s="37" t="str">
        <f t="shared" si="199"/>
        <v>샤페론</v>
      </c>
      <c r="K2311" s="37" t="str">
        <f t="shared" si="200"/>
        <v>A378800</v>
      </c>
    </row>
    <row r="2312" spans="1:11" x14ac:dyDescent="0.4">
      <c r="A2312" s="49"/>
      <c r="B2312" s="54" t="s">
        <v>4740</v>
      </c>
      <c r="C2312" s="37" t="s">
        <v>4741</v>
      </c>
      <c r="D2312" s="55" t="s">
        <v>805</v>
      </c>
      <c r="E2312" s="58">
        <v>72.84</v>
      </c>
      <c r="F2312" s="57">
        <v>1.58</v>
      </c>
      <c r="G2312" s="57"/>
      <c r="H2312" s="49"/>
      <c r="I2312" s="49" t="str">
        <f t="shared" si="203"/>
        <v/>
      </c>
      <c r="J2312" s="37" t="str">
        <f t="shared" si="199"/>
        <v>화승알앤에이</v>
      </c>
      <c r="K2312" s="37" t="str">
        <f t="shared" si="200"/>
        <v>A378850</v>
      </c>
    </row>
    <row r="2313" spans="1:11" x14ac:dyDescent="0.4">
      <c r="A2313" s="49"/>
      <c r="B2313" s="54" t="s">
        <v>4742</v>
      </c>
      <c r="C2313" s="37" t="s">
        <v>4743</v>
      </c>
      <c r="D2313" s="55" t="s">
        <v>820</v>
      </c>
      <c r="E2313" s="58">
        <v>222.5</v>
      </c>
      <c r="F2313" s="57">
        <v>6.49</v>
      </c>
      <c r="G2313" s="57"/>
      <c r="H2313" s="49"/>
      <c r="I2313" s="49" t="str">
        <f t="shared" si="203"/>
        <v/>
      </c>
      <c r="J2313" s="37" t="str">
        <f t="shared" si="199"/>
        <v>옵티코어</v>
      </c>
      <c r="K2313" s="37" t="str">
        <f t="shared" si="200"/>
        <v>A380540</v>
      </c>
    </row>
    <row r="2314" spans="1:11" x14ac:dyDescent="0.4">
      <c r="A2314" s="49"/>
      <c r="B2314" s="54" t="s">
        <v>541</v>
      </c>
      <c r="C2314" s="37" t="s">
        <v>542</v>
      </c>
      <c r="D2314" s="55" t="s">
        <v>820</v>
      </c>
      <c r="E2314" s="58">
        <v>326.48</v>
      </c>
      <c r="F2314" s="57">
        <v>61.92</v>
      </c>
      <c r="G2314" s="57"/>
      <c r="H2314" s="49"/>
      <c r="I2314" s="49" t="str">
        <f t="shared" si="203"/>
        <v/>
      </c>
      <c r="J2314" s="37" t="str">
        <f t="shared" si="199"/>
        <v>뉴로핏</v>
      </c>
      <c r="K2314" s="37" t="str">
        <f t="shared" si="200"/>
        <v>A380550</v>
      </c>
    </row>
    <row r="2315" spans="1:11" x14ac:dyDescent="0.4">
      <c r="A2315" s="49"/>
      <c r="B2315" s="54" t="s">
        <v>4744</v>
      </c>
      <c r="C2315" s="37" t="s">
        <v>4745</v>
      </c>
      <c r="D2315" s="55" t="s">
        <v>820</v>
      </c>
      <c r="E2315" s="58">
        <v>161.88</v>
      </c>
      <c r="F2315" s="57">
        <v>28.04</v>
      </c>
      <c r="G2315" s="57"/>
      <c r="H2315" s="49"/>
      <c r="I2315" s="49" t="str">
        <f t="shared" si="203"/>
        <v/>
      </c>
      <c r="J2315" s="37" t="str">
        <f t="shared" si="199"/>
        <v>제닉스로보틱스</v>
      </c>
      <c r="K2315" s="37" t="str">
        <f t="shared" si="200"/>
        <v>A381620</v>
      </c>
    </row>
    <row r="2316" spans="1:11" x14ac:dyDescent="0.4">
      <c r="A2316" s="49"/>
      <c r="B2316" s="54" t="s">
        <v>4746</v>
      </c>
      <c r="C2316" s="37" t="s">
        <v>4747</v>
      </c>
      <c r="D2316" s="55" t="s">
        <v>805</v>
      </c>
      <c r="E2316" s="56">
        <v>727.43</v>
      </c>
      <c r="F2316" s="55">
        <v>1.34</v>
      </c>
      <c r="G2316" s="55">
        <v>5</v>
      </c>
      <c r="I2316" s="49">
        <f t="shared" si="203"/>
        <v>727.45315999999991</v>
      </c>
      <c r="J2316" s="37" t="str">
        <f t="shared" si="199"/>
        <v>케이카</v>
      </c>
      <c r="K2316" s="37" t="str">
        <f t="shared" si="200"/>
        <v>A381970</v>
      </c>
    </row>
    <row r="2317" spans="1:11" x14ac:dyDescent="0.4">
      <c r="A2317" s="49"/>
      <c r="B2317" s="54" t="s">
        <v>4748</v>
      </c>
      <c r="C2317" s="37" t="s">
        <v>4749</v>
      </c>
      <c r="D2317" s="55" t="s">
        <v>820</v>
      </c>
      <c r="E2317" s="58">
        <v>95.49</v>
      </c>
      <c r="F2317" s="57">
        <v>5.2</v>
      </c>
      <c r="G2317" s="57"/>
      <c r="H2317" s="49"/>
      <c r="I2317" s="49" t="str">
        <f t="shared" si="203"/>
        <v/>
      </c>
      <c r="J2317" s="37" t="str">
        <f t="shared" si="199"/>
        <v>온코크로스</v>
      </c>
      <c r="K2317" s="37" t="str">
        <f t="shared" si="200"/>
        <v>A382150</v>
      </c>
    </row>
    <row r="2318" spans="1:11" x14ac:dyDescent="0.4">
      <c r="A2318" s="49"/>
      <c r="B2318" s="54" t="s">
        <v>4750</v>
      </c>
      <c r="C2318" s="37" t="s">
        <v>4751</v>
      </c>
      <c r="D2318" s="55" t="s">
        <v>820</v>
      </c>
      <c r="E2318" s="58">
        <v>98.39</v>
      </c>
      <c r="F2318" s="57">
        <v>1.61</v>
      </c>
      <c r="G2318" s="57"/>
      <c r="H2318" s="49"/>
      <c r="I2318" s="49" t="str">
        <f t="shared" si="203"/>
        <v/>
      </c>
      <c r="J2318" s="37" t="str">
        <f t="shared" ref="J2318:J2381" si="204">C2318</f>
        <v>지아이텍</v>
      </c>
      <c r="K2318" s="37" t="str">
        <f t="shared" ref="K2318:K2381" si="205">B2318</f>
        <v>A382480</v>
      </c>
    </row>
    <row r="2319" spans="1:11" x14ac:dyDescent="0.4">
      <c r="A2319" s="49"/>
      <c r="B2319" s="54" t="s">
        <v>4752</v>
      </c>
      <c r="C2319" s="37" t="s">
        <v>4753</v>
      </c>
      <c r="D2319" s="55" t="s">
        <v>820</v>
      </c>
      <c r="E2319" s="58">
        <v>123.82</v>
      </c>
      <c r="F2319" s="57">
        <v>0.83</v>
      </c>
      <c r="G2319" s="57"/>
      <c r="H2319" s="49"/>
      <c r="I2319" s="49" t="str">
        <f t="shared" si="203"/>
        <v/>
      </c>
      <c r="J2319" s="37" t="str">
        <f t="shared" si="204"/>
        <v>지앤비에스 에코</v>
      </c>
      <c r="K2319" s="37" t="str">
        <f t="shared" si="205"/>
        <v>A382800</v>
      </c>
    </row>
    <row r="2320" spans="1:11" x14ac:dyDescent="0.4">
      <c r="A2320" s="49"/>
      <c r="B2320" s="54" t="s">
        <v>4754</v>
      </c>
      <c r="C2320" s="37" t="s">
        <v>4755</v>
      </c>
      <c r="D2320" s="55" t="s">
        <v>820</v>
      </c>
      <c r="E2320" s="58">
        <v>159.44</v>
      </c>
      <c r="F2320" s="57">
        <v>2.29</v>
      </c>
      <c r="G2320" s="57"/>
      <c r="H2320" s="49"/>
      <c r="I2320" s="49" t="str">
        <f t="shared" si="203"/>
        <v/>
      </c>
      <c r="J2320" s="37" t="str">
        <f t="shared" si="204"/>
        <v>원준</v>
      </c>
      <c r="K2320" s="37" t="str">
        <f t="shared" si="205"/>
        <v>A382840</v>
      </c>
    </row>
    <row r="2321" spans="1:11" x14ac:dyDescent="0.4">
      <c r="A2321" s="49"/>
      <c r="B2321" s="54" t="s">
        <v>4756</v>
      </c>
      <c r="C2321" s="37" t="s">
        <v>4757</v>
      </c>
      <c r="D2321" s="55" t="s">
        <v>820</v>
      </c>
      <c r="E2321" s="58">
        <v>280.79000000000002</v>
      </c>
      <c r="F2321" s="57">
        <v>16.37</v>
      </c>
      <c r="G2321" s="57">
        <v>1</v>
      </c>
      <c r="H2321" s="49"/>
      <c r="I2321" s="49">
        <f t="shared" si="203"/>
        <v>280.81321000000003</v>
      </c>
      <c r="J2321" s="37" t="str">
        <f t="shared" si="204"/>
        <v>범한퓨얼셀</v>
      </c>
      <c r="K2321" s="37" t="str">
        <f t="shared" si="205"/>
        <v>A382900</v>
      </c>
    </row>
    <row r="2322" spans="1:11" x14ac:dyDescent="0.4">
      <c r="A2322" s="49"/>
      <c r="B2322" s="54" t="s">
        <v>154</v>
      </c>
      <c r="C2322" s="37" t="s">
        <v>155</v>
      </c>
      <c r="D2322" s="55" t="s">
        <v>805</v>
      </c>
      <c r="E2322" s="58">
        <v>2708.31</v>
      </c>
      <c r="F2322" s="57">
        <v>6.92</v>
      </c>
      <c r="G2322" s="57">
        <v>9</v>
      </c>
      <c r="H2322" s="49"/>
      <c r="I2322" s="49">
        <f t="shared" si="203"/>
        <v>2708.33322</v>
      </c>
      <c r="J2322" s="37" t="str">
        <f t="shared" si="204"/>
        <v>F&amp;F</v>
      </c>
      <c r="K2322" s="37" t="str">
        <f t="shared" si="205"/>
        <v>A383220</v>
      </c>
    </row>
    <row r="2323" spans="1:11" x14ac:dyDescent="0.4">
      <c r="A2323" s="49"/>
      <c r="B2323" s="54" t="s">
        <v>4758</v>
      </c>
      <c r="C2323" s="37" t="s">
        <v>4759</v>
      </c>
      <c r="D2323" s="55" t="s">
        <v>820</v>
      </c>
      <c r="E2323" s="56">
        <v>800.19</v>
      </c>
      <c r="F2323" s="55">
        <v>7.56</v>
      </c>
      <c r="G2323" s="55"/>
      <c r="I2323" s="49" t="str">
        <f t="shared" si="203"/>
        <v/>
      </c>
      <c r="J2323" s="37" t="str">
        <f t="shared" si="204"/>
        <v>에코프로에이치엔</v>
      </c>
      <c r="K2323" s="37" t="str">
        <f t="shared" si="205"/>
        <v>A383310</v>
      </c>
    </row>
    <row r="2324" spans="1:11" x14ac:dyDescent="0.4">
      <c r="A2324" s="49"/>
      <c r="B2324" s="54" t="s">
        <v>4760</v>
      </c>
      <c r="C2324" s="37" t="s">
        <v>4761</v>
      </c>
      <c r="D2324" s="55" t="s">
        <v>805</v>
      </c>
      <c r="E2324" s="58">
        <v>693.39</v>
      </c>
      <c r="F2324" s="57">
        <v>1.76</v>
      </c>
      <c r="G2324" s="57">
        <v>2</v>
      </c>
      <c r="H2324" s="49"/>
      <c r="I2324" s="49">
        <f t="shared" si="203"/>
        <v>693.41323999999997</v>
      </c>
      <c r="J2324" s="37" t="str">
        <f t="shared" si="204"/>
        <v>LX홀딩스</v>
      </c>
      <c r="K2324" s="37" t="str">
        <f t="shared" si="205"/>
        <v>A383800</v>
      </c>
    </row>
    <row r="2325" spans="1:11" x14ac:dyDescent="0.4">
      <c r="B2325" s="54" t="s">
        <v>4762</v>
      </c>
      <c r="C2325" s="37" t="s">
        <v>4763</v>
      </c>
      <c r="D2325" s="55" t="s">
        <v>820</v>
      </c>
      <c r="E2325" s="56">
        <v>36.630000000000003</v>
      </c>
      <c r="F2325" s="55">
        <v>0.3</v>
      </c>
      <c r="G2325" s="55"/>
      <c r="J2325" s="37" t="str">
        <f t="shared" si="204"/>
        <v>디티앤씨알오</v>
      </c>
      <c r="K2325" s="37" t="str">
        <f t="shared" si="205"/>
        <v>A383930</v>
      </c>
    </row>
    <row r="2326" spans="1:11" x14ac:dyDescent="0.4">
      <c r="B2326" s="54" t="s">
        <v>4764</v>
      </c>
      <c r="C2326" s="37" t="s">
        <v>4765</v>
      </c>
      <c r="D2326" s="55" t="s">
        <v>820</v>
      </c>
      <c r="E2326" s="56">
        <v>62.72</v>
      </c>
      <c r="F2326" s="55">
        <v>0.85</v>
      </c>
      <c r="G2326" s="55"/>
      <c r="J2326" s="37" t="str">
        <f t="shared" si="204"/>
        <v>코어라인소프트</v>
      </c>
      <c r="K2326" s="37" t="str">
        <f t="shared" si="205"/>
        <v>A384470</v>
      </c>
    </row>
    <row r="2327" spans="1:11" x14ac:dyDescent="0.4">
      <c r="A2327" s="49"/>
      <c r="B2327" s="54" t="s">
        <v>4766</v>
      </c>
      <c r="C2327" s="37" t="s">
        <v>4767</v>
      </c>
      <c r="D2327" s="55" t="s">
        <v>820</v>
      </c>
      <c r="E2327" s="58">
        <v>36.29</v>
      </c>
      <c r="F2327" s="57">
        <v>0.63</v>
      </c>
      <c r="G2327" s="57"/>
      <c r="H2327" s="49"/>
      <c r="I2327" s="49" t="str">
        <f t="shared" ref="I2327:I2335" si="206">IF((G2327&gt;$G$8),E2327+ROW()/100000,"")</f>
        <v/>
      </c>
      <c r="J2327" s="37" t="str">
        <f t="shared" si="204"/>
        <v>파인메딕스</v>
      </c>
      <c r="K2327" s="37" t="str">
        <f t="shared" si="205"/>
        <v>A387570</v>
      </c>
    </row>
    <row r="2328" spans="1:11" x14ac:dyDescent="0.4">
      <c r="A2328" s="49"/>
      <c r="B2328" s="54" t="s">
        <v>4768</v>
      </c>
      <c r="C2328" s="37" t="s">
        <v>4769</v>
      </c>
      <c r="D2328" s="55" t="s">
        <v>820</v>
      </c>
      <c r="E2328" s="56">
        <v>211.98</v>
      </c>
      <c r="F2328" s="55">
        <v>7.06</v>
      </c>
      <c r="G2328" s="55">
        <v>1</v>
      </c>
      <c r="H2328" s="49"/>
      <c r="I2328" s="49">
        <f t="shared" si="206"/>
        <v>212.00327999999999</v>
      </c>
      <c r="J2328" s="37" t="str">
        <f t="shared" si="204"/>
        <v>지투파워</v>
      </c>
      <c r="K2328" s="37" t="str">
        <f t="shared" si="205"/>
        <v>A388050</v>
      </c>
    </row>
    <row r="2329" spans="1:11" x14ac:dyDescent="0.4">
      <c r="A2329" s="49"/>
      <c r="B2329" s="54" t="s">
        <v>555</v>
      </c>
      <c r="C2329" s="37" t="s">
        <v>556</v>
      </c>
      <c r="D2329" s="55" t="s">
        <v>820</v>
      </c>
      <c r="E2329" s="56">
        <v>1465.3</v>
      </c>
      <c r="F2329" s="55">
        <v>49.21</v>
      </c>
      <c r="G2329" s="55">
        <v>1</v>
      </c>
      <c r="I2329" s="49">
        <f t="shared" si="206"/>
        <v>1465.32329</v>
      </c>
      <c r="J2329" s="37" t="str">
        <f t="shared" si="204"/>
        <v>씨엠티엑스</v>
      </c>
      <c r="K2329" s="37" t="str">
        <f t="shared" si="205"/>
        <v>A388210</v>
      </c>
    </row>
    <row r="2330" spans="1:11" x14ac:dyDescent="0.4">
      <c r="A2330" s="49"/>
      <c r="B2330" s="54" t="s">
        <v>4770</v>
      </c>
      <c r="C2330" s="37" t="s">
        <v>4771</v>
      </c>
      <c r="D2330" s="55" t="s">
        <v>820</v>
      </c>
      <c r="E2330" s="56">
        <v>56.85</v>
      </c>
      <c r="F2330" s="55">
        <v>1.72</v>
      </c>
      <c r="G2330" s="55"/>
      <c r="I2330" s="49" t="str">
        <f t="shared" si="206"/>
        <v/>
      </c>
      <c r="J2330" s="37" t="str">
        <f t="shared" si="204"/>
        <v>지에프씨생명과학</v>
      </c>
      <c r="K2330" s="37" t="str">
        <f t="shared" si="205"/>
        <v>A388610</v>
      </c>
    </row>
    <row r="2331" spans="1:11" x14ac:dyDescent="0.4">
      <c r="A2331" s="49"/>
      <c r="B2331" s="54" t="s">
        <v>248</v>
      </c>
      <c r="C2331" s="37" t="s">
        <v>249</v>
      </c>
      <c r="D2331" s="55" t="s">
        <v>820</v>
      </c>
      <c r="E2331" s="58">
        <v>1442.04</v>
      </c>
      <c r="F2331" s="57">
        <v>22.61</v>
      </c>
      <c r="G2331" s="57"/>
      <c r="H2331" s="49"/>
      <c r="I2331" s="49" t="str">
        <f t="shared" si="206"/>
        <v/>
      </c>
      <c r="J2331" s="37" t="str">
        <f t="shared" si="204"/>
        <v>유일로보틱스</v>
      </c>
      <c r="K2331" s="37" t="str">
        <f t="shared" si="205"/>
        <v>A388720</v>
      </c>
    </row>
    <row r="2332" spans="1:11" x14ac:dyDescent="0.4">
      <c r="A2332" s="49"/>
      <c r="B2332" s="54" t="s">
        <v>4772</v>
      </c>
      <c r="C2332" s="37" t="s">
        <v>4773</v>
      </c>
      <c r="D2332" s="55" t="s">
        <v>820</v>
      </c>
      <c r="E2332" s="56">
        <v>95.35</v>
      </c>
      <c r="F2332" s="55">
        <v>1.9</v>
      </c>
      <c r="G2332" s="55"/>
      <c r="I2332" s="49" t="str">
        <f t="shared" si="206"/>
        <v/>
      </c>
      <c r="J2332" s="37" t="str">
        <f t="shared" si="204"/>
        <v>라이콤</v>
      </c>
      <c r="K2332" s="37" t="str">
        <f t="shared" si="205"/>
        <v>A388790</v>
      </c>
    </row>
    <row r="2333" spans="1:11" x14ac:dyDescent="0.4">
      <c r="A2333" s="49"/>
      <c r="B2333" s="54" t="s">
        <v>4774</v>
      </c>
      <c r="C2333" s="37" t="s">
        <v>4775</v>
      </c>
      <c r="D2333" s="55" t="s">
        <v>820</v>
      </c>
      <c r="E2333" s="58">
        <v>112.76</v>
      </c>
      <c r="F2333" s="57">
        <v>5.0199999999999996</v>
      </c>
      <c r="G2333" s="57"/>
      <c r="H2333" s="49"/>
      <c r="I2333" s="49" t="str">
        <f t="shared" si="206"/>
        <v/>
      </c>
      <c r="J2333" s="37" t="str">
        <f t="shared" si="204"/>
        <v>파로스아이바이오</v>
      </c>
      <c r="K2333" s="37" t="str">
        <f t="shared" si="205"/>
        <v>A388870</v>
      </c>
    </row>
    <row r="2334" spans="1:11" x14ac:dyDescent="0.4">
      <c r="A2334" s="49"/>
      <c r="B2334" s="54" t="s">
        <v>4776</v>
      </c>
      <c r="C2334" s="37" t="s">
        <v>4777</v>
      </c>
      <c r="D2334" s="55" t="s">
        <v>820</v>
      </c>
      <c r="E2334" s="56">
        <v>286.33999999999997</v>
      </c>
      <c r="F2334" s="56">
        <v>3.87</v>
      </c>
      <c r="G2334" s="55"/>
      <c r="I2334" s="49" t="str">
        <f t="shared" si="206"/>
        <v/>
      </c>
      <c r="J2334" s="37" t="str">
        <f t="shared" si="204"/>
        <v>자람테크놀로지</v>
      </c>
      <c r="K2334" s="37" t="str">
        <f t="shared" si="205"/>
        <v>A389020</v>
      </c>
    </row>
    <row r="2335" spans="1:11" x14ac:dyDescent="0.4">
      <c r="A2335" s="49"/>
      <c r="B2335" s="54" t="s">
        <v>4778</v>
      </c>
      <c r="C2335" s="37" t="s">
        <v>4779</v>
      </c>
      <c r="D2335" s="55" t="s">
        <v>820</v>
      </c>
      <c r="E2335" s="57">
        <v>117.06</v>
      </c>
      <c r="F2335" s="55">
        <v>3.35</v>
      </c>
      <c r="G2335" s="55"/>
      <c r="I2335" s="49" t="str">
        <f t="shared" si="206"/>
        <v/>
      </c>
      <c r="J2335" s="37" t="str">
        <f t="shared" si="204"/>
        <v>지니너스</v>
      </c>
      <c r="K2335" s="37" t="str">
        <f t="shared" si="205"/>
        <v>A389030</v>
      </c>
    </row>
    <row r="2336" spans="1:11" x14ac:dyDescent="0.4">
      <c r="A2336" s="49"/>
      <c r="B2336" s="54" t="s">
        <v>4780</v>
      </c>
      <c r="C2336" s="37" t="s">
        <v>4781</v>
      </c>
      <c r="D2336" s="55" t="s">
        <v>820</v>
      </c>
      <c r="E2336" s="56">
        <v>159.11000000000001</v>
      </c>
      <c r="F2336" s="55">
        <v>8.73</v>
      </c>
      <c r="G2336" s="55"/>
      <c r="J2336" s="37" t="str">
        <f t="shared" si="204"/>
        <v>포바이포</v>
      </c>
      <c r="K2336" s="37" t="str">
        <f t="shared" si="205"/>
        <v>A389140</v>
      </c>
    </row>
    <row r="2337" spans="1:11" x14ac:dyDescent="0.4">
      <c r="A2337" s="49"/>
      <c r="B2337" s="54" t="s">
        <v>4782</v>
      </c>
      <c r="C2337" s="37" t="s">
        <v>4783</v>
      </c>
      <c r="D2337" s="55" t="s">
        <v>820</v>
      </c>
      <c r="E2337" s="58">
        <v>359.22</v>
      </c>
      <c r="F2337" s="57">
        <v>1.22</v>
      </c>
      <c r="G2337" s="57"/>
      <c r="H2337" s="49"/>
      <c r="I2337" s="49" t="str">
        <f t="shared" ref="I2337:I2349" si="207">IF((G2337&gt;$G$8),E2337+ROW()/100000,"")</f>
        <v/>
      </c>
      <c r="J2337" s="37" t="str">
        <f t="shared" si="204"/>
        <v>대명에너지</v>
      </c>
      <c r="K2337" s="37" t="str">
        <f t="shared" si="205"/>
        <v>A389260</v>
      </c>
    </row>
    <row r="2338" spans="1:11" x14ac:dyDescent="0.4">
      <c r="A2338" s="49"/>
      <c r="B2338" s="54" t="s">
        <v>547</v>
      </c>
      <c r="C2338" s="37" t="s">
        <v>548</v>
      </c>
      <c r="D2338" s="55" t="s">
        <v>820</v>
      </c>
      <c r="E2338" s="56">
        <v>1242.76</v>
      </c>
      <c r="F2338" s="55">
        <v>35.35</v>
      </c>
      <c r="G2338" s="55"/>
      <c r="I2338" s="49" t="str">
        <f t="shared" si="207"/>
        <v/>
      </c>
      <c r="J2338" s="37" t="str">
        <f t="shared" si="204"/>
        <v>인벤티지랩</v>
      </c>
      <c r="K2338" s="37" t="str">
        <f t="shared" si="205"/>
        <v>A389470</v>
      </c>
    </row>
    <row r="2339" spans="1:11" x14ac:dyDescent="0.4">
      <c r="A2339" s="49"/>
      <c r="B2339" s="54" t="s">
        <v>629</v>
      </c>
      <c r="C2339" s="37" t="s">
        <v>630</v>
      </c>
      <c r="D2339" s="55" t="s">
        <v>820</v>
      </c>
      <c r="E2339" s="56">
        <v>392.07</v>
      </c>
      <c r="F2339" s="55">
        <v>22.81</v>
      </c>
      <c r="G2339" s="55"/>
      <c r="I2339" s="49" t="str">
        <f t="shared" si="207"/>
        <v/>
      </c>
      <c r="J2339" s="37" t="str">
        <f t="shared" si="204"/>
        <v>에스비비테크</v>
      </c>
      <c r="K2339" s="37" t="str">
        <f t="shared" si="205"/>
        <v>A389500</v>
      </c>
    </row>
    <row r="2340" spans="1:11" x14ac:dyDescent="0.4">
      <c r="A2340" s="49"/>
      <c r="B2340" s="54" t="s">
        <v>67</v>
      </c>
      <c r="C2340" s="37" t="s">
        <v>68</v>
      </c>
      <c r="D2340" s="55" t="s">
        <v>820</v>
      </c>
      <c r="E2340" s="58">
        <v>623.5</v>
      </c>
      <c r="F2340" s="57">
        <v>9.9700000000000006</v>
      </c>
      <c r="G2340" s="57">
        <v>3</v>
      </c>
      <c r="H2340" s="49"/>
      <c r="I2340" s="49">
        <f t="shared" si="207"/>
        <v>623.52340000000004</v>
      </c>
      <c r="J2340" s="37" t="str">
        <f t="shared" si="204"/>
        <v>넥스트바이오메디컬</v>
      </c>
      <c r="K2340" s="37" t="str">
        <f t="shared" si="205"/>
        <v>A389650</v>
      </c>
    </row>
    <row r="2341" spans="1:11" x14ac:dyDescent="0.4">
      <c r="A2341" s="49"/>
      <c r="B2341" s="54" t="s">
        <v>4784</v>
      </c>
      <c r="C2341" s="37" t="s">
        <v>4785</v>
      </c>
      <c r="D2341" s="55" t="s">
        <v>820</v>
      </c>
      <c r="E2341" s="56">
        <v>31.53</v>
      </c>
      <c r="F2341" s="55">
        <v>2.56</v>
      </c>
      <c r="G2341" s="55"/>
      <c r="I2341" s="49" t="str">
        <f t="shared" si="207"/>
        <v/>
      </c>
      <c r="J2341" s="37" t="str">
        <f t="shared" si="204"/>
        <v>유디엠텍</v>
      </c>
      <c r="K2341" s="37" t="str">
        <f t="shared" si="205"/>
        <v>A389680</v>
      </c>
    </row>
    <row r="2342" spans="1:11" x14ac:dyDescent="0.4">
      <c r="A2342" s="49"/>
      <c r="B2342" s="54" t="s">
        <v>4786</v>
      </c>
      <c r="C2342" s="37" t="s">
        <v>4787</v>
      </c>
      <c r="D2342" s="55" t="s">
        <v>820</v>
      </c>
      <c r="E2342" s="58">
        <v>93.55</v>
      </c>
      <c r="F2342" s="57">
        <v>7.14</v>
      </c>
      <c r="G2342" s="57"/>
      <c r="H2342" s="49"/>
      <c r="I2342" s="49" t="str">
        <f t="shared" si="207"/>
        <v/>
      </c>
      <c r="J2342" s="37" t="str">
        <f t="shared" si="204"/>
        <v>코닉오토메이션</v>
      </c>
      <c r="K2342" s="37" t="str">
        <f t="shared" si="205"/>
        <v>A391710</v>
      </c>
    </row>
    <row r="2343" spans="1:11" x14ac:dyDescent="0.4">
      <c r="A2343" s="49"/>
      <c r="B2343" s="54" t="s">
        <v>4788</v>
      </c>
      <c r="C2343" s="37" t="s">
        <v>4789</v>
      </c>
      <c r="D2343" s="55" t="s">
        <v>820</v>
      </c>
      <c r="E2343" s="58">
        <v>76.12</v>
      </c>
      <c r="F2343" s="57">
        <v>3.26</v>
      </c>
      <c r="G2343" s="57"/>
      <c r="H2343" s="49"/>
      <c r="I2343" s="49" t="str">
        <f t="shared" si="207"/>
        <v/>
      </c>
      <c r="J2343" s="37" t="str">
        <f t="shared" si="204"/>
        <v>토마토시스템</v>
      </c>
      <c r="K2343" s="37" t="str">
        <f t="shared" si="205"/>
        <v>A393210</v>
      </c>
    </row>
    <row r="2344" spans="1:11" x14ac:dyDescent="0.4">
      <c r="A2344" s="49"/>
      <c r="B2344" s="54" t="s">
        <v>4790</v>
      </c>
      <c r="C2344" s="37" t="s">
        <v>4791</v>
      </c>
      <c r="D2344" s="55" t="s">
        <v>820</v>
      </c>
      <c r="E2344" s="58">
        <v>338.09</v>
      </c>
      <c r="F2344" s="57">
        <v>3.58</v>
      </c>
      <c r="G2344" s="57">
        <v>3</v>
      </c>
      <c r="H2344" s="49"/>
      <c r="I2344" s="49">
        <f t="shared" si="207"/>
        <v>338.11343999999997</v>
      </c>
      <c r="J2344" s="37" t="str">
        <f t="shared" si="204"/>
        <v>더블유씨피</v>
      </c>
      <c r="K2344" s="37" t="str">
        <f t="shared" si="205"/>
        <v>A393890</v>
      </c>
    </row>
    <row r="2345" spans="1:11" x14ac:dyDescent="0.4">
      <c r="A2345" s="49"/>
      <c r="B2345" s="54" t="s">
        <v>4792</v>
      </c>
      <c r="C2345" s="37" t="s">
        <v>4793</v>
      </c>
      <c r="D2345" s="55" t="s">
        <v>820</v>
      </c>
      <c r="E2345" s="58">
        <v>54.68</v>
      </c>
      <c r="F2345" s="57">
        <v>8.33</v>
      </c>
      <c r="G2345" s="57"/>
      <c r="H2345" s="49"/>
      <c r="I2345" s="49" t="str">
        <f t="shared" si="207"/>
        <v/>
      </c>
      <c r="J2345" s="37" t="str">
        <f t="shared" si="204"/>
        <v>대진첨단소재</v>
      </c>
      <c r="K2345" s="37" t="str">
        <f t="shared" si="205"/>
        <v>A393970</v>
      </c>
    </row>
    <row r="2346" spans="1:11" x14ac:dyDescent="0.4">
      <c r="A2346" s="49"/>
      <c r="B2346" s="54" t="s">
        <v>4794</v>
      </c>
      <c r="C2346" s="37" t="s">
        <v>4795</v>
      </c>
      <c r="D2346" s="55" t="s">
        <v>820</v>
      </c>
      <c r="E2346" s="58">
        <v>418.85</v>
      </c>
      <c r="F2346" s="57">
        <v>3.74</v>
      </c>
      <c r="G2346" s="57"/>
      <c r="H2346" s="49"/>
      <c r="I2346" s="49" t="str">
        <f t="shared" si="207"/>
        <v/>
      </c>
      <c r="J2346" s="37" t="str">
        <f t="shared" si="204"/>
        <v>오픈엣지테크놀로지</v>
      </c>
      <c r="K2346" s="37" t="str">
        <f t="shared" si="205"/>
        <v>A394280</v>
      </c>
    </row>
    <row r="2347" spans="1:11" x14ac:dyDescent="0.4">
      <c r="A2347" s="49"/>
      <c r="B2347" s="54" t="s">
        <v>4796</v>
      </c>
      <c r="C2347" s="37" t="s">
        <v>4797</v>
      </c>
      <c r="D2347" s="55" t="s">
        <v>820</v>
      </c>
      <c r="E2347" s="58">
        <v>458.95</v>
      </c>
      <c r="F2347" s="57">
        <v>13.83</v>
      </c>
      <c r="G2347" s="57">
        <v>1</v>
      </c>
      <c r="H2347" s="49"/>
      <c r="I2347" s="49">
        <f t="shared" si="207"/>
        <v>458.97346999999996</v>
      </c>
      <c r="J2347" s="37" t="str">
        <f t="shared" si="204"/>
        <v>쓰리빌리언</v>
      </c>
      <c r="K2347" s="37" t="str">
        <f t="shared" si="205"/>
        <v>A394800</v>
      </c>
    </row>
    <row r="2348" spans="1:11" x14ac:dyDescent="0.4">
      <c r="A2348" s="49"/>
      <c r="B2348" s="54" t="s">
        <v>4798</v>
      </c>
      <c r="C2348" s="37" t="s">
        <v>4799</v>
      </c>
      <c r="D2348" s="55" t="s">
        <v>820</v>
      </c>
      <c r="E2348" s="58">
        <v>115.11</v>
      </c>
      <c r="F2348" s="57">
        <v>3.27</v>
      </c>
      <c r="G2348" s="57"/>
      <c r="H2348" s="49"/>
      <c r="I2348" s="49" t="str">
        <f t="shared" si="207"/>
        <v/>
      </c>
      <c r="J2348" s="37" t="str">
        <f t="shared" si="204"/>
        <v>넥스트칩</v>
      </c>
      <c r="K2348" s="37" t="str">
        <f t="shared" si="205"/>
        <v>A396270</v>
      </c>
    </row>
    <row r="2349" spans="1:11" x14ac:dyDescent="0.4">
      <c r="A2349" s="49"/>
      <c r="B2349" s="54" t="s">
        <v>4800</v>
      </c>
      <c r="C2349" s="37" t="s">
        <v>4801</v>
      </c>
      <c r="D2349" s="55" t="s">
        <v>820</v>
      </c>
      <c r="E2349" s="58">
        <v>115.63</v>
      </c>
      <c r="F2349" s="57">
        <v>4.04</v>
      </c>
      <c r="G2349" s="57">
        <v>1</v>
      </c>
      <c r="H2349" s="49"/>
      <c r="I2349" s="49">
        <f t="shared" si="207"/>
        <v>115.65348999999999</v>
      </c>
      <c r="J2349" s="37" t="str">
        <f t="shared" si="204"/>
        <v>세아메카닉스</v>
      </c>
      <c r="K2349" s="37" t="str">
        <f t="shared" si="205"/>
        <v>A396300</v>
      </c>
    </row>
    <row r="2350" spans="1:11" x14ac:dyDescent="0.4">
      <c r="B2350" s="54" t="s">
        <v>4802</v>
      </c>
      <c r="C2350" s="37" t="s">
        <v>4803</v>
      </c>
      <c r="D2350" s="55" t="s">
        <v>820</v>
      </c>
      <c r="E2350" s="56">
        <v>116.39</v>
      </c>
      <c r="F2350" s="55">
        <v>0.89</v>
      </c>
      <c r="G2350" s="55"/>
      <c r="J2350" s="37" t="str">
        <f t="shared" si="204"/>
        <v>워트</v>
      </c>
      <c r="K2350" s="37" t="str">
        <f t="shared" si="205"/>
        <v>A396470</v>
      </c>
    </row>
    <row r="2351" spans="1:11" x14ac:dyDescent="0.4">
      <c r="A2351" s="49"/>
      <c r="B2351" s="54" t="s">
        <v>51</v>
      </c>
      <c r="C2351" s="37" t="s">
        <v>52</v>
      </c>
      <c r="D2351" s="55" t="s">
        <v>820</v>
      </c>
      <c r="E2351" s="56">
        <v>1685.34</v>
      </c>
      <c r="F2351" s="55">
        <v>42.32</v>
      </c>
      <c r="G2351" s="55">
        <v>3</v>
      </c>
      <c r="I2351" s="49">
        <f>IF((G2351&gt;$G$8),E2351+ROW()/100000,"")</f>
        <v>1685.3635099999999</v>
      </c>
      <c r="J2351" s="37" t="str">
        <f t="shared" si="204"/>
        <v>에이프릴바이오</v>
      </c>
      <c r="K2351" s="37" t="str">
        <f t="shared" si="205"/>
        <v>A397030</v>
      </c>
    </row>
    <row r="2352" spans="1:11" x14ac:dyDescent="0.4">
      <c r="A2352" s="49"/>
      <c r="B2352" s="54" t="s">
        <v>4804</v>
      </c>
      <c r="C2352" s="37" t="s">
        <v>4805</v>
      </c>
      <c r="D2352" s="55" t="s">
        <v>820</v>
      </c>
      <c r="E2352" s="58">
        <v>36.229999999999997</v>
      </c>
      <c r="F2352" s="57">
        <v>2.25</v>
      </c>
      <c r="G2352" s="57"/>
      <c r="H2352" s="49"/>
      <c r="I2352" s="49" t="str">
        <f>IF((G2352&gt;$G$8),E2352+ROW()/100000,"")</f>
        <v/>
      </c>
      <c r="J2352" s="37" t="str">
        <f t="shared" si="204"/>
        <v>애드포러스</v>
      </c>
      <c r="K2352" s="37" t="str">
        <f t="shared" si="205"/>
        <v>A397810</v>
      </c>
    </row>
    <row r="2353" spans="1:11" x14ac:dyDescent="0.4">
      <c r="A2353" s="49"/>
      <c r="B2353" s="54" t="s">
        <v>4806</v>
      </c>
      <c r="C2353" s="37" t="s">
        <v>4807</v>
      </c>
      <c r="D2353" s="55" t="s">
        <v>820</v>
      </c>
      <c r="E2353" s="58">
        <v>50.11</v>
      </c>
      <c r="F2353" s="57">
        <v>0.39</v>
      </c>
      <c r="G2353" s="57"/>
      <c r="H2353" s="49"/>
      <c r="I2353" s="49" t="str">
        <f>IF((G2353&gt;$G$8),E2353+ROW()/100000,"")</f>
        <v/>
      </c>
      <c r="J2353" s="37" t="str">
        <f t="shared" si="204"/>
        <v>에스지헬스케어</v>
      </c>
      <c r="K2353" s="37" t="str">
        <f t="shared" si="205"/>
        <v>A398120</v>
      </c>
    </row>
    <row r="2354" spans="1:11" x14ac:dyDescent="0.4">
      <c r="A2354" s="49"/>
      <c r="B2354" s="54" t="s">
        <v>625</v>
      </c>
      <c r="C2354" s="37" t="s">
        <v>626</v>
      </c>
      <c r="D2354" s="55" t="s">
        <v>820</v>
      </c>
      <c r="E2354" s="58">
        <v>807.39</v>
      </c>
      <c r="F2354" s="57">
        <v>9.2899999999999991</v>
      </c>
      <c r="G2354" s="57">
        <v>1</v>
      </c>
      <c r="H2354" s="49"/>
      <c r="I2354" s="49">
        <f>IF((G2354&gt;$G$8),E2354+ROW()/100000,"")</f>
        <v>807.41354000000001</v>
      </c>
      <c r="J2354" s="37" t="str">
        <f t="shared" si="204"/>
        <v>가온칩스</v>
      </c>
      <c r="K2354" s="37" t="str">
        <f t="shared" si="205"/>
        <v>A399720</v>
      </c>
    </row>
    <row r="2355" spans="1:11" x14ac:dyDescent="0.4">
      <c r="B2355" s="54" t="s">
        <v>262</v>
      </c>
      <c r="C2355" s="37" t="s">
        <v>263</v>
      </c>
      <c r="D2355" s="55" t="s">
        <v>820</v>
      </c>
      <c r="E2355" s="56">
        <v>252.23</v>
      </c>
      <c r="F2355" s="55">
        <v>1.29</v>
      </c>
      <c r="G2355" s="55"/>
      <c r="J2355" s="37" t="str">
        <f t="shared" si="204"/>
        <v>코난테크놀로지</v>
      </c>
      <c r="K2355" s="37" t="str">
        <f t="shared" si="205"/>
        <v>A402030</v>
      </c>
    </row>
    <row r="2356" spans="1:11" x14ac:dyDescent="0.4">
      <c r="A2356" s="49"/>
      <c r="B2356" s="54" t="s">
        <v>188</v>
      </c>
      <c r="C2356" s="37" t="s">
        <v>189</v>
      </c>
      <c r="D2356" s="55" t="s">
        <v>805</v>
      </c>
      <c r="E2356" s="58">
        <v>85196.19</v>
      </c>
      <c r="F2356" s="57">
        <v>203.46</v>
      </c>
      <c r="G2356" s="57">
        <v>5</v>
      </c>
      <c r="H2356" s="49"/>
      <c r="I2356" s="49">
        <f>IF((G2356&gt;$G$8),E2356+ROW()/100000,"")</f>
        <v>85196.213560000004</v>
      </c>
      <c r="J2356" s="37" t="str">
        <f t="shared" si="204"/>
        <v>SK스퀘어</v>
      </c>
      <c r="K2356" s="37" t="str">
        <f t="shared" si="205"/>
        <v>A402340</v>
      </c>
    </row>
    <row r="2357" spans="1:11" x14ac:dyDescent="0.4">
      <c r="A2357" s="49"/>
      <c r="B2357" s="54" t="s">
        <v>4808</v>
      </c>
      <c r="C2357" s="37" t="s">
        <v>4809</v>
      </c>
      <c r="D2357" s="55" t="s">
        <v>820</v>
      </c>
      <c r="E2357" s="58">
        <v>155.72</v>
      </c>
      <c r="F2357" s="57">
        <v>3.4</v>
      </c>
      <c r="G2357" s="57"/>
      <c r="H2357" s="49"/>
      <c r="I2357" s="49" t="str">
        <f>IF((G2357&gt;$G$8),E2357+ROW()/100000,"")</f>
        <v/>
      </c>
      <c r="J2357" s="37" t="str">
        <f t="shared" si="204"/>
        <v>그린리소스</v>
      </c>
      <c r="K2357" s="37" t="str">
        <f t="shared" si="205"/>
        <v>A402490</v>
      </c>
    </row>
    <row r="2358" spans="1:11" x14ac:dyDescent="0.4">
      <c r="B2358" s="54" t="s">
        <v>4810</v>
      </c>
      <c r="C2358" s="37" t="s">
        <v>4811</v>
      </c>
      <c r="D2358" s="55" t="s">
        <v>820</v>
      </c>
      <c r="E2358" s="56">
        <v>64.12</v>
      </c>
      <c r="F2358" s="55">
        <v>1.56</v>
      </c>
      <c r="G2358" s="55"/>
      <c r="J2358" s="37" t="str">
        <f t="shared" si="204"/>
        <v>우듬지팜</v>
      </c>
      <c r="K2358" s="37" t="str">
        <f t="shared" si="205"/>
        <v>A403490</v>
      </c>
    </row>
    <row r="2359" spans="1:11" x14ac:dyDescent="0.4">
      <c r="A2359" s="49"/>
      <c r="B2359" s="54" t="s">
        <v>4812</v>
      </c>
      <c r="C2359" s="37" t="s">
        <v>4813</v>
      </c>
      <c r="D2359" s="55" t="s">
        <v>805</v>
      </c>
      <c r="E2359" s="58">
        <v>387.21</v>
      </c>
      <c r="F2359" s="57">
        <v>0.1</v>
      </c>
      <c r="G2359" s="57">
        <v>1</v>
      </c>
      <c r="H2359" s="49"/>
      <c r="I2359" s="49">
        <f t="shared" ref="I2359:I2374" si="208">IF((G2359&gt;$G$8),E2359+ROW()/100000,"")</f>
        <v>387.23358999999999</v>
      </c>
      <c r="J2359" s="37" t="str">
        <f t="shared" si="204"/>
        <v>쏘카</v>
      </c>
      <c r="K2359" s="37" t="str">
        <f t="shared" si="205"/>
        <v>A403550</v>
      </c>
    </row>
    <row r="2360" spans="1:11" x14ac:dyDescent="0.4">
      <c r="A2360" s="49"/>
      <c r="B2360" s="54" t="s">
        <v>627</v>
      </c>
      <c r="C2360" s="37" t="s">
        <v>628</v>
      </c>
      <c r="D2360" s="55" t="s">
        <v>820</v>
      </c>
      <c r="E2360" s="58">
        <v>287.02</v>
      </c>
      <c r="F2360" s="57">
        <v>34.74</v>
      </c>
      <c r="G2360" s="57">
        <v>1</v>
      </c>
      <c r="H2360" s="49"/>
      <c r="I2360" s="49">
        <f t="shared" si="208"/>
        <v>287.04359999999997</v>
      </c>
      <c r="J2360" s="37" t="str">
        <f t="shared" si="204"/>
        <v>더핑크퐁컴퍼니</v>
      </c>
      <c r="K2360" s="37" t="str">
        <f t="shared" si="205"/>
        <v>A403850</v>
      </c>
    </row>
    <row r="2361" spans="1:11" x14ac:dyDescent="0.4">
      <c r="A2361" s="49"/>
      <c r="B2361" s="54" t="s">
        <v>468</v>
      </c>
      <c r="C2361" s="37" t="s">
        <v>469</v>
      </c>
      <c r="D2361" s="55" t="s">
        <v>820</v>
      </c>
      <c r="E2361" s="58">
        <v>3767.36</v>
      </c>
      <c r="F2361" s="57">
        <v>56.92</v>
      </c>
      <c r="G2361" s="57">
        <v>2</v>
      </c>
      <c r="H2361" s="49"/>
      <c r="I2361" s="49">
        <f t="shared" si="208"/>
        <v>3767.3836100000003</v>
      </c>
      <c r="J2361" s="37" t="str">
        <f t="shared" si="204"/>
        <v>HPSP</v>
      </c>
      <c r="K2361" s="37" t="str">
        <f t="shared" si="205"/>
        <v>A403870</v>
      </c>
    </row>
    <row r="2362" spans="1:11" x14ac:dyDescent="0.4">
      <c r="A2362" s="49"/>
      <c r="B2362" s="54" t="s">
        <v>4814</v>
      </c>
      <c r="C2362" s="37" t="s">
        <v>4815</v>
      </c>
      <c r="D2362" s="55" t="s">
        <v>820</v>
      </c>
      <c r="E2362" s="58">
        <v>26.1</v>
      </c>
      <c r="F2362" s="57">
        <v>0.08</v>
      </c>
      <c r="G2362" s="57"/>
      <c r="H2362" s="49"/>
      <c r="I2362" s="49" t="str">
        <f t="shared" si="208"/>
        <v/>
      </c>
      <c r="J2362" s="37" t="str">
        <f t="shared" si="204"/>
        <v>플라즈맵</v>
      </c>
      <c r="K2362" s="37" t="str">
        <f t="shared" si="205"/>
        <v>A405000</v>
      </c>
    </row>
    <row r="2363" spans="1:11" x14ac:dyDescent="0.4">
      <c r="A2363" s="49"/>
      <c r="B2363" s="54" t="s">
        <v>4816</v>
      </c>
      <c r="C2363" s="37" t="s">
        <v>4817</v>
      </c>
      <c r="D2363" s="55" t="s">
        <v>820</v>
      </c>
      <c r="E2363" s="59">
        <v>219.49</v>
      </c>
      <c r="F2363" s="57">
        <v>2.35</v>
      </c>
      <c r="G2363" s="57"/>
      <c r="H2363" s="49"/>
      <c r="I2363" s="49" t="str">
        <f t="shared" si="208"/>
        <v/>
      </c>
      <c r="J2363" s="37" t="str">
        <f t="shared" si="204"/>
        <v>큐알티</v>
      </c>
      <c r="K2363" s="37" t="str">
        <f t="shared" si="205"/>
        <v>A405100</v>
      </c>
    </row>
    <row r="2364" spans="1:11" x14ac:dyDescent="0.4">
      <c r="A2364" s="49"/>
      <c r="B2364" s="54" t="s">
        <v>4818</v>
      </c>
      <c r="C2364" s="37" t="s">
        <v>4819</v>
      </c>
      <c r="D2364" s="55" t="s">
        <v>820</v>
      </c>
      <c r="E2364" s="56">
        <v>31.29</v>
      </c>
      <c r="F2364" s="55">
        <v>0.04</v>
      </c>
      <c r="G2364" s="55"/>
      <c r="I2364" s="49" t="str">
        <f t="shared" si="208"/>
        <v/>
      </c>
      <c r="J2364" s="37" t="str">
        <f t="shared" si="204"/>
        <v>나라셀라</v>
      </c>
      <c r="K2364" s="37" t="str">
        <f t="shared" si="205"/>
        <v>A405920</v>
      </c>
    </row>
    <row r="2365" spans="1:11" x14ac:dyDescent="0.4">
      <c r="A2365" s="49"/>
      <c r="B2365" s="54" t="s">
        <v>4820</v>
      </c>
      <c r="C2365" s="37" t="s">
        <v>4821</v>
      </c>
      <c r="D2365" s="55" t="s">
        <v>820</v>
      </c>
      <c r="E2365" s="56">
        <v>35.130000000000003</v>
      </c>
      <c r="F2365" s="55">
        <v>1.18</v>
      </c>
      <c r="G2365" s="55"/>
      <c r="I2365" s="49" t="str">
        <f t="shared" si="208"/>
        <v/>
      </c>
      <c r="J2365" s="37" t="str">
        <f t="shared" si="204"/>
        <v>뷰티스킨</v>
      </c>
      <c r="K2365" s="37" t="str">
        <f t="shared" si="205"/>
        <v>A406820</v>
      </c>
    </row>
    <row r="2366" spans="1:11" x14ac:dyDescent="0.4">
      <c r="A2366" s="49"/>
      <c r="B2366" s="54" t="s">
        <v>4822</v>
      </c>
      <c r="C2366" s="37" t="s">
        <v>4823</v>
      </c>
      <c r="D2366" s="55" t="s">
        <v>820</v>
      </c>
      <c r="E2366" s="58">
        <v>70.17</v>
      </c>
      <c r="F2366" s="57">
        <v>0.96</v>
      </c>
      <c r="G2366" s="57"/>
      <c r="H2366" s="49"/>
      <c r="I2366" s="49" t="str">
        <f t="shared" si="208"/>
        <v/>
      </c>
      <c r="J2366" s="37" t="str">
        <f t="shared" si="204"/>
        <v>꿈비</v>
      </c>
      <c r="K2366" s="37" t="str">
        <f t="shared" si="205"/>
        <v>A407400</v>
      </c>
    </row>
    <row r="2367" spans="1:11" x14ac:dyDescent="0.4">
      <c r="A2367" s="49"/>
      <c r="B2367" s="54" t="s">
        <v>4824</v>
      </c>
      <c r="C2367" s="37" t="s">
        <v>4825</v>
      </c>
      <c r="D2367" s="55" t="s">
        <v>820</v>
      </c>
      <c r="E2367" s="58">
        <v>78.930000000000007</v>
      </c>
      <c r="F2367" s="57">
        <v>2.04</v>
      </c>
      <c r="G2367" s="57"/>
      <c r="H2367" s="49"/>
      <c r="I2367" s="49" t="str">
        <f t="shared" si="208"/>
        <v/>
      </c>
      <c r="J2367" s="37" t="str">
        <f t="shared" si="204"/>
        <v>스튜디오미르</v>
      </c>
      <c r="K2367" s="37" t="str">
        <f t="shared" si="205"/>
        <v>A408900</v>
      </c>
    </row>
    <row r="2368" spans="1:11" x14ac:dyDescent="0.4">
      <c r="A2368" s="49"/>
      <c r="B2368" s="54" t="s">
        <v>4826</v>
      </c>
      <c r="C2368" s="37" t="s">
        <v>4827</v>
      </c>
      <c r="D2368" s="55" t="s">
        <v>820</v>
      </c>
      <c r="E2368" s="58">
        <v>145.69</v>
      </c>
      <c r="F2368" s="57">
        <v>0.41</v>
      </c>
      <c r="G2368" s="57"/>
      <c r="H2368" s="49"/>
      <c r="I2368" s="49" t="str">
        <f t="shared" si="208"/>
        <v/>
      </c>
      <c r="J2368" s="37" t="str">
        <f t="shared" si="204"/>
        <v>메쎄이상</v>
      </c>
      <c r="K2368" s="37" t="str">
        <f t="shared" si="205"/>
        <v>A408920</v>
      </c>
    </row>
    <row r="2369" spans="1:11" x14ac:dyDescent="0.4">
      <c r="A2369" s="49"/>
      <c r="B2369" s="54" t="s">
        <v>4828</v>
      </c>
      <c r="C2369" s="37" t="s">
        <v>4829</v>
      </c>
      <c r="D2369" s="55" t="s">
        <v>820</v>
      </c>
      <c r="E2369" s="56">
        <v>98.63</v>
      </c>
      <c r="F2369" s="55">
        <v>2.1800000000000002</v>
      </c>
      <c r="G2369" s="55"/>
      <c r="I2369" s="49" t="str">
        <f t="shared" si="208"/>
        <v/>
      </c>
      <c r="J2369" s="37" t="str">
        <f t="shared" si="204"/>
        <v>샌즈랩</v>
      </c>
      <c r="K2369" s="37" t="str">
        <f t="shared" si="205"/>
        <v>A411080</v>
      </c>
    </row>
    <row r="2370" spans="1:11" x14ac:dyDescent="0.4">
      <c r="A2370" s="49"/>
      <c r="B2370" s="54" t="s">
        <v>4830</v>
      </c>
      <c r="C2370" s="37" t="s">
        <v>4831</v>
      </c>
      <c r="D2370" s="55" t="s">
        <v>820</v>
      </c>
      <c r="E2370" s="58">
        <v>61.42</v>
      </c>
      <c r="F2370" s="57">
        <v>3.32</v>
      </c>
      <c r="G2370" s="57"/>
      <c r="H2370" s="49"/>
      <c r="I2370" s="49" t="str">
        <f t="shared" si="208"/>
        <v/>
      </c>
      <c r="J2370" s="37" t="str">
        <f t="shared" si="204"/>
        <v>레이저쎌</v>
      </c>
      <c r="K2370" s="37" t="str">
        <f t="shared" si="205"/>
        <v>A412350</v>
      </c>
    </row>
    <row r="2371" spans="1:11" x14ac:dyDescent="0.4">
      <c r="A2371" s="49"/>
      <c r="B2371" s="54" t="s">
        <v>4832</v>
      </c>
      <c r="C2371" s="37" t="s">
        <v>4833</v>
      </c>
      <c r="D2371" s="55" t="s">
        <v>820</v>
      </c>
      <c r="E2371" s="58">
        <v>81.06</v>
      </c>
      <c r="F2371" s="57">
        <v>0</v>
      </c>
      <c r="G2371" s="57"/>
      <c r="H2371" s="49"/>
      <c r="I2371" s="49" t="str">
        <f t="shared" si="208"/>
        <v/>
      </c>
      <c r="J2371" s="37" t="str">
        <f t="shared" si="204"/>
        <v>제일엠앤에스</v>
      </c>
      <c r="K2371" s="37" t="str">
        <f t="shared" si="205"/>
        <v>A412540</v>
      </c>
    </row>
    <row r="2372" spans="1:11" x14ac:dyDescent="0.4">
      <c r="A2372" s="49"/>
      <c r="B2372" s="54" t="s">
        <v>4834</v>
      </c>
      <c r="C2372" s="37" t="s">
        <v>4835</v>
      </c>
      <c r="D2372" s="55" t="s">
        <v>820</v>
      </c>
      <c r="E2372" s="56">
        <v>104.11</v>
      </c>
      <c r="F2372" s="55">
        <v>4.63</v>
      </c>
      <c r="G2372" s="55"/>
      <c r="I2372" s="49" t="str">
        <f t="shared" si="208"/>
        <v/>
      </c>
      <c r="J2372" s="37" t="str">
        <f t="shared" si="204"/>
        <v>엠오티</v>
      </c>
      <c r="K2372" s="37" t="str">
        <f t="shared" si="205"/>
        <v>A413390</v>
      </c>
    </row>
    <row r="2373" spans="1:11" x14ac:dyDescent="0.4">
      <c r="A2373" s="49"/>
      <c r="B2373" s="54" t="s">
        <v>4836</v>
      </c>
      <c r="C2373" s="37" t="s">
        <v>4837</v>
      </c>
      <c r="D2373" s="55" t="s">
        <v>820</v>
      </c>
      <c r="E2373" s="58">
        <v>171.25</v>
      </c>
      <c r="F2373" s="57">
        <v>26.15</v>
      </c>
      <c r="G2373" s="57">
        <v>1</v>
      </c>
      <c r="H2373" s="49"/>
      <c r="I2373" s="49">
        <f t="shared" si="208"/>
        <v>171.27373</v>
      </c>
      <c r="J2373" s="37" t="str">
        <f t="shared" si="204"/>
        <v>씨피시스템</v>
      </c>
      <c r="K2373" s="37" t="str">
        <f t="shared" si="205"/>
        <v>A413630</v>
      </c>
    </row>
    <row r="2374" spans="1:11" x14ac:dyDescent="0.4">
      <c r="A2374" s="49"/>
      <c r="B2374" s="54" t="s">
        <v>4838</v>
      </c>
      <c r="C2374" s="37" t="s">
        <v>4839</v>
      </c>
      <c r="D2374" s="55" t="s">
        <v>820</v>
      </c>
      <c r="E2374" s="58">
        <v>65.94</v>
      </c>
      <c r="F2374" s="57">
        <v>0.95</v>
      </c>
      <c r="G2374" s="57"/>
      <c r="H2374" s="49"/>
      <c r="I2374" s="49" t="str">
        <f t="shared" si="208"/>
        <v/>
      </c>
      <c r="J2374" s="37" t="str">
        <f t="shared" si="204"/>
        <v>비아이매트릭스</v>
      </c>
      <c r="K2374" s="37" t="str">
        <f t="shared" si="205"/>
        <v>A413640</v>
      </c>
    </row>
    <row r="2375" spans="1:11" x14ac:dyDescent="0.4">
      <c r="B2375" s="54" t="s">
        <v>4840</v>
      </c>
      <c r="C2375" s="37" t="s">
        <v>4841</v>
      </c>
      <c r="D2375" s="55" t="s">
        <v>820</v>
      </c>
      <c r="E2375" s="56">
        <v>24.26</v>
      </c>
      <c r="F2375" s="55">
        <v>0.5</v>
      </c>
      <c r="G2375" s="55"/>
      <c r="J2375" s="37" t="str">
        <f t="shared" si="204"/>
        <v>스튜디오삼익</v>
      </c>
      <c r="K2375" s="37" t="str">
        <f t="shared" si="205"/>
        <v>A415380</v>
      </c>
    </row>
    <row r="2376" spans="1:11" x14ac:dyDescent="0.4">
      <c r="A2376" s="49"/>
      <c r="B2376" s="54" t="s">
        <v>4842</v>
      </c>
      <c r="C2376" s="37" t="s">
        <v>4843</v>
      </c>
      <c r="D2376" s="55" t="s">
        <v>820</v>
      </c>
      <c r="E2376" s="58">
        <v>353.91</v>
      </c>
      <c r="F2376" s="57">
        <v>5.86</v>
      </c>
      <c r="G2376" s="57"/>
      <c r="H2376" s="49"/>
      <c r="I2376" s="49" t="str">
        <f t="shared" ref="I2376:I2385" si="209">IF((G2376&gt;$G$8),E2376+ROW()/100000,"")</f>
        <v/>
      </c>
      <c r="J2376" s="37" t="str">
        <f t="shared" si="204"/>
        <v>신성에스티</v>
      </c>
      <c r="K2376" s="37" t="str">
        <f t="shared" si="205"/>
        <v>A416180</v>
      </c>
    </row>
    <row r="2377" spans="1:11" x14ac:dyDescent="0.4">
      <c r="A2377" s="49"/>
      <c r="B2377" s="54" t="s">
        <v>4844</v>
      </c>
      <c r="C2377" s="37" t="s">
        <v>4845</v>
      </c>
      <c r="D2377" s="55" t="s">
        <v>820</v>
      </c>
      <c r="E2377" s="58">
        <v>228.15</v>
      </c>
      <c r="F2377" s="57">
        <v>9.6199999999999992</v>
      </c>
      <c r="G2377" s="57"/>
      <c r="H2377" s="49"/>
      <c r="I2377" s="49" t="str">
        <f t="shared" si="209"/>
        <v/>
      </c>
      <c r="J2377" s="37" t="str">
        <f t="shared" si="204"/>
        <v>나노팀</v>
      </c>
      <c r="K2377" s="37" t="str">
        <f t="shared" si="205"/>
        <v>A417010</v>
      </c>
    </row>
    <row r="2378" spans="1:11" x14ac:dyDescent="0.4">
      <c r="A2378" s="49"/>
      <c r="B2378" s="54" t="s">
        <v>4846</v>
      </c>
      <c r="C2378" s="37" t="s">
        <v>4847</v>
      </c>
      <c r="D2378" s="55" t="s">
        <v>820</v>
      </c>
      <c r="E2378" s="58">
        <v>30.62</v>
      </c>
      <c r="F2378" s="57">
        <v>0.53</v>
      </c>
      <c r="G2378" s="57"/>
      <c r="H2378" s="49"/>
      <c r="I2378" s="49" t="str">
        <f t="shared" si="209"/>
        <v/>
      </c>
      <c r="J2378" s="37" t="str">
        <f t="shared" si="204"/>
        <v>핑거스토리</v>
      </c>
      <c r="K2378" s="37" t="str">
        <f t="shared" si="205"/>
        <v>A417180</v>
      </c>
    </row>
    <row r="2379" spans="1:11" x14ac:dyDescent="0.4">
      <c r="A2379" s="49"/>
      <c r="B2379" s="54" t="s">
        <v>4848</v>
      </c>
      <c r="C2379" s="37" t="s">
        <v>4849</v>
      </c>
      <c r="D2379" s="55" t="s">
        <v>820</v>
      </c>
      <c r="E2379" s="58">
        <v>1189.33</v>
      </c>
      <c r="F2379" s="57">
        <v>15.46</v>
      </c>
      <c r="G2379" s="57"/>
      <c r="H2379" s="49"/>
      <c r="I2379" s="49" t="str">
        <f t="shared" si="209"/>
        <v/>
      </c>
      <c r="J2379" s="37" t="str">
        <f t="shared" si="204"/>
        <v>LS머트리얼즈</v>
      </c>
      <c r="K2379" s="37" t="str">
        <f t="shared" si="205"/>
        <v>A417200</v>
      </c>
    </row>
    <row r="2380" spans="1:11" x14ac:dyDescent="0.4">
      <c r="A2380" s="49"/>
      <c r="B2380" s="54" t="s">
        <v>4850</v>
      </c>
      <c r="C2380" s="37" t="s">
        <v>4851</v>
      </c>
      <c r="D2380" s="55" t="s">
        <v>820</v>
      </c>
      <c r="E2380" s="58">
        <v>155.4</v>
      </c>
      <c r="F2380" s="57">
        <v>0.81</v>
      </c>
      <c r="G2380" s="57"/>
      <c r="H2380" s="49"/>
      <c r="I2380" s="49" t="str">
        <f t="shared" si="209"/>
        <v/>
      </c>
      <c r="J2380" s="37" t="str">
        <f t="shared" si="204"/>
        <v>제이아이테크</v>
      </c>
      <c r="K2380" s="37" t="str">
        <f t="shared" si="205"/>
        <v>A417500</v>
      </c>
    </row>
    <row r="2381" spans="1:11" x14ac:dyDescent="0.4">
      <c r="A2381" s="49"/>
      <c r="B2381" s="54" t="s">
        <v>4852</v>
      </c>
      <c r="C2381" s="37" t="s">
        <v>4853</v>
      </c>
      <c r="D2381" s="55" t="s">
        <v>820</v>
      </c>
      <c r="E2381" s="58">
        <v>82.28</v>
      </c>
      <c r="F2381" s="57">
        <v>0.28000000000000003</v>
      </c>
      <c r="G2381" s="57"/>
      <c r="H2381" s="49"/>
      <c r="I2381" s="49" t="str">
        <f t="shared" si="209"/>
        <v/>
      </c>
      <c r="J2381" s="37" t="str">
        <f t="shared" si="204"/>
        <v>트루엔</v>
      </c>
      <c r="K2381" s="37" t="str">
        <f t="shared" si="205"/>
        <v>A417790</v>
      </c>
    </row>
    <row r="2382" spans="1:11" x14ac:dyDescent="0.4">
      <c r="A2382" s="49"/>
      <c r="B2382" s="54" t="s">
        <v>4854</v>
      </c>
      <c r="C2382" s="37" t="s">
        <v>4855</v>
      </c>
      <c r="D2382" s="55" t="s">
        <v>820</v>
      </c>
      <c r="E2382" s="58">
        <v>165.24</v>
      </c>
      <c r="F2382" s="57">
        <v>6.31</v>
      </c>
      <c r="G2382" s="57">
        <v>1</v>
      </c>
      <c r="H2382" s="49"/>
      <c r="I2382" s="49">
        <f t="shared" si="209"/>
        <v>165.26382000000001</v>
      </c>
      <c r="J2382" s="37" t="str">
        <f t="shared" ref="J2382:J2445" si="210">C2382</f>
        <v>저스템</v>
      </c>
      <c r="K2382" s="37" t="str">
        <f t="shared" ref="K2382:K2445" si="211">B2382</f>
        <v>A417840</v>
      </c>
    </row>
    <row r="2383" spans="1:11" x14ac:dyDescent="0.4">
      <c r="A2383" s="49"/>
      <c r="B2383" s="54" t="s">
        <v>4856</v>
      </c>
      <c r="C2383" s="37" t="s">
        <v>4857</v>
      </c>
      <c r="D2383" s="55" t="s">
        <v>820</v>
      </c>
      <c r="E2383" s="59">
        <v>43.02</v>
      </c>
      <c r="F2383" s="57">
        <v>0.26</v>
      </c>
      <c r="G2383" s="57"/>
      <c r="H2383" s="49"/>
      <c r="I2383" s="49" t="str">
        <f t="shared" si="209"/>
        <v/>
      </c>
      <c r="J2383" s="37" t="str">
        <f t="shared" si="210"/>
        <v>오브젠</v>
      </c>
      <c r="K2383" s="37" t="str">
        <f t="shared" si="211"/>
        <v>A417860</v>
      </c>
    </row>
    <row r="2384" spans="1:11" x14ac:dyDescent="0.4">
      <c r="A2384" s="49"/>
      <c r="B2384" s="54" t="s">
        <v>4858</v>
      </c>
      <c r="C2384" s="37" t="s">
        <v>4859</v>
      </c>
      <c r="D2384" s="55" t="s">
        <v>820</v>
      </c>
      <c r="E2384" s="58">
        <v>139.13</v>
      </c>
      <c r="F2384" s="57">
        <v>7.17</v>
      </c>
      <c r="G2384" s="57"/>
      <c r="H2384" s="49"/>
      <c r="I2384" s="49" t="str">
        <f t="shared" si="209"/>
        <v/>
      </c>
      <c r="J2384" s="37" t="str">
        <f t="shared" si="210"/>
        <v>모델솔루션</v>
      </c>
      <c r="K2384" s="37" t="str">
        <f t="shared" si="211"/>
        <v>A417970</v>
      </c>
    </row>
    <row r="2385" spans="1:11" x14ac:dyDescent="0.4">
      <c r="A2385" s="49"/>
      <c r="B2385" s="54" t="s">
        <v>4860</v>
      </c>
      <c r="C2385" s="37" t="s">
        <v>4861</v>
      </c>
      <c r="D2385" s="55" t="s">
        <v>820</v>
      </c>
      <c r="E2385" s="58">
        <v>47.63</v>
      </c>
      <c r="F2385" s="57">
        <v>0</v>
      </c>
      <c r="G2385" s="57"/>
      <c r="H2385" s="49"/>
      <c r="I2385" s="49" t="str">
        <f t="shared" si="209"/>
        <v/>
      </c>
      <c r="J2385" s="37" t="str">
        <f t="shared" si="210"/>
        <v>시큐레터</v>
      </c>
      <c r="K2385" s="37" t="str">
        <f t="shared" si="211"/>
        <v>A418250</v>
      </c>
    </row>
    <row r="2386" spans="1:11" x14ac:dyDescent="0.4">
      <c r="B2386" s="54" t="s">
        <v>4862</v>
      </c>
      <c r="C2386" s="37" t="s">
        <v>4863</v>
      </c>
      <c r="D2386" s="55" t="s">
        <v>820</v>
      </c>
      <c r="E2386" s="56">
        <v>206.04</v>
      </c>
      <c r="F2386" s="55">
        <v>1.65</v>
      </c>
      <c r="G2386" s="55"/>
      <c r="J2386" s="37" t="str">
        <f t="shared" si="210"/>
        <v>라온텍</v>
      </c>
      <c r="K2386" s="37" t="str">
        <f t="shared" si="211"/>
        <v>A418420</v>
      </c>
    </row>
    <row r="2387" spans="1:11" x14ac:dyDescent="0.4">
      <c r="A2387" s="49"/>
      <c r="B2387" s="54" t="s">
        <v>4864</v>
      </c>
      <c r="C2387" s="37" t="s">
        <v>4865</v>
      </c>
      <c r="D2387" s="55" t="s">
        <v>820</v>
      </c>
      <c r="E2387" s="58">
        <v>117.78</v>
      </c>
      <c r="F2387" s="57">
        <v>0.54</v>
      </c>
      <c r="G2387" s="57">
        <v>1</v>
      </c>
      <c r="H2387" s="49"/>
      <c r="I2387" s="49">
        <f>IF((G2387&gt;$G$8),E2387+ROW()/100000,"")</f>
        <v>117.80387</v>
      </c>
      <c r="J2387" s="37" t="str">
        <f t="shared" si="210"/>
        <v>KT밀리의서재</v>
      </c>
      <c r="K2387" s="37" t="str">
        <f t="shared" si="211"/>
        <v>A418470</v>
      </c>
    </row>
    <row r="2388" spans="1:11" x14ac:dyDescent="0.4">
      <c r="A2388" s="49"/>
      <c r="B2388" s="54" t="s">
        <v>4866</v>
      </c>
      <c r="C2388" s="37" t="s">
        <v>4867</v>
      </c>
      <c r="D2388" s="55" t="s">
        <v>820</v>
      </c>
      <c r="E2388" s="56">
        <v>264.14999999999998</v>
      </c>
      <c r="F2388" s="55">
        <v>1.1100000000000001</v>
      </c>
      <c r="G2388" s="55"/>
      <c r="I2388" s="49" t="str">
        <f>IF((G2388&gt;$G$8),E2388+ROW()/100000,"")</f>
        <v/>
      </c>
      <c r="J2388" s="37" t="str">
        <f t="shared" si="210"/>
        <v>제이오</v>
      </c>
      <c r="K2388" s="37" t="str">
        <f t="shared" si="211"/>
        <v>A418550</v>
      </c>
    </row>
    <row r="2389" spans="1:11" x14ac:dyDescent="0.4">
      <c r="A2389" s="49"/>
      <c r="B2389" s="54" t="s">
        <v>4868</v>
      </c>
      <c r="C2389" s="37" t="s">
        <v>4869</v>
      </c>
      <c r="D2389" s="55" t="s">
        <v>820</v>
      </c>
      <c r="E2389" s="58">
        <v>25.59</v>
      </c>
      <c r="F2389" s="57">
        <v>0.68</v>
      </c>
      <c r="G2389" s="57"/>
      <c r="H2389" s="49"/>
      <c r="I2389" s="49" t="str">
        <f>IF((G2389&gt;$G$8),E2389+ROW()/100000,"")</f>
        <v/>
      </c>
      <c r="J2389" s="37" t="str">
        <f t="shared" si="210"/>
        <v>E8</v>
      </c>
      <c r="K2389" s="37" t="str">
        <f t="shared" si="211"/>
        <v>A418620</v>
      </c>
    </row>
    <row r="2390" spans="1:11" x14ac:dyDescent="0.4">
      <c r="A2390" s="49"/>
      <c r="B2390" s="54" t="s">
        <v>4870</v>
      </c>
      <c r="C2390" s="37" t="s">
        <v>4871</v>
      </c>
      <c r="D2390" s="55" t="s">
        <v>820</v>
      </c>
      <c r="E2390" s="58">
        <v>97.29</v>
      </c>
      <c r="F2390" s="57">
        <v>1.6</v>
      </c>
      <c r="G2390" s="57"/>
      <c r="H2390" s="49"/>
      <c r="I2390" s="49" t="str">
        <f>IF((G2390&gt;$G$8),E2390+ROW()/100000,"")</f>
        <v/>
      </c>
      <c r="J2390" s="37" t="str">
        <f t="shared" si="210"/>
        <v>삼기에너지솔루션즈</v>
      </c>
      <c r="K2390" s="37" t="str">
        <f t="shared" si="211"/>
        <v>A419050</v>
      </c>
    </row>
    <row r="2391" spans="1:11" x14ac:dyDescent="0.4">
      <c r="A2391" s="49"/>
      <c r="B2391" s="54" t="s">
        <v>4872</v>
      </c>
      <c r="C2391" s="37" t="s">
        <v>4873</v>
      </c>
      <c r="D2391" s="55" t="s">
        <v>820</v>
      </c>
      <c r="E2391" s="58">
        <v>67.099999999999994</v>
      </c>
      <c r="F2391" s="57">
        <v>5.28</v>
      </c>
      <c r="G2391" s="57"/>
      <c r="H2391" s="49"/>
      <c r="I2391" s="49" t="str">
        <f>IF((G2391&gt;$G$8),E2391+ROW()/100000,"")</f>
        <v/>
      </c>
      <c r="J2391" s="37" t="str">
        <f t="shared" si="210"/>
        <v>엔젯</v>
      </c>
      <c r="K2391" s="37" t="str">
        <f t="shared" si="211"/>
        <v>A419080</v>
      </c>
    </row>
    <row r="2392" spans="1:11" x14ac:dyDescent="0.4">
      <c r="B2392" s="54" t="s">
        <v>4874</v>
      </c>
      <c r="C2392" s="37" t="s">
        <v>4875</v>
      </c>
      <c r="D2392" s="55" t="s">
        <v>820</v>
      </c>
      <c r="E2392" s="55">
        <v>58.87</v>
      </c>
      <c r="F2392" s="55">
        <v>1.68</v>
      </c>
      <c r="G2392" s="55"/>
      <c r="J2392" s="37" t="str">
        <f t="shared" si="210"/>
        <v>산돌</v>
      </c>
      <c r="K2392" s="37" t="str">
        <f t="shared" si="211"/>
        <v>A419120</v>
      </c>
    </row>
    <row r="2393" spans="1:11" x14ac:dyDescent="0.4">
      <c r="A2393" s="49"/>
      <c r="B2393" s="54" t="s">
        <v>4876</v>
      </c>
      <c r="C2393" s="37" t="s">
        <v>4877</v>
      </c>
      <c r="D2393" s="55" t="s">
        <v>820</v>
      </c>
      <c r="E2393" s="56">
        <v>345.33</v>
      </c>
      <c r="F2393" s="55">
        <v>7.95</v>
      </c>
      <c r="G2393" s="55">
        <v>4</v>
      </c>
      <c r="I2393" s="49">
        <f>IF((G2393&gt;$G$8),E2393+ROW()/100000,"")</f>
        <v>345.35392999999999</v>
      </c>
      <c r="J2393" s="37" t="str">
        <f t="shared" si="210"/>
        <v>SAMG엔터</v>
      </c>
      <c r="K2393" s="37" t="str">
        <f t="shared" si="211"/>
        <v>A419530</v>
      </c>
    </row>
    <row r="2394" spans="1:11" x14ac:dyDescent="0.4">
      <c r="B2394" s="54" t="s">
        <v>4878</v>
      </c>
      <c r="C2394" s="37" t="s">
        <v>4879</v>
      </c>
      <c r="D2394" s="55" t="s">
        <v>820</v>
      </c>
      <c r="E2394" s="56">
        <v>22.58</v>
      </c>
      <c r="F2394" s="55">
        <v>1.56</v>
      </c>
      <c r="G2394" s="55"/>
      <c r="J2394" s="37" t="str">
        <f t="shared" si="210"/>
        <v>비스토스</v>
      </c>
      <c r="K2394" s="37" t="str">
        <f t="shared" si="211"/>
        <v>A419540</v>
      </c>
    </row>
    <row r="2395" spans="1:11" x14ac:dyDescent="0.4">
      <c r="A2395" s="49"/>
      <c r="B2395" s="54" t="s">
        <v>4880</v>
      </c>
      <c r="C2395" s="37" t="s">
        <v>4881</v>
      </c>
      <c r="D2395" s="55" t="s">
        <v>820</v>
      </c>
      <c r="E2395" s="58">
        <v>48.24</v>
      </c>
      <c r="F2395" s="57">
        <v>0.32</v>
      </c>
      <c r="G2395" s="57"/>
      <c r="H2395" s="49"/>
      <c r="I2395" s="49" t="str">
        <f t="shared" ref="I2395:I2401" si="212">IF((G2395&gt;$G$8),E2395+ROW()/100000,"")</f>
        <v/>
      </c>
      <c r="J2395" s="37" t="str">
        <f t="shared" si="210"/>
        <v>제이투케이바이오</v>
      </c>
      <c r="K2395" s="37" t="str">
        <f t="shared" si="211"/>
        <v>A420570</v>
      </c>
    </row>
    <row r="2396" spans="1:11" x14ac:dyDescent="0.4">
      <c r="A2396" s="49"/>
      <c r="B2396" s="54" t="s">
        <v>643</v>
      </c>
      <c r="C2396" s="37" t="s">
        <v>644</v>
      </c>
      <c r="D2396" s="55" t="s">
        <v>820</v>
      </c>
      <c r="E2396" s="58">
        <v>912.65</v>
      </c>
      <c r="F2396" s="57">
        <v>4.7</v>
      </c>
      <c r="G2396" s="57">
        <v>3</v>
      </c>
      <c r="H2396" s="49"/>
      <c r="I2396" s="49">
        <f t="shared" si="212"/>
        <v>912.67395999999997</v>
      </c>
      <c r="J2396" s="37" t="str">
        <f t="shared" si="210"/>
        <v>기가비스</v>
      </c>
      <c r="K2396" s="37" t="str">
        <f t="shared" si="211"/>
        <v>A420770</v>
      </c>
    </row>
    <row r="2397" spans="1:11" x14ac:dyDescent="0.4">
      <c r="A2397" s="49"/>
      <c r="B2397" s="54" t="s">
        <v>4882</v>
      </c>
      <c r="C2397" s="37" t="s">
        <v>4883</v>
      </c>
      <c r="D2397" s="55" t="s">
        <v>820</v>
      </c>
      <c r="E2397" s="56">
        <v>19.18</v>
      </c>
      <c r="F2397" s="55">
        <v>0.65</v>
      </c>
      <c r="G2397" s="55"/>
      <c r="I2397" s="49" t="str">
        <f t="shared" si="212"/>
        <v/>
      </c>
      <c r="J2397" s="37" t="str">
        <f t="shared" si="210"/>
        <v>벨로크</v>
      </c>
      <c r="K2397" s="37" t="str">
        <f t="shared" si="211"/>
        <v>A424760</v>
      </c>
    </row>
    <row r="2398" spans="1:11" x14ac:dyDescent="0.4">
      <c r="A2398" s="49"/>
      <c r="B2398" s="54" t="s">
        <v>4884</v>
      </c>
      <c r="C2398" s="37" t="s">
        <v>4885</v>
      </c>
      <c r="D2398" s="55" t="s">
        <v>820</v>
      </c>
      <c r="E2398" s="58">
        <v>620.76</v>
      </c>
      <c r="F2398" s="57">
        <v>37.57</v>
      </c>
      <c r="G2398" s="57"/>
      <c r="H2398" s="49"/>
      <c r="I2398" s="49" t="str">
        <f t="shared" si="212"/>
        <v/>
      </c>
      <c r="J2398" s="37" t="str">
        <f t="shared" si="210"/>
        <v>이뮨온시아</v>
      </c>
      <c r="K2398" s="37" t="str">
        <f t="shared" si="211"/>
        <v>A424870</v>
      </c>
    </row>
    <row r="2399" spans="1:11" x14ac:dyDescent="0.4">
      <c r="A2399" s="49"/>
      <c r="B2399" s="54" t="s">
        <v>4886</v>
      </c>
      <c r="C2399" s="37" t="s">
        <v>4887</v>
      </c>
      <c r="D2399" s="55" t="s">
        <v>820</v>
      </c>
      <c r="E2399" s="58">
        <v>118.03</v>
      </c>
      <c r="F2399" s="57">
        <v>1.82</v>
      </c>
      <c r="G2399" s="57"/>
      <c r="H2399" s="49"/>
      <c r="I2399" s="49" t="str">
        <f t="shared" si="212"/>
        <v/>
      </c>
      <c r="J2399" s="37" t="str">
        <f t="shared" si="210"/>
        <v>스마트레이더시스템</v>
      </c>
      <c r="K2399" s="37" t="str">
        <f t="shared" si="211"/>
        <v>A424960</v>
      </c>
    </row>
    <row r="2400" spans="1:11" x14ac:dyDescent="0.4">
      <c r="A2400" s="49"/>
      <c r="B2400" s="54" t="s">
        <v>4888</v>
      </c>
      <c r="C2400" s="37" t="s">
        <v>4889</v>
      </c>
      <c r="D2400" s="55" t="s">
        <v>820</v>
      </c>
      <c r="E2400" s="58">
        <v>81.03</v>
      </c>
      <c r="F2400" s="57">
        <v>1.0900000000000001</v>
      </c>
      <c r="G2400" s="57"/>
      <c r="H2400" s="49"/>
      <c r="I2400" s="49" t="str">
        <f t="shared" si="212"/>
        <v/>
      </c>
      <c r="J2400" s="37" t="str">
        <f t="shared" si="210"/>
        <v>마이크로투나노</v>
      </c>
      <c r="K2400" s="37" t="str">
        <f t="shared" si="211"/>
        <v>A424980</v>
      </c>
    </row>
    <row r="2401" spans="1:11" x14ac:dyDescent="0.4">
      <c r="A2401" s="49"/>
      <c r="B2401" s="54" t="s">
        <v>4890</v>
      </c>
      <c r="C2401" s="37" t="s">
        <v>4891</v>
      </c>
      <c r="D2401" s="55" t="s">
        <v>820</v>
      </c>
      <c r="E2401" s="58">
        <v>202.41</v>
      </c>
      <c r="F2401" s="57">
        <v>2.17</v>
      </c>
      <c r="G2401" s="57"/>
      <c r="H2401" s="49"/>
      <c r="I2401" s="49" t="str">
        <f t="shared" si="212"/>
        <v/>
      </c>
      <c r="J2401" s="37" t="str">
        <f t="shared" si="210"/>
        <v>티이엠씨</v>
      </c>
      <c r="K2401" s="37" t="str">
        <f t="shared" si="211"/>
        <v>A425040</v>
      </c>
    </row>
    <row r="2402" spans="1:11" x14ac:dyDescent="0.4">
      <c r="B2402" s="54" t="s">
        <v>361</v>
      </c>
      <c r="C2402" s="37" t="s">
        <v>362</v>
      </c>
      <c r="D2402" s="55" t="s">
        <v>820</v>
      </c>
      <c r="E2402" s="56">
        <v>509.53</v>
      </c>
      <c r="F2402" s="55">
        <v>7.48</v>
      </c>
      <c r="G2402" s="55">
        <v>1</v>
      </c>
      <c r="J2402" s="37" t="str">
        <f t="shared" si="210"/>
        <v>티에프이</v>
      </c>
      <c r="K2402" s="37" t="str">
        <f t="shared" si="211"/>
        <v>A425420</v>
      </c>
    </row>
    <row r="2403" spans="1:11" x14ac:dyDescent="0.4">
      <c r="A2403" s="49"/>
      <c r="B2403" s="54" t="s">
        <v>4892</v>
      </c>
      <c r="C2403" s="37" t="s">
        <v>4893</v>
      </c>
      <c r="D2403" s="55" t="s">
        <v>820</v>
      </c>
      <c r="E2403" s="58">
        <v>26.6</v>
      </c>
      <c r="F2403" s="57">
        <v>0.91</v>
      </c>
      <c r="G2403" s="57">
        <v>1</v>
      </c>
      <c r="H2403" s="49"/>
      <c r="I2403" s="49">
        <f>IF((G2403&gt;$G$8),E2403+ROW()/100000,"")</f>
        <v>26.624030000000001</v>
      </c>
      <c r="J2403" s="37" t="str">
        <f t="shared" si="210"/>
        <v>시지트로닉스</v>
      </c>
      <c r="K2403" s="37" t="str">
        <f t="shared" si="211"/>
        <v>A429270</v>
      </c>
    </row>
    <row r="2404" spans="1:11" x14ac:dyDescent="0.4">
      <c r="A2404" s="49"/>
      <c r="B2404" s="54" t="s">
        <v>4894</v>
      </c>
      <c r="C2404" s="37" t="s">
        <v>4895</v>
      </c>
      <c r="D2404" s="55" t="s">
        <v>820</v>
      </c>
      <c r="E2404" s="56">
        <v>44.51</v>
      </c>
      <c r="F2404" s="55">
        <v>5.63</v>
      </c>
      <c r="G2404" s="55"/>
      <c r="I2404" s="49" t="str">
        <f>IF((G2404&gt;$G$8),E2404+ROW()/100000,"")</f>
        <v/>
      </c>
      <c r="J2404" s="37" t="str">
        <f t="shared" si="210"/>
        <v>한싹</v>
      </c>
      <c r="K2404" s="37" t="str">
        <f t="shared" si="211"/>
        <v>A430690</v>
      </c>
    </row>
    <row r="2405" spans="1:11" x14ac:dyDescent="0.4">
      <c r="A2405" s="49"/>
      <c r="B2405" s="54" t="s">
        <v>4896</v>
      </c>
      <c r="C2405" s="37" t="s">
        <v>4897</v>
      </c>
      <c r="D2405" s="55" t="s">
        <v>820</v>
      </c>
      <c r="E2405" s="58">
        <v>35.56</v>
      </c>
      <c r="F2405" s="57">
        <v>4.24</v>
      </c>
      <c r="G2405" s="57"/>
      <c r="H2405" s="49"/>
      <c r="I2405" s="49" t="str">
        <f>IF((G2405&gt;$G$8),E2405+ROW()/100000,"")</f>
        <v/>
      </c>
      <c r="J2405" s="37" t="str">
        <f t="shared" si="210"/>
        <v>케이쓰리아이</v>
      </c>
      <c r="K2405" s="37" t="str">
        <f t="shared" si="211"/>
        <v>A431190</v>
      </c>
    </row>
    <row r="2406" spans="1:11" x14ac:dyDescent="0.4">
      <c r="B2406" s="54" t="s">
        <v>4898</v>
      </c>
      <c r="C2406" s="37" t="s">
        <v>4899</v>
      </c>
      <c r="D2406" s="55" t="s">
        <v>820</v>
      </c>
      <c r="E2406" s="56">
        <v>56.05</v>
      </c>
      <c r="F2406" s="55">
        <v>0.37</v>
      </c>
      <c r="G2406" s="55"/>
      <c r="J2406" s="37" t="str">
        <f t="shared" si="210"/>
        <v>와이랩</v>
      </c>
      <c r="K2406" s="37" t="str">
        <f t="shared" si="211"/>
        <v>A432430</v>
      </c>
    </row>
    <row r="2407" spans="1:11" x14ac:dyDescent="0.4">
      <c r="A2407" s="49"/>
      <c r="B2407" s="54" t="s">
        <v>4900</v>
      </c>
      <c r="C2407" s="37" t="s">
        <v>4901</v>
      </c>
      <c r="D2407" s="55" t="s">
        <v>820</v>
      </c>
      <c r="E2407" s="58">
        <v>140.43</v>
      </c>
      <c r="F2407" s="57">
        <v>4.68</v>
      </c>
      <c r="G2407" s="57"/>
      <c r="H2407" s="49"/>
      <c r="I2407" s="49" t="str">
        <f t="shared" ref="I2407:I2454" si="213">IF((G2407&gt;$G$8),E2407+ROW()/100000,"")</f>
        <v/>
      </c>
      <c r="J2407" s="37" t="str">
        <f t="shared" si="210"/>
        <v>케이엔에스</v>
      </c>
      <c r="K2407" s="37" t="str">
        <f t="shared" si="211"/>
        <v>A432470</v>
      </c>
    </row>
    <row r="2408" spans="1:11" x14ac:dyDescent="0.4">
      <c r="A2408" s="49"/>
      <c r="B2408" s="54" t="s">
        <v>4902</v>
      </c>
      <c r="C2408" s="37" t="s">
        <v>4903</v>
      </c>
      <c r="D2408" s="55" t="s">
        <v>820</v>
      </c>
      <c r="E2408" s="58">
        <v>195.64</v>
      </c>
      <c r="F2408" s="57">
        <v>3.55</v>
      </c>
      <c r="G2408" s="57"/>
      <c r="H2408" s="49"/>
      <c r="I2408" s="49" t="str">
        <f t="shared" si="213"/>
        <v/>
      </c>
      <c r="J2408" s="37" t="str">
        <f t="shared" si="210"/>
        <v>퀄리타스반도체</v>
      </c>
      <c r="K2408" s="37" t="str">
        <f t="shared" si="211"/>
        <v>A432720</v>
      </c>
    </row>
    <row r="2409" spans="1:11" x14ac:dyDescent="0.4">
      <c r="A2409" s="49"/>
      <c r="B2409" s="54" t="s">
        <v>4904</v>
      </c>
      <c r="C2409" s="37" t="s">
        <v>4905</v>
      </c>
      <c r="D2409" s="55" t="s">
        <v>820</v>
      </c>
      <c r="E2409" s="56">
        <v>31.27</v>
      </c>
      <c r="F2409" s="55">
        <v>0.21</v>
      </c>
      <c r="G2409" s="55"/>
      <c r="I2409" s="49" t="str">
        <f t="shared" si="213"/>
        <v/>
      </c>
      <c r="J2409" s="37" t="str">
        <f t="shared" si="210"/>
        <v>엠에프씨</v>
      </c>
      <c r="K2409" s="37" t="str">
        <f t="shared" si="211"/>
        <v>A432980</v>
      </c>
    </row>
    <row r="2410" spans="1:11" x14ac:dyDescent="0.4">
      <c r="A2410" s="49"/>
      <c r="B2410" s="54" t="s">
        <v>4906</v>
      </c>
      <c r="C2410" s="37" t="s">
        <v>4907</v>
      </c>
      <c r="D2410" s="55" t="s">
        <v>820</v>
      </c>
      <c r="E2410" s="56">
        <v>45.43</v>
      </c>
      <c r="F2410" s="55">
        <v>2.41</v>
      </c>
      <c r="G2410" s="55"/>
      <c r="I2410" s="49" t="str">
        <f t="shared" si="213"/>
        <v/>
      </c>
      <c r="J2410" s="37" t="str">
        <f t="shared" si="210"/>
        <v>모니터랩</v>
      </c>
      <c r="K2410" s="37" t="str">
        <f t="shared" si="211"/>
        <v>A434480</v>
      </c>
    </row>
    <row r="2411" spans="1:11" x14ac:dyDescent="0.4">
      <c r="A2411" s="49"/>
      <c r="B2411" s="54" t="s">
        <v>4908</v>
      </c>
      <c r="C2411" s="37" t="s">
        <v>4909</v>
      </c>
      <c r="D2411" s="55" t="s">
        <v>820</v>
      </c>
      <c r="E2411" s="58">
        <v>105.8</v>
      </c>
      <c r="F2411" s="57">
        <v>2.84</v>
      </c>
      <c r="G2411" s="57"/>
      <c r="H2411" s="49"/>
      <c r="I2411" s="49" t="str">
        <f t="shared" si="213"/>
        <v/>
      </c>
      <c r="J2411" s="37" t="str">
        <f t="shared" si="210"/>
        <v>에르코스</v>
      </c>
      <c r="K2411" s="37" t="str">
        <f t="shared" si="211"/>
        <v>A435570</v>
      </c>
    </row>
    <row r="2412" spans="1:11" x14ac:dyDescent="0.4">
      <c r="A2412" s="49"/>
      <c r="B2412" s="54" t="s">
        <v>613</v>
      </c>
      <c r="C2412" s="37" t="s">
        <v>614</v>
      </c>
      <c r="D2412" s="55" t="s">
        <v>820</v>
      </c>
      <c r="E2412" s="56">
        <v>1902.45</v>
      </c>
      <c r="F2412" s="55">
        <v>59.21</v>
      </c>
      <c r="G2412" s="55"/>
      <c r="I2412" s="49" t="str">
        <f t="shared" si="213"/>
        <v/>
      </c>
      <c r="J2412" s="37" t="str">
        <f t="shared" si="210"/>
        <v>삼현</v>
      </c>
      <c r="K2412" s="37" t="str">
        <f t="shared" si="211"/>
        <v>A437730</v>
      </c>
    </row>
    <row r="2413" spans="1:11" x14ac:dyDescent="0.4">
      <c r="A2413" s="49"/>
      <c r="B2413" s="54" t="s">
        <v>4910</v>
      </c>
      <c r="C2413" s="37" t="s">
        <v>4911</v>
      </c>
      <c r="D2413" s="55" t="s">
        <v>820</v>
      </c>
      <c r="E2413" s="58">
        <v>38.9</v>
      </c>
      <c r="F2413" s="57">
        <v>0.8</v>
      </c>
      <c r="G2413" s="57"/>
      <c r="H2413" s="49"/>
      <c r="I2413" s="49" t="str">
        <f t="shared" si="213"/>
        <v/>
      </c>
      <c r="J2413" s="37" t="str">
        <f t="shared" si="210"/>
        <v>버넥트</v>
      </c>
      <c r="K2413" s="37" t="str">
        <f t="shared" si="211"/>
        <v>A438700</v>
      </c>
    </row>
    <row r="2414" spans="1:11" x14ac:dyDescent="0.4">
      <c r="A2414" s="49"/>
      <c r="B2414" s="54" t="s">
        <v>4912</v>
      </c>
      <c r="C2414" s="37" t="s">
        <v>4913</v>
      </c>
      <c r="D2414" s="55" t="s">
        <v>820</v>
      </c>
      <c r="E2414" s="58">
        <v>218.46</v>
      </c>
      <c r="F2414" s="57">
        <v>0.89</v>
      </c>
      <c r="G2414" s="57"/>
      <c r="H2414" s="49"/>
      <c r="I2414" s="49" t="str">
        <f t="shared" si="213"/>
        <v/>
      </c>
      <c r="J2414" s="37" t="str">
        <f t="shared" si="210"/>
        <v>마녀공장</v>
      </c>
      <c r="K2414" s="37" t="str">
        <f t="shared" si="211"/>
        <v>A439090</v>
      </c>
    </row>
    <row r="2415" spans="1:11" x14ac:dyDescent="0.4">
      <c r="A2415" s="49"/>
      <c r="B2415" s="54" t="s">
        <v>4914</v>
      </c>
      <c r="C2415" s="37" t="s">
        <v>4915</v>
      </c>
      <c r="D2415" s="55" t="s">
        <v>805</v>
      </c>
      <c r="E2415" s="58">
        <v>3833.37</v>
      </c>
      <c r="F2415" s="57">
        <v>31.72</v>
      </c>
      <c r="G2415" s="57">
        <v>7</v>
      </c>
      <c r="H2415" s="49"/>
      <c r="I2415" s="49">
        <f t="shared" si="213"/>
        <v>3833.3941500000001</v>
      </c>
      <c r="J2415" s="37" t="str">
        <f t="shared" si="210"/>
        <v>대한조선</v>
      </c>
      <c r="K2415" s="37" t="str">
        <f t="shared" si="211"/>
        <v>A439260</v>
      </c>
    </row>
    <row r="2416" spans="1:11" x14ac:dyDescent="0.4">
      <c r="A2416" s="49"/>
      <c r="B2416" s="54" t="s">
        <v>4916</v>
      </c>
      <c r="C2416" s="37" t="s">
        <v>4917</v>
      </c>
      <c r="D2416" s="55" t="s">
        <v>820</v>
      </c>
      <c r="E2416" s="56">
        <v>135.88999999999999</v>
      </c>
      <c r="F2416" s="55">
        <v>5.19</v>
      </c>
      <c r="G2416" s="55"/>
      <c r="I2416" s="49" t="str">
        <f t="shared" si="213"/>
        <v/>
      </c>
      <c r="J2416" s="37" t="str">
        <f t="shared" si="210"/>
        <v>블루엠텍</v>
      </c>
      <c r="K2416" s="37" t="str">
        <f t="shared" si="211"/>
        <v>A439580</v>
      </c>
    </row>
    <row r="2417" spans="1:11" x14ac:dyDescent="0.4">
      <c r="A2417" s="49"/>
      <c r="B2417" s="54" t="s">
        <v>721</v>
      </c>
      <c r="C2417" s="37" t="s">
        <v>722</v>
      </c>
      <c r="D2417" s="55" t="s">
        <v>820</v>
      </c>
      <c r="E2417" s="58">
        <v>2965.62</v>
      </c>
      <c r="F2417" s="57">
        <v>27.14</v>
      </c>
      <c r="G2417" s="57"/>
      <c r="H2417" s="49"/>
      <c r="I2417" s="49" t="str">
        <f t="shared" si="213"/>
        <v/>
      </c>
      <c r="J2417" s="37" t="str">
        <f t="shared" si="210"/>
        <v>파두</v>
      </c>
      <c r="K2417" s="37" t="str">
        <f t="shared" si="211"/>
        <v>A440110</v>
      </c>
    </row>
    <row r="2418" spans="1:11" x14ac:dyDescent="0.4">
      <c r="A2418" s="49"/>
      <c r="B2418" s="54" t="s">
        <v>4918</v>
      </c>
      <c r="C2418" s="37" t="s">
        <v>4919</v>
      </c>
      <c r="D2418" s="55" t="s">
        <v>820</v>
      </c>
      <c r="E2418" s="58">
        <v>61.2</v>
      </c>
      <c r="F2418" s="57">
        <v>0.28000000000000003</v>
      </c>
      <c r="G2418" s="57"/>
      <c r="H2418" s="49"/>
      <c r="I2418" s="49" t="str">
        <f t="shared" si="213"/>
        <v/>
      </c>
      <c r="J2418" s="37" t="str">
        <f t="shared" si="210"/>
        <v>HB인베스트먼트</v>
      </c>
      <c r="K2418" s="37" t="str">
        <f t="shared" si="211"/>
        <v>A440290</v>
      </c>
    </row>
    <row r="2419" spans="1:11" x14ac:dyDescent="0.4">
      <c r="A2419" s="49"/>
      <c r="B2419" s="54" t="s">
        <v>4920</v>
      </c>
      <c r="C2419" s="37" t="s">
        <v>4921</v>
      </c>
      <c r="D2419" s="55" t="s">
        <v>820</v>
      </c>
      <c r="E2419" s="56">
        <v>38.24</v>
      </c>
      <c r="F2419" s="55">
        <v>0.41</v>
      </c>
      <c r="G2419" s="55"/>
      <c r="I2419" s="49" t="str">
        <f t="shared" si="213"/>
        <v/>
      </c>
      <c r="J2419" s="37" t="str">
        <f t="shared" si="210"/>
        <v>오픈놀</v>
      </c>
      <c r="K2419" s="37" t="str">
        <f t="shared" si="211"/>
        <v>A440320</v>
      </c>
    </row>
    <row r="2420" spans="1:11" x14ac:dyDescent="0.4">
      <c r="A2420" s="49"/>
      <c r="B2420" s="54" t="s">
        <v>4922</v>
      </c>
      <c r="C2420" s="37" t="s">
        <v>4923</v>
      </c>
      <c r="D2420" s="55" t="s">
        <v>820</v>
      </c>
      <c r="E2420" s="58">
        <v>404.29</v>
      </c>
      <c r="F2420" s="57">
        <v>13.36</v>
      </c>
      <c r="G2420" s="57">
        <v>2</v>
      </c>
      <c r="H2420" s="49"/>
      <c r="I2420" s="49">
        <f t="shared" si="213"/>
        <v>404.31420000000003</v>
      </c>
      <c r="J2420" s="37" t="str">
        <f t="shared" si="210"/>
        <v>파인엠텍</v>
      </c>
      <c r="K2420" s="37" t="str">
        <f t="shared" si="211"/>
        <v>A441270</v>
      </c>
    </row>
    <row r="2421" spans="1:11" x14ac:dyDescent="0.4">
      <c r="A2421" s="49"/>
      <c r="B2421" s="54" t="s">
        <v>293</v>
      </c>
      <c r="C2421" s="37" t="s">
        <v>294</v>
      </c>
      <c r="D2421" s="55" t="s">
        <v>805</v>
      </c>
      <c r="E2421" s="56">
        <v>8262.42</v>
      </c>
      <c r="F2421" s="55">
        <v>32.33</v>
      </c>
      <c r="G2421" s="55">
        <v>8</v>
      </c>
      <c r="I2421" s="49">
        <f t="shared" si="213"/>
        <v>8262.4442099999997</v>
      </c>
      <c r="J2421" s="37" t="str">
        <f t="shared" si="210"/>
        <v>HD현대마린솔루션</v>
      </c>
      <c r="K2421" s="37" t="str">
        <f t="shared" si="211"/>
        <v>A443060</v>
      </c>
    </row>
    <row r="2422" spans="1:11" x14ac:dyDescent="0.4">
      <c r="A2422" s="49"/>
      <c r="B2422" s="54" t="s">
        <v>4924</v>
      </c>
      <c r="C2422" s="37" t="s">
        <v>4925</v>
      </c>
      <c r="D2422" s="55" t="s">
        <v>820</v>
      </c>
      <c r="E2422" s="56">
        <v>121.29</v>
      </c>
      <c r="F2422" s="55">
        <v>0.23</v>
      </c>
      <c r="G2422" s="55">
        <v>1</v>
      </c>
      <c r="I2422" s="49">
        <f t="shared" si="213"/>
        <v>121.31422000000001</v>
      </c>
      <c r="J2422" s="37" t="str">
        <f t="shared" si="210"/>
        <v>레뷰코퍼레이션</v>
      </c>
      <c r="K2422" s="37" t="str">
        <f t="shared" si="211"/>
        <v>A443250</v>
      </c>
    </row>
    <row r="2423" spans="1:11" x14ac:dyDescent="0.4">
      <c r="A2423" s="49"/>
      <c r="B2423" s="54" t="s">
        <v>4926</v>
      </c>
      <c r="C2423" s="37" t="s">
        <v>4927</v>
      </c>
      <c r="D2423" s="55" t="s">
        <v>820</v>
      </c>
      <c r="E2423" s="58">
        <v>128.66</v>
      </c>
      <c r="F2423" s="57">
        <v>0.79</v>
      </c>
      <c r="G2423" s="57"/>
      <c r="H2423" s="49"/>
      <c r="I2423" s="49" t="str">
        <f t="shared" si="213"/>
        <v/>
      </c>
      <c r="J2423" s="37" t="str">
        <f t="shared" si="210"/>
        <v>에스피소프트</v>
      </c>
      <c r="K2423" s="37" t="str">
        <f t="shared" si="211"/>
        <v>A443670</v>
      </c>
    </row>
    <row r="2424" spans="1:11" x14ac:dyDescent="0.4">
      <c r="A2424" s="49"/>
      <c r="B2424" s="54" t="s">
        <v>4928</v>
      </c>
      <c r="C2424" s="37" t="s">
        <v>4929</v>
      </c>
      <c r="D2424" s="55" t="s">
        <v>820</v>
      </c>
      <c r="E2424" s="58">
        <v>42.35</v>
      </c>
      <c r="F2424" s="57">
        <v>0.85</v>
      </c>
      <c r="G2424" s="57"/>
      <c r="H2424" s="49"/>
      <c r="I2424" s="49" t="str">
        <f t="shared" si="213"/>
        <v/>
      </c>
      <c r="J2424" s="37" t="str">
        <f t="shared" si="210"/>
        <v>심플랫폼</v>
      </c>
      <c r="K2424" s="37" t="str">
        <f t="shared" si="211"/>
        <v>A444530</v>
      </c>
    </row>
    <row r="2425" spans="1:11" x14ac:dyDescent="0.4">
      <c r="A2425" s="49"/>
      <c r="B2425" s="54" t="s">
        <v>4930</v>
      </c>
      <c r="C2425" s="37" t="s">
        <v>4931</v>
      </c>
      <c r="D2425" s="55" t="s">
        <v>820</v>
      </c>
      <c r="E2425" s="58">
        <v>337.6</v>
      </c>
      <c r="F2425" s="57">
        <v>2.42</v>
      </c>
      <c r="G2425" s="57"/>
      <c r="H2425" s="49"/>
      <c r="I2425" s="49" t="str">
        <f t="shared" si="213"/>
        <v/>
      </c>
      <c r="J2425" s="37" t="str">
        <f t="shared" si="210"/>
        <v>에이직랜드</v>
      </c>
      <c r="K2425" s="37" t="str">
        <f t="shared" si="211"/>
        <v>A445090</v>
      </c>
    </row>
    <row r="2426" spans="1:11" x14ac:dyDescent="0.4">
      <c r="A2426" s="49"/>
      <c r="B2426" s="54" t="s">
        <v>4932</v>
      </c>
      <c r="C2426" s="37" t="s">
        <v>4933</v>
      </c>
      <c r="D2426" s="55" t="s">
        <v>820</v>
      </c>
      <c r="E2426" s="56">
        <v>170.17</v>
      </c>
      <c r="F2426" s="55">
        <v>2.13</v>
      </c>
      <c r="G2426" s="55">
        <v>1</v>
      </c>
      <c r="I2426" s="49">
        <f t="shared" si="213"/>
        <v>170.19425999999999</v>
      </c>
      <c r="J2426" s="37" t="str">
        <f t="shared" si="210"/>
        <v>퓨릿</v>
      </c>
      <c r="K2426" s="37" t="str">
        <f t="shared" si="211"/>
        <v>A445180</v>
      </c>
    </row>
    <row r="2427" spans="1:11" x14ac:dyDescent="0.4">
      <c r="A2427" s="49"/>
      <c r="B2427" s="54" t="s">
        <v>4934</v>
      </c>
      <c r="C2427" s="37" t="s">
        <v>4935</v>
      </c>
      <c r="D2427" s="55" t="s">
        <v>820</v>
      </c>
      <c r="E2427" s="58">
        <v>2047.53</v>
      </c>
      <c r="F2427" s="57">
        <v>16.66</v>
      </c>
      <c r="G2427" s="57"/>
      <c r="H2427" s="49"/>
      <c r="I2427" s="49" t="str">
        <f t="shared" si="213"/>
        <v/>
      </c>
      <c r="J2427" s="37" t="str">
        <f t="shared" si="210"/>
        <v>큐리옥스바이오시스템즈</v>
      </c>
      <c r="K2427" s="37" t="str">
        <f t="shared" si="211"/>
        <v>A445680</v>
      </c>
    </row>
    <row r="2428" spans="1:11" x14ac:dyDescent="0.4">
      <c r="A2428" s="49"/>
      <c r="B2428" s="54" t="s">
        <v>4936</v>
      </c>
      <c r="C2428" s="37" t="s">
        <v>4937</v>
      </c>
      <c r="D2428" s="55" t="s">
        <v>805</v>
      </c>
      <c r="E2428" s="58">
        <v>34.06</v>
      </c>
      <c r="F2428" s="57">
        <v>0.11</v>
      </c>
      <c r="G2428" s="57"/>
      <c r="H2428" s="49"/>
      <c r="I2428" s="49" t="str">
        <f t="shared" si="213"/>
        <v/>
      </c>
      <c r="J2428" s="37" t="str">
        <f t="shared" si="210"/>
        <v>유니드비티플러스</v>
      </c>
      <c r="K2428" s="37" t="str">
        <f t="shared" si="211"/>
        <v>A446070</v>
      </c>
    </row>
    <row r="2429" spans="1:11" x14ac:dyDescent="0.4">
      <c r="A2429" s="49"/>
      <c r="B2429" s="54" t="s">
        <v>4938</v>
      </c>
      <c r="C2429" s="37" t="s">
        <v>4939</v>
      </c>
      <c r="D2429" s="55" t="s">
        <v>820</v>
      </c>
      <c r="E2429" s="58">
        <v>103.85</v>
      </c>
      <c r="F2429" s="57">
        <v>1.38</v>
      </c>
      <c r="G2429" s="57"/>
      <c r="H2429" s="49"/>
      <c r="I2429" s="49" t="str">
        <f t="shared" si="213"/>
        <v/>
      </c>
      <c r="J2429" s="37" t="str">
        <f t="shared" si="210"/>
        <v>메가터치</v>
      </c>
      <c r="K2429" s="37" t="str">
        <f t="shared" si="211"/>
        <v>A446540</v>
      </c>
    </row>
    <row r="2430" spans="1:11" x14ac:dyDescent="0.4">
      <c r="A2430" s="49"/>
      <c r="B2430" s="54" t="s">
        <v>4940</v>
      </c>
      <c r="C2430" s="37" t="s">
        <v>4941</v>
      </c>
      <c r="D2430" s="55" t="s">
        <v>820</v>
      </c>
      <c r="E2430" s="56">
        <v>84.43</v>
      </c>
      <c r="F2430" s="55">
        <v>0.42</v>
      </c>
      <c r="G2430" s="55">
        <v>1</v>
      </c>
      <c r="I2430" s="49">
        <f t="shared" si="213"/>
        <v>84.454300000000003</v>
      </c>
      <c r="J2430" s="37" t="str">
        <f t="shared" si="210"/>
        <v>지슨</v>
      </c>
      <c r="K2430" s="37" t="str">
        <f t="shared" si="211"/>
        <v>A446840</v>
      </c>
    </row>
    <row r="2431" spans="1:11" x14ac:dyDescent="0.4">
      <c r="A2431" s="49"/>
      <c r="B2431" s="54" t="s">
        <v>4942</v>
      </c>
      <c r="C2431" s="37" t="s">
        <v>4943</v>
      </c>
      <c r="D2431" s="55" t="s">
        <v>820</v>
      </c>
      <c r="E2431" s="58">
        <v>346.68</v>
      </c>
      <c r="F2431" s="57">
        <v>0.81</v>
      </c>
      <c r="G2431" s="57"/>
      <c r="H2431" s="49"/>
      <c r="I2431" s="49" t="str">
        <f t="shared" si="213"/>
        <v/>
      </c>
      <c r="J2431" s="37" t="str">
        <f t="shared" si="210"/>
        <v>에코아이</v>
      </c>
      <c r="K2431" s="37" t="str">
        <f t="shared" si="211"/>
        <v>A448280</v>
      </c>
    </row>
    <row r="2432" spans="1:11" x14ac:dyDescent="0.4">
      <c r="A2432" s="49"/>
      <c r="B2432" s="54" t="s">
        <v>4944</v>
      </c>
      <c r="C2432" s="37" t="s">
        <v>4945</v>
      </c>
      <c r="D2432" s="55" t="s">
        <v>820</v>
      </c>
      <c r="E2432" s="58">
        <v>96.35</v>
      </c>
      <c r="F2432" s="57">
        <v>1.82</v>
      </c>
      <c r="G2432" s="57"/>
      <c r="H2432" s="49"/>
      <c r="I2432" s="49" t="str">
        <f t="shared" si="213"/>
        <v/>
      </c>
      <c r="J2432" s="37" t="str">
        <f t="shared" si="210"/>
        <v>코츠테크놀로지</v>
      </c>
      <c r="K2432" s="37" t="str">
        <f t="shared" si="211"/>
        <v>A448710</v>
      </c>
    </row>
    <row r="2433" spans="1:11" x14ac:dyDescent="0.4">
      <c r="A2433" s="49"/>
      <c r="B2433" s="54" t="s">
        <v>4946</v>
      </c>
      <c r="C2433" s="37" t="s">
        <v>4947</v>
      </c>
      <c r="D2433" s="55" t="s">
        <v>820</v>
      </c>
      <c r="E2433" s="58">
        <v>760.76</v>
      </c>
      <c r="F2433" s="57">
        <v>28.02</v>
      </c>
      <c r="G2433" s="57">
        <v>2</v>
      </c>
      <c r="H2433" s="49"/>
      <c r="I2433" s="49">
        <f t="shared" si="213"/>
        <v>760.78432999999995</v>
      </c>
      <c r="J2433" s="37" t="str">
        <f t="shared" si="210"/>
        <v>한국피아이엠</v>
      </c>
      <c r="K2433" s="37" t="str">
        <f t="shared" si="211"/>
        <v>A448900</v>
      </c>
    </row>
    <row r="2434" spans="1:11" x14ac:dyDescent="0.4">
      <c r="A2434" s="49"/>
      <c r="B2434" s="54" t="s">
        <v>332</v>
      </c>
      <c r="C2434" s="37" t="s">
        <v>333</v>
      </c>
      <c r="D2434" s="55" t="s">
        <v>805</v>
      </c>
      <c r="E2434" s="58">
        <v>5073.17</v>
      </c>
      <c r="F2434" s="57">
        <v>39.75</v>
      </c>
      <c r="G2434" s="57">
        <v>2</v>
      </c>
      <c r="H2434" s="49"/>
      <c r="I2434" s="49">
        <f t="shared" si="213"/>
        <v>5073.19434</v>
      </c>
      <c r="J2434" s="37" t="str">
        <f t="shared" si="210"/>
        <v>에코프로머티</v>
      </c>
      <c r="K2434" s="37" t="str">
        <f t="shared" si="211"/>
        <v>A450080</v>
      </c>
    </row>
    <row r="2435" spans="1:11" x14ac:dyDescent="0.4">
      <c r="A2435" s="49"/>
      <c r="B2435" s="54" t="s">
        <v>4948</v>
      </c>
      <c r="C2435" s="37" t="s">
        <v>4949</v>
      </c>
      <c r="D2435" s="55" t="s">
        <v>820</v>
      </c>
      <c r="E2435" s="58">
        <v>57.14</v>
      </c>
      <c r="F2435" s="57">
        <v>0.47</v>
      </c>
      <c r="G2435" s="57"/>
      <c r="H2435" s="49"/>
      <c r="I2435" s="49" t="str">
        <f t="shared" si="213"/>
        <v/>
      </c>
      <c r="J2435" s="37" t="str">
        <f t="shared" si="210"/>
        <v>하스</v>
      </c>
      <c r="K2435" s="37" t="str">
        <f t="shared" si="211"/>
        <v>A450330</v>
      </c>
    </row>
    <row r="2436" spans="1:11" x14ac:dyDescent="0.4">
      <c r="A2436" s="49"/>
      <c r="B2436" s="54" t="s">
        <v>4950</v>
      </c>
      <c r="C2436" s="37" t="s">
        <v>4951</v>
      </c>
      <c r="D2436" s="55" t="s">
        <v>820</v>
      </c>
      <c r="E2436" s="56">
        <v>43.6</v>
      </c>
      <c r="F2436" s="55">
        <v>0.5</v>
      </c>
      <c r="G2436" s="55"/>
      <c r="I2436" s="49" t="str">
        <f t="shared" si="213"/>
        <v/>
      </c>
      <c r="J2436" s="37" t="str">
        <f t="shared" si="210"/>
        <v>인스웨이브</v>
      </c>
      <c r="K2436" s="37" t="str">
        <f t="shared" si="211"/>
        <v>A450520</v>
      </c>
    </row>
    <row r="2437" spans="1:11" x14ac:dyDescent="0.4">
      <c r="A2437" s="49"/>
      <c r="B2437" s="54" t="s">
        <v>4952</v>
      </c>
      <c r="C2437" s="37" t="s">
        <v>4953</v>
      </c>
      <c r="D2437" s="55" t="s">
        <v>820</v>
      </c>
      <c r="E2437" s="58">
        <v>492.92</v>
      </c>
      <c r="F2437" s="57">
        <v>4.46</v>
      </c>
      <c r="G2437" s="57">
        <v>2</v>
      </c>
      <c r="H2437" s="49"/>
      <c r="I2437" s="49">
        <f t="shared" si="213"/>
        <v>492.94436999999999</v>
      </c>
      <c r="J2437" s="37" t="str">
        <f t="shared" si="210"/>
        <v>아스테라시스</v>
      </c>
      <c r="K2437" s="37" t="str">
        <f t="shared" si="211"/>
        <v>A450950</v>
      </c>
    </row>
    <row r="2438" spans="1:11" x14ac:dyDescent="0.4">
      <c r="A2438" s="49"/>
      <c r="B2438" s="54" t="s">
        <v>4954</v>
      </c>
      <c r="C2438" s="37" t="s">
        <v>4955</v>
      </c>
      <c r="D2438" s="55" t="s">
        <v>820</v>
      </c>
      <c r="E2438" s="56">
        <v>103.79</v>
      </c>
      <c r="F2438" s="55">
        <v>1.8</v>
      </c>
      <c r="G2438" s="55">
        <v>1</v>
      </c>
      <c r="I2438" s="49">
        <f t="shared" si="213"/>
        <v>103.81438</v>
      </c>
      <c r="J2438" s="37" t="str">
        <f t="shared" si="210"/>
        <v>아이엠티</v>
      </c>
      <c r="K2438" s="37" t="str">
        <f t="shared" si="211"/>
        <v>A451220</v>
      </c>
    </row>
    <row r="2439" spans="1:11" x14ac:dyDescent="0.4">
      <c r="A2439" s="49"/>
      <c r="B2439" s="54" t="s">
        <v>4956</v>
      </c>
      <c r="C2439" s="37" t="s">
        <v>4957</v>
      </c>
      <c r="D2439" s="55" t="s">
        <v>820</v>
      </c>
      <c r="E2439" s="58">
        <v>88.97</v>
      </c>
      <c r="F2439" s="57">
        <v>1.29</v>
      </c>
      <c r="G2439" s="57"/>
      <c r="H2439" s="49"/>
      <c r="I2439" s="49" t="str">
        <f t="shared" si="213"/>
        <v/>
      </c>
      <c r="J2439" s="37" t="str">
        <f t="shared" si="210"/>
        <v>삐아</v>
      </c>
      <c r="K2439" s="37" t="str">
        <f t="shared" si="211"/>
        <v>A451250</v>
      </c>
    </row>
    <row r="2440" spans="1:11" x14ac:dyDescent="0.4">
      <c r="A2440" s="49"/>
      <c r="B2440" s="54" t="s">
        <v>4958</v>
      </c>
      <c r="C2440" s="37" t="s">
        <v>4959</v>
      </c>
      <c r="D2440" s="55" t="s">
        <v>820</v>
      </c>
      <c r="E2440" s="58">
        <v>268.72000000000003</v>
      </c>
      <c r="F2440" s="57">
        <v>11.64</v>
      </c>
      <c r="G2440" s="57">
        <v>3</v>
      </c>
      <c r="H2440" s="49"/>
      <c r="I2440" s="49">
        <f t="shared" si="213"/>
        <v>268.74440000000004</v>
      </c>
      <c r="J2440" s="37" t="str">
        <f t="shared" si="210"/>
        <v>컨텍</v>
      </c>
      <c r="K2440" s="37" t="str">
        <f t="shared" si="211"/>
        <v>A451760</v>
      </c>
    </row>
    <row r="2441" spans="1:11" x14ac:dyDescent="0.4">
      <c r="A2441" s="49"/>
      <c r="B2441" s="54" t="s">
        <v>4960</v>
      </c>
      <c r="C2441" s="37" t="s">
        <v>4961</v>
      </c>
      <c r="D2441" s="55" t="s">
        <v>820</v>
      </c>
      <c r="E2441" s="58">
        <v>58.67</v>
      </c>
      <c r="F2441" s="57">
        <v>2.76</v>
      </c>
      <c r="G2441" s="57"/>
      <c r="H2441" s="49"/>
      <c r="I2441" s="49" t="str">
        <f t="shared" si="213"/>
        <v/>
      </c>
      <c r="J2441" s="37" t="str">
        <f t="shared" si="210"/>
        <v>제이엔비</v>
      </c>
      <c r="K2441" s="37" t="str">
        <f t="shared" si="211"/>
        <v>A452160</v>
      </c>
    </row>
    <row r="2442" spans="1:11" x14ac:dyDescent="0.4">
      <c r="A2442" s="49"/>
      <c r="B2442" s="54" t="s">
        <v>4962</v>
      </c>
      <c r="C2442" s="37" t="s">
        <v>4963</v>
      </c>
      <c r="D2442" s="55" t="s">
        <v>820</v>
      </c>
      <c r="E2442" s="58">
        <v>107.84</v>
      </c>
      <c r="F2442" s="57">
        <v>1.94</v>
      </c>
      <c r="G2442" s="57"/>
      <c r="H2442" s="49"/>
      <c r="I2442" s="49" t="str">
        <f t="shared" si="213"/>
        <v/>
      </c>
      <c r="J2442" s="37" t="str">
        <f t="shared" si="210"/>
        <v>한빛레이저</v>
      </c>
      <c r="K2442" s="37" t="str">
        <f t="shared" si="211"/>
        <v>A452190</v>
      </c>
    </row>
    <row r="2443" spans="1:11" x14ac:dyDescent="0.4">
      <c r="A2443" s="49"/>
      <c r="B2443" s="54" t="s">
        <v>4964</v>
      </c>
      <c r="C2443" s="37" t="s">
        <v>4965</v>
      </c>
      <c r="D2443" s="55" t="s">
        <v>820</v>
      </c>
      <c r="E2443" s="58">
        <v>57.66</v>
      </c>
      <c r="F2443" s="57">
        <v>0.57999999999999996</v>
      </c>
      <c r="G2443" s="57"/>
      <c r="H2443" s="49"/>
      <c r="I2443" s="49" t="str">
        <f t="shared" si="213"/>
        <v/>
      </c>
      <c r="J2443" s="37" t="str">
        <f t="shared" si="210"/>
        <v>민테크</v>
      </c>
      <c r="K2443" s="37" t="str">
        <f t="shared" si="211"/>
        <v>A452200</v>
      </c>
    </row>
    <row r="2444" spans="1:11" x14ac:dyDescent="0.4">
      <c r="A2444" s="49"/>
      <c r="B2444" s="54" t="s">
        <v>4966</v>
      </c>
      <c r="C2444" s="37" t="s">
        <v>4967</v>
      </c>
      <c r="D2444" s="55" t="s">
        <v>805</v>
      </c>
      <c r="E2444" s="56">
        <v>610.66</v>
      </c>
      <c r="F2444" s="55">
        <v>24.86</v>
      </c>
      <c r="G2444" s="55"/>
      <c r="I2444" s="49" t="str">
        <f t="shared" si="213"/>
        <v/>
      </c>
      <c r="J2444" s="37" t="str">
        <f t="shared" si="210"/>
        <v>한화갤러리아</v>
      </c>
      <c r="K2444" s="37" t="str">
        <f t="shared" si="211"/>
        <v>A452260</v>
      </c>
    </row>
    <row r="2445" spans="1:11" x14ac:dyDescent="0.4">
      <c r="A2445" s="49"/>
      <c r="B2445" s="54" t="s">
        <v>4968</v>
      </c>
      <c r="C2445" s="37" t="s">
        <v>4969</v>
      </c>
      <c r="D2445" s="55" t="s">
        <v>820</v>
      </c>
      <c r="E2445" s="58">
        <v>183.85</v>
      </c>
      <c r="F2445" s="57">
        <v>5.21</v>
      </c>
      <c r="G2445" s="57"/>
      <c r="H2445" s="49"/>
      <c r="I2445" s="49" t="str">
        <f t="shared" si="213"/>
        <v/>
      </c>
      <c r="J2445" s="37" t="str">
        <f t="shared" si="210"/>
        <v>한선엔지니어링</v>
      </c>
      <c r="K2445" s="37" t="str">
        <f t="shared" si="211"/>
        <v>A452280</v>
      </c>
    </row>
    <row r="2446" spans="1:11" x14ac:dyDescent="0.4">
      <c r="A2446" s="49"/>
      <c r="B2446" s="54" t="s">
        <v>4970</v>
      </c>
      <c r="C2446" s="37" t="s">
        <v>4971</v>
      </c>
      <c r="D2446" s="55" t="s">
        <v>820</v>
      </c>
      <c r="E2446" s="58">
        <v>47.75</v>
      </c>
      <c r="F2446" s="57">
        <v>1.03</v>
      </c>
      <c r="G2446" s="57"/>
      <c r="H2446" s="49"/>
      <c r="I2446" s="49" t="str">
        <f t="shared" si="213"/>
        <v/>
      </c>
      <c r="J2446" s="37" t="str">
        <f t="shared" ref="J2446:J2509" si="214">C2446</f>
        <v>캡스톤파트너스</v>
      </c>
      <c r="K2446" s="37" t="str">
        <f t="shared" ref="K2446:K2509" si="215">B2446</f>
        <v>A452300</v>
      </c>
    </row>
    <row r="2447" spans="1:11" x14ac:dyDescent="0.4">
      <c r="A2447" s="49"/>
      <c r="B2447" s="54" t="s">
        <v>4972</v>
      </c>
      <c r="C2447" s="37" t="s">
        <v>4973</v>
      </c>
      <c r="D2447" s="55" t="s">
        <v>820</v>
      </c>
      <c r="E2447" s="58">
        <v>91.44</v>
      </c>
      <c r="F2447" s="57">
        <v>2.19</v>
      </c>
      <c r="G2447" s="57"/>
      <c r="H2447" s="49"/>
      <c r="I2447" s="49" t="str">
        <f t="shared" si="213"/>
        <v/>
      </c>
      <c r="J2447" s="37" t="str">
        <f t="shared" si="214"/>
        <v>이닉스</v>
      </c>
      <c r="K2447" s="37" t="str">
        <f t="shared" si="215"/>
        <v>A452400</v>
      </c>
    </row>
    <row r="2448" spans="1:11" x14ac:dyDescent="0.4">
      <c r="A2448" s="49"/>
      <c r="B2448" s="54" t="s">
        <v>623</v>
      </c>
      <c r="C2448" s="37" t="s">
        <v>624</v>
      </c>
      <c r="D2448" s="55" t="s">
        <v>820</v>
      </c>
      <c r="E2448" s="56">
        <v>280.64999999999998</v>
      </c>
      <c r="F2448" s="55">
        <v>2.66</v>
      </c>
      <c r="G2448" s="55">
        <v>3</v>
      </c>
      <c r="I2448" s="49">
        <f t="shared" si="213"/>
        <v>280.67447999999996</v>
      </c>
      <c r="J2448" s="37" t="str">
        <f t="shared" si="214"/>
        <v>사피엔반도체</v>
      </c>
      <c r="K2448" s="37" t="str">
        <f t="shared" si="215"/>
        <v>A452430</v>
      </c>
    </row>
    <row r="2449" spans="1:11" x14ac:dyDescent="0.4">
      <c r="A2449" s="49"/>
      <c r="B2449" s="54" t="s">
        <v>4974</v>
      </c>
      <c r="C2449" s="37" t="s">
        <v>4975</v>
      </c>
      <c r="D2449" s="55" t="s">
        <v>820</v>
      </c>
      <c r="E2449" s="58">
        <v>212.76</v>
      </c>
      <c r="F2449" s="57">
        <v>7.76</v>
      </c>
      <c r="G2449" s="57"/>
      <c r="H2449" s="49"/>
      <c r="I2449" s="49" t="str">
        <f t="shared" si="213"/>
        <v/>
      </c>
      <c r="J2449" s="37" t="str">
        <f t="shared" si="214"/>
        <v>피아이이</v>
      </c>
      <c r="K2449" s="37" t="str">
        <f t="shared" si="215"/>
        <v>A452450</v>
      </c>
    </row>
    <row r="2450" spans="1:11" x14ac:dyDescent="0.4">
      <c r="A2450" s="49"/>
      <c r="B2450" s="54" t="s">
        <v>4976</v>
      </c>
      <c r="C2450" s="37" t="s">
        <v>4977</v>
      </c>
      <c r="D2450" s="55" t="s">
        <v>805</v>
      </c>
      <c r="E2450" s="56">
        <v>523.14</v>
      </c>
      <c r="F2450" s="55">
        <v>0.72</v>
      </c>
      <c r="G2450" s="55">
        <v>2</v>
      </c>
      <c r="I2450" s="49">
        <f t="shared" si="213"/>
        <v>523.16449999999998</v>
      </c>
      <c r="J2450" s="37" t="str">
        <f t="shared" si="214"/>
        <v>현대그린푸드</v>
      </c>
      <c r="K2450" s="37" t="str">
        <f t="shared" si="215"/>
        <v>A453340</v>
      </c>
    </row>
    <row r="2451" spans="1:11" x14ac:dyDescent="0.4">
      <c r="A2451" s="49"/>
      <c r="B2451" s="54" t="s">
        <v>4978</v>
      </c>
      <c r="C2451" s="37" t="s">
        <v>4979</v>
      </c>
      <c r="D2451" s="55" t="s">
        <v>820</v>
      </c>
      <c r="E2451" s="57">
        <v>160.84</v>
      </c>
      <c r="F2451" s="55">
        <v>1.41</v>
      </c>
      <c r="G2451" s="55"/>
      <c r="I2451" s="49" t="str">
        <f t="shared" si="213"/>
        <v/>
      </c>
      <c r="J2451" s="37" t="str">
        <f t="shared" si="214"/>
        <v>그리드위즈</v>
      </c>
      <c r="K2451" s="37" t="str">
        <f t="shared" si="215"/>
        <v>A453450</v>
      </c>
    </row>
    <row r="2452" spans="1:11" x14ac:dyDescent="0.4">
      <c r="A2452" s="49"/>
      <c r="B2452" s="54" t="s">
        <v>4980</v>
      </c>
      <c r="C2452" s="37" t="s">
        <v>4981</v>
      </c>
      <c r="D2452" s="55" t="s">
        <v>820</v>
      </c>
      <c r="E2452" s="58">
        <v>98.86</v>
      </c>
      <c r="F2452" s="57">
        <v>0.4</v>
      </c>
      <c r="G2452" s="57"/>
      <c r="H2452" s="49"/>
      <c r="I2452" s="49" t="str">
        <f t="shared" si="213"/>
        <v/>
      </c>
      <c r="J2452" s="37" t="str">
        <f t="shared" si="214"/>
        <v>에이에스텍</v>
      </c>
      <c r="K2452" s="37" t="str">
        <f t="shared" si="215"/>
        <v>A453860</v>
      </c>
    </row>
    <row r="2453" spans="1:11" x14ac:dyDescent="0.4">
      <c r="A2453" s="49"/>
      <c r="B2453" s="54" t="s">
        <v>240</v>
      </c>
      <c r="C2453" s="37" t="s">
        <v>241</v>
      </c>
      <c r="D2453" s="55" t="s">
        <v>805</v>
      </c>
      <c r="E2453" s="58">
        <v>6903.33</v>
      </c>
      <c r="F2453" s="57">
        <v>69.81</v>
      </c>
      <c r="G2453" s="57"/>
      <c r="H2453" s="49"/>
      <c r="I2453" s="49" t="str">
        <f t="shared" si="213"/>
        <v/>
      </c>
      <c r="J2453" s="37" t="str">
        <f t="shared" si="214"/>
        <v>두산로보틱스</v>
      </c>
      <c r="K2453" s="37" t="str">
        <f t="shared" si="215"/>
        <v>A454910</v>
      </c>
    </row>
    <row r="2454" spans="1:11" x14ac:dyDescent="0.4">
      <c r="A2454" s="49"/>
      <c r="B2454" s="54" t="s">
        <v>4982</v>
      </c>
      <c r="C2454" s="37" t="s">
        <v>4983</v>
      </c>
      <c r="D2454" s="55" t="s">
        <v>820</v>
      </c>
      <c r="E2454" s="56">
        <v>43.48</v>
      </c>
      <c r="F2454" s="56">
        <v>2.13</v>
      </c>
      <c r="G2454" s="55"/>
      <c r="I2454" s="49" t="str">
        <f t="shared" si="213"/>
        <v/>
      </c>
      <c r="J2454" s="37" t="str">
        <f t="shared" si="214"/>
        <v>케이지에이</v>
      </c>
      <c r="K2454" s="37" t="str">
        <f t="shared" si="215"/>
        <v>A455180</v>
      </c>
    </row>
    <row r="2455" spans="1:11" x14ac:dyDescent="0.4">
      <c r="B2455" s="54" t="s">
        <v>264</v>
      </c>
      <c r="C2455" s="37" t="s">
        <v>265</v>
      </c>
      <c r="D2455" s="55" t="s">
        <v>820</v>
      </c>
      <c r="E2455" s="56">
        <v>524.26</v>
      </c>
      <c r="F2455" s="55">
        <v>12.41</v>
      </c>
      <c r="G2455" s="55"/>
      <c r="J2455" s="37" t="str">
        <f t="shared" si="214"/>
        <v>엔젤로보틱스</v>
      </c>
      <c r="K2455" s="37" t="str">
        <f t="shared" si="215"/>
        <v>A455900</v>
      </c>
    </row>
    <row r="2456" spans="1:11" x14ac:dyDescent="0.4">
      <c r="A2456" s="49"/>
      <c r="B2456" s="54" t="s">
        <v>4984</v>
      </c>
      <c r="C2456" s="37" t="s">
        <v>4985</v>
      </c>
      <c r="D2456" s="55" t="s">
        <v>820</v>
      </c>
      <c r="E2456" s="58">
        <v>242.17</v>
      </c>
      <c r="F2456" s="57">
        <v>18.03</v>
      </c>
      <c r="G2456" s="57">
        <v>2</v>
      </c>
      <c r="H2456" s="49"/>
      <c r="I2456" s="49">
        <f t="shared" ref="I2456:I2482" si="216">IF((G2456&gt;$G$8),E2456+ROW()/100000,"")</f>
        <v>242.19456</v>
      </c>
      <c r="J2456" s="37" t="str">
        <f t="shared" si="214"/>
        <v>아이씨티케이</v>
      </c>
      <c r="K2456" s="37" t="str">
        <f t="shared" si="215"/>
        <v>A456010</v>
      </c>
    </row>
    <row r="2457" spans="1:11" x14ac:dyDescent="0.4">
      <c r="A2457" s="49"/>
      <c r="B2457" s="54" t="s">
        <v>4986</v>
      </c>
      <c r="C2457" s="37" t="s">
        <v>4987</v>
      </c>
      <c r="D2457" s="55" t="s">
        <v>805</v>
      </c>
      <c r="E2457" s="58">
        <v>786.92</v>
      </c>
      <c r="F2457" s="57">
        <v>4.12</v>
      </c>
      <c r="G2457" s="57"/>
      <c r="H2457" s="49"/>
      <c r="I2457" s="49" t="str">
        <f t="shared" si="216"/>
        <v/>
      </c>
      <c r="J2457" s="37" t="str">
        <f t="shared" si="214"/>
        <v>OCI</v>
      </c>
      <c r="K2457" s="37" t="str">
        <f t="shared" si="215"/>
        <v>A456040</v>
      </c>
    </row>
    <row r="2458" spans="1:11" x14ac:dyDescent="0.4">
      <c r="A2458" s="49"/>
      <c r="B2458" s="54" t="s">
        <v>4988</v>
      </c>
      <c r="C2458" s="37" t="s">
        <v>4989</v>
      </c>
      <c r="D2458" s="55" t="s">
        <v>820</v>
      </c>
      <c r="E2458" s="56">
        <v>181.02</v>
      </c>
      <c r="F2458" s="55">
        <v>5.58</v>
      </c>
      <c r="G2458" s="55"/>
      <c r="I2458" s="49" t="str">
        <f t="shared" si="216"/>
        <v/>
      </c>
      <c r="J2458" s="37" t="str">
        <f t="shared" si="214"/>
        <v>이엔셀</v>
      </c>
      <c r="K2458" s="37" t="str">
        <f t="shared" si="215"/>
        <v>A456070</v>
      </c>
    </row>
    <row r="2459" spans="1:11" x14ac:dyDescent="0.4">
      <c r="A2459" s="49"/>
      <c r="B2459" s="54" t="s">
        <v>637</v>
      </c>
      <c r="C2459" s="37" t="s">
        <v>638</v>
      </c>
      <c r="D2459" s="55" t="s">
        <v>820</v>
      </c>
      <c r="E2459" s="56">
        <v>1776.7</v>
      </c>
      <c r="F2459" s="55">
        <v>110.71</v>
      </c>
      <c r="G2459" s="55"/>
      <c r="I2459" s="49" t="str">
        <f t="shared" si="216"/>
        <v/>
      </c>
      <c r="J2459" s="37" t="str">
        <f t="shared" si="214"/>
        <v>지투지바이오</v>
      </c>
      <c r="K2459" s="37" t="str">
        <f t="shared" si="215"/>
        <v>A456160</v>
      </c>
    </row>
    <row r="2460" spans="1:11" x14ac:dyDescent="0.4">
      <c r="A2460" s="49"/>
      <c r="B2460" s="54" t="s">
        <v>651</v>
      </c>
      <c r="C2460" s="37" t="s">
        <v>652</v>
      </c>
      <c r="D2460" s="55" t="s">
        <v>805</v>
      </c>
      <c r="E2460" s="56">
        <v>3480.6</v>
      </c>
      <c r="F2460" s="55">
        <v>43</v>
      </c>
      <c r="G2460" s="55">
        <v>1</v>
      </c>
      <c r="I2460" s="49">
        <f t="shared" si="216"/>
        <v>3480.6246000000001</v>
      </c>
      <c r="J2460" s="37" t="str">
        <f t="shared" si="214"/>
        <v>이수스페셜티케미컬</v>
      </c>
      <c r="K2460" s="37" t="str">
        <f t="shared" si="215"/>
        <v>A457190</v>
      </c>
    </row>
    <row r="2461" spans="1:11" x14ac:dyDescent="0.4">
      <c r="A2461" s="49"/>
      <c r="B2461" s="54" t="s">
        <v>4990</v>
      </c>
      <c r="C2461" s="37" t="s">
        <v>4991</v>
      </c>
      <c r="D2461" s="55" t="s">
        <v>820</v>
      </c>
      <c r="E2461" s="58">
        <v>78.83</v>
      </c>
      <c r="F2461" s="57">
        <v>2.56</v>
      </c>
      <c r="G2461" s="57"/>
      <c r="H2461" s="49"/>
      <c r="I2461" s="49" t="str">
        <f t="shared" si="216"/>
        <v/>
      </c>
      <c r="J2461" s="37" t="str">
        <f t="shared" si="214"/>
        <v>한켐</v>
      </c>
      <c r="K2461" s="37" t="str">
        <f t="shared" si="215"/>
        <v>A457370</v>
      </c>
    </row>
    <row r="2462" spans="1:11" x14ac:dyDescent="0.4">
      <c r="A2462" s="49"/>
      <c r="B2462" s="54" t="s">
        <v>4992</v>
      </c>
      <c r="C2462" s="37" t="s">
        <v>4993</v>
      </c>
      <c r="D2462" s="55" t="s">
        <v>820</v>
      </c>
      <c r="E2462" s="58">
        <v>271.18</v>
      </c>
      <c r="F2462" s="57">
        <v>8.77</v>
      </c>
      <c r="G2462" s="57"/>
      <c r="H2462" s="49"/>
      <c r="I2462" s="49" t="str">
        <f t="shared" si="216"/>
        <v/>
      </c>
      <c r="J2462" s="37" t="str">
        <f t="shared" si="214"/>
        <v>우진엔텍</v>
      </c>
      <c r="K2462" s="37" t="str">
        <f t="shared" si="215"/>
        <v>A457550</v>
      </c>
    </row>
    <row r="2463" spans="1:11" x14ac:dyDescent="0.4">
      <c r="A2463" s="49"/>
      <c r="B2463" s="54" t="s">
        <v>4994</v>
      </c>
      <c r="C2463" s="37" t="s">
        <v>4995</v>
      </c>
      <c r="D2463" s="55" t="s">
        <v>820</v>
      </c>
      <c r="E2463" s="58">
        <v>28.24</v>
      </c>
      <c r="F2463" s="57">
        <v>0.36</v>
      </c>
      <c r="G2463" s="57">
        <v>1</v>
      </c>
      <c r="H2463" s="49"/>
      <c r="I2463" s="49">
        <f t="shared" si="216"/>
        <v>28.264629999999997</v>
      </c>
      <c r="J2463" s="37" t="str">
        <f t="shared" si="214"/>
        <v>벡트</v>
      </c>
      <c r="K2463" s="37" t="str">
        <f t="shared" si="215"/>
        <v>A457600</v>
      </c>
    </row>
    <row r="2464" spans="1:11" x14ac:dyDescent="0.4">
      <c r="A2464" s="49"/>
      <c r="B2464" s="54" t="s">
        <v>4996</v>
      </c>
      <c r="C2464" s="37" t="s">
        <v>4997</v>
      </c>
      <c r="D2464" s="55" t="s">
        <v>820</v>
      </c>
      <c r="E2464" s="58">
        <v>198.3</v>
      </c>
      <c r="F2464" s="57">
        <v>3.51</v>
      </c>
      <c r="G2464" s="57"/>
      <c r="H2464" s="49"/>
      <c r="I2464" s="49" t="str">
        <f t="shared" si="216"/>
        <v/>
      </c>
      <c r="J2464" s="37" t="str">
        <f t="shared" si="214"/>
        <v>성우</v>
      </c>
      <c r="K2464" s="37" t="str">
        <f t="shared" si="215"/>
        <v>A458650</v>
      </c>
    </row>
    <row r="2465" spans="1:11" x14ac:dyDescent="0.4">
      <c r="A2465" s="49"/>
      <c r="B2465" s="54" t="s">
        <v>470</v>
      </c>
      <c r="C2465" s="37" t="s">
        <v>5181</v>
      </c>
      <c r="D2465" s="55" t="s">
        <v>820</v>
      </c>
      <c r="E2465" s="59">
        <v>1768.51</v>
      </c>
      <c r="F2465" s="57">
        <v>18.420000000000002</v>
      </c>
      <c r="G2465" s="57">
        <v>4</v>
      </c>
      <c r="H2465" s="49"/>
      <c r="I2465" s="49">
        <f t="shared" si="216"/>
        <v>1768.5346500000001</v>
      </c>
      <c r="J2465" s="37" t="str">
        <f t="shared" si="214"/>
        <v>씨어스</v>
      </c>
      <c r="K2465" s="37" t="str">
        <f t="shared" si="215"/>
        <v>A458870</v>
      </c>
    </row>
    <row r="2466" spans="1:11" x14ac:dyDescent="0.4">
      <c r="A2466" s="49"/>
      <c r="B2466" s="54" t="s">
        <v>4998</v>
      </c>
      <c r="C2466" s="37" t="s">
        <v>4999</v>
      </c>
      <c r="D2466" s="55" t="s">
        <v>820</v>
      </c>
      <c r="E2466" s="58">
        <v>87.67</v>
      </c>
      <c r="F2466" s="57">
        <v>0.88</v>
      </c>
      <c r="G2466" s="57">
        <v>1</v>
      </c>
      <c r="H2466" s="49"/>
      <c r="I2466" s="49">
        <f t="shared" si="216"/>
        <v>87.694659999999999</v>
      </c>
      <c r="J2466" s="37" t="str">
        <f t="shared" si="214"/>
        <v>위츠</v>
      </c>
      <c r="K2466" s="37" t="str">
        <f t="shared" si="215"/>
        <v>A459100</v>
      </c>
    </row>
    <row r="2467" spans="1:11" x14ac:dyDescent="0.4">
      <c r="A2467" s="49"/>
      <c r="B2467" s="54" t="s">
        <v>645</v>
      </c>
      <c r="C2467" s="37" t="s">
        <v>646</v>
      </c>
      <c r="D2467" s="55" t="s">
        <v>820</v>
      </c>
      <c r="E2467" s="58">
        <v>367.29</v>
      </c>
      <c r="F2467" s="57">
        <v>20.41</v>
      </c>
      <c r="G2467" s="57"/>
      <c r="H2467" s="49"/>
      <c r="I2467" s="49" t="str">
        <f t="shared" si="216"/>
        <v/>
      </c>
      <c r="J2467" s="37" t="str">
        <f t="shared" si="214"/>
        <v>나우로보틱스</v>
      </c>
      <c r="K2467" s="37" t="str">
        <f t="shared" si="215"/>
        <v>A459510</v>
      </c>
    </row>
    <row r="2468" spans="1:11" x14ac:dyDescent="0.4">
      <c r="A2468" s="49"/>
      <c r="B2468" s="54" t="s">
        <v>5000</v>
      </c>
      <c r="C2468" s="37" t="s">
        <v>5001</v>
      </c>
      <c r="D2468" s="55" t="s">
        <v>820</v>
      </c>
      <c r="E2468" s="58">
        <v>87.86</v>
      </c>
      <c r="F2468" s="57">
        <v>35.15</v>
      </c>
      <c r="G2468" s="57">
        <v>1</v>
      </c>
      <c r="H2468" s="49"/>
      <c r="I2468" s="49">
        <f t="shared" si="216"/>
        <v>87.884680000000003</v>
      </c>
      <c r="J2468" s="37" t="str">
        <f t="shared" si="214"/>
        <v>알트</v>
      </c>
      <c r="K2468" s="37" t="str">
        <f t="shared" si="215"/>
        <v>A459550</v>
      </c>
    </row>
    <row r="2469" spans="1:11" x14ac:dyDescent="0.4">
      <c r="A2469" s="49"/>
      <c r="B2469" s="54" t="s">
        <v>5002</v>
      </c>
      <c r="C2469" s="37" t="s">
        <v>5003</v>
      </c>
      <c r="D2469" s="55" t="s">
        <v>820</v>
      </c>
      <c r="E2469" s="58">
        <v>53.52</v>
      </c>
      <c r="F2469" s="57">
        <v>0.88</v>
      </c>
      <c r="G2469" s="57"/>
      <c r="H2469" s="49"/>
      <c r="I2469" s="49" t="str">
        <f t="shared" si="216"/>
        <v/>
      </c>
      <c r="J2469" s="37" t="str">
        <f t="shared" si="214"/>
        <v>아이빔테크놀로지</v>
      </c>
      <c r="K2469" s="37" t="str">
        <f t="shared" si="215"/>
        <v>A460470</v>
      </c>
    </row>
    <row r="2470" spans="1:11" x14ac:dyDescent="0.4">
      <c r="A2470" s="49"/>
      <c r="B2470" s="54" t="s">
        <v>5004</v>
      </c>
      <c r="C2470" s="37" t="s">
        <v>5005</v>
      </c>
      <c r="D2470" s="55" t="s">
        <v>805</v>
      </c>
      <c r="E2470" s="56">
        <v>178.2</v>
      </c>
      <c r="F2470" s="55">
        <v>0.33</v>
      </c>
      <c r="G2470" s="55">
        <v>1</v>
      </c>
      <c r="I2470" s="49">
        <f t="shared" si="216"/>
        <v>178.22469999999998</v>
      </c>
      <c r="J2470" s="37" t="str">
        <f t="shared" si="214"/>
        <v>동국씨엠</v>
      </c>
      <c r="K2470" s="37" t="str">
        <f t="shared" si="215"/>
        <v>A460850</v>
      </c>
    </row>
    <row r="2471" spans="1:11" x14ac:dyDescent="0.4">
      <c r="A2471" s="49"/>
      <c r="B2471" s="54" t="s">
        <v>5006</v>
      </c>
      <c r="C2471" s="37" t="s">
        <v>5007</v>
      </c>
      <c r="D2471" s="55" t="s">
        <v>805</v>
      </c>
      <c r="E2471" s="58">
        <v>509.47</v>
      </c>
      <c r="F2471" s="57">
        <v>1.93</v>
      </c>
      <c r="G2471" s="57">
        <v>3</v>
      </c>
      <c r="H2471" s="49"/>
      <c r="I2471" s="49">
        <f t="shared" si="216"/>
        <v>509.49471000000005</v>
      </c>
      <c r="J2471" s="37" t="str">
        <f t="shared" si="214"/>
        <v>동국제강</v>
      </c>
      <c r="K2471" s="37" t="str">
        <f t="shared" si="215"/>
        <v>A460860</v>
      </c>
    </row>
    <row r="2472" spans="1:11" x14ac:dyDescent="0.4">
      <c r="A2472" s="49"/>
      <c r="B2472" s="54" t="s">
        <v>5008</v>
      </c>
      <c r="C2472" s="37" t="s">
        <v>5009</v>
      </c>
      <c r="D2472" s="55" t="s">
        <v>820</v>
      </c>
      <c r="E2472" s="58">
        <v>66.83</v>
      </c>
      <c r="F2472" s="57">
        <v>0.89</v>
      </c>
      <c r="G2472" s="57">
        <v>1</v>
      </c>
      <c r="H2472" s="49"/>
      <c r="I2472" s="49">
        <f t="shared" si="216"/>
        <v>66.85472</v>
      </c>
      <c r="J2472" s="37" t="str">
        <f t="shared" si="214"/>
        <v>에스엠씨지</v>
      </c>
      <c r="K2472" s="37" t="str">
        <f t="shared" si="215"/>
        <v>A460870</v>
      </c>
    </row>
    <row r="2473" spans="1:11" x14ac:dyDescent="0.4">
      <c r="A2473" s="49"/>
      <c r="B2473" s="54" t="s">
        <v>5010</v>
      </c>
      <c r="C2473" s="37" t="s">
        <v>5011</v>
      </c>
      <c r="D2473" s="55" t="s">
        <v>820</v>
      </c>
      <c r="E2473" s="58">
        <v>693.52</v>
      </c>
      <c r="F2473" s="57">
        <v>22.96</v>
      </c>
      <c r="G2473" s="57"/>
      <c r="H2473" s="49"/>
      <c r="I2473" s="49" t="str">
        <f t="shared" si="216"/>
        <v/>
      </c>
      <c r="J2473" s="37" t="str">
        <f t="shared" si="214"/>
        <v>현대힘스</v>
      </c>
      <c r="K2473" s="37" t="str">
        <f t="shared" si="215"/>
        <v>A460930</v>
      </c>
    </row>
    <row r="2474" spans="1:11" x14ac:dyDescent="0.4">
      <c r="A2474" s="49"/>
      <c r="B2474" s="54" t="s">
        <v>5012</v>
      </c>
      <c r="C2474" s="37" t="s">
        <v>5013</v>
      </c>
      <c r="D2474" s="55" t="s">
        <v>820</v>
      </c>
      <c r="E2474" s="58">
        <v>125.4</v>
      </c>
      <c r="F2474" s="57">
        <v>13.35</v>
      </c>
      <c r="G2474" s="57"/>
      <c r="H2474" s="49"/>
      <c r="I2474" s="49" t="str">
        <f t="shared" si="216"/>
        <v/>
      </c>
      <c r="J2474" s="37" t="str">
        <f t="shared" si="214"/>
        <v>피앤에스로보틱스</v>
      </c>
      <c r="K2474" s="37" t="str">
        <f t="shared" si="215"/>
        <v>A460940</v>
      </c>
    </row>
    <row r="2475" spans="1:11" x14ac:dyDescent="0.4">
      <c r="A2475" s="49"/>
      <c r="B2475" s="54" t="s">
        <v>5014</v>
      </c>
      <c r="C2475" s="37" t="s">
        <v>5015</v>
      </c>
      <c r="D2475" s="55" t="s">
        <v>820</v>
      </c>
      <c r="E2475" s="58">
        <v>109.76</v>
      </c>
      <c r="F2475" s="57">
        <v>3.73</v>
      </c>
      <c r="G2475" s="57"/>
      <c r="H2475" s="49"/>
      <c r="I2475" s="49" t="str">
        <f t="shared" si="216"/>
        <v/>
      </c>
      <c r="J2475" s="37" t="str">
        <f t="shared" si="214"/>
        <v>아이엠비디엑스</v>
      </c>
      <c r="K2475" s="37" t="str">
        <f t="shared" si="215"/>
        <v>A461030</v>
      </c>
    </row>
    <row r="2476" spans="1:11" x14ac:dyDescent="0.4">
      <c r="A2476" s="49"/>
      <c r="B2476" s="54" t="s">
        <v>5016</v>
      </c>
      <c r="C2476" s="37" t="s">
        <v>5017</v>
      </c>
      <c r="D2476" s="55" t="s">
        <v>820</v>
      </c>
      <c r="E2476" s="58">
        <v>203.53</v>
      </c>
      <c r="F2476" s="57">
        <v>1.06</v>
      </c>
      <c r="G2476" s="57"/>
      <c r="H2476" s="49"/>
      <c r="I2476" s="49" t="str">
        <f t="shared" si="216"/>
        <v/>
      </c>
      <c r="J2476" s="37" t="str">
        <f t="shared" si="214"/>
        <v>아이스크림미디어</v>
      </c>
      <c r="K2476" s="37" t="str">
        <f t="shared" si="215"/>
        <v>A461300</v>
      </c>
    </row>
    <row r="2477" spans="1:11" x14ac:dyDescent="0.4">
      <c r="A2477" s="49"/>
      <c r="B2477" s="54" t="s">
        <v>5018</v>
      </c>
      <c r="C2477" s="37" t="s">
        <v>5019</v>
      </c>
      <c r="D2477" s="55" t="s">
        <v>820</v>
      </c>
      <c r="E2477" s="58">
        <v>32.82</v>
      </c>
      <c r="F2477" s="57">
        <v>1.91</v>
      </c>
      <c r="G2477" s="57"/>
      <c r="H2477" s="49"/>
      <c r="I2477" s="49" t="str">
        <f t="shared" si="216"/>
        <v/>
      </c>
      <c r="J2477" s="37" t="str">
        <f t="shared" si="214"/>
        <v>뉴키즈온</v>
      </c>
      <c r="K2477" s="37" t="str">
        <f t="shared" si="215"/>
        <v>A462310</v>
      </c>
    </row>
    <row r="2478" spans="1:11" x14ac:dyDescent="0.4">
      <c r="A2478" s="49"/>
      <c r="B2478" s="54" t="s">
        <v>605</v>
      </c>
      <c r="C2478" s="37" t="s">
        <v>606</v>
      </c>
      <c r="D2478" s="55" t="s">
        <v>820</v>
      </c>
      <c r="E2478" s="58">
        <v>376.04</v>
      </c>
      <c r="F2478" s="57">
        <v>20.83</v>
      </c>
      <c r="G2478" s="57"/>
      <c r="H2478" s="49"/>
      <c r="I2478" s="49" t="str">
        <f t="shared" si="216"/>
        <v/>
      </c>
      <c r="J2478" s="37" t="str">
        <f t="shared" si="214"/>
        <v>이노스페이스</v>
      </c>
      <c r="K2478" s="37" t="str">
        <f t="shared" si="215"/>
        <v>A462350</v>
      </c>
    </row>
    <row r="2479" spans="1:11" x14ac:dyDescent="0.4">
      <c r="A2479" s="49"/>
      <c r="B2479" s="54" t="s">
        <v>5020</v>
      </c>
      <c r="C2479" s="37" t="s">
        <v>5021</v>
      </c>
      <c r="D2479" s="55" t="s">
        <v>820</v>
      </c>
      <c r="E2479" s="58">
        <v>45.69</v>
      </c>
      <c r="F2479" s="57">
        <v>1.49</v>
      </c>
      <c r="G2479" s="57"/>
      <c r="H2479" s="49"/>
      <c r="I2479" s="49" t="str">
        <f t="shared" si="216"/>
        <v/>
      </c>
      <c r="J2479" s="37" t="str">
        <f t="shared" si="214"/>
        <v>라메디텍</v>
      </c>
      <c r="K2479" s="37" t="str">
        <f t="shared" si="215"/>
        <v>A462510</v>
      </c>
    </row>
    <row r="2480" spans="1:11" x14ac:dyDescent="0.4">
      <c r="A2480" s="49"/>
      <c r="B2480" s="54" t="s">
        <v>5022</v>
      </c>
      <c r="C2480" s="37" t="s">
        <v>5023</v>
      </c>
      <c r="D2480" s="55" t="s">
        <v>805</v>
      </c>
      <c r="E2480" s="57">
        <v>168.58</v>
      </c>
      <c r="F2480" s="55">
        <v>0.57999999999999996</v>
      </c>
      <c r="G2480" s="55"/>
      <c r="I2480" s="49" t="str">
        <f t="shared" si="216"/>
        <v/>
      </c>
      <c r="J2480" s="37" t="str">
        <f t="shared" si="214"/>
        <v>조선내화</v>
      </c>
      <c r="K2480" s="37" t="str">
        <f t="shared" si="215"/>
        <v>A462520</v>
      </c>
    </row>
    <row r="2481" spans="1:11" x14ac:dyDescent="0.4">
      <c r="A2481" s="49"/>
      <c r="B2481" s="54" t="s">
        <v>5024</v>
      </c>
      <c r="C2481" s="37" t="s">
        <v>5025</v>
      </c>
      <c r="D2481" s="55" t="s">
        <v>820</v>
      </c>
      <c r="E2481" s="56">
        <v>312.16000000000003</v>
      </c>
      <c r="F2481" s="55">
        <v>8.8800000000000008</v>
      </c>
      <c r="G2481" s="55"/>
      <c r="I2481" s="49" t="str">
        <f t="shared" si="216"/>
        <v/>
      </c>
      <c r="J2481" s="37" t="str">
        <f t="shared" si="214"/>
        <v>더즌</v>
      </c>
      <c r="K2481" s="37" t="str">
        <f t="shared" si="215"/>
        <v>A462860</v>
      </c>
    </row>
    <row r="2482" spans="1:11" x14ac:dyDescent="0.4">
      <c r="A2482" s="49"/>
      <c r="B2482" s="54" t="s">
        <v>5026</v>
      </c>
      <c r="C2482" s="37" t="s">
        <v>5027</v>
      </c>
      <c r="D2482" s="55" t="s">
        <v>805</v>
      </c>
      <c r="E2482" s="58">
        <v>1908.14</v>
      </c>
      <c r="F2482" s="57">
        <v>2.96</v>
      </c>
      <c r="G2482" s="57">
        <v>6</v>
      </c>
      <c r="H2482" s="49"/>
      <c r="I2482" s="49">
        <f t="shared" si="216"/>
        <v>1908.1648200000002</v>
      </c>
      <c r="J2482" s="37" t="str">
        <f t="shared" si="214"/>
        <v>시프트업</v>
      </c>
      <c r="K2482" s="37" t="str">
        <f t="shared" si="215"/>
        <v>A462870</v>
      </c>
    </row>
    <row r="2483" spans="1:11" x14ac:dyDescent="0.4">
      <c r="B2483" s="54" t="s">
        <v>5028</v>
      </c>
      <c r="C2483" s="37" t="s">
        <v>5029</v>
      </c>
      <c r="D2483" s="55" t="s">
        <v>820</v>
      </c>
      <c r="E2483" s="56">
        <v>38.47</v>
      </c>
      <c r="F2483" s="55">
        <v>0.34</v>
      </c>
      <c r="G2483" s="55"/>
      <c r="J2483" s="37" t="str">
        <f t="shared" si="214"/>
        <v>아이지넷</v>
      </c>
      <c r="K2483" s="37" t="str">
        <f t="shared" si="215"/>
        <v>A462980</v>
      </c>
    </row>
    <row r="2484" spans="1:11" x14ac:dyDescent="0.4">
      <c r="A2484" s="49"/>
      <c r="B2484" s="54" t="s">
        <v>5030</v>
      </c>
      <c r="C2484" s="37" t="s">
        <v>5031</v>
      </c>
      <c r="D2484" s="55" t="s">
        <v>820</v>
      </c>
      <c r="E2484" s="56">
        <v>126.26</v>
      </c>
      <c r="F2484" s="56">
        <v>6.86</v>
      </c>
      <c r="G2484" s="55"/>
      <c r="I2484" s="49" t="str">
        <f t="shared" ref="I2484:I2501" si="217">IF((G2484&gt;$G$8),E2484+ROW()/100000,"")</f>
        <v/>
      </c>
      <c r="J2484" s="37" t="str">
        <f t="shared" si="214"/>
        <v>뉴엔AI</v>
      </c>
      <c r="K2484" s="37" t="str">
        <f t="shared" si="215"/>
        <v>A463020</v>
      </c>
    </row>
    <row r="2485" spans="1:11" x14ac:dyDescent="0.4">
      <c r="A2485" s="49"/>
      <c r="B2485" s="54" t="s">
        <v>5032</v>
      </c>
      <c r="C2485" s="37" t="s">
        <v>5033</v>
      </c>
      <c r="D2485" s="55" t="s">
        <v>820</v>
      </c>
      <c r="E2485" s="56">
        <v>101.85</v>
      </c>
      <c r="F2485" s="55">
        <v>2.2799999999999998</v>
      </c>
      <c r="G2485" s="55"/>
      <c r="I2485" s="49" t="str">
        <f t="shared" si="217"/>
        <v/>
      </c>
      <c r="J2485" s="37" t="str">
        <f t="shared" si="214"/>
        <v>모티브링크</v>
      </c>
      <c r="K2485" s="37" t="str">
        <f t="shared" si="215"/>
        <v>A463480</v>
      </c>
    </row>
    <row r="2486" spans="1:11" x14ac:dyDescent="0.4">
      <c r="A2486" s="49"/>
      <c r="B2486" s="54" t="s">
        <v>268</v>
      </c>
      <c r="C2486" s="37" t="s">
        <v>269</v>
      </c>
      <c r="D2486" s="55" t="s">
        <v>820</v>
      </c>
      <c r="E2486" s="56">
        <v>345.62</v>
      </c>
      <c r="F2486" s="55">
        <v>21.83</v>
      </c>
      <c r="G2486" s="55"/>
      <c r="I2486" s="49" t="str">
        <f t="shared" si="217"/>
        <v/>
      </c>
      <c r="J2486" s="37" t="str">
        <f t="shared" si="214"/>
        <v>에스오에스랩</v>
      </c>
      <c r="K2486" s="37" t="str">
        <f t="shared" si="215"/>
        <v>A464080</v>
      </c>
    </row>
    <row r="2487" spans="1:11" x14ac:dyDescent="0.4">
      <c r="A2487" s="49"/>
      <c r="B2487" s="54" t="s">
        <v>5034</v>
      </c>
      <c r="C2487" s="37" t="s">
        <v>5035</v>
      </c>
      <c r="D2487" s="55" t="s">
        <v>820</v>
      </c>
      <c r="E2487" s="56">
        <v>53.92</v>
      </c>
      <c r="F2487" s="55">
        <v>0.37</v>
      </c>
      <c r="G2487" s="55"/>
      <c r="I2487" s="49" t="str">
        <f t="shared" si="217"/>
        <v/>
      </c>
      <c r="J2487" s="37" t="str">
        <f t="shared" si="214"/>
        <v>티디에스팜</v>
      </c>
      <c r="K2487" s="37" t="str">
        <f t="shared" si="215"/>
        <v>A464280</v>
      </c>
    </row>
    <row r="2488" spans="1:11" x14ac:dyDescent="0.4">
      <c r="A2488" s="49"/>
      <c r="B2488" s="54" t="s">
        <v>5036</v>
      </c>
      <c r="C2488" s="37" t="s">
        <v>5037</v>
      </c>
      <c r="D2488" s="55" t="s">
        <v>820</v>
      </c>
      <c r="E2488" s="58">
        <v>217.24</v>
      </c>
      <c r="F2488" s="57">
        <v>56.54</v>
      </c>
      <c r="G2488" s="57">
        <v>1</v>
      </c>
      <c r="H2488" s="49"/>
      <c r="I2488" s="49">
        <f t="shared" si="217"/>
        <v>217.26488000000001</v>
      </c>
      <c r="J2488" s="37" t="str">
        <f t="shared" si="214"/>
        <v>쿼드메디슨</v>
      </c>
      <c r="K2488" s="37" t="str">
        <f t="shared" si="215"/>
        <v>A464490</v>
      </c>
    </row>
    <row r="2489" spans="1:11" x14ac:dyDescent="0.4">
      <c r="A2489" s="49"/>
      <c r="B2489" s="54" t="s">
        <v>5038</v>
      </c>
      <c r="C2489" s="37" t="s">
        <v>5039</v>
      </c>
      <c r="D2489" s="55" t="s">
        <v>820</v>
      </c>
      <c r="E2489" s="58">
        <v>50.13</v>
      </c>
      <c r="F2489" s="57">
        <v>3.51</v>
      </c>
      <c r="G2489" s="57"/>
      <c r="H2489" s="49"/>
      <c r="I2489" s="49" t="str">
        <f t="shared" si="217"/>
        <v/>
      </c>
      <c r="J2489" s="37" t="str">
        <f t="shared" si="214"/>
        <v>아이언디바이스</v>
      </c>
      <c r="K2489" s="37" t="str">
        <f t="shared" si="215"/>
        <v>A464500</v>
      </c>
    </row>
    <row r="2490" spans="1:11" x14ac:dyDescent="0.4">
      <c r="A2490" s="49"/>
      <c r="B2490" s="54" t="s">
        <v>5040</v>
      </c>
      <c r="C2490" s="37" t="s">
        <v>5041</v>
      </c>
      <c r="D2490" s="55" t="s">
        <v>820</v>
      </c>
      <c r="E2490" s="56">
        <v>42.98</v>
      </c>
      <c r="F2490" s="55">
        <v>1.4</v>
      </c>
      <c r="G2490" s="55"/>
      <c r="I2490" s="49" t="str">
        <f t="shared" si="217"/>
        <v/>
      </c>
      <c r="J2490" s="37" t="str">
        <f t="shared" si="214"/>
        <v>닷밀</v>
      </c>
      <c r="K2490" s="37" t="str">
        <f t="shared" si="215"/>
        <v>A464580</v>
      </c>
    </row>
    <row r="2491" spans="1:11" x14ac:dyDescent="0.4">
      <c r="A2491" s="49"/>
      <c r="B2491" s="54" t="s">
        <v>5042</v>
      </c>
      <c r="C2491" s="37" t="s">
        <v>5043</v>
      </c>
      <c r="D2491" s="55" t="s">
        <v>820</v>
      </c>
      <c r="E2491" s="58">
        <v>53.12</v>
      </c>
      <c r="F2491" s="57">
        <v>0.84</v>
      </c>
      <c r="G2491" s="57"/>
      <c r="H2491" s="49"/>
      <c r="I2491" s="49" t="str">
        <f t="shared" si="217"/>
        <v/>
      </c>
      <c r="J2491" s="37" t="str">
        <f t="shared" si="214"/>
        <v>인스피언</v>
      </c>
      <c r="K2491" s="37" t="str">
        <f t="shared" si="215"/>
        <v>A465480</v>
      </c>
    </row>
    <row r="2492" spans="1:11" x14ac:dyDescent="0.4">
      <c r="A2492" s="49"/>
      <c r="B2492" s="54" t="s">
        <v>5044</v>
      </c>
      <c r="C2492" s="37" t="s">
        <v>5045</v>
      </c>
      <c r="D2492" s="55" t="s">
        <v>805</v>
      </c>
      <c r="E2492" s="58">
        <v>42.45</v>
      </c>
      <c r="F2492" s="57">
        <v>0.56000000000000005</v>
      </c>
      <c r="G2492" s="57"/>
      <c r="H2492" s="49"/>
      <c r="I2492" s="49" t="str">
        <f t="shared" si="217"/>
        <v/>
      </c>
      <c r="J2492" s="37" t="str">
        <f t="shared" si="214"/>
        <v>STX그린로지스</v>
      </c>
      <c r="K2492" s="37" t="str">
        <f t="shared" si="215"/>
        <v>A465770</v>
      </c>
    </row>
    <row r="2493" spans="1:11" x14ac:dyDescent="0.4">
      <c r="A2493" s="49"/>
      <c r="B2493" s="54" t="s">
        <v>256</v>
      </c>
      <c r="C2493" s="37" t="s">
        <v>257</v>
      </c>
      <c r="D2493" s="55" t="s">
        <v>820</v>
      </c>
      <c r="E2493" s="58">
        <v>1854.42</v>
      </c>
      <c r="F2493" s="57">
        <v>169.17</v>
      </c>
      <c r="G2493" s="57"/>
      <c r="H2493" s="49"/>
      <c r="I2493" s="49" t="str">
        <f t="shared" si="217"/>
        <v/>
      </c>
      <c r="J2493" s="37" t="str">
        <f t="shared" si="214"/>
        <v>클로봇</v>
      </c>
      <c r="K2493" s="37" t="str">
        <f t="shared" si="215"/>
        <v>A466100</v>
      </c>
    </row>
    <row r="2494" spans="1:11" x14ac:dyDescent="0.4">
      <c r="A2494" s="49"/>
      <c r="B2494" s="54" t="s">
        <v>5046</v>
      </c>
      <c r="C2494" s="37" t="s">
        <v>5047</v>
      </c>
      <c r="D2494" s="55" t="s">
        <v>820</v>
      </c>
      <c r="E2494" s="58">
        <v>58.78</v>
      </c>
      <c r="F2494" s="57">
        <v>0.51</v>
      </c>
      <c r="G2494" s="57"/>
      <c r="H2494" s="49"/>
      <c r="I2494" s="49" t="str">
        <f t="shared" si="217"/>
        <v/>
      </c>
      <c r="J2494" s="37" t="str">
        <f t="shared" si="214"/>
        <v>사이냅소프트</v>
      </c>
      <c r="K2494" s="37" t="str">
        <f t="shared" si="215"/>
        <v>A466410</v>
      </c>
    </row>
    <row r="2495" spans="1:11" x14ac:dyDescent="0.4">
      <c r="A2495" s="49"/>
      <c r="B2495" s="54" t="s">
        <v>504</v>
      </c>
      <c r="C2495" s="37" t="s">
        <v>505</v>
      </c>
      <c r="D2495" s="55" t="s">
        <v>820</v>
      </c>
      <c r="E2495" s="56">
        <v>898.13</v>
      </c>
      <c r="F2495" s="55">
        <v>60.82</v>
      </c>
      <c r="G2495" s="55"/>
      <c r="I2495" s="49" t="str">
        <f t="shared" si="217"/>
        <v/>
      </c>
      <c r="J2495" s="37" t="str">
        <f t="shared" si="214"/>
        <v>프로티나</v>
      </c>
      <c r="K2495" s="37" t="str">
        <f t="shared" si="215"/>
        <v>A468530</v>
      </c>
    </row>
    <row r="2496" spans="1:11" x14ac:dyDescent="0.4">
      <c r="A2496" s="49"/>
      <c r="B2496" s="54" t="s">
        <v>5048</v>
      </c>
      <c r="C2496" s="37" t="s">
        <v>5049</v>
      </c>
      <c r="D2496" s="55" t="s">
        <v>820</v>
      </c>
      <c r="E2496" s="56">
        <v>202.39</v>
      </c>
      <c r="F2496" s="55">
        <v>45.75</v>
      </c>
      <c r="G2496" s="55"/>
      <c r="H2496" s="49"/>
      <c r="I2496" s="49" t="str">
        <f t="shared" si="217"/>
        <v/>
      </c>
      <c r="J2496" s="37" t="str">
        <f t="shared" si="214"/>
        <v>이노테크</v>
      </c>
      <c r="K2496" s="37" t="str">
        <f t="shared" si="215"/>
        <v>A469610</v>
      </c>
    </row>
    <row r="2497" spans="1:11" x14ac:dyDescent="0.4">
      <c r="A2497" s="49"/>
      <c r="B2497" s="54" t="s">
        <v>5050</v>
      </c>
      <c r="C2497" s="37" t="s">
        <v>5051</v>
      </c>
      <c r="D2497" s="55" t="s">
        <v>820</v>
      </c>
      <c r="E2497" s="58">
        <v>40.450000000000003</v>
      </c>
      <c r="F2497" s="57">
        <v>5.75</v>
      </c>
      <c r="G2497" s="57"/>
      <c r="H2497" s="49"/>
      <c r="I2497" s="49" t="str">
        <f t="shared" si="217"/>
        <v/>
      </c>
      <c r="J2497" s="37" t="str">
        <f t="shared" si="214"/>
        <v>아이비젼웍스</v>
      </c>
      <c r="K2497" s="37" t="str">
        <f t="shared" si="215"/>
        <v>A469750</v>
      </c>
    </row>
    <row r="2498" spans="1:11" x14ac:dyDescent="0.4">
      <c r="A2498" s="49"/>
      <c r="B2498" s="54" t="s">
        <v>5052</v>
      </c>
      <c r="C2498" s="37" t="s">
        <v>5053</v>
      </c>
      <c r="D2498" s="55" t="s">
        <v>820</v>
      </c>
      <c r="E2498" s="58">
        <v>60.92</v>
      </c>
      <c r="F2498" s="57">
        <v>1.45</v>
      </c>
      <c r="G2498" s="57"/>
      <c r="H2498" s="49"/>
      <c r="I2498" s="49" t="str">
        <f t="shared" si="217"/>
        <v/>
      </c>
      <c r="J2498" s="37" t="str">
        <f t="shared" si="214"/>
        <v>셀로맥스사이언스</v>
      </c>
      <c r="K2498" s="37" t="str">
        <f t="shared" si="215"/>
        <v>A471820</v>
      </c>
    </row>
    <row r="2499" spans="1:11" x14ac:dyDescent="0.4">
      <c r="A2499" s="49"/>
      <c r="B2499" s="54" t="s">
        <v>5054</v>
      </c>
      <c r="C2499" s="37" t="s">
        <v>5055</v>
      </c>
      <c r="D2499" s="55" t="s">
        <v>820</v>
      </c>
      <c r="E2499" s="58">
        <v>357.52</v>
      </c>
      <c r="F2499" s="57">
        <v>0.82</v>
      </c>
      <c r="G2499" s="57"/>
      <c r="H2499" s="49"/>
      <c r="I2499" s="49" t="str">
        <f t="shared" si="217"/>
        <v/>
      </c>
      <c r="J2499" s="37" t="str">
        <f t="shared" si="214"/>
        <v>폰드그룹</v>
      </c>
      <c r="K2499" s="37" t="str">
        <f t="shared" si="215"/>
        <v>A472850</v>
      </c>
    </row>
    <row r="2500" spans="1:11" x14ac:dyDescent="0.4">
      <c r="A2500" s="49"/>
      <c r="B2500" s="54" t="s">
        <v>5056</v>
      </c>
      <c r="C2500" s="37" t="s">
        <v>5057</v>
      </c>
      <c r="D2500" s="55" t="s">
        <v>820</v>
      </c>
      <c r="E2500" s="58">
        <v>202.9</v>
      </c>
      <c r="F2500" s="57">
        <v>4.71</v>
      </c>
      <c r="G2500" s="57">
        <v>3</v>
      </c>
      <c r="H2500" s="49"/>
      <c r="I2500" s="49">
        <f t="shared" si="217"/>
        <v>202.92500000000001</v>
      </c>
      <c r="J2500" s="37" t="str">
        <f t="shared" si="214"/>
        <v>노머스</v>
      </c>
      <c r="K2500" s="37" t="str">
        <f t="shared" si="215"/>
        <v>A473980</v>
      </c>
    </row>
    <row r="2501" spans="1:11" x14ac:dyDescent="0.4">
      <c r="A2501" s="49"/>
      <c r="B2501" s="54" t="s">
        <v>5058</v>
      </c>
      <c r="C2501" s="37" t="s">
        <v>5059</v>
      </c>
      <c r="D2501" s="55" t="s">
        <v>820</v>
      </c>
      <c r="E2501" s="58">
        <v>286.86</v>
      </c>
      <c r="F2501" s="57">
        <v>21.06</v>
      </c>
      <c r="G2501" s="57"/>
      <c r="H2501" s="49"/>
      <c r="I2501" s="49" t="str">
        <f t="shared" si="217"/>
        <v/>
      </c>
      <c r="J2501" s="37" t="str">
        <f t="shared" si="214"/>
        <v>루미르</v>
      </c>
      <c r="K2501" s="37" t="str">
        <f t="shared" si="215"/>
        <v>A474170</v>
      </c>
    </row>
    <row r="2502" spans="1:11" x14ac:dyDescent="0.4">
      <c r="B2502" s="54" t="s">
        <v>5060</v>
      </c>
      <c r="C2502" s="37" t="s">
        <v>5061</v>
      </c>
      <c r="D2502" s="55" t="s">
        <v>820</v>
      </c>
      <c r="E2502" s="56">
        <v>87.74</v>
      </c>
      <c r="F2502" s="55">
        <v>1.79</v>
      </c>
      <c r="G2502" s="55"/>
      <c r="J2502" s="37" t="str">
        <f t="shared" si="214"/>
        <v>RF시스템즈</v>
      </c>
      <c r="K2502" s="37" t="str">
        <f t="shared" si="215"/>
        <v>A474610</v>
      </c>
    </row>
    <row r="2503" spans="1:11" x14ac:dyDescent="0.4">
      <c r="A2503" s="49"/>
      <c r="B2503" s="54" t="s">
        <v>5062</v>
      </c>
      <c r="C2503" s="37" t="s">
        <v>5063</v>
      </c>
      <c r="D2503" s="55" t="s">
        <v>820</v>
      </c>
      <c r="E2503" s="58">
        <v>473.54</v>
      </c>
      <c r="F2503" s="57">
        <v>23.86</v>
      </c>
      <c r="G2503" s="57">
        <v>1</v>
      </c>
      <c r="H2503" s="49"/>
      <c r="I2503" s="49">
        <f t="shared" ref="I2503:I2529" si="218">IF((G2503&gt;$G$8),E2503+ROW()/100000,"")</f>
        <v>473.56503000000004</v>
      </c>
      <c r="J2503" s="37" t="str">
        <f t="shared" si="214"/>
        <v>링크솔루션</v>
      </c>
      <c r="K2503" s="37" t="str">
        <f t="shared" si="215"/>
        <v>A474650</v>
      </c>
    </row>
    <row r="2504" spans="1:11" x14ac:dyDescent="0.4">
      <c r="A2504" s="49"/>
      <c r="B2504" s="54" t="s">
        <v>394</v>
      </c>
      <c r="C2504" s="37" t="s">
        <v>395</v>
      </c>
      <c r="D2504" s="55" t="s">
        <v>805</v>
      </c>
      <c r="E2504" s="56">
        <v>972.12</v>
      </c>
      <c r="F2504" s="55">
        <v>21.06</v>
      </c>
      <c r="G2504" s="55">
        <v>3</v>
      </c>
      <c r="I2504" s="49">
        <f t="shared" si="218"/>
        <v>972.14503999999999</v>
      </c>
      <c r="J2504" s="37" t="str">
        <f t="shared" si="214"/>
        <v>SK이터닉스</v>
      </c>
      <c r="K2504" s="37" t="str">
        <f t="shared" si="215"/>
        <v>A475150</v>
      </c>
    </row>
    <row r="2505" spans="1:11" x14ac:dyDescent="0.4">
      <c r="A2505" s="49"/>
      <c r="B2505" s="54" t="s">
        <v>5064</v>
      </c>
      <c r="C2505" s="37" t="s">
        <v>5065</v>
      </c>
      <c r="D2505" s="55" t="s">
        <v>820</v>
      </c>
      <c r="E2505" s="58">
        <v>291.64999999999998</v>
      </c>
      <c r="F2505" s="57">
        <v>4.13</v>
      </c>
      <c r="G2505" s="57"/>
      <c r="H2505" s="49"/>
      <c r="I2505" s="49" t="str">
        <f t="shared" si="218"/>
        <v/>
      </c>
      <c r="J2505" s="37" t="str">
        <f t="shared" si="214"/>
        <v>엔알비</v>
      </c>
      <c r="K2505" s="37" t="str">
        <f t="shared" si="215"/>
        <v>A475230</v>
      </c>
    </row>
    <row r="2506" spans="1:11" x14ac:dyDescent="0.4">
      <c r="A2506" s="49"/>
      <c r="B2506" s="54" t="s">
        <v>5066</v>
      </c>
      <c r="C2506" s="37" t="s">
        <v>5194</v>
      </c>
      <c r="D2506" s="55" t="s">
        <v>820</v>
      </c>
      <c r="E2506" s="57">
        <v>431.45</v>
      </c>
      <c r="F2506" s="55">
        <v>17.09</v>
      </c>
      <c r="G2506" s="55"/>
      <c r="I2506" s="49" t="str">
        <f t="shared" si="218"/>
        <v/>
      </c>
      <c r="J2506" s="37" t="str">
        <f t="shared" si="214"/>
        <v>씨메스로보틱스</v>
      </c>
      <c r="K2506" s="37" t="str">
        <f t="shared" si="215"/>
        <v>A475400</v>
      </c>
    </row>
    <row r="2507" spans="1:11" x14ac:dyDescent="0.4">
      <c r="A2507" s="49"/>
      <c r="B2507" s="54" t="s">
        <v>5067</v>
      </c>
      <c r="C2507" s="37" t="s">
        <v>5068</v>
      </c>
      <c r="D2507" s="55" t="s">
        <v>820</v>
      </c>
      <c r="E2507" s="58">
        <v>82.9</v>
      </c>
      <c r="F2507" s="57">
        <v>0.55000000000000004</v>
      </c>
      <c r="G2507" s="57">
        <v>1</v>
      </c>
      <c r="H2507" s="49"/>
      <c r="I2507" s="49">
        <f t="shared" si="218"/>
        <v>82.925070000000005</v>
      </c>
      <c r="J2507" s="37" t="str">
        <f t="shared" si="214"/>
        <v>키스트론</v>
      </c>
      <c r="K2507" s="37" t="str">
        <f t="shared" si="215"/>
        <v>A475430</v>
      </c>
    </row>
    <row r="2508" spans="1:11" x14ac:dyDescent="0.4">
      <c r="A2508" s="49"/>
      <c r="B2508" s="54" t="s">
        <v>5069</v>
      </c>
      <c r="C2508" s="37" t="s">
        <v>5070</v>
      </c>
      <c r="D2508" s="55" t="s">
        <v>820</v>
      </c>
      <c r="E2508" s="56">
        <v>42.21</v>
      </c>
      <c r="F2508" s="55">
        <v>0.54</v>
      </c>
      <c r="G2508" s="55"/>
      <c r="I2508" s="49" t="str">
        <f t="shared" si="218"/>
        <v/>
      </c>
      <c r="J2508" s="37" t="str">
        <f t="shared" si="214"/>
        <v>미트박스</v>
      </c>
      <c r="K2508" s="37" t="str">
        <f t="shared" si="215"/>
        <v>A475460</v>
      </c>
    </row>
    <row r="2509" spans="1:11" x14ac:dyDescent="0.4">
      <c r="A2509" s="49"/>
      <c r="B2509" s="54" t="s">
        <v>5071</v>
      </c>
      <c r="C2509" s="37" t="s">
        <v>5072</v>
      </c>
      <c r="D2509" s="55" t="s">
        <v>805</v>
      </c>
      <c r="E2509" s="58">
        <v>350.68</v>
      </c>
      <c r="F2509" s="57">
        <v>0.69</v>
      </c>
      <c r="G2509" s="57"/>
      <c r="H2509" s="49"/>
      <c r="I2509" s="49" t="str">
        <f t="shared" si="218"/>
        <v/>
      </c>
      <c r="J2509" s="37" t="str">
        <f t="shared" si="214"/>
        <v>더본코리아</v>
      </c>
      <c r="K2509" s="37" t="str">
        <f t="shared" si="215"/>
        <v>A475560</v>
      </c>
    </row>
    <row r="2510" spans="1:11" x14ac:dyDescent="0.4">
      <c r="A2510" s="49"/>
      <c r="B2510" s="54" t="s">
        <v>5073</v>
      </c>
      <c r="C2510" s="37" t="s">
        <v>5074</v>
      </c>
      <c r="D2510" s="55" t="s">
        <v>820</v>
      </c>
      <c r="E2510" s="58">
        <v>126.44</v>
      </c>
      <c r="F2510" s="57">
        <v>3.96</v>
      </c>
      <c r="G2510" s="57"/>
      <c r="H2510" s="49"/>
      <c r="I2510" s="49" t="str">
        <f t="shared" si="218"/>
        <v/>
      </c>
      <c r="J2510" s="37" t="str">
        <f t="shared" ref="J2510:J2573" si="219">C2510</f>
        <v>에이럭스</v>
      </c>
      <c r="K2510" s="37" t="str">
        <f t="shared" ref="K2510:K2573" si="220">B2510</f>
        <v>A475580</v>
      </c>
    </row>
    <row r="2511" spans="1:11" x14ac:dyDescent="0.4">
      <c r="A2511" s="49"/>
      <c r="B2511" s="54" t="s">
        <v>5075</v>
      </c>
      <c r="C2511" s="37" t="s">
        <v>5076</v>
      </c>
      <c r="D2511" s="55" t="s">
        <v>820</v>
      </c>
      <c r="E2511" s="58">
        <v>53.53</v>
      </c>
      <c r="F2511" s="57">
        <v>0.37</v>
      </c>
      <c r="G2511" s="57"/>
      <c r="H2511" s="49"/>
      <c r="I2511" s="49" t="str">
        <f t="shared" si="218"/>
        <v/>
      </c>
      <c r="J2511" s="37" t="str">
        <f t="shared" si="219"/>
        <v>에스켐</v>
      </c>
      <c r="K2511" s="37" t="str">
        <f t="shared" si="220"/>
        <v>A475660</v>
      </c>
    </row>
    <row r="2512" spans="1:11" x14ac:dyDescent="0.4">
      <c r="A2512" s="49"/>
      <c r="B2512" s="54" t="s">
        <v>537</v>
      </c>
      <c r="C2512" s="37" t="s">
        <v>538</v>
      </c>
      <c r="D2512" s="55" t="s">
        <v>820</v>
      </c>
      <c r="E2512" s="58">
        <v>2766.58</v>
      </c>
      <c r="F2512" s="57">
        <v>28.57</v>
      </c>
      <c r="G2512" s="57"/>
      <c r="H2512" s="49"/>
      <c r="I2512" s="49" t="str">
        <f t="shared" si="218"/>
        <v/>
      </c>
      <c r="J2512" s="37" t="str">
        <f t="shared" si="219"/>
        <v>오름테라퓨틱</v>
      </c>
      <c r="K2512" s="37" t="str">
        <f t="shared" si="220"/>
        <v>A475830</v>
      </c>
    </row>
    <row r="2513" spans="1:11" x14ac:dyDescent="0.4">
      <c r="A2513" s="49"/>
      <c r="B2513" s="54" t="s">
        <v>743</v>
      </c>
      <c r="C2513" s="37" t="s">
        <v>744</v>
      </c>
      <c r="D2513" s="55" t="s">
        <v>820</v>
      </c>
      <c r="E2513" s="58">
        <v>877.94</v>
      </c>
      <c r="F2513" s="57">
        <v>17.16</v>
      </c>
      <c r="G2513" s="57">
        <v>2</v>
      </c>
      <c r="H2513" s="49"/>
      <c r="I2513" s="49">
        <f t="shared" si="218"/>
        <v>877.96513000000004</v>
      </c>
      <c r="J2513" s="37" t="str">
        <f t="shared" si="219"/>
        <v>토모큐브</v>
      </c>
      <c r="K2513" s="37" t="str">
        <f t="shared" si="220"/>
        <v>A475960</v>
      </c>
    </row>
    <row r="2514" spans="1:11" x14ac:dyDescent="0.4">
      <c r="A2514" s="49"/>
      <c r="B2514" s="54" t="s">
        <v>5077</v>
      </c>
      <c r="C2514" s="37" t="s">
        <v>5078</v>
      </c>
      <c r="D2514" s="55" t="s">
        <v>820</v>
      </c>
      <c r="E2514" s="56">
        <v>204.16</v>
      </c>
      <c r="F2514" s="55">
        <v>13.41</v>
      </c>
      <c r="G2514" s="55"/>
      <c r="H2514" s="49"/>
      <c r="I2514" s="49" t="str">
        <f t="shared" si="218"/>
        <v/>
      </c>
      <c r="J2514" s="37" t="str">
        <f t="shared" si="219"/>
        <v>오가노이드사이언스</v>
      </c>
      <c r="K2514" s="37" t="str">
        <f t="shared" si="220"/>
        <v>A476040</v>
      </c>
    </row>
    <row r="2515" spans="1:11" x14ac:dyDescent="0.4">
      <c r="A2515" s="49"/>
      <c r="B2515" s="54" t="s">
        <v>5079</v>
      </c>
      <c r="C2515" s="37" t="s">
        <v>5080</v>
      </c>
      <c r="D2515" s="55" t="s">
        <v>820</v>
      </c>
      <c r="E2515" s="56">
        <v>1054.8599999999999</v>
      </c>
      <c r="F2515" s="55">
        <v>57.19</v>
      </c>
      <c r="G2515" s="55">
        <v>1</v>
      </c>
      <c r="I2515" s="49">
        <f t="shared" si="218"/>
        <v>1054.8851499999998</v>
      </c>
      <c r="J2515" s="37" t="str">
        <f t="shared" si="219"/>
        <v>온코닉테라퓨틱스</v>
      </c>
      <c r="K2515" s="37" t="str">
        <f t="shared" si="220"/>
        <v>A476060</v>
      </c>
    </row>
    <row r="2516" spans="1:11" x14ac:dyDescent="0.4">
      <c r="A2516" s="49"/>
      <c r="B2516" s="54" t="s">
        <v>5081</v>
      </c>
      <c r="C2516" s="37" t="s">
        <v>5082</v>
      </c>
      <c r="D2516" s="55" t="s">
        <v>820</v>
      </c>
      <c r="E2516" s="58">
        <v>61.44</v>
      </c>
      <c r="F2516" s="57">
        <v>2.5299999999999998</v>
      </c>
      <c r="G2516" s="57"/>
      <c r="H2516" s="49"/>
      <c r="I2516" s="49" t="str">
        <f t="shared" si="218"/>
        <v/>
      </c>
      <c r="J2516" s="37" t="str">
        <f t="shared" si="219"/>
        <v>M83</v>
      </c>
      <c r="K2516" s="37" t="str">
        <f t="shared" si="220"/>
        <v>A476080</v>
      </c>
    </row>
    <row r="2517" spans="1:11" x14ac:dyDescent="0.4">
      <c r="A2517" s="49"/>
      <c r="B2517" s="54" t="s">
        <v>607</v>
      </c>
      <c r="C2517" s="37" t="s">
        <v>608</v>
      </c>
      <c r="D2517" s="55" t="s">
        <v>820</v>
      </c>
      <c r="E2517" s="57">
        <v>2062.21</v>
      </c>
      <c r="F2517" s="55">
        <v>123.77</v>
      </c>
      <c r="G2517" s="55"/>
      <c r="I2517" s="49" t="str">
        <f t="shared" si="218"/>
        <v/>
      </c>
      <c r="J2517" s="37" t="str">
        <f t="shared" si="219"/>
        <v>알지노믹스</v>
      </c>
      <c r="K2517" s="37" t="str">
        <f t="shared" si="220"/>
        <v>A476830</v>
      </c>
    </row>
    <row r="2518" spans="1:11" x14ac:dyDescent="0.4">
      <c r="A2518" s="49"/>
      <c r="B2518" s="54" t="s">
        <v>5083</v>
      </c>
      <c r="C2518" s="37" t="s">
        <v>5084</v>
      </c>
      <c r="D2518" s="55" t="s">
        <v>820</v>
      </c>
      <c r="E2518" s="58">
        <v>543.23</v>
      </c>
      <c r="F2518" s="57">
        <v>165.34</v>
      </c>
      <c r="G2518" s="57"/>
      <c r="H2518" s="49"/>
      <c r="I2518" s="49" t="str">
        <f t="shared" si="218"/>
        <v/>
      </c>
      <c r="J2518" s="37" t="str">
        <f t="shared" si="219"/>
        <v>나라스페이스테크놀로지</v>
      </c>
      <c r="K2518" s="37" t="str">
        <f t="shared" si="220"/>
        <v>A478340</v>
      </c>
    </row>
    <row r="2519" spans="1:11" x14ac:dyDescent="0.4">
      <c r="A2519" s="49"/>
      <c r="B2519" s="54" t="s">
        <v>5085</v>
      </c>
      <c r="C2519" s="37" t="s">
        <v>5086</v>
      </c>
      <c r="D2519" s="55" t="s">
        <v>820</v>
      </c>
      <c r="E2519" s="56">
        <v>87.44</v>
      </c>
      <c r="F2519" s="55">
        <v>0.23</v>
      </c>
      <c r="G2519" s="55"/>
      <c r="I2519" s="49" t="str">
        <f t="shared" si="218"/>
        <v/>
      </c>
      <c r="J2519" s="37" t="str">
        <f t="shared" si="219"/>
        <v>블랙야크아이앤씨</v>
      </c>
      <c r="K2519" s="37" t="str">
        <f t="shared" si="220"/>
        <v>A478560</v>
      </c>
    </row>
    <row r="2520" spans="1:11" x14ac:dyDescent="0.4">
      <c r="A2520" s="49"/>
      <c r="B2520" s="54" t="s">
        <v>5087</v>
      </c>
      <c r="C2520" s="37" t="s">
        <v>5195</v>
      </c>
      <c r="D2520" s="55" t="s">
        <v>820</v>
      </c>
      <c r="E2520" s="58">
        <v>70.63</v>
      </c>
      <c r="F2520" s="57">
        <v>0.14000000000000001</v>
      </c>
      <c r="G2520" s="57"/>
      <c r="H2520" s="49"/>
      <c r="I2520" s="49" t="str">
        <f t="shared" si="218"/>
        <v/>
      </c>
      <c r="J2520" s="37" t="str">
        <f t="shared" si="219"/>
        <v>위너스일렉</v>
      </c>
      <c r="K2520" s="37" t="str">
        <f t="shared" si="220"/>
        <v>A479960</v>
      </c>
    </row>
    <row r="2521" spans="1:11" x14ac:dyDescent="0.4">
      <c r="A2521" s="49"/>
      <c r="B2521" s="54" t="s">
        <v>5088</v>
      </c>
      <c r="C2521" s="37" t="s">
        <v>5089</v>
      </c>
      <c r="D2521" s="55" t="s">
        <v>805</v>
      </c>
      <c r="E2521" s="58">
        <v>36.19</v>
      </c>
      <c r="F2521" s="57">
        <v>0.86</v>
      </c>
      <c r="G2521" s="57"/>
      <c r="H2521" s="49"/>
      <c r="I2521" s="49" t="str">
        <f t="shared" si="218"/>
        <v/>
      </c>
      <c r="J2521" s="37" t="str">
        <f t="shared" si="219"/>
        <v>씨케이솔루션</v>
      </c>
      <c r="K2521" s="37" t="str">
        <f t="shared" si="220"/>
        <v>A480370</v>
      </c>
    </row>
    <row r="2522" spans="1:11" x14ac:dyDescent="0.4">
      <c r="A2522" s="49"/>
      <c r="B2522" s="54" t="s">
        <v>5090</v>
      </c>
      <c r="C2522" s="37" t="s">
        <v>5091</v>
      </c>
      <c r="D2522" s="55" t="s">
        <v>820</v>
      </c>
      <c r="E2522" s="58">
        <v>274.42</v>
      </c>
      <c r="F2522" s="57">
        <v>1.07</v>
      </c>
      <c r="G2522" s="57"/>
      <c r="H2522" s="49"/>
      <c r="I2522" s="49" t="str">
        <f t="shared" si="218"/>
        <v/>
      </c>
      <c r="J2522" s="37" t="str">
        <f t="shared" si="219"/>
        <v>에이유브랜즈</v>
      </c>
      <c r="K2522" s="37" t="str">
        <f t="shared" si="220"/>
        <v>A481070</v>
      </c>
    </row>
    <row r="2523" spans="1:11" x14ac:dyDescent="0.4">
      <c r="A2523" s="49"/>
      <c r="B2523" s="54" t="s">
        <v>5092</v>
      </c>
      <c r="C2523" s="37" t="s">
        <v>5093</v>
      </c>
      <c r="D2523" s="55" t="s">
        <v>820</v>
      </c>
      <c r="E2523" s="56">
        <v>208.81</v>
      </c>
      <c r="F2523" s="55">
        <v>6.67</v>
      </c>
      <c r="G2523" s="55">
        <v>1</v>
      </c>
      <c r="I2523" s="49">
        <f t="shared" si="218"/>
        <v>208.83523</v>
      </c>
      <c r="J2523" s="37" t="str">
        <f t="shared" si="219"/>
        <v>삼양엔씨켐</v>
      </c>
      <c r="K2523" s="37" t="str">
        <f t="shared" si="220"/>
        <v>A482630</v>
      </c>
    </row>
    <row r="2524" spans="1:11" x14ac:dyDescent="0.4">
      <c r="A2524" s="49"/>
      <c r="B2524" s="54" t="s">
        <v>583</v>
      </c>
      <c r="C2524" s="37" t="s">
        <v>584</v>
      </c>
      <c r="D2524" s="55" t="s">
        <v>805</v>
      </c>
      <c r="E2524" s="58">
        <v>2100.56</v>
      </c>
      <c r="F2524" s="57">
        <v>24.17</v>
      </c>
      <c r="G2524" s="57">
        <v>7</v>
      </c>
      <c r="H2524" s="49"/>
      <c r="I2524" s="49">
        <f t="shared" si="218"/>
        <v>2100.5852399999999</v>
      </c>
      <c r="J2524" s="37" t="str">
        <f t="shared" si="219"/>
        <v>달바글로벌</v>
      </c>
      <c r="K2524" s="37" t="str">
        <f t="shared" si="220"/>
        <v>A483650</v>
      </c>
    </row>
    <row r="2525" spans="1:11" x14ac:dyDescent="0.4">
      <c r="A2525" s="49"/>
      <c r="B2525" s="54" t="s">
        <v>5094</v>
      </c>
      <c r="C2525" s="37" t="s">
        <v>5095</v>
      </c>
      <c r="D2525" s="55" t="s">
        <v>820</v>
      </c>
      <c r="E2525" s="58">
        <v>247.64</v>
      </c>
      <c r="F2525" s="57">
        <v>1.34</v>
      </c>
      <c r="G2525" s="57">
        <v>1</v>
      </c>
      <c r="H2525" s="49"/>
      <c r="I2525" s="49">
        <f t="shared" si="218"/>
        <v>247.66524999999999</v>
      </c>
      <c r="J2525" s="37" t="str">
        <f t="shared" si="219"/>
        <v>도우인시스</v>
      </c>
      <c r="K2525" s="37" t="str">
        <f t="shared" si="220"/>
        <v>A484120</v>
      </c>
    </row>
    <row r="2526" spans="1:11" x14ac:dyDescent="0.4">
      <c r="A2526" s="49"/>
      <c r="B2526" s="54" t="s">
        <v>5096</v>
      </c>
      <c r="C2526" s="37" t="s">
        <v>5097</v>
      </c>
      <c r="D2526" s="55" t="s">
        <v>820</v>
      </c>
      <c r="E2526" s="58">
        <v>529.97</v>
      </c>
      <c r="F2526" s="57">
        <v>14.92</v>
      </c>
      <c r="G2526" s="57">
        <v>1</v>
      </c>
      <c r="H2526" s="49"/>
      <c r="I2526" s="49">
        <f t="shared" si="218"/>
        <v>529.99526000000003</v>
      </c>
      <c r="J2526" s="37" t="str">
        <f t="shared" si="219"/>
        <v>삼양컴텍</v>
      </c>
      <c r="K2526" s="37" t="str">
        <f t="shared" si="220"/>
        <v>A484590</v>
      </c>
    </row>
    <row r="2527" spans="1:11" x14ac:dyDescent="0.4">
      <c r="A2527" s="49"/>
      <c r="B2527" s="54" t="s">
        <v>5098</v>
      </c>
      <c r="C2527" s="37" t="s">
        <v>5099</v>
      </c>
      <c r="D2527" s="55" t="s">
        <v>820</v>
      </c>
      <c r="E2527" s="58">
        <v>292.18</v>
      </c>
      <c r="F2527" s="57">
        <v>11.34</v>
      </c>
      <c r="G2527" s="57"/>
      <c r="H2527" s="49"/>
      <c r="I2527" s="49" t="str">
        <f t="shared" si="218"/>
        <v/>
      </c>
      <c r="J2527" s="37" t="str">
        <f t="shared" si="219"/>
        <v>티엑스알로보틱스</v>
      </c>
      <c r="K2527" s="37" t="str">
        <f t="shared" si="220"/>
        <v>A484810</v>
      </c>
    </row>
    <row r="2528" spans="1:11" x14ac:dyDescent="0.4">
      <c r="A2528" s="49"/>
      <c r="B2528" s="54" t="s">
        <v>5100</v>
      </c>
      <c r="C2528" s="37" t="s">
        <v>5101</v>
      </c>
      <c r="D2528" s="55" t="s">
        <v>805</v>
      </c>
      <c r="E2528" s="58">
        <v>1200.99</v>
      </c>
      <c r="F2528" s="57">
        <v>5.2</v>
      </c>
      <c r="G2528" s="57"/>
      <c r="H2528" s="49"/>
      <c r="I2528" s="49" t="str">
        <f t="shared" si="218"/>
        <v/>
      </c>
      <c r="J2528" s="37" t="str">
        <f t="shared" si="219"/>
        <v>엠앤씨솔루션</v>
      </c>
      <c r="K2528" s="37" t="str">
        <f t="shared" si="220"/>
        <v>A484870</v>
      </c>
    </row>
    <row r="2529" spans="1:11" x14ac:dyDescent="0.4">
      <c r="A2529" s="49"/>
      <c r="B2529" s="54" t="s">
        <v>5102</v>
      </c>
      <c r="C2529" s="37" t="s">
        <v>5103</v>
      </c>
      <c r="D2529" s="55" t="s">
        <v>820</v>
      </c>
      <c r="E2529" s="58">
        <v>816.71</v>
      </c>
      <c r="F2529" s="57">
        <v>161.81</v>
      </c>
      <c r="G2529" s="57"/>
      <c r="H2529" s="49"/>
      <c r="I2529" s="49" t="str">
        <f t="shared" si="218"/>
        <v/>
      </c>
      <c r="J2529" s="37" t="str">
        <f t="shared" si="219"/>
        <v>노타</v>
      </c>
      <c r="K2529" s="37" t="str">
        <f t="shared" si="220"/>
        <v>A486990</v>
      </c>
    </row>
    <row r="2530" spans="1:11" x14ac:dyDescent="0.4">
      <c r="A2530" s="49"/>
      <c r="B2530" s="54" t="s">
        <v>5104</v>
      </c>
      <c r="C2530" s="37" t="s">
        <v>5105</v>
      </c>
      <c r="D2530" s="55" t="s">
        <v>805</v>
      </c>
      <c r="E2530" s="56">
        <v>247.77</v>
      </c>
      <c r="F2530" s="56">
        <v>1.64</v>
      </c>
      <c r="G2530" s="55"/>
      <c r="J2530" s="37" t="str">
        <f t="shared" si="219"/>
        <v>HS효성</v>
      </c>
      <c r="K2530" s="37" t="str">
        <f t="shared" si="220"/>
        <v>A487570</v>
      </c>
    </row>
    <row r="2531" spans="1:11" x14ac:dyDescent="0.4">
      <c r="A2531" s="49"/>
      <c r="B2531" s="54" t="s">
        <v>5106</v>
      </c>
      <c r="C2531" s="37" t="s">
        <v>5107</v>
      </c>
      <c r="D2531" s="55" t="s">
        <v>820</v>
      </c>
      <c r="E2531" s="56">
        <v>195.92</v>
      </c>
      <c r="F2531" s="55">
        <v>32.54</v>
      </c>
      <c r="G2531" s="55">
        <v>4</v>
      </c>
      <c r="I2531" s="49">
        <f>IF((G2531&gt;$G$8),E2531+ROW()/100000,"")</f>
        <v>195.94530999999998</v>
      </c>
      <c r="J2531" s="37" t="str">
        <f t="shared" si="219"/>
        <v>에스투더블유</v>
      </c>
      <c r="K2531" s="37" t="str">
        <f t="shared" si="220"/>
        <v>A488280</v>
      </c>
    </row>
    <row r="2532" spans="1:11" x14ac:dyDescent="0.4">
      <c r="A2532" s="49"/>
      <c r="B2532" s="54" t="s">
        <v>753</v>
      </c>
      <c r="C2532" s="37" t="s">
        <v>754</v>
      </c>
      <c r="D2532" s="55" t="s">
        <v>820</v>
      </c>
      <c r="E2532" s="58">
        <v>566.49</v>
      </c>
      <c r="F2532" s="57">
        <v>69.19</v>
      </c>
      <c r="G2532" s="57"/>
      <c r="H2532" s="49"/>
      <c r="I2532" s="49" t="str">
        <f>IF((G2532&gt;$G$8),E2532+ROW()/100000,"")</f>
        <v/>
      </c>
      <c r="J2532" s="37" t="str">
        <f t="shared" si="219"/>
        <v>비츠로넥스텍</v>
      </c>
      <c r="K2532" s="37" t="str">
        <f t="shared" si="220"/>
        <v>A488900</v>
      </c>
    </row>
    <row r="2533" spans="1:11" x14ac:dyDescent="0.4">
      <c r="A2533" s="49"/>
      <c r="B2533" s="54" t="s">
        <v>5108</v>
      </c>
      <c r="C2533" s="37" t="s">
        <v>5109</v>
      </c>
      <c r="D2533" s="55" t="s">
        <v>820</v>
      </c>
      <c r="E2533" s="58">
        <v>162.03</v>
      </c>
      <c r="F2533" s="57">
        <v>2.14</v>
      </c>
      <c r="G2533" s="57"/>
      <c r="H2533" s="49"/>
      <c r="I2533" s="49" t="str">
        <f>IF((G2533&gt;$G$8),E2533+ROW()/100000,"")</f>
        <v/>
      </c>
      <c r="J2533" s="37" t="str">
        <f t="shared" si="219"/>
        <v>바이오비쥬</v>
      </c>
      <c r="K2533" s="37" t="str">
        <f t="shared" si="220"/>
        <v>A489460</v>
      </c>
    </row>
    <row r="2534" spans="1:11" x14ac:dyDescent="0.4">
      <c r="A2534" s="49"/>
      <c r="B2534" s="54" t="s">
        <v>5110</v>
      </c>
      <c r="C2534" s="37" t="s">
        <v>5111</v>
      </c>
      <c r="D2534" s="55" t="s">
        <v>820</v>
      </c>
      <c r="E2534" s="58">
        <v>231.66</v>
      </c>
      <c r="F2534" s="57">
        <v>8.32</v>
      </c>
      <c r="G2534" s="57">
        <v>1</v>
      </c>
      <c r="H2534" s="49"/>
      <c r="I2534" s="49">
        <f>IF((G2534&gt;$G$8),E2534+ROW()/100000,"")</f>
        <v>231.68534</v>
      </c>
      <c r="J2534" s="37" t="str">
        <f t="shared" si="219"/>
        <v>엘케이켐</v>
      </c>
      <c r="K2534" s="37" t="str">
        <f t="shared" si="220"/>
        <v>A489500</v>
      </c>
    </row>
    <row r="2535" spans="1:11" x14ac:dyDescent="0.4">
      <c r="A2535" s="49"/>
      <c r="B2535" s="54" t="s">
        <v>609</v>
      </c>
      <c r="C2535" s="37" t="s">
        <v>610</v>
      </c>
      <c r="D2535" s="55" t="s">
        <v>805</v>
      </c>
      <c r="E2535" s="58">
        <v>4311.71</v>
      </c>
      <c r="F2535" s="57">
        <v>54</v>
      </c>
      <c r="G2535" s="57">
        <v>2</v>
      </c>
      <c r="H2535" s="49"/>
      <c r="I2535" s="49">
        <f>IF((G2535&gt;$G$8),E2535+ROW()/100000,"")</f>
        <v>4311.7353499999999</v>
      </c>
      <c r="J2535" s="37" t="str">
        <f t="shared" si="219"/>
        <v>한화비전</v>
      </c>
      <c r="K2535" s="37" t="str">
        <f t="shared" si="220"/>
        <v>A489790</v>
      </c>
    </row>
    <row r="2536" spans="1:11" x14ac:dyDescent="0.4">
      <c r="A2536" s="49"/>
      <c r="B2536" s="54" t="s">
        <v>5112</v>
      </c>
      <c r="C2536" s="37" t="s">
        <v>5113</v>
      </c>
      <c r="D2536" s="55" t="s">
        <v>820</v>
      </c>
      <c r="E2536" s="56">
        <v>926.04</v>
      </c>
      <c r="F2536" s="55">
        <v>55.94</v>
      </c>
      <c r="G2536" s="55"/>
      <c r="J2536" s="37" t="str">
        <f t="shared" si="219"/>
        <v>세미파이브</v>
      </c>
      <c r="K2536" s="37" t="str">
        <f t="shared" si="220"/>
        <v>A490470</v>
      </c>
    </row>
    <row r="2537" spans="1:11" x14ac:dyDescent="0.4">
      <c r="A2537" s="49"/>
      <c r="B2537" s="54" t="s">
        <v>619</v>
      </c>
      <c r="C2537" s="37" t="s">
        <v>620</v>
      </c>
      <c r="D2537" s="55" t="s">
        <v>820</v>
      </c>
      <c r="E2537" s="58">
        <v>2238.3200000000002</v>
      </c>
      <c r="F2537" s="57">
        <v>113.8</v>
      </c>
      <c r="G2537" s="57"/>
      <c r="H2537" s="49"/>
      <c r="I2537" s="49" t="str">
        <f t="shared" ref="I2537:I2551" si="221">IF((G2537&gt;$G$8),E2537+ROW()/100000,"")</f>
        <v/>
      </c>
      <c r="J2537" s="37" t="str">
        <f t="shared" si="219"/>
        <v>리브스메드</v>
      </c>
      <c r="K2537" s="37" t="str">
        <f t="shared" si="220"/>
        <v>A491000</v>
      </c>
    </row>
    <row r="2538" spans="1:11" x14ac:dyDescent="0.4">
      <c r="A2538" s="49"/>
      <c r="B2538" s="54" t="s">
        <v>5114</v>
      </c>
      <c r="C2538" s="37" t="s">
        <v>5115</v>
      </c>
      <c r="D2538" s="55" t="s">
        <v>820</v>
      </c>
      <c r="E2538" s="56">
        <v>122.68</v>
      </c>
      <c r="F2538" s="55">
        <v>8.89</v>
      </c>
      <c r="G2538" s="55"/>
      <c r="I2538" s="49" t="str">
        <f t="shared" si="221"/>
        <v/>
      </c>
      <c r="J2538" s="37" t="str">
        <f t="shared" si="219"/>
        <v>지에프아이</v>
      </c>
      <c r="K2538" s="37" t="str">
        <f t="shared" si="220"/>
        <v>A493330</v>
      </c>
    </row>
    <row r="2539" spans="1:11" x14ac:dyDescent="0.4">
      <c r="A2539" s="49"/>
      <c r="B2539" s="54" t="s">
        <v>763</v>
      </c>
      <c r="C2539" s="37" t="s">
        <v>764</v>
      </c>
      <c r="D2539" s="55" t="s">
        <v>820</v>
      </c>
      <c r="E2539" s="58">
        <v>565.9</v>
      </c>
      <c r="F2539" s="57">
        <v>49.85</v>
      </c>
      <c r="G2539" s="57">
        <v>2</v>
      </c>
      <c r="H2539" s="49"/>
      <c r="I2539" s="49">
        <f t="shared" si="221"/>
        <v>565.92538999999999</v>
      </c>
      <c r="J2539" s="37" t="str">
        <f t="shared" si="219"/>
        <v>큐리오시스</v>
      </c>
      <c r="K2539" s="37" t="str">
        <f t="shared" si="220"/>
        <v>A494120</v>
      </c>
    </row>
    <row r="2540" spans="1:11" x14ac:dyDescent="0.4">
      <c r="A2540" s="49"/>
      <c r="B2540" s="54" t="s">
        <v>271</v>
      </c>
      <c r="C2540" s="37" t="s">
        <v>272</v>
      </c>
      <c r="D2540" s="55" t="s">
        <v>805</v>
      </c>
      <c r="E2540" s="58">
        <v>1017.32</v>
      </c>
      <c r="F2540" s="57">
        <v>10.63</v>
      </c>
      <c r="G2540" s="57">
        <v>4</v>
      </c>
      <c r="H2540" s="49"/>
      <c r="I2540" s="49">
        <f t="shared" si="221"/>
        <v>1017.3454</v>
      </c>
      <c r="J2540" s="37" t="str">
        <f t="shared" si="219"/>
        <v>GS피앤엘</v>
      </c>
      <c r="K2540" s="37" t="str">
        <f t="shared" si="220"/>
        <v>A499790</v>
      </c>
    </row>
    <row r="2541" spans="1:11" x14ac:dyDescent="0.4">
      <c r="A2541" s="49"/>
      <c r="B2541" s="54" t="s">
        <v>5116</v>
      </c>
      <c r="C2541" s="37" t="s">
        <v>5117</v>
      </c>
      <c r="D2541" s="55" t="s">
        <v>820</v>
      </c>
      <c r="E2541" s="58">
        <v>31.28</v>
      </c>
      <c r="F2541" s="57">
        <v>0.33</v>
      </c>
      <c r="G2541" s="57"/>
      <c r="H2541" s="49"/>
      <c r="I2541" s="49" t="str">
        <f t="shared" si="221"/>
        <v/>
      </c>
      <c r="J2541" s="37" t="str">
        <f t="shared" si="219"/>
        <v>글로벌에스엠</v>
      </c>
      <c r="K2541" s="37" t="str">
        <f t="shared" si="220"/>
        <v>A900070</v>
      </c>
    </row>
    <row r="2542" spans="1:11" x14ac:dyDescent="0.4">
      <c r="A2542" s="49"/>
      <c r="B2542" s="54" t="s">
        <v>5118</v>
      </c>
      <c r="C2542" s="37" t="s">
        <v>5216</v>
      </c>
      <c r="D2542" s="55" t="s">
        <v>820</v>
      </c>
      <c r="E2542" s="58">
        <v>21.32</v>
      </c>
      <c r="F2542" s="57">
        <v>0.65</v>
      </c>
      <c r="G2542" s="57"/>
      <c r="H2542" s="49"/>
      <c r="I2542" s="49" t="str">
        <f t="shared" si="221"/>
        <v/>
      </c>
      <c r="J2542" s="37" t="str">
        <f t="shared" si="219"/>
        <v>파이온엑스</v>
      </c>
      <c r="K2542" s="37" t="str">
        <f t="shared" si="220"/>
        <v>A900100</v>
      </c>
    </row>
    <row r="2543" spans="1:11" x14ac:dyDescent="0.4">
      <c r="A2543" s="49"/>
      <c r="B2543" s="54" t="s">
        <v>5119</v>
      </c>
      <c r="C2543" s="37" t="s">
        <v>5215</v>
      </c>
      <c r="D2543" s="55" t="s">
        <v>820</v>
      </c>
      <c r="E2543" s="58">
        <v>23.74</v>
      </c>
      <c r="F2543" s="57">
        <v>0.35</v>
      </c>
      <c r="G2543" s="57"/>
      <c r="H2543" s="49"/>
      <c r="I2543" s="49" t="str">
        <f t="shared" si="221"/>
        <v/>
      </c>
      <c r="J2543" s="37" t="str">
        <f t="shared" si="219"/>
        <v>딥커머스</v>
      </c>
      <c r="K2543" s="37" t="str">
        <f t="shared" si="220"/>
        <v>A900110</v>
      </c>
    </row>
    <row r="2544" spans="1:11" x14ac:dyDescent="0.4">
      <c r="A2544" s="49"/>
      <c r="B2544" s="54" t="s">
        <v>5120</v>
      </c>
      <c r="C2544" s="37" t="s">
        <v>5121</v>
      </c>
      <c r="D2544" s="55" t="s">
        <v>820</v>
      </c>
      <c r="E2544" s="58">
        <v>13.77</v>
      </c>
      <c r="F2544" s="57">
        <v>0.32</v>
      </c>
      <c r="G2544" s="57"/>
      <c r="H2544" s="49"/>
      <c r="I2544" s="49" t="str">
        <f t="shared" si="221"/>
        <v/>
      </c>
      <c r="J2544" s="37" t="str">
        <f t="shared" si="219"/>
        <v>씨엑스아이</v>
      </c>
      <c r="K2544" s="37" t="str">
        <f t="shared" si="220"/>
        <v>A900120</v>
      </c>
    </row>
    <row r="2545" spans="1:11" x14ac:dyDescent="0.4">
      <c r="A2545" s="49"/>
      <c r="B2545" s="54" t="s">
        <v>5122</v>
      </c>
      <c r="C2545" s="37" t="s">
        <v>5123</v>
      </c>
      <c r="D2545" s="55" t="s">
        <v>805</v>
      </c>
      <c r="E2545" s="58">
        <v>305.32</v>
      </c>
      <c r="F2545" s="57">
        <v>0.99</v>
      </c>
      <c r="G2545" s="57"/>
      <c r="H2545" s="49"/>
      <c r="I2545" s="49" t="str">
        <f t="shared" si="221"/>
        <v/>
      </c>
      <c r="J2545" s="37" t="str">
        <f t="shared" si="219"/>
        <v>엘브이엠씨홀딩스</v>
      </c>
      <c r="K2545" s="37" t="str">
        <f t="shared" si="220"/>
        <v>A900140</v>
      </c>
    </row>
    <row r="2546" spans="1:11" x14ac:dyDescent="0.4">
      <c r="A2546" s="49"/>
      <c r="B2546" s="54" t="s">
        <v>5124</v>
      </c>
      <c r="C2546" s="37" t="s">
        <v>5125</v>
      </c>
      <c r="D2546" s="55" t="s">
        <v>820</v>
      </c>
      <c r="E2546" s="56">
        <v>92.4</v>
      </c>
      <c r="F2546" s="55">
        <v>0.48</v>
      </c>
      <c r="G2546" s="55"/>
      <c r="I2546" s="49" t="str">
        <f t="shared" si="221"/>
        <v/>
      </c>
      <c r="J2546" s="37" t="str">
        <f t="shared" si="219"/>
        <v>크리스탈신소재</v>
      </c>
      <c r="K2546" s="37" t="str">
        <f t="shared" si="220"/>
        <v>A900250</v>
      </c>
    </row>
    <row r="2547" spans="1:11" x14ac:dyDescent="0.4">
      <c r="A2547" s="49"/>
      <c r="B2547" s="54" t="s">
        <v>5126</v>
      </c>
      <c r="C2547" s="37" t="s">
        <v>5127</v>
      </c>
      <c r="D2547" s="55" t="s">
        <v>820</v>
      </c>
      <c r="E2547" s="56">
        <v>81.56</v>
      </c>
      <c r="F2547" s="55">
        <v>0.28000000000000003</v>
      </c>
      <c r="G2547" s="55"/>
      <c r="I2547" s="49" t="str">
        <f t="shared" si="221"/>
        <v/>
      </c>
      <c r="J2547" s="37" t="str">
        <f t="shared" si="219"/>
        <v>로스웰</v>
      </c>
      <c r="K2547" s="37" t="str">
        <f t="shared" si="220"/>
        <v>A900260</v>
      </c>
    </row>
    <row r="2548" spans="1:11" x14ac:dyDescent="0.4">
      <c r="A2548" s="49"/>
      <c r="B2548" s="54" t="s">
        <v>5128</v>
      </c>
      <c r="C2548" s="37" t="s">
        <v>5129</v>
      </c>
      <c r="D2548" s="55" t="s">
        <v>820</v>
      </c>
      <c r="E2548" s="58">
        <v>33.68</v>
      </c>
      <c r="F2548" s="57">
        <v>0.88</v>
      </c>
      <c r="G2548" s="57"/>
      <c r="H2548" s="49"/>
      <c r="I2548" s="49" t="str">
        <f t="shared" si="221"/>
        <v/>
      </c>
      <c r="J2548" s="37" t="str">
        <f t="shared" si="219"/>
        <v>헝셩그룹</v>
      </c>
      <c r="K2548" s="37" t="str">
        <f t="shared" si="220"/>
        <v>A900270</v>
      </c>
    </row>
    <row r="2549" spans="1:11" x14ac:dyDescent="0.4">
      <c r="A2549" s="49"/>
      <c r="B2549" s="54" t="s">
        <v>5130</v>
      </c>
      <c r="C2549" s="37" t="s">
        <v>5131</v>
      </c>
      <c r="D2549" s="55" t="s">
        <v>820</v>
      </c>
      <c r="E2549" s="58">
        <v>439.82</v>
      </c>
      <c r="F2549" s="57">
        <v>1.05</v>
      </c>
      <c r="G2549" s="57"/>
      <c r="H2549" s="49"/>
      <c r="I2549" s="49" t="str">
        <f t="shared" si="221"/>
        <v/>
      </c>
      <c r="J2549" s="37" t="str">
        <f t="shared" si="219"/>
        <v>GRT</v>
      </c>
      <c r="K2549" s="37" t="str">
        <f t="shared" si="220"/>
        <v>A900290</v>
      </c>
    </row>
    <row r="2550" spans="1:11" x14ac:dyDescent="0.4">
      <c r="A2550" s="49"/>
      <c r="B2550" s="54" t="s">
        <v>5132</v>
      </c>
      <c r="C2550" s="37" t="s">
        <v>5133</v>
      </c>
      <c r="D2550" s="55" t="s">
        <v>820</v>
      </c>
      <c r="E2550" s="58">
        <v>32.130000000000003</v>
      </c>
      <c r="F2550" s="57">
        <v>1.82</v>
      </c>
      <c r="G2550" s="57"/>
      <c r="H2550" s="49"/>
      <c r="I2550" s="49" t="str">
        <f t="shared" si="221"/>
        <v/>
      </c>
      <c r="J2550" s="37" t="str">
        <f t="shared" si="219"/>
        <v>오가닉티코스메틱</v>
      </c>
      <c r="K2550" s="37" t="str">
        <f t="shared" si="220"/>
        <v>A900300</v>
      </c>
    </row>
    <row r="2551" spans="1:11" x14ac:dyDescent="0.4">
      <c r="A2551" s="49"/>
      <c r="B2551" s="54" t="s">
        <v>5134</v>
      </c>
      <c r="C2551" s="37" t="s">
        <v>5135</v>
      </c>
      <c r="D2551" s="55" t="s">
        <v>820</v>
      </c>
      <c r="E2551" s="58">
        <v>34.840000000000003</v>
      </c>
      <c r="F2551" s="57">
        <v>0.31</v>
      </c>
      <c r="G2551" s="57"/>
      <c r="H2551" s="49"/>
      <c r="I2551" s="49" t="str">
        <f t="shared" si="221"/>
        <v/>
      </c>
      <c r="J2551" s="37" t="str">
        <f t="shared" si="219"/>
        <v>컬러레이</v>
      </c>
      <c r="K2551" s="37" t="str">
        <f t="shared" si="220"/>
        <v>A900310</v>
      </c>
    </row>
    <row r="2552" spans="1:11" x14ac:dyDescent="0.4">
      <c r="A2552" s="49"/>
      <c r="B2552" s="54" t="s">
        <v>5136</v>
      </c>
      <c r="C2552" s="37" t="s">
        <v>5137</v>
      </c>
      <c r="D2552" s="55" t="s">
        <v>820</v>
      </c>
      <c r="E2552" s="56">
        <v>35.380000000000003</v>
      </c>
      <c r="F2552" s="55">
        <v>0.22</v>
      </c>
      <c r="G2552" s="55"/>
      <c r="J2552" s="37" t="str">
        <f t="shared" si="219"/>
        <v>윙입푸드</v>
      </c>
      <c r="K2552" s="37" t="str">
        <f t="shared" si="220"/>
        <v>A900340</v>
      </c>
    </row>
    <row r="2553" spans="1:11" x14ac:dyDescent="0.4">
      <c r="A2553" s="49"/>
      <c r="B2553" s="54" t="s">
        <v>5138</v>
      </c>
      <c r="C2553" s="37" t="s">
        <v>5139</v>
      </c>
      <c r="D2553" s="55" t="s">
        <v>820</v>
      </c>
      <c r="E2553" s="56">
        <v>121.11</v>
      </c>
      <c r="F2553" s="55">
        <v>0.56000000000000005</v>
      </c>
      <c r="G2553" s="55"/>
      <c r="I2553" s="49" t="str">
        <f>IF((G2553&gt;$G$8),E2553+ROW()/100000,"")</f>
        <v/>
      </c>
      <c r="J2553" s="37" t="str">
        <f t="shared" si="219"/>
        <v>엑세스바이오</v>
      </c>
      <c r="K2553" s="37" t="str">
        <f t="shared" si="220"/>
        <v>A950130</v>
      </c>
    </row>
    <row r="2554" spans="1:11" x14ac:dyDescent="0.4">
      <c r="A2554" s="49"/>
      <c r="B2554" s="54" t="s">
        <v>5140</v>
      </c>
      <c r="C2554" s="37" t="s">
        <v>5141</v>
      </c>
      <c r="D2554" s="55" t="s">
        <v>820</v>
      </c>
      <c r="E2554" s="58">
        <v>240.4</v>
      </c>
      <c r="F2554" s="57">
        <v>2.93</v>
      </c>
      <c r="G2554" s="57"/>
      <c r="H2554" s="49"/>
      <c r="I2554" s="49" t="str">
        <f t="shared" ref="I2554:I2565" si="222">IF((G2554&gt;$G$8),E2554+ROW()/100000,"")</f>
        <v/>
      </c>
      <c r="J2554" s="37" t="str">
        <f t="shared" si="219"/>
        <v>잉글우드랩</v>
      </c>
      <c r="K2554" s="37" t="str">
        <f t="shared" si="220"/>
        <v>A950140</v>
      </c>
    </row>
    <row r="2555" spans="1:11" x14ac:dyDescent="0.4">
      <c r="A2555" s="49"/>
      <c r="B2555" s="54" t="s">
        <v>683</v>
      </c>
      <c r="C2555" s="37" t="s">
        <v>684</v>
      </c>
      <c r="D2555" s="55" t="s">
        <v>820</v>
      </c>
      <c r="E2555" s="58">
        <v>8908.43</v>
      </c>
      <c r="F2555" s="57">
        <v>38.65</v>
      </c>
      <c r="G2555" s="57">
        <v>2</v>
      </c>
      <c r="H2555" s="49"/>
      <c r="I2555" s="49">
        <f t="shared" si="222"/>
        <v>8908.4555500000006</v>
      </c>
      <c r="J2555" s="37" t="str">
        <f t="shared" si="219"/>
        <v>코오롱티슈진</v>
      </c>
      <c r="K2555" s="37" t="str">
        <f t="shared" si="220"/>
        <v>A950160</v>
      </c>
    </row>
    <row r="2556" spans="1:11" x14ac:dyDescent="0.4">
      <c r="A2556" s="49"/>
      <c r="B2556" s="54" t="s">
        <v>5142</v>
      </c>
      <c r="C2556" s="37" t="s">
        <v>5143</v>
      </c>
      <c r="D2556" s="55" t="s">
        <v>820</v>
      </c>
      <c r="E2556" s="58">
        <v>255.63</v>
      </c>
      <c r="F2556" s="57">
        <v>1.0900000000000001</v>
      </c>
      <c r="G2556" s="57"/>
      <c r="H2556" s="49"/>
      <c r="I2556" s="49" t="str">
        <f t="shared" si="222"/>
        <v/>
      </c>
      <c r="J2556" s="37" t="str">
        <f t="shared" si="219"/>
        <v>JTC</v>
      </c>
      <c r="K2556" s="37" t="str">
        <f t="shared" si="220"/>
        <v>A950170</v>
      </c>
    </row>
    <row r="2557" spans="1:11" x14ac:dyDescent="0.4">
      <c r="A2557" s="49"/>
      <c r="B2557" s="54" t="s">
        <v>5144</v>
      </c>
      <c r="C2557" s="37" t="s">
        <v>5145</v>
      </c>
      <c r="D2557" s="55" t="s">
        <v>820</v>
      </c>
      <c r="E2557" s="57">
        <v>107.26</v>
      </c>
      <c r="F2557" s="55">
        <v>0.89</v>
      </c>
      <c r="G2557" s="55"/>
      <c r="I2557" s="49" t="str">
        <f t="shared" si="222"/>
        <v/>
      </c>
      <c r="J2557" s="37" t="str">
        <f t="shared" si="219"/>
        <v>고스트스튜디오</v>
      </c>
      <c r="K2557" s="37" t="str">
        <f t="shared" si="220"/>
        <v>A950190</v>
      </c>
    </row>
    <row r="2558" spans="1:11" x14ac:dyDescent="0.4">
      <c r="A2558" s="49"/>
      <c r="B2558" s="54" t="s">
        <v>5146</v>
      </c>
      <c r="C2558" s="37" t="s">
        <v>5147</v>
      </c>
      <c r="D2558" s="55" t="s">
        <v>820</v>
      </c>
      <c r="E2558" s="58">
        <v>73.48</v>
      </c>
      <c r="F2558" s="57">
        <v>0.23</v>
      </c>
      <c r="G2558" s="57"/>
      <c r="H2558" s="49"/>
      <c r="I2558" s="49" t="str">
        <f t="shared" si="222"/>
        <v/>
      </c>
      <c r="J2558" s="37" t="str">
        <f t="shared" si="219"/>
        <v>소마젠</v>
      </c>
      <c r="K2558" s="37" t="str">
        <f t="shared" si="220"/>
        <v>A950200</v>
      </c>
    </row>
    <row r="2559" spans="1:11" x14ac:dyDescent="0.4">
      <c r="A2559" s="49"/>
      <c r="B2559" s="54" t="s">
        <v>5148</v>
      </c>
      <c r="C2559" s="37" t="s">
        <v>5149</v>
      </c>
      <c r="D2559" s="55" t="s">
        <v>805</v>
      </c>
      <c r="E2559" s="56">
        <v>640.02</v>
      </c>
      <c r="F2559" s="55">
        <v>1.84</v>
      </c>
      <c r="G2559" s="55"/>
      <c r="I2559" s="49" t="str">
        <f t="shared" si="222"/>
        <v/>
      </c>
      <c r="J2559" s="37" t="str">
        <f t="shared" si="219"/>
        <v>프레스티지바이오파마</v>
      </c>
      <c r="K2559" s="37" t="str">
        <f t="shared" si="220"/>
        <v>A950210</v>
      </c>
    </row>
    <row r="2560" spans="1:11" x14ac:dyDescent="0.4">
      <c r="A2560" s="49"/>
      <c r="B2560" s="54" t="s">
        <v>5150</v>
      </c>
      <c r="C2560" s="37" t="s">
        <v>5151</v>
      </c>
      <c r="D2560" s="55" t="s">
        <v>820</v>
      </c>
      <c r="E2560" s="58">
        <v>93.04</v>
      </c>
      <c r="F2560" s="57">
        <v>2.48</v>
      </c>
      <c r="G2560" s="57"/>
      <c r="H2560" s="49"/>
      <c r="I2560" s="49" t="str">
        <f t="shared" si="222"/>
        <v/>
      </c>
      <c r="J2560" s="37" t="str">
        <f t="shared" si="219"/>
        <v>네오이뮨텍</v>
      </c>
      <c r="K2560" s="37" t="str">
        <f t="shared" si="220"/>
        <v>A950220</v>
      </c>
    </row>
    <row r="2561" spans="1:11" x14ac:dyDescent="0.4">
      <c r="A2561" s="49"/>
      <c r="B2561" s="54" t="s">
        <v>5152</v>
      </c>
      <c r="C2561" s="37" t="s">
        <v>5153</v>
      </c>
      <c r="D2561" s="55" t="s">
        <v>820</v>
      </c>
      <c r="E2561" s="56">
        <v>276.33</v>
      </c>
      <c r="F2561" s="56">
        <v>95.02</v>
      </c>
      <c r="G2561" s="55"/>
      <c r="I2561" s="49" t="str">
        <f t="shared" si="222"/>
        <v/>
      </c>
      <c r="J2561" s="37" t="str">
        <f t="shared" si="219"/>
        <v>테라뷰</v>
      </c>
      <c r="K2561" s="37" t="str">
        <f t="shared" si="220"/>
        <v>A950250</v>
      </c>
    </row>
    <row r="2562" spans="1:11" x14ac:dyDescent="0.4">
      <c r="A2562" s="49"/>
      <c r="B2562" s="54"/>
      <c r="D2562" s="55" t="s">
        <v>820</v>
      </c>
      <c r="E2562" s="58"/>
      <c r="F2562" s="57"/>
      <c r="G2562" s="57"/>
      <c r="H2562" s="49"/>
      <c r="I2562" s="49" t="str">
        <f t="shared" si="222"/>
        <v/>
      </c>
      <c r="J2562" s="37">
        <f t="shared" si="219"/>
        <v>0</v>
      </c>
      <c r="K2562" s="37">
        <f t="shared" si="220"/>
        <v>0</v>
      </c>
    </row>
    <row r="2563" spans="1:11" x14ac:dyDescent="0.4">
      <c r="A2563" s="49"/>
      <c r="B2563" s="54"/>
      <c r="D2563" s="55" t="s">
        <v>820</v>
      </c>
      <c r="E2563" s="56"/>
      <c r="F2563" s="55"/>
      <c r="G2563" s="55"/>
      <c r="I2563" s="49" t="str">
        <f t="shared" si="222"/>
        <v/>
      </c>
      <c r="J2563" s="37">
        <f t="shared" si="219"/>
        <v>0</v>
      </c>
      <c r="K2563" s="37">
        <f t="shared" si="220"/>
        <v>0</v>
      </c>
    </row>
    <row r="2564" spans="1:11" x14ac:dyDescent="0.4">
      <c r="A2564" s="49"/>
      <c r="B2564" s="54"/>
      <c r="D2564" s="55" t="s">
        <v>805</v>
      </c>
      <c r="E2564" s="58"/>
      <c r="F2564" s="57"/>
      <c r="G2564" s="57"/>
      <c r="H2564" s="49"/>
      <c r="I2564" s="49" t="str">
        <f t="shared" si="222"/>
        <v/>
      </c>
      <c r="J2564" s="37">
        <f t="shared" si="219"/>
        <v>0</v>
      </c>
      <c r="K2564" s="37">
        <f t="shared" si="220"/>
        <v>0</v>
      </c>
    </row>
    <row r="2565" spans="1:11" x14ac:dyDescent="0.4">
      <c r="A2565" s="49"/>
      <c r="B2565" s="54"/>
      <c r="D2565" s="55" t="s">
        <v>5159</v>
      </c>
      <c r="E2565" s="58"/>
      <c r="F2565" s="57"/>
      <c r="G2565" s="57"/>
      <c r="H2565" s="49"/>
      <c r="I2565" s="49" t="str">
        <f t="shared" si="222"/>
        <v/>
      </c>
      <c r="J2565" s="37">
        <f t="shared" si="219"/>
        <v>0</v>
      </c>
      <c r="K2565" s="37">
        <f t="shared" si="220"/>
        <v>0</v>
      </c>
    </row>
    <row r="2566" spans="1:11" x14ac:dyDescent="0.4">
      <c r="B2566" s="54"/>
      <c r="D2566" s="55" t="s">
        <v>820</v>
      </c>
      <c r="E2566" s="56"/>
      <c r="F2566" s="55"/>
      <c r="G2566" s="55"/>
      <c r="J2566" s="37">
        <f t="shared" si="219"/>
        <v>0</v>
      </c>
      <c r="K2566" s="37">
        <f t="shared" si="220"/>
        <v>0</v>
      </c>
    </row>
    <row r="2567" spans="1:11" x14ac:dyDescent="0.4">
      <c r="A2567" s="49"/>
      <c r="B2567" s="54"/>
      <c r="D2567" s="55" t="s">
        <v>5159</v>
      </c>
      <c r="E2567" s="56"/>
      <c r="F2567" s="55"/>
      <c r="G2567" s="55"/>
      <c r="H2567" s="49"/>
      <c r="I2567" s="49" t="str">
        <f>IF((G2567&gt;$G$8),E2567+ROW()/100000,"")</f>
        <v/>
      </c>
      <c r="J2567" s="37">
        <f t="shared" si="219"/>
        <v>0</v>
      </c>
      <c r="K2567" s="37">
        <f t="shared" si="220"/>
        <v>0</v>
      </c>
    </row>
    <row r="2568" spans="1:11" x14ac:dyDescent="0.4">
      <c r="A2568" s="49"/>
      <c r="B2568" s="54"/>
      <c r="D2568" s="55" t="s">
        <v>820</v>
      </c>
      <c r="E2568" s="58"/>
      <c r="F2568" s="57"/>
      <c r="G2568" s="57"/>
      <c r="H2568" s="49"/>
      <c r="I2568" s="49" t="str">
        <f>IF((G2568&gt;$G$8),E2568+ROW()/100000,"")</f>
        <v/>
      </c>
      <c r="J2568" s="37">
        <f t="shared" si="219"/>
        <v>0</v>
      </c>
      <c r="K2568" s="37">
        <f t="shared" si="220"/>
        <v>0</v>
      </c>
    </row>
    <row r="2569" spans="1:11" x14ac:dyDescent="0.4">
      <c r="A2569" s="49"/>
      <c r="B2569" s="54"/>
      <c r="D2569" s="55" t="s">
        <v>820</v>
      </c>
      <c r="E2569" s="58"/>
      <c r="F2569" s="57"/>
      <c r="G2569" s="57"/>
      <c r="H2569" s="49"/>
      <c r="I2569" s="49" t="str">
        <f>IF((G2569&gt;$G$8),E2569+ROW()/100000,"")</f>
        <v/>
      </c>
      <c r="J2569" s="37">
        <f t="shared" si="219"/>
        <v>0</v>
      </c>
      <c r="K2569" s="37">
        <f t="shared" si="220"/>
        <v>0</v>
      </c>
    </row>
    <row r="2570" spans="1:11" x14ac:dyDescent="0.4">
      <c r="B2570" s="54"/>
      <c r="D2570" s="55" t="s">
        <v>820</v>
      </c>
      <c r="E2570" s="55"/>
      <c r="F2570" s="55"/>
      <c r="G2570" s="55"/>
      <c r="J2570" s="37">
        <f t="shared" si="219"/>
        <v>0</v>
      </c>
      <c r="K2570" s="37">
        <f t="shared" si="220"/>
        <v>0</v>
      </c>
    </row>
    <row r="2571" spans="1:11" x14ac:dyDescent="0.4">
      <c r="A2571" s="49"/>
      <c r="B2571" s="54"/>
      <c r="D2571" s="55" t="s">
        <v>820</v>
      </c>
      <c r="E2571" s="58"/>
      <c r="F2571" s="57"/>
      <c r="G2571" s="57"/>
      <c r="H2571" s="49"/>
      <c r="I2571" s="49" t="str">
        <f t="shared" ref="I2571:I2600" si="223">IF((G2571&gt;$G$8),E2571+ROW()/100000,"")</f>
        <v/>
      </c>
      <c r="J2571" s="37">
        <f t="shared" si="219"/>
        <v>0</v>
      </c>
      <c r="K2571" s="37">
        <f t="shared" si="220"/>
        <v>0</v>
      </c>
    </row>
    <row r="2572" spans="1:11" x14ac:dyDescent="0.4">
      <c r="A2572" s="49"/>
      <c r="B2572" s="54"/>
      <c r="D2572" s="55" t="s">
        <v>820</v>
      </c>
      <c r="E2572" s="58"/>
      <c r="F2572" s="57"/>
      <c r="G2572" s="57"/>
      <c r="H2572" s="49"/>
      <c r="I2572" s="49" t="str">
        <f t="shared" si="223"/>
        <v/>
      </c>
      <c r="J2572" s="37">
        <f t="shared" si="219"/>
        <v>0</v>
      </c>
      <c r="K2572" s="37">
        <f t="shared" si="220"/>
        <v>0</v>
      </c>
    </row>
    <row r="2573" spans="1:11" x14ac:dyDescent="0.4">
      <c r="A2573" s="49"/>
      <c r="B2573" s="54"/>
      <c r="D2573" s="55" t="s">
        <v>820</v>
      </c>
      <c r="E2573" s="58"/>
      <c r="F2573" s="57"/>
      <c r="G2573" s="57"/>
      <c r="H2573" s="49"/>
      <c r="I2573" s="49" t="str">
        <f t="shared" si="223"/>
        <v/>
      </c>
      <c r="J2573" s="37">
        <f t="shared" si="219"/>
        <v>0</v>
      </c>
      <c r="K2573" s="37">
        <f t="shared" si="220"/>
        <v>0</v>
      </c>
    </row>
    <row r="2574" spans="1:11" x14ac:dyDescent="0.4">
      <c r="A2574" s="49"/>
      <c r="B2574" s="54"/>
      <c r="D2574" s="55" t="s">
        <v>820</v>
      </c>
      <c r="E2574" s="58"/>
      <c r="F2574" s="57"/>
      <c r="G2574" s="57"/>
      <c r="H2574" s="49"/>
      <c r="I2574" s="49" t="str">
        <f t="shared" si="223"/>
        <v/>
      </c>
      <c r="J2574" s="37">
        <f t="shared" ref="J2574:J2599" si="224">C2574</f>
        <v>0</v>
      </c>
      <c r="K2574" s="37">
        <f t="shared" ref="K2574:K2599" si="225">B2574</f>
        <v>0</v>
      </c>
    </row>
    <row r="2575" spans="1:11" x14ac:dyDescent="0.4">
      <c r="A2575" s="49"/>
      <c r="B2575" s="54"/>
      <c r="D2575" s="55" t="s">
        <v>820</v>
      </c>
      <c r="E2575" s="56"/>
      <c r="F2575" s="55"/>
      <c r="G2575" s="55"/>
      <c r="I2575" s="49" t="str">
        <f t="shared" si="223"/>
        <v/>
      </c>
      <c r="J2575" s="37">
        <f t="shared" si="224"/>
        <v>0</v>
      </c>
      <c r="K2575" s="37">
        <f t="shared" si="225"/>
        <v>0</v>
      </c>
    </row>
    <row r="2576" spans="1:11" x14ac:dyDescent="0.4">
      <c r="A2576" s="49"/>
      <c r="B2576" s="54"/>
      <c r="D2576" s="55" t="s">
        <v>820</v>
      </c>
      <c r="E2576" s="58"/>
      <c r="F2576" s="57"/>
      <c r="G2576" s="57"/>
      <c r="H2576" s="49"/>
      <c r="I2576" s="49" t="str">
        <f t="shared" si="223"/>
        <v/>
      </c>
      <c r="J2576" s="37">
        <f t="shared" si="224"/>
        <v>0</v>
      </c>
      <c r="K2576" s="37">
        <f t="shared" si="225"/>
        <v>0</v>
      </c>
    </row>
    <row r="2577" spans="1:11" x14ac:dyDescent="0.4">
      <c r="A2577" s="49"/>
      <c r="B2577" s="54"/>
      <c r="D2577" s="55" t="s">
        <v>820</v>
      </c>
      <c r="E2577" s="58"/>
      <c r="F2577" s="57"/>
      <c r="G2577" s="57"/>
      <c r="H2577" s="49"/>
      <c r="I2577" s="49" t="str">
        <f t="shared" si="223"/>
        <v/>
      </c>
      <c r="J2577" s="37">
        <f t="shared" si="224"/>
        <v>0</v>
      </c>
      <c r="K2577" s="37">
        <f t="shared" si="225"/>
        <v>0</v>
      </c>
    </row>
    <row r="2578" spans="1:11" x14ac:dyDescent="0.4">
      <c r="A2578" s="49"/>
      <c r="B2578" s="54"/>
      <c r="D2578" s="55" t="s">
        <v>820</v>
      </c>
      <c r="E2578" s="58"/>
      <c r="F2578" s="57"/>
      <c r="G2578" s="57"/>
      <c r="H2578" s="49"/>
      <c r="I2578" s="49" t="str">
        <f t="shared" si="223"/>
        <v/>
      </c>
      <c r="J2578" s="37">
        <f t="shared" si="224"/>
        <v>0</v>
      </c>
      <c r="K2578" s="37">
        <f t="shared" si="225"/>
        <v>0</v>
      </c>
    </row>
    <row r="2579" spans="1:11" x14ac:dyDescent="0.4">
      <c r="A2579" s="49"/>
      <c r="B2579" s="54"/>
      <c r="D2579" s="55" t="s">
        <v>820</v>
      </c>
      <c r="E2579" s="58"/>
      <c r="F2579" s="57"/>
      <c r="G2579" s="57"/>
      <c r="H2579" s="49"/>
      <c r="I2579" s="49" t="str">
        <f t="shared" si="223"/>
        <v/>
      </c>
      <c r="J2579" s="37">
        <f t="shared" si="224"/>
        <v>0</v>
      </c>
      <c r="K2579" s="37">
        <f t="shared" si="225"/>
        <v>0</v>
      </c>
    </row>
    <row r="2580" spans="1:11" x14ac:dyDescent="0.4">
      <c r="A2580" s="49"/>
      <c r="B2580" s="54"/>
      <c r="D2580" s="55" t="s">
        <v>820</v>
      </c>
      <c r="E2580" s="58"/>
      <c r="F2580" s="57"/>
      <c r="G2580" s="57"/>
      <c r="H2580" s="49"/>
      <c r="I2580" s="49" t="str">
        <f t="shared" si="223"/>
        <v/>
      </c>
      <c r="J2580" s="37">
        <f t="shared" si="224"/>
        <v>0</v>
      </c>
      <c r="K2580" s="37">
        <f t="shared" si="225"/>
        <v>0</v>
      </c>
    </row>
    <row r="2581" spans="1:11" x14ac:dyDescent="0.4">
      <c r="A2581" s="49"/>
      <c r="B2581" s="54"/>
      <c r="D2581" s="55" t="s">
        <v>820</v>
      </c>
      <c r="E2581" s="56"/>
      <c r="F2581" s="55"/>
      <c r="G2581" s="55"/>
      <c r="I2581" s="49" t="str">
        <f t="shared" si="223"/>
        <v/>
      </c>
      <c r="J2581" s="37">
        <f t="shared" si="224"/>
        <v>0</v>
      </c>
      <c r="K2581" s="37">
        <f t="shared" si="225"/>
        <v>0</v>
      </c>
    </row>
    <row r="2582" spans="1:11" x14ac:dyDescent="0.4">
      <c r="A2582" s="49"/>
      <c r="B2582" s="54"/>
      <c r="D2582" s="55" t="s">
        <v>5159</v>
      </c>
      <c r="E2582" s="58"/>
      <c r="F2582" s="57"/>
      <c r="G2582" s="57"/>
      <c r="H2582" s="49"/>
      <c r="I2582" s="49" t="str">
        <f t="shared" si="223"/>
        <v/>
      </c>
      <c r="J2582" s="37">
        <f t="shared" si="224"/>
        <v>0</v>
      </c>
      <c r="K2582" s="37">
        <f t="shared" si="225"/>
        <v>0</v>
      </c>
    </row>
    <row r="2583" spans="1:11" x14ac:dyDescent="0.4">
      <c r="A2583" s="49"/>
      <c r="B2583" s="54"/>
      <c r="D2583" s="55" t="s">
        <v>820</v>
      </c>
      <c r="E2583" s="58"/>
      <c r="F2583" s="57"/>
      <c r="G2583" s="57"/>
      <c r="H2583" s="49"/>
      <c r="I2583" s="49" t="str">
        <f t="shared" si="223"/>
        <v/>
      </c>
      <c r="J2583" s="37">
        <f t="shared" si="224"/>
        <v>0</v>
      </c>
      <c r="K2583" s="37">
        <f t="shared" si="225"/>
        <v>0</v>
      </c>
    </row>
    <row r="2584" spans="1:11" x14ac:dyDescent="0.4">
      <c r="A2584" s="49"/>
      <c r="B2584" s="54"/>
      <c r="D2584" s="55" t="s">
        <v>820</v>
      </c>
      <c r="E2584" s="58"/>
      <c r="F2584" s="57"/>
      <c r="G2584" s="57"/>
      <c r="H2584" s="49"/>
      <c r="I2584" s="49" t="str">
        <f t="shared" si="223"/>
        <v/>
      </c>
      <c r="J2584" s="37">
        <f t="shared" si="224"/>
        <v>0</v>
      </c>
      <c r="K2584" s="37">
        <f t="shared" si="225"/>
        <v>0</v>
      </c>
    </row>
    <row r="2585" spans="1:11" x14ac:dyDescent="0.4">
      <c r="A2585" s="49"/>
      <c r="B2585" s="54"/>
      <c r="D2585" s="55" t="s">
        <v>820</v>
      </c>
      <c r="E2585" s="58"/>
      <c r="F2585" s="57"/>
      <c r="G2585" s="57"/>
      <c r="H2585" s="49"/>
      <c r="I2585" s="49" t="str">
        <f t="shared" si="223"/>
        <v/>
      </c>
      <c r="J2585" s="37">
        <f t="shared" si="224"/>
        <v>0</v>
      </c>
      <c r="K2585" s="37">
        <f t="shared" si="225"/>
        <v>0</v>
      </c>
    </row>
    <row r="2586" spans="1:11" x14ac:dyDescent="0.4">
      <c r="A2586" s="49"/>
      <c r="B2586" s="54"/>
      <c r="D2586" s="55" t="s">
        <v>820</v>
      </c>
      <c r="E2586" s="56"/>
      <c r="F2586" s="55"/>
      <c r="G2586" s="55"/>
      <c r="I2586" s="49" t="str">
        <f t="shared" si="223"/>
        <v/>
      </c>
      <c r="J2586" s="37">
        <f t="shared" si="224"/>
        <v>0</v>
      </c>
      <c r="K2586" s="37">
        <f t="shared" si="225"/>
        <v>0</v>
      </c>
    </row>
    <row r="2587" spans="1:11" x14ac:dyDescent="0.4">
      <c r="A2587" s="49"/>
      <c r="B2587" s="54"/>
      <c r="D2587" s="55" t="s">
        <v>820</v>
      </c>
      <c r="E2587" s="58"/>
      <c r="F2587" s="57"/>
      <c r="G2587" s="57"/>
      <c r="H2587" s="49"/>
      <c r="I2587" s="49" t="str">
        <f t="shared" si="223"/>
        <v/>
      </c>
      <c r="J2587" s="37">
        <f t="shared" si="224"/>
        <v>0</v>
      </c>
      <c r="K2587" s="37">
        <f t="shared" si="225"/>
        <v>0</v>
      </c>
    </row>
    <row r="2588" spans="1:11" x14ac:dyDescent="0.4">
      <c r="A2588" s="49"/>
      <c r="B2588" s="54"/>
      <c r="D2588" s="55" t="s">
        <v>820</v>
      </c>
      <c r="E2588" s="56"/>
      <c r="F2588" s="55"/>
      <c r="G2588" s="55"/>
      <c r="I2588" s="49" t="str">
        <f t="shared" si="223"/>
        <v/>
      </c>
      <c r="J2588" s="37">
        <f t="shared" si="224"/>
        <v>0</v>
      </c>
      <c r="K2588" s="37">
        <f t="shared" si="225"/>
        <v>0</v>
      </c>
    </row>
    <row r="2589" spans="1:11" x14ac:dyDescent="0.4">
      <c r="A2589" s="49"/>
      <c r="B2589" s="54"/>
      <c r="D2589" s="55" t="s">
        <v>820</v>
      </c>
      <c r="E2589" s="58"/>
      <c r="F2589" s="57"/>
      <c r="G2589" s="57"/>
      <c r="H2589" s="49"/>
      <c r="I2589" s="49" t="str">
        <f t="shared" si="223"/>
        <v/>
      </c>
      <c r="J2589" s="37">
        <f t="shared" si="224"/>
        <v>0</v>
      </c>
      <c r="K2589" s="37">
        <f t="shared" si="225"/>
        <v>0</v>
      </c>
    </row>
    <row r="2590" spans="1:11" x14ac:dyDescent="0.4">
      <c r="A2590" s="49"/>
      <c r="B2590" s="54"/>
      <c r="D2590" s="55" t="s">
        <v>820</v>
      </c>
      <c r="E2590" s="56"/>
      <c r="F2590" s="55"/>
      <c r="G2590" s="55"/>
      <c r="I2590" s="49" t="str">
        <f t="shared" si="223"/>
        <v/>
      </c>
      <c r="J2590" s="37">
        <f t="shared" si="224"/>
        <v>0</v>
      </c>
      <c r="K2590" s="37">
        <f t="shared" si="225"/>
        <v>0</v>
      </c>
    </row>
    <row r="2591" spans="1:11" x14ac:dyDescent="0.4">
      <c r="A2591" s="49"/>
      <c r="B2591" s="54"/>
      <c r="D2591" s="55" t="s">
        <v>805</v>
      </c>
      <c r="E2591" s="58"/>
      <c r="F2591" s="57"/>
      <c r="G2591" s="57"/>
      <c r="H2591" s="49"/>
      <c r="I2591" s="49" t="str">
        <f t="shared" si="223"/>
        <v/>
      </c>
      <c r="J2591" s="37">
        <f t="shared" si="224"/>
        <v>0</v>
      </c>
      <c r="K2591" s="37">
        <f t="shared" si="225"/>
        <v>0</v>
      </c>
    </row>
    <row r="2592" spans="1:11" x14ac:dyDescent="0.4">
      <c r="A2592" s="49"/>
      <c r="B2592" s="54"/>
      <c r="D2592" s="55" t="s">
        <v>820</v>
      </c>
      <c r="E2592" s="58"/>
      <c r="F2592" s="57"/>
      <c r="G2592" s="57"/>
      <c r="H2592" s="49"/>
      <c r="I2592" s="49" t="str">
        <f t="shared" si="223"/>
        <v/>
      </c>
      <c r="J2592" s="37">
        <f t="shared" si="224"/>
        <v>0</v>
      </c>
      <c r="K2592" s="37">
        <f t="shared" si="225"/>
        <v>0</v>
      </c>
    </row>
    <row r="2593" spans="1:11" x14ac:dyDescent="0.4">
      <c r="A2593" s="49"/>
      <c r="B2593" s="54"/>
      <c r="D2593" s="55" t="s">
        <v>5159</v>
      </c>
      <c r="E2593" s="58"/>
      <c r="F2593" s="57"/>
      <c r="G2593" s="57"/>
      <c r="H2593" s="49"/>
      <c r="I2593" s="49" t="str">
        <f t="shared" si="223"/>
        <v/>
      </c>
      <c r="J2593" s="37">
        <f t="shared" si="224"/>
        <v>0</v>
      </c>
      <c r="K2593" s="37">
        <f t="shared" si="225"/>
        <v>0</v>
      </c>
    </row>
    <row r="2594" spans="1:11" x14ac:dyDescent="0.4">
      <c r="A2594" s="49"/>
      <c r="B2594" s="54"/>
      <c r="D2594" s="55" t="s">
        <v>820</v>
      </c>
      <c r="E2594" s="58"/>
      <c r="F2594" s="57"/>
      <c r="G2594" s="57"/>
      <c r="H2594" s="49"/>
      <c r="I2594" s="49" t="str">
        <f t="shared" si="223"/>
        <v/>
      </c>
      <c r="J2594" s="37">
        <f t="shared" si="224"/>
        <v>0</v>
      </c>
      <c r="K2594" s="37">
        <f t="shared" si="225"/>
        <v>0</v>
      </c>
    </row>
    <row r="2595" spans="1:11" x14ac:dyDescent="0.4">
      <c r="A2595" s="49"/>
      <c r="B2595" s="54"/>
      <c r="D2595" s="55" t="s">
        <v>820</v>
      </c>
      <c r="E2595" s="56"/>
      <c r="F2595" s="55"/>
      <c r="G2595" s="55"/>
      <c r="I2595" s="49" t="str">
        <f t="shared" si="223"/>
        <v/>
      </c>
      <c r="J2595" s="37">
        <f t="shared" si="224"/>
        <v>0</v>
      </c>
      <c r="K2595" s="37">
        <f t="shared" si="225"/>
        <v>0</v>
      </c>
    </row>
    <row r="2596" spans="1:11" x14ac:dyDescent="0.4">
      <c r="A2596" s="49"/>
      <c r="B2596" s="54"/>
      <c r="D2596" s="55" t="s">
        <v>820</v>
      </c>
      <c r="E2596" s="56"/>
      <c r="F2596" s="55"/>
      <c r="G2596" s="55"/>
      <c r="I2596" s="49" t="str">
        <f t="shared" si="223"/>
        <v/>
      </c>
      <c r="J2596" s="37">
        <f t="shared" si="224"/>
        <v>0</v>
      </c>
      <c r="K2596" s="37">
        <f t="shared" si="225"/>
        <v>0</v>
      </c>
    </row>
    <row r="2597" spans="1:11" x14ac:dyDescent="0.4">
      <c r="A2597" s="49"/>
      <c r="B2597" s="54"/>
      <c r="D2597" s="55" t="s">
        <v>820</v>
      </c>
      <c r="E2597" s="58"/>
      <c r="F2597" s="57"/>
      <c r="G2597" s="57"/>
      <c r="H2597" s="49"/>
      <c r="I2597" s="49" t="str">
        <f t="shared" si="223"/>
        <v/>
      </c>
      <c r="J2597" s="37">
        <f t="shared" si="224"/>
        <v>0</v>
      </c>
      <c r="K2597" s="37">
        <f t="shared" si="225"/>
        <v>0</v>
      </c>
    </row>
    <row r="2598" spans="1:11" x14ac:dyDescent="0.4">
      <c r="A2598" s="49"/>
      <c r="B2598" s="54"/>
      <c r="D2598" s="55" t="s">
        <v>820</v>
      </c>
      <c r="E2598" s="58"/>
      <c r="F2598" s="57"/>
      <c r="G2598" s="57"/>
      <c r="H2598" s="49"/>
      <c r="I2598" s="49" t="str">
        <f t="shared" si="223"/>
        <v/>
      </c>
      <c r="J2598" s="37">
        <f t="shared" si="224"/>
        <v>0</v>
      </c>
      <c r="K2598" s="37">
        <f t="shared" si="225"/>
        <v>0</v>
      </c>
    </row>
    <row r="2599" spans="1:11" x14ac:dyDescent="0.4">
      <c r="A2599" s="49"/>
      <c r="B2599" s="54"/>
      <c r="D2599" s="55" t="s">
        <v>5159</v>
      </c>
      <c r="E2599" s="58"/>
      <c r="F2599" s="57"/>
      <c r="G2599" s="57"/>
      <c r="H2599" s="49"/>
      <c r="I2599" s="49" t="str">
        <f t="shared" si="223"/>
        <v/>
      </c>
      <c r="J2599" s="37">
        <f t="shared" si="224"/>
        <v>0</v>
      </c>
      <c r="K2599" s="37">
        <f t="shared" si="225"/>
        <v>0</v>
      </c>
    </row>
    <row r="2600" spans="1:11" x14ac:dyDescent="0.4">
      <c r="A2600" s="49"/>
      <c r="B2600" s="54"/>
      <c r="D2600" s="55" t="s">
        <v>820</v>
      </c>
      <c r="E2600" s="58"/>
      <c r="F2600" s="57"/>
      <c r="G2600" s="57"/>
      <c r="H2600" s="49"/>
      <c r="I2600" s="49" t="str">
        <f t="shared" si="223"/>
        <v/>
      </c>
    </row>
    <row r="2601" spans="1:11" x14ac:dyDescent="0.4">
      <c r="B2601" s="54"/>
      <c r="D2601" s="37" t="s">
        <v>805</v>
      </c>
    </row>
    <row r="2602" spans="1:11" x14ac:dyDescent="0.4">
      <c r="D2602" s="37" t="s">
        <v>5159</v>
      </c>
    </row>
    <row r="2603" spans="1:11" x14ac:dyDescent="0.4">
      <c r="D2603" s="37" t="s">
        <v>820</v>
      </c>
    </row>
    <row r="2604" spans="1:11" x14ac:dyDescent="0.4">
      <c r="D2604" s="37" t="s">
        <v>5159</v>
      </c>
    </row>
    <row r="2605" spans="1:11" x14ac:dyDescent="0.4">
      <c r="D2605" s="37" t="s">
        <v>820</v>
      </c>
    </row>
    <row r="2606" spans="1:11" x14ac:dyDescent="0.4">
      <c r="D2606" s="37" t="s">
        <v>820</v>
      </c>
    </row>
    <row r="2607" spans="1:11" x14ac:dyDescent="0.4">
      <c r="D2607" s="37" t="s">
        <v>820</v>
      </c>
    </row>
    <row r="2608" spans="1:11" x14ac:dyDescent="0.4">
      <c r="D2608" s="37" t="s">
        <v>820</v>
      </c>
    </row>
    <row r="2609" spans="4:4" x14ac:dyDescent="0.4">
      <c r="D2609" s="37" t="s">
        <v>805</v>
      </c>
    </row>
    <row r="2610" spans="4:4" x14ac:dyDescent="0.4">
      <c r="D2610" s="37" t="s">
        <v>805</v>
      </c>
    </row>
    <row r="2611" spans="4:4" x14ac:dyDescent="0.4">
      <c r="D2611" s="37" t="s">
        <v>5159</v>
      </c>
    </row>
    <row r="2612" spans="4:4" x14ac:dyDescent="0.4">
      <c r="D2612" s="37" t="s">
        <v>805</v>
      </c>
    </row>
    <row r="2613" spans="4:4" x14ac:dyDescent="0.4">
      <c r="D2613" s="37" t="s">
        <v>5159</v>
      </c>
    </row>
    <row r="2614" spans="4:4" x14ac:dyDescent="0.4">
      <c r="D2614" s="37" t="s">
        <v>805</v>
      </c>
    </row>
    <row r="2615" spans="4:4" x14ac:dyDescent="0.4">
      <c r="D2615" s="37" t="s">
        <v>5159</v>
      </c>
    </row>
    <row r="2616" spans="4:4" x14ac:dyDescent="0.4">
      <c r="D2616" s="37" t="s">
        <v>820</v>
      </c>
    </row>
    <row r="2617" spans="4:4" x14ac:dyDescent="0.4">
      <c r="D2617" s="37" t="s">
        <v>820</v>
      </c>
    </row>
    <row r="2618" spans="4:4" x14ac:dyDescent="0.4">
      <c r="D2618" s="37" t="s">
        <v>5159</v>
      </c>
    </row>
    <row r="2619" spans="4:4" x14ac:dyDescent="0.4">
      <c r="D2619" s="37" t="s">
        <v>820</v>
      </c>
    </row>
    <row r="2620" spans="4:4" x14ac:dyDescent="0.4">
      <c r="D2620" s="37" t="s">
        <v>805</v>
      </c>
    </row>
    <row r="2621" spans="4:4" x14ac:dyDescent="0.4">
      <c r="D2621" s="37" t="s">
        <v>820</v>
      </c>
    </row>
    <row r="2622" spans="4:4" x14ac:dyDescent="0.4">
      <c r="D2622" s="37" t="s">
        <v>820</v>
      </c>
    </row>
    <row r="2623" spans="4:4" x14ac:dyDescent="0.4">
      <c r="D2623" s="37" t="s">
        <v>5159</v>
      </c>
    </row>
    <row r="2624" spans="4:4" x14ac:dyDescent="0.4">
      <c r="D2624" s="37" t="s">
        <v>820</v>
      </c>
    </row>
    <row r="2625" spans="4:4" x14ac:dyDescent="0.4">
      <c r="D2625" s="37" t="s">
        <v>820</v>
      </c>
    </row>
    <row r="2626" spans="4:4" x14ac:dyDescent="0.4">
      <c r="D2626" s="37" t="s">
        <v>820</v>
      </c>
    </row>
    <row r="2627" spans="4:4" x14ac:dyDescent="0.4">
      <c r="D2627" s="37" t="s">
        <v>820</v>
      </c>
    </row>
    <row r="2628" spans="4:4" x14ac:dyDescent="0.4">
      <c r="D2628" s="37" t="s">
        <v>5159</v>
      </c>
    </row>
    <row r="2629" spans="4:4" x14ac:dyDescent="0.4">
      <c r="D2629" s="37" t="s">
        <v>820</v>
      </c>
    </row>
    <row r="2630" spans="4:4" x14ac:dyDescent="0.4">
      <c r="D2630" s="37" t="s">
        <v>805</v>
      </c>
    </row>
    <row r="2631" spans="4:4" x14ac:dyDescent="0.4">
      <c r="D2631" s="37" t="s">
        <v>5159</v>
      </c>
    </row>
    <row r="2632" spans="4:4" x14ac:dyDescent="0.4">
      <c r="D2632" s="37" t="s">
        <v>820</v>
      </c>
    </row>
    <row r="2633" spans="4:4" x14ac:dyDescent="0.4">
      <c r="D2633" s="37" t="s">
        <v>820</v>
      </c>
    </row>
    <row r="2634" spans="4:4" x14ac:dyDescent="0.4">
      <c r="D2634" s="37" t="s">
        <v>805</v>
      </c>
    </row>
    <row r="2635" spans="4:4" x14ac:dyDescent="0.4">
      <c r="D2635" s="37" t="s">
        <v>5159</v>
      </c>
    </row>
    <row r="2636" spans="4:4" x14ac:dyDescent="0.4">
      <c r="D2636" s="37" t="s">
        <v>820</v>
      </c>
    </row>
    <row r="2637" spans="4:4" x14ac:dyDescent="0.4">
      <c r="D2637" s="37" t="s">
        <v>820</v>
      </c>
    </row>
    <row r="2638" spans="4:4" x14ac:dyDescent="0.4">
      <c r="D2638" s="37" t="s">
        <v>820</v>
      </c>
    </row>
    <row r="2639" spans="4:4" x14ac:dyDescent="0.4">
      <c r="D2639" s="37" t="s">
        <v>820</v>
      </c>
    </row>
    <row r="2640" spans="4:4" x14ac:dyDescent="0.4">
      <c r="D2640" s="37" t="s">
        <v>820</v>
      </c>
    </row>
    <row r="2641" spans="4:4" x14ac:dyDescent="0.4">
      <c r="D2641" s="37" t="s">
        <v>820</v>
      </c>
    </row>
    <row r="2642" spans="4:4" x14ac:dyDescent="0.4">
      <c r="D2642" s="37" t="s">
        <v>5159</v>
      </c>
    </row>
    <row r="2643" spans="4:4" x14ac:dyDescent="0.4">
      <c r="D2643" s="37" t="s">
        <v>820</v>
      </c>
    </row>
    <row r="2644" spans="4:4" x14ac:dyDescent="0.4">
      <c r="D2644" s="37" t="s">
        <v>5159</v>
      </c>
    </row>
    <row r="2645" spans="4:4" x14ac:dyDescent="0.4">
      <c r="D2645" s="37" t="s">
        <v>820</v>
      </c>
    </row>
    <row r="2646" spans="4:4" x14ac:dyDescent="0.4">
      <c r="D2646" s="37" t="s">
        <v>820</v>
      </c>
    </row>
    <row r="2647" spans="4:4" x14ac:dyDescent="0.4">
      <c r="D2647" s="37" t="s">
        <v>820</v>
      </c>
    </row>
    <row r="2648" spans="4:4" x14ac:dyDescent="0.4">
      <c r="D2648" s="37" t="s">
        <v>805</v>
      </c>
    </row>
    <row r="2649" spans="4:4" x14ac:dyDescent="0.4">
      <c r="D2649" s="37" t="s">
        <v>5159</v>
      </c>
    </row>
    <row r="2650" spans="4:4" x14ac:dyDescent="0.4">
      <c r="D2650" s="37" t="s">
        <v>820</v>
      </c>
    </row>
    <row r="2651" spans="4:4" x14ac:dyDescent="0.4">
      <c r="D2651" s="37" t="s">
        <v>820</v>
      </c>
    </row>
    <row r="2652" spans="4:4" x14ac:dyDescent="0.4">
      <c r="D2652" s="37" t="s">
        <v>820</v>
      </c>
    </row>
    <row r="2653" spans="4:4" x14ac:dyDescent="0.4">
      <c r="D2653" s="37" t="s">
        <v>820</v>
      </c>
    </row>
    <row r="2654" spans="4:4" x14ac:dyDescent="0.4">
      <c r="D2654" s="37" t="s">
        <v>820</v>
      </c>
    </row>
    <row r="2655" spans="4:4" x14ac:dyDescent="0.4">
      <c r="D2655" s="37" t="s">
        <v>820</v>
      </c>
    </row>
    <row r="2656" spans="4:4" x14ac:dyDescent="0.4">
      <c r="D2656" s="37" t="s">
        <v>805</v>
      </c>
    </row>
    <row r="2657" spans="4:4" x14ac:dyDescent="0.4">
      <c r="D2657" s="37" t="s">
        <v>5159</v>
      </c>
    </row>
    <row r="2658" spans="4:4" x14ac:dyDescent="0.4">
      <c r="D2658" s="37" t="s">
        <v>820</v>
      </c>
    </row>
    <row r="2659" spans="4:4" x14ac:dyDescent="0.4">
      <c r="D2659" s="37" t="s">
        <v>820</v>
      </c>
    </row>
    <row r="2660" spans="4:4" x14ac:dyDescent="0.4">
      <c r="D2660" s="37" t="s">
        <v>805</v>
      </c>
    </row>
    <row r="2661" spans="4:4" x14ac:dyDescent="0.4">
      <c r="D2661" s="37" t="s">
        <v>820</v>
      </c>
    </row>
    <row r="2662" spans="4:4" x14ac:dyDescent="0.4">
      <c r="D2662" s="37" t="s">
        <v>5159</v>
      </c>
    </row>
    <row r="2663" spans="4:4" x14ac:dyDescent="0.4">
      <c r="D2663" s="37" t="s">
        <v>820</v>
      </c>
    </row>
    <row r="2664" spans="4:4" x14ac:dyDescent="0.4">
      <c r="D2664" s="37" t="s">
        <v>820</v>
      </c>
    </row>
    <row r="2665" spans="4:4" x14ac:dyDescent="0.4">
      <c r="D2665" s="37" t="s">
        <v>820</v>
      </c>
    </row>
    <row r="2666" spans="4:4" x14ac:dyDescent="0.4">
      <c r="D2666" s="37" t="s">
        <v>820</v>
      </c>
    </row>
    <row r="2667" spans="4:4" x14ac:dyDescent="0.4">
      <c r="D2667" s="37" t="s">
        <v>820</v>
      </c>
    </row>
    <row r="2668" spans="4:4" x14ac:dyDescent="0.4">
      <c r="D2668" s="37" t="s">
        <v>5159</v>
      </c>
    </row>
    <row r="2669" spans="4:4" x14ac:dyDescent="0.4">
      <c r="D2669" s="37" t="s">
        <v>820</v>
      </c>
    </row>
    <row r="2670" spans="4:4" x14ac:dyDescent="0.4">
      <c r="D2670" s="37" t="s">
        <v>820</v>
      </c>
    </row>
    <row r="2671" spans="4:4" x14ac:dyDescent="0.4">
      <c r="D2671" s="37" t="s">
        <v>820</v>
      </c>
    </row>
    <row r="2672" spans="4:4" x14ac:dyDescent="0.4">
      <c r="D2672" s="37" t="s">
        <v>820</v>
      </c>
    </row>
    <row r="2673" spans="4:4" x14ac:dyDescent="0.4">
      <c r="D2673" s="37" t="s">
        <v>820</v>
      </c>
    </row>
    <row r="2674" spans="4:4" x14ac:dyDescent="0.4">
      <c r="D2674" s="37" t="s">
        <v>820</v>
      </c>
    </row>
    <row r="2675" spans="4:4" x14ac:dyDescent="0.4">
      <c r="D2675" s="37" t="s">
        <v>820</v>
      </c>
    </row>
    <row r="2676" spans="4:4" x14ac:dyDescent="0.4">
      <c r="D2676" s="37" t="s">
        <v>820</v>
      </c>
    </row>
    <row r="2677" spans="4:4" x14ac:dyDescent="0.4">
      <c r="D2677" s="37" t="s">
        <v>820</v>
      </c>
    </row>
    <row r="2678" spans="4:4" x14ac:dyDescent="0.4">
      <c r="D2678" s="37" t="s">
        <v>5159</v>
      </c>
    </row>
    <row r="2679" spans="4:4" x14ac:dyDescent="0.4">
      <c r="D2679" s="37" t="s">
        <v>820</v>
      </c>
    </row>
    <row r="2680" spans="4:4" x14ac:dyDescent="0.4">
      <c r="D2680" s="37" t="s">
        <v>805</v>
      </c>
    </row>
    <row r="2681" spans="4:4" x14ac:dyDescent="0.4">
      <c r="D2681" s="37" t="s">
        <v>5159</v>
      </c>
    </row>
    <row r="2682" spans="4:4" x14ac:dyDescent="0.4">
      <c r="D2682" s="37" t="s">
        <v>820</v>
      </c>
    </row>
    <row r="2683" spans="4:4" x14ac:dyDescent="0.4">
      <c r="D2683" s="37" t="s">
        <v>820</v>
      </c>
    </row>
    <row r="2684" spans="4:4" x14ac:dyDescent="0.4">
      <c r="D2684" s="37" t="s">
        <v>820</v>
      </c>
    </row>
    <row r="2685" spans="4:4" x14ac:dyDescent="0.4">
      <c r="D2685" s="37" t="s">
        <v>5159</v>
      </c>
    </row>
    <row r="2686" spans="4:4" x14ac:dyDescent="0.4">
      <c r="D2686" s="37" t="s">
        <v>805</v>
      </c>
    </row>
    <row r="2687" spans="4:4" x14ac:dyDescent="0.4">
      <c r="D2687" s="37" t="s">
        <v>805</v>
      </c>
    </row>
    <row r="2688" spans="4:4" x14ac:dyDescent="0.4">
      <c r="D2688" s="37" t="s">
        <v>5159</v>
      </c>
    </row>
    <row r="2689" spans="4:4" x14ac:dyDescent="0.4">
      <c r="D2689" s="37" t="s">
        <v>820</v>
      </c>
    </row>
    <row r="2690" spans="4:4" x14ac:dyDescent="0.4">
      <c r="D2690" s="37" t="s">
        <v>820</v>
      </c>
    </row>
    <row r="2691" spans="4:4" x14ac:dyDescent="0.4">
      <c r="D2691" s="37" t="s">
        <v>820</v>
      </c>
    </row>
    <row r="2692" spans="4:4" x14ac:dyDescent="0.4">
      <c r="D2692" s="37" t="s">
        <v>820</v>
      </c>
    </row>
    <row r="2693" spans="4:4" x14ac:dyDescent="0.4">
      <c r="D2693" s="37" t="s">
        <v>820</v>
      </c>
    </row>
    <row r="2694" spans="4:4" x14ac:dyDescent="0.4">
      <c r="D2694" s="37" t="s">
        <v>820</v>
      </c>
    </row>
    <row r="2695" spans="4:4" x14ac:dyDescent="0.4">
      <c r="D2695" s="37" t="s">
        <v>820</v>
      </c>
    </row>
    <row r="2696" spans="4:4" x14ac:dyDescent="0.4">
      <c r="D2696" s="37" t="s">
        <v>820</v>
      </c>
    </row>
    <row r="2697" spans="4:4" x14ac:dyDescent="0.4">
      <c r="D2697" s="37" t="s">
        <v>820</v>
      </c>
    </row>
    <row r="2698" spans="4:4" x14ac:dyDescent="0.4">
      <c r="D2698" s="37" t="s">
        <v>820</v>
      </c>
    </row>
    <row r="2699" spans="4:4" x14ac:dyDescent="0.4">
      <c r="D2699" s="37" t="s">
        <v>820</v>
      </c>
    </row>
    <row r="2700" spans="4:4" x14ac:dyDescent="0.4">
      <c r="D2700" s="37" t="s">
        <v>820</v>
      </c>
    </row>
    <row r="2701" spans="4:4" x14ac:dyDescent="0.4">
      <c r="D2701" s="37" t="s">
        <v>820</v>
      </c>
    </row>
    <row r="2702" spans="4:4" x14ac:dyDescent="0.4">
      <c r="D2702" s="37" t="s">
        <v>5159</v>
      </c>
    </row>
    <row r="2703" spans="4:4" x14ac:dyDescent="0.4">
      <c r="D2703" s="37" t="s">
        <v>820</v>
      </c>
    </row>
    <row r="2704" spans="4:4" x14ac:dyDescent="0.4">
      <c r="D2704" s="37" t="s">
        <v>5159</v>
      </c>
    </row>
    <row r="2705" spans="4:4" x14ac:dyDescent="0.4">
      <c r="D2705" s="37" t="s">
        <v>820</v>
      </c>
    </row>
    <row r="2706" spans="4:4" x14ac:dyDescent="0.4">
      <c r="D2706" s="37" t="s">
        <v>820</v>
      </c>
    </row>
    <row r="2707" spans="4:4" x14ac:dyDescent="0.4">
      <c r="D2707" s="37" t="s">
        <v>820</v>
      </c>
    </row>
    <row r="2708" spans="4:4" x14ac:dyDescent="0.4">
      <c r="D2708" s="37" t="s">
        <v>820</v>
      </c>
    </row>
    <row r="2709" spans="4:4" x14ac:dyDescent="0.4">
      <c r="D2709" s="37" t="s">
        <v>820</v>
      </c>
    </row>
    <row r="2710" spans="4:4" x14ac:dyDescent="0.4">
      <c r="D2710" s="37" t="s">
        <v>805</v>
      </c>
    </row>
    <row r="2711" spans="4:4" x14ac:dyDescent="0.4">
      <c r="D2711" s="37" t="s">
        <v>820</v>
      </c>
    </row>
    <row r="2712" spans="4:4" x14ac:dyDescent="0.4">
      <c r="D2712" s="37" t="s">
        <v>820</v>
      </c>
    </row>
    <row r="2713" spans="4:4" x14ac:dyDescent="0.4">
      <c r="D2713" s="37" t="s">
        <v>820</v>
      </c>
    </row>
    <row r="2714" spans="4:4" x14ac:dyDescent="0.4">
      <c r="D2714" s="37" t="s">
        <v>820</v>
      </c>
    </row>
    <row r="2715" spans="4:4" x14ac:dyDescent="0.4">
      <c r="D2715" s="37" t="s">
        <v>820</v>
      </c>
    </row>
    <row r="2716" spans="4:4" x14ac:dyDescent="0.4">
      <c r="D2716" s="37" t="s">
        <v>5159</v>
      </c>
    </row>
    <row r="2717" spans="4:4" x14ac:dyDescent="0.4">
      <c r="D2717" s="37" t="s">
        <v>820</v>
      </c>
    </row>
    <row r="2718" spans="4:4" x14ac:dyDescent="0.4">
      <c r="D2718" s="37" t="s">
        <v>805</v>
      </c>
    </row>
    <row r="2719" spans="4:4" x14ac:dyDescent="0.4">
      <c r="D2719" s="37" t="s">
        <v>5159</v>
      </c>
    </row>
    <row r="2720" spans="4:4" x14ac:dyDescent="0.4">
      <c r="D2720" s="37" t="s">
        <v>820</v>
      </c>
    </row>
    <row r="2721" spans="4:4" x14ac:dyDescent="0.4">
      <c r="D2721" s="37" t="s">
        <v>805</v>
      </c>
    </row>
    <row r="2722" spans="4:4" x14ac:dyDescent="0.4">
      <c r="D2722" s="37" t="s">
        <v>5159</v>
      </c>
    </row>
    <row r="2723" spans="4:4" x14ac:dyDescent="0.4">
      <c r="D2723" s="37" t="s">
        <v>820</v>
      </c>
    </row>
    <row r="2724" spans="4:4" x14ac:dyDescent="0.4">
      <c r="D2724" s="37" t="s">
        <v>820</v>
      </c>
    </row>
    <row r="2725" spans="4:4" x14ac:dyDescent="0.4">
      <c r="D2725" s="37" t="s">
        <v>5159</v>
      </c>
    </row>
    <row r="2726" spans="4:4" x14ac:dyDescent="0.4">
      <c r="D2726" s="37" t="s">
        <v>820</v>
      </c>
    </row>
    <row r="2727" spans="4:4" x14ac:dyDescent="0.4">
      <c r="D2727" s="37" t="s">
        <v>805</v>
      </c>
    </row>
    <row r="2728" spans="4:4" x14ac:dyDescent="0.4">
      <c r="D2728" s="37" t="s">
        <v>5159</v>
      </c>
    </row>
    <row r="2729" spans="4:4" x14ac:dyDescent="0.4">
      <c r="D2729" s="37" t="s">
        <v>820</v>
      </c>
    </row>
    <row r="2730" spans="4:4" x14ac:dyDescent="0.4">
      <c r="D2730" s="37" t="s">
        <v>820</v>
      </c>
    </row>
    <row r="2731" spans="4:4" x14ac:dyDescent="0.4">
      <c r="D2731" s="37" t="s">
        <v>820</v>
      </c>
    </row>
    <row r="2732" spans="4:4" x14ac:dyDescent="0.4">
      <c r="D2732" s="37" t="s">
        <v>820</v>
      </c>
    </row>
    <row r="2733" spans="4:4" x14ac:dyDescent="0.4">
      <c r="D2733" s="37" t="s">
        <v>820</v>
      </c>
    </row>
    <row r="2734" spans="4:4" x14ac:dyDescent="0.4">
      <c r="D2734" s="37" t="s">
        <v>820</v>
      </c>
    </row>
    <row r="2735" spans="4:4" x14ac:dyDescent="0.4">
      <c r="D2735" s="37" t="s">
        <v>820</v>
      </c>
    </row>
    <row r="2736" spans="4:4" x14ac:dyDescent="0.4">
      <c r="D2736" s="37" t="s">
        <v>820</v>
      </c>
    </row>
    <row r="2737" spans="4:4" x14ac:dyDescent="0.4">
      <c r="D2737" s="37" t="s">
        <v>820</v>
      </c>
    </row>
    <row r="2738" spans="4:4" x14ac:dyDescent="0.4">
      <c r="D2738" s="37" t="s">
        <v>820</v>
      </c>
    </row>
    <row r="2739" spans="4:4" x14ac:dyDescent="0.4">
      <c r="D2739" s="37" t="s">
        <v>820</v>
      </c>
    </row>
    <row r="2740" spans="4:4" x14ac:dyDescent="0.4">
      <c r="D2740" s="37" t="s">
        <v>820</v>
      </c>
    </row>
    <row r="2741" spans="4:4" x14ac:dyDescent="0.4">
      <c r="D2741" s="37" t="s">
        <v>820</v>
      </c>
    </row>
    <row r="2742" spans="4:4" x14ac:dyDescent="0.4">
      <c r="D2742" s="37" t="s">
        <v>820</v>
      </c>
    </row>
    <row r="2743" spans="4:4" x14ac:dyDescent="0.4">
      <c r="D2743" s="37" t="s">
        <v>820</v>
      </c>
    </row>
    <row r="2744" spans="4:4" x14ac:dyDescent="0.4">
      <c r="D2744" s="37" t="s">
        <v>820</v>
      </c>
    </row>
    <row r="2745" spans="4:4" x14ac:dyDescent="0.4">
      <c r="D2745" s="37" t="s">
        <v>820</v>
      </c>
    </row>
    <row r="2746" spans="4:4" x14ac:dyDescent="0.4">
      <c r="D2746" s="37" t="s">
        <v>805</v>
      </c>
    </row>
    <row r="2747" spans="4:4" x14ac:dyDescent="0.4">
      <c r="D2747" s="37" t="s">
        <v>5159</v>
      </c>
    </row>
    <row r="2748" spans="4:4" x14ac:dyDescent="0.4">
      <c r="D2748" s="37" t="s">
        <v>805</v>
      </c>
    </row>
    <row r="2749" spans="4:4" x14ac:dyDescent="0.4">
      <c r="D2749" s="37" t="s">
        <v>5159</v>
      </c>
    </row>
    <row r="2750" spans="4:4" x14ac:dyDescent="0.4">
      <c r="D2750" s="37" t="s">
        <v>820</v>
      </c>
    </row>
    <row r="2751" spans="4:4" x14ac:dyDescent="0.4">
      <c r="D2751" s="37" t="s">
        <v>5159</v>
      </c>
    </row>
    <row r="2752" spans="4:4" x14ac:dyDescent="0.4">
      <c r="D2752" s="37" t="s">
        <v>820</v>
      </c>
    </row>
    <row r="2753" spans="4:4" x14ac:dyDescent="0.4">
      <c r="D2753" s="37" t="s">
        <v>820</v>
      </c>
    </row>
    <row r="2754" spans="4:4" x14ac:dyDescent="0.4">
      <c r="D2754" s="37" t="s">
        <v>820</v>
      </c>
    </row>
    <row r="2755" spans="4:4" x14ac:dyDescent="0.4">
      <c r="D2755" s="37" t="s">
        <v>5159</v>
      </c>
    </row>
    <row r="2756" spans="4:4" x14ac:dyDescent="0.4">
      <c r="D2756" s="37" t="s">
        <v>820</v>
      </c>
    </row>
    <row r="2757" spans="4:4" x14ac:dyDescent="0.4">
      <c r="D2757" s="37" t="s">
        <v>5159</v>
      </c>
    </row>
    <row r="2758" spans="4:4" x14ac:dyDescent="0.4">
      <c r="D2758" s="37" t="s">
        <v>805</v>
      </c>
    </row>
    <row r="2759" spans="4:4" x14ac:dyDescent="0.4">
      <c r="D2759" s="37" t="s">
        <v>820</v>
      </c>
    </row>
    <row r="2760" spans="4:4" x14ac:dyDescent="0.4">
      <c r="D2760" s="37" t="s">
        <v>820</v>
      </c>
    </row>
    <row r="2761" spans="4:4" x14ac:dyDescent="0.4">
      <c r="D2761" s="37" t="s">
        <v>820</v>
      </c>
    </row>
    <row r="2762" spans="4:4" x14ac:dyDescent="0.4">
      <c r="D2762" s="37" t="s">
        <v>820</v>
      </c>
    </row>
    <row r="2763" spans="4:4" x14ac:dyDescent="0.4">
      <c r="D2763" s="37" t="s">
        <v>820</v>
      </c>
    </row>
    <row r="2764" spans="4:4" x14ac:dyDescent="0.4">
      <c r="D2764" s="37" t="s">
        <v>5159</v>
      </c>
    </row>
    <row r="2765" spans="4:4" x14ac:dyDescent="0.4">
      <c r="D2765" s="37" t="s">
        <v>820</v>
      </c>
    </row>
    <row r="2766" spans="4:4" x14ac:dyDescent="0.4">
      <c r="D2766" s="37" t="s">
        <v>820</v>
      </c>
    </row>
    <row r="2767" spans="4:4" x14ac:dyDescent="0.4">
      <c r="D2767" s="37" t="s">
        <v>820</v>
      </c>
    </row>
    <row r="2768" spans="4:4" x14ac:dyDescent="0.4">
      <c r="D2768" s="37" t="s">
        <v>805</v>
      </c>
    </row>
    <row r="2769" spans="4:4" x14ac:dyDescent="0.4">
      <c r="D2769" s="37" t="s">
        <v>5159</v>
      </c>
    </row>
    <row r="2770" spans="4:4" x14ac:dyDescent="0.4">
      <c r="D2770" s="37" t="s">
        <v>820</v>
      </c>
    </row>
    <row r="2771" spans="4:4" x14ac:dyDescent="0.4">
      <c r="D2771" s="37" t="s">
        <v>820</v>
      </c>
    </row>
    <row r="2772" spans="4:4" x14ac:dyDescent="0.4">
      <c r="D2772" s="37" t="s">
        <v>820</v>
      </c>
    </row>
    <row r="2773" spans="4:4" x14ac:dyDescent="0.4">
      <c r="D2773" s="37" t="s">
        <v>5159</v>
      </c>
    </row>
    <row r="2774" spans="4:4" x14ac:dyDescent="0.4">
      <c r="D2774" s="37" t="s">
        <v>820</v>
      </c>
    </row>
    <row r="2775" spans="4:4" x14ac:dyDescent="0.4">
      <c r="D2775" s="37" t="s">
        <v>820</v>
      </c>
    </row>
    <row r="2776" spans="4:4" x14ac:dyDescent="0.4">
      <c r="D2776" s="37" t="s">
        <v>820</v>
      </c>
    </row>
    <row r="2777" spans="4:4" x14ac:dyDescent="0.4">
      <c r="D2777" s="37" t="s">
        <v>5159</v>
      </c>
    </row>
    <row r="2778" spans="4:4" x14ac:dyDescent="0.4">
      <c r="D2778" s="37" t="s">
        <v>820</v>
      </c>
    </row>
    <row r="2779" spans="4:4" x14ac:dyDescent="0.4">
      <c r="D2779" s="37" t="s">
        <v>820</v>
      </c>
    </row>
    <row r="2780" spans="4:4" x14ac:dyDescent="0.4">
      <c r="D2780" s="37" t="s">
        <v>820</v>
      </c>
    </row>
    <row r="2781" spans="4:4" x14ac:dyDescent="0.4">
      <c r="D2781" s="37" t="s">
        <v>820</v>
      </c>
    </row>
    <row r="2782" spans="4:4" x14ac:dyDescent="0.4">
      <c r="D2782" s="37" t="s">
        <v>820</v>
      </c>
    </row>
    <row r="2783" spans="4:4" x14ac:dyDescent="0.4">
      <c r="D2783" s="37" t="s">
        <v>820</v>
      </c>
    </row>
    <row r="2784" spans="4:4" x14ac:dyDescent="0.4">
      <c r="D2784" s="37" t="s">
        <v>5159</v>
      </c>
    </row>
    <row r="2785" spans="4:4" x14ac:dyDescent="0.4">
      <c r="D2785" s="37" t="s">
        <v>820</v>
      </c>
    </row>
    <row r="2786" spans="4:4" x14ac:dyDescent="0.4">
      <c r="D2786" s="37" t="s">
        <v>820</v>
      </c>
    </row>
    <row r="2787" spans="4:4" x14ac:dyDescent="0.4">
      <c r="D2787" s="37" t="s">
        <v>820</v>
      </c>
    </row>
    <row r="2788" spans="4:4" x14ac:dyDescent="0.4">
      <c r="D2788" s="37" t="s">
        <v>5159</v>
      </c>
    </row>
    <row r="2789" spans="4:4" x14ac:dyDescent="0.4">
      <c r="D2789" s="37" t="s">
        <v>820</v>
      </c>
    </row>
    <row r="2790" spans="4:4" x14ac:dyDescent="0.4">
      <c r="D2790" s="37" t="s">
        <v>820</v>
      </c>
    </row>
    <row r="2791" spans="4:4" x14ac:dyDescent="0.4">
      <c r="D2791" s="37" t="s">
        <v>820</v>
      </c>
    </row>
    <row r="2792" spans="4:4" x14ac:dyDescent="0.4">
      <c r="D2792" s="37" t="s">
        <v>820</v>
      </c>
    </row>
    <row r="2793" spans="4:4" x14ac:dyDescent="0.4">
      <c r="D2793" s="37" t="s">
        <v>820</v>
      </c>
    </row>
    <row r="2794" spans="4:4" x14ac:dyDescent="0.4">
      <c r="D2794" s="37" t="s">
        <v>5159</v>
      </c>
    </row>
    <row r="2795" spans="4:4" x14ac:dyDescent="0.4">
      <c r="D2795" s="37" t="s">
        <v>820</v>
      </c>
    </row>
    <row r="2796" spans="4:4" x14ac:dyDescent="0.4">
      <c r="D2796" s="37" t="s">
        <v>820</v>
      </c>
    </row>
    <row r="2797" spans="4:4" x14ac:dyDescent="0.4">
      <c r="D2797" s="37" t="s">
        <v>805</v>
      </c>
    </row>
    <row r="2798" spans="4:4" x14ac:dyDescent="0.4">
      <c r="D2798" s="37" t="s">
        <v>5159</v>
      </c>
    </row>
    <row r="2799" spans="4:4" x14ac:dyDescent="0.4">
      <c r="D2799" s="37" t="s">
        <v>820</v>
      </c>
    </row>
    <row r="2800" spans="4:4" x14ac:dyDescent="0.4">
      <c r="D2800" s="37" t="s">
        <v>820</v>
      </c>
    </row>
    <row r="2801" spans="4:4" x14ac:dyDescent="0.4">
      <c r="D2801" s="37" t="s">
        <v>820</v>
      </c>
    </row>
    <row r="2802" spans="4:4" x14ac:dyDescent="0.4">
      <c r="D2802" s="37" t="s">
        <v>805</v>
      </c>
    </row>
    <row r="2803" spans="4:4" x14ac:dyDescent="0.4">
      <c r="D2803" s="37" t="s">
        <v>820</v>
      </c>
    </row>
    <row r="2804" spans="4:4" x14ac:dyDescent="0.4">
      <c r="D2804" s="37" t="s">
        <v>820</v>
      </c>
    </row>
    <row r="2805" spans="4:4" x14ac:dyDescent="0.4">
      <c r="D2805" s="37" t="s">
        <v>820</v>
      </c>
    </row>
    <row r="2806" spans="4:4" x14ac:dyDescent="0.4">
      <c r="D2806" s="37" t="s">
        <v>820</v>
      </c>
    </row>
    <row r="2807" spans="4:4" x14ac:dyDescent="0.4">
      <c r="D2807" s="37" t="s">
        <v>820</v>
      </c>
    </row>
    <row r="2808" spans="4:4" x14ac:dyDescent="0.4">
      <c r="D2808" s="37" t="s">
        <v>820</v>
      </c>
    </row>
    <row r="2809" spans="4:4" x14ac:dyDescent="0.4">
      <c r="D2809" s="37" t="s">
        <v>820</v>
      </c>
    </row>
    <row r="2810" spans="4:4" x14ac:dyDescent="0.4">
      <c r="D2810" s="37" t="s">
        <v>820</v>
      </c>
    </row>
    <row r="2811" spans="4:4" x14ac:dyDescent="0.4">
      <c r="D2811" s="37" t="s">
        <v>5159</v>
      </c>
    </row>
    <row r="2812" spans="4:4" x14ac:dyDescent="0.4">
      <c r="D2812" s="37" t="s">
        <v>820</v>
      </c>
    </row>
    <row r="2813" spans="4:4" x14ac:dyDescent="0.4">
      <c r="D2813" s="37" t="s">
        <v>5159</v>
      </c>
    </row>
    <row r="2814" spans="4:4" x14ac:dyDescent="0.4">
      <c r="D2814" s="37" t="s">
        <v>820</v>
      </c>
    </row>
    <row r="2815" spans="4:4" x14ac:dyDescent="0.4">
      <c r="D2815" s="37" t="s">
        <v>820</v>
      </c>
    </row>
    <row r="2816" spans="4:4" x14ac:dyDescent="0.4">
      <c r="D2816" s="37" t="s">
        <v>820</v>
      </c>
    </row>
    <row r="2817" spans="4:4" x14ac:dyDescent="0.4">
      <c r="D2817" s="37" t="s">
        <v>5159</v>
      </c>
    </row>
    <row r="2818" spans="4:4" x14ac:dyDescent="0.4">
      <c r="D2818" s="37" t="s">
        <v>820</v>
      </c>
    </row>
    <row r="2819" spans="4:4" x14ac:dyDescent="0.4">
      <c r="D2819" s="37" t="s">
        <v>820</v>
      </c>
    </row>
    <row r="2820" spans="4:4" x14ac:dyDescent="0.4">
      <c r="D2820" s="37" t="s">
        <v>5159</v>
      </c>
    </row>
    <row r="2821" spans="4:4" x14ac:dyDescent="0.4">
      <c r="D2821" s="37" t="s">
        <v>820</v>
      </c>
    </row>
    <row r="2822" spans="4:4" x14ac:dyDescent="0.4">
      <c r="D2822" s="37" t="s">
        <v>820</v>
      </c>
    </row>
    <row r="2823" spans="4:4" x14ac:dyDescent="0.4">
      <c r="D2823" s="37" t="s">
        <v>5159</v>
      </c>
    </row>
    <row r="2824" spans="4:4" x14ac:dyDescent="0.4">
      <c r="D2824" s="37" t="s">
        <v>820</v>
      </c>
    </row>
    <row r="2825" spans="4:4" x14ac:dyDescent="0.4">
      <c r="D2825" s="37" t="s">
        <v>820</v>
      </c>
    </row>
    <row r="2826" spans="4:4" x14ac:dyDescent="0.4">
      <c r="D2826" s="37" t="s">
        <v>820</v>
      </c>
    </row>
    <row r="2827" spans="4:4" x14ac:dyDescent="0.4">
      <c r="D2827" s="37" t="s">
        <v>820</v>
      </c>
    </row>
    <row r="2828" spans="4:4" x14ac:dyDescent="0.4">
      <c r="D2828" s="37" t="s">
        <v>820</v>
      </c>
    </row>
    <row r="2829" spans="4:4" x14ac:dyDescent="0.4">
      <c r="D2829" s="37" t="s">
        <v>805</v>
      </c>
    </row>
    <row r="2830" spans="4:4" x14ac:dyDescent="0.4">
      <c r="D2830" s="37" t="s">
        <v>5159</v>
      </c>
    </row>
    <row r="2831" spans="4:4" x14ac:dyDescent="0.4">
      <c r="D2831" s="37" t="s">
        <v>820</v>
      </c>
    </row>
    <row r="2832" spans="4:4" x14ac:dyDescent="0.4">
      <c r="D2832" s="37" t="s">
        <v>820</v>
      </c>
    </row>
    <row r="2833" spans="4:4" x14ac:dyDescent="0.4">
      <c r="D2833" s="37" t="s">
        <v>820</v>
      </c>
    </row>
    <row r="2834" spans="4:4" x14ac:dyDescent="0.4">
      <c r="D2834" s="37" t="s">
        <v>820</v>
      </c>
    </row>
    <row r="2835" spans="4:4" x14ac:dyDescent="0.4">
      <c r="D2835" s="37" t="s">
        <v>820</v>
      </c>
    </row>
    <row r="2836" spans="4:4" x14ac:dyDescent="0.4">
      <c r="D2836" s="37" t="s">
        <v>805</v>
      </c>
    </row>
    <row r="2837" spans="4:4" x14ac:dyDescent="0.4">
      <c r="D2837" s="37" t="s">
        <v>820</v>
      </c>
    </row>
    <row r="2838" spans="4:4" x14ac:dyDescent="0.4">
      <c r="D2838" s="37" t="s">
        <v>820</v>
      </c>
    </row>
    <row r="2839" spans="4:4" x14ac:dyDescent="0.4">
      <c r="D2839" s="37" t="s">
        <v>820</v>
      </c>
    </row>
    <row r="2840" spans="4:4" x14ac:dyDescent="0.4">
      <c r="D2840" s="37" t="s">
        <v>820</v>
      </c>
    </row>
    <row r="2841" spans="4:4" x14ac:dyDescent="0.4">
      <c r="D2841" s="37" t="s">
        <v>5159</v>
      </c>
    </row>
    <row r="2842" spans="4:4" x14ac:dyDescent="0.4">
      <c r="D2842" s="37" t="s">
        <v>820</v>
      </c>
    </row>
    <row r="2843" spans="4:4" x14ac:dyDescent="0.4">
      <c r="D2843" s="37" t="s">
        <v>820</v>
      </c>
    </row>
    <row r="2844" spans="4:4" x14ac:dyDescent="0.4">
      <c r="D2844" s="37" t="s">
        <v>820</v>
      </c>
    </row>
    <row r="2845" spans="4:4" x14ac:dyDescent="0.4">
      <c r="D2845" s="37" t="s">
        <v>820</v>
      </c>
    </row>
    <row r="2846" spans="4:4" x14ac:dyDescent="0.4">
      <c r="D2846" s="37" t="s">
        <v>820</v>
      </c>
    </row>
    <row r="2847" spans="4:4" x14ac:dyDescent="0.4">
      <c r="D2847" s="37" t="s">
        <v>820</v>
      </c>
    </row>
    <row r="2848" spans="4:4" x14ac:dyDescent="0.4">
      <c r="D2848" s="37" t="s">
        <v>820</v>
      </c>
    </row>
    <row r="2849" spans="4:4" x14ac:dyDescent="0.4">
      <c r="D2849" s="37" t="s">
        <v>820</v>
      </c>
    </row>
    <row r="2850" spans="4:4" x14ac:dyDescent="0.4">
      <c r="D2850" s="37" t="s">
        <v>820</v>
      </c>
    </row>
    <row r="2851" spans="4:4" x14ac:dyDescent="0.4">
      <c r="D2851" s="37" t="s">
        <v>820</v>
      </c>
    </row>
    <row r="2852" spans="4:4" x14ac:dyDescent="0.4">
      <c r="D2852" s="37" t="s">
        <v>820</v>
      </c>
    </row>
    <row r="2853" spans="4:4" x14ac:dyDescent="0.4">
      <c r="D2853" s="37" t="s">
        <v>5159</v>
      </c>
    </row>
    <row r="2854" spans="4:4" x14ac:dyDescent="0.4">
      <c r="D2854" s="37" t="s">
        <v>820</v>
      </c>
    </row>
    <row r="2855" spans="4:4" x14ac:dyDescent="0.4">
      <c r="D2855" s="37" t="s">
        <v>5159</v>
      </c>
    </row>
    <row r="2856" spans="4:4" x14ac:dyDescent="0.4">
      <c r="D2856" s="37" t="s">
        <v>820</v>
      </c>
    </row>
    <row r="2857" spans="4:4" x14ac:dyDescent="0.4">
      <c r="D2857" s="37" t="s">
        <v>805</v>
      </c>
    </row>
    <row r="2858" spans="4:4" x14ac:dyDescent="0.4">
      <c r="D2858" s="37" t="s">
        <v>820</v>
      </c>
    </row>
    <row r="2859" spans="4:4" x14ac:dyDescent="0.4">
      <c r="D2859" s="37" t="s">
        <v>820</v>
      </c>
    </row>
    <row r="2860" spans="4:4" x14ac:dyDescent="0.4">
      <c r="D2860" s="37" t="s">
        <v>820</v>
      </c>
    </row>
    <row r="2861" spans="4:4" x14ac:dyDescent="0.4">
      <c r="D2861" s="37" t="s">
        <v>820</v>
      </c>
    </row>
    <row r="2862" spans="4:4" x14ac:dyDescent="0.4">
      <c r="D2862" s="37" t="s">
        <v>805</v>
      </c>
    </row>
    <row r="2863" spans="4:4" x14ac:dyDescent="0.4">
      <c r="D2863" s="37" t="s">
        <v>5159</v>
      </c>
    </row>
    <row r="2864" spans="4:4" x14ac:dyDescent="0.4">
      <c r="D2864" s="37" t="s">
        <v>805</v>
      </c>
    </row>
    <row r="2865" spans="4:4" x14ac:dyDescent="0.4">
      <c r="D2865" s="37" t="s">
        <v>5159</v>
      </c>
    </row>
    <row r="2866" spans="4:4" x14ac:dyDescent="0.4">
      <c r="D2866" s="37" t="s">
        <v>820</v>
      </c>
    </row>
    <row r="2867" spans="4:4" x14ac:dyDescent="0.4">
      <c r="D2867" s="37" t="s">
        <v>820</v>
      </c>
    </row>
    <row r="2868" spans="4:4" x14ac:dyDescent="0.4">
      <c r="D2868" s="37" t="s">
        <v>5159</v>
      </c>
    </row>
    <row r="2869" spans="4:4" x14ac:dyDescent="0.4">
      <c r="D2869" s="37" t="s">
        <v>820</v>
      </c>
    </row>
    <row r="2870" spans="4:4" x14ac:dyDescent="0.4">
      <c r="D2870" s="37" t="s">
        <v>820</v>
      </c>
    </row>
    <row r="2871" spans="4:4" x14ac:dyDescent="0.4">
      <c r="D2871" s="37" t="s">
        <v>5159</v>
      </c>
    </row>
    <row r="2872" spans="4:4" x14ac:dyDescent="0.4">
      <c r="D2872" s="37" t="s">
        <v>820</v>
      </c>
    </row>
    <row r="2873" spans="4:4" x14ac:dyDescent="0.4">
      <c r="D2873" s="37" t="s">
        <v>5159</v>
      </c>
    </row>
    <row r="2874" spans="4:4" x14ac:dyDescent="0.4">
      <c r="D2874" s="37" t="s">
        <v>820</v>
      </c>
    </row>
    <row r="2875" spans="4:4" x14ac:dyDescent="0.4">
      <c r="D2875" s="37" t="s">
        <v>820</v>
      </c>
    </row>
    <row r="2876" spans="4:4" x14ac:dyDescent="0.4">
      <c r="D2876" s="37" t="s">
        <v>820</v>
      </c>
    </row>
    <row r="2877" spans="4:4" x14ac:dyDescent="0.4">
      <c r="D2877" s="37" t="s">
        <v>820</v>
      </c>
    </row>
    <row r="2878" spans="4:4" x14ac:dyDescent="0.4">
      <c r="D2878" s="37" t="s">
        <v>805</v>
      </c>
    </row>
    <row r="2879" spans="4:4" x14ac:dyDescent="0.4">
      <c r="D2879" s="37" t="s">
        <v>5159</v>
      </c>
    </row>
    <row r="2880" spans="4:4" x14ac:dyDescent="0.4">
      <c r="D2880" s="37" t="s">
        <v>820</v>
      </c>
    </row>
    <row r="2881" spans="4:4" x14ac:dyDescent="0.4">
      <c r="D2881" s="37" t="s">
        <v>820</v>
      </c>
    </row>
    <row r="2882" spans="4:4" x14ac:dyDescent="0.4">
      <c r="D2882" s="37" t="s">
        <v>820</v>
      </c>
    </row>
    <row r="2883" spans="4:4" x14ac:dyDescent="0.4">
      <c r="D2883" s="37" t="s">
        <v>820</v>
      </c>
    </row>
    <row r="2884" spans="4:4" x14ac:dyDescent="0.4">
      <c r="D2884" s="37" t="s">
        <v>805</v>
      </c>
    </row>
    <row r="2885" spans="4:4" x14ac:dyDescent="0.4">
      <c r="D2885" s="37" t="s">
        <v>820</v>
      </c>
    </row>
    <row r="2886" spans="4:4" x14ac:dyDescent="0.4">
      <c r="D2886" s="37" t="s">
        <v>5159</v>
      </c>
    </row>
    <row r="2887" spans="4:4" x14ac:dyDescent="0.4">
      <c r="D2887" s="37" t="s">
        <v>820</v>
      </c>
    </row>
    <row r="2888" spans="4:4" x14ac:dyDescent="0.4">
      <c r="D2888" s="37" t="s">
        <v>805</v>
      </c>
    </row>
    <row r="2889" spans="4:4" x14ac:dyDescent="0.4">
      <c r="D2889" s="37" t="s">
        <v>820</v>
      </c>
    </row>
    <row r="2890" spans="4:4" x14ac:dyDescent="0.4">
      <c r="D2890" s="37" t="s">
        <v>820</v>
      </c>
    </row>
    <row r="2891" spans="4:4" x14ac:dyDescent="0.4">
      <c r="D2891" s="37" t="s">
        <v>820</v>
      </c>
    </row>
    <row r="2892" spans="4:4" x14ac:dyDescent="0.4">
      <c r="D2892" s="37" t="s">
        <v>805</v>
      </c>
    </row>
    <row r="2893" spans="4:4" x14ac:dyDescent="0.4">
      <c r="D2893" s="37" t="s">
        <v>5159</v>
      </c>
    </row>
    <row r="2894" spans="4:4" x14ac:dyDescent="0.4">
      <c r="D2894" s="37" t="s">
        <v>820</v>
      </c>
    </row>
    <row r="2895" spans="4:4" x14ac:dyDescent="0.4">
      <c r="D2895" s="37" t="s">
        <v>820</v>
      </c>
    </row>
    <row r="2896" spans="4:4" x14ac:dyDescent="0.4">
      <c r="D2896" s="37" t="s">
        <v>820</v>
      </c>
    </row>
    <row r="2897" spans="4:4" x14ac:dyDescent="0.4">
      <c r="D2897" s="37" t="s">
        <v>820</v>
      </c>
    </row>
    <row r="2898" spans="4:4" x14ac:dyDescent="0.4">
      <c r="D2898" s="37" t="s">
        <v>820</v>
      </c>
    </row>
    <row r="2899" spans="4:4" x14ac:dyDescent="0.4">
      <c r="D2899" s="37" t="s">
        <v>5159</v>
      </c>
    </row>
    <row r="2900" spans="4:4" x14ac:dyDescent="0.4">
      <c r="D2900" s="37" t="s">
        <v>805</v>
      </c>
    </row>
    <row r="2901" spans="4:4" x14ac:dyDescent="0.4">
      <c r="D2901" s="37" t="s">
        <v>5159</v>
      </c>
    </row>
    <row r="2902" spans="4:4" x14ac:dyDescent="0.4">
      <c r="D2902" s="37" t="s">
        <v>820</v>
      </c>
    </row>
    <row r="2903" spans="4:4" x14ac:dyDescent="0.4">
      <c r="D2903" s="37" t="s">
        <v>805</v>
      </c>
    </row>
    <row r="2904" spans="4:4" x14ac:dyDescent="0.4">
      <c r="D2904" s="37" t="s">
        <v>5159</v>
      </c>
    </row>
    <row r="2905" spans="4:4" x14ac:dyDescent="0.4">
      <c r="D2905" s="37" t="s">
        <v>820</v>
      </c>
    </row>
    <row r="2906" spans="4:4" x14ac:dyDescent="0.4">
      <c r="D2906" s="37" t="s">
        <v>820</v>
      </c>
    </row>
    <row r="2907" spans="4:4" x14ac:dyDescent="0.4">
      <c r="D2907" s="37" t="s">
        <v>820</v>
      </c>
    </row>
    <row r="2908" spans="4:4" x14ac:dyDescent="0.4">
      <c r="D2908" s="37" t="s">
        <v>820</v>
      </c>
    </row>
    <row r="2909" spans="4:4" x14ac:dyDescent="0.4">
      <c r="D2909" s="37" t="s">
        <v>820</v>
      </c>
    </row>
    <row r="2910" spans="4:4" x14ac:dyDescent="0.4">
      <c r="D2910" s="37" t="s">
        <v>5159</v>
      </c>
    </row>
    <row r="2911" spans="4:4" x14ac:dyDescent="0.4">
      <c r="D2911" s="37" t="s">
        <v>820</v>
      </c>
    </row>
    <row r="2912" spans="4:4" x14ac:dyDescent="0.4">
      <c r="D2912" s="37" t="s">
        <v>820</v>
      </c>
    </row>
    <row r="2913" spans="4:4" x14ac:dyDescent="0.4">
      <c r="D2913" s="37" t="s">
        <v>5159</v>
      </c>
    </row>
    <row r="2914" spans="4:4" x14ac:dyDescent="0.4">
      <c r="D2914" s="37" t="s">
        <v>820</v>
      </c>
    </row>
    <row r="2915" spans="4:4" x14ac:dyDescent="0.4">
      <c r="D2915" s="37" t="s">
        <v>820</v>
      </c>
    </row>
    <row r="2916" spans="4:4" x14ac:dyDescent="0.4">
      <c r="D2916" s="37" t="s">
        <v>820</v>
      </c>
    </row>
    <row r="2917" spans="4:4" x14ac:dyDescent="0.4">
      <c r="D2917" s="37" t="s">
        <v>820</v>
      </c>
    </row>
    <row r="2918" spans="4:4" x14ac:dyDescent="0.4">
      <c r="D2918" s="37" t="s">
        <v>820</v>
      </c>
    </row>
    <row r="2919" spans="4:4" x14ac:dyDescent="0.4">
      <c r="D2919" s="37" t="s">
        <v>820</v>
      </c>
    </row>
    <row r="2920" spans="4:4" x14ac:dyDescent="0.4">
      <c r="D2920" s="37" t="s">
        <v>5159</v>
      </c>
    </row>
    <row r="2921" spans="4:4" x14ac:dyDescent="0.4">
      <c r="D2921" s="37" t="s">
        <v>820</v>
      </c>
    </row>
    <row r="2922" spans="4:4" x14ac:dyDescent="0.4">
      <c r="D2922" s="37" t="s">
        <v>5159</v>
      </c>
    </row>
    <row r="2923" spans="4:4" x14ac:dyDescent="0.4">
      <c r="D2923" s="37" t="s">
        <v>820</v>
      </c>
    </row>
    <row r="2924" spans="4:4" x14ac:dyDescent="0.4">
      <c r="D2924" s="37" t="s">
        <v>820</v>
      </c>
    </row>
    <row r="2925" spans="4:4" x14ac:dyDescent="0.4">
      <c r="D2925" s="37" t="s">
        <v>5159</v>
      </c>
    </row>
    <row r="2926" spans="4:4" x14ac:dyDescent="0.4">
      <c r="D2926" s="37" t="s">
        <v>820</v>
      </c>
    </row>
    <row r="2927" spans="4:4" x14ac:dyDescent="0.4">
      <c r="D2927" s="37" t="s">
        <v>820</v>
      </c>
    </row>
    <row r="2928" spans="4:4" x14ac:dyDescent="0.4">
      <c r="D2928" s="37" t="s">
        <v>820</v>
      </c>
    </row>
    <row r="2929" spans="4:4" x14ac:dyDescent="0.4">
      <c r="D2929" s="37" t="s">
        <v>820</v>
      </c>
    </row>
    <row r="2930" spans="4:4" x14ac:dyDescent="0.4">
      <c r="D2930" s="37" t="s">
        <v>820</v>
      </c>
    </row>
    <row r="2931" spans="4:4" x14ac:dyDescent="0.4">
      <c r="D2931" s="37" t="s">
        <v>820</v>
      </c>
    </row>
    <row r="2932" spans="4:4" x14ac:dyDescent="0.4">
      <c r="D2932" s="37" t="s">
        <v>5159</v>
      </c>
    </row>
    <row r="2933" spans="4:4" x14ac:dyDescent="0.4">
      <c r="D2933" s="37" t="s">
        <v>820</v>
      </c>
    </row>
    <row r="2934" spans="4:4" x14ac:dyDescent="0.4">
      <c r="D2934" s="37" t="s">
        <v>5159</v>
      </c>
    </row>
    <row r="2935" spans="4:4" x14ac:dyDescent="0.4">
      <c r="D2935" s="37" t="s">
        <v>820</v>
      </c>
    </row>
    <row r="2936" spans="4:4" x14ac:dyDescent="0.4">
      <c r="D2936" s="37" t="s">
        <v>820</v>
      </c>
    </row>
    <row r="2937" spans="4:4" x14ac:dyDescent="0.4">
      <c r="D2937" s="37" t="s">
        <v>820</v>
      </c>
    </row>
    <row r="2938" spans="4:4" x14ac:dyDescent="0.4">
      <c r="D2938" s="37" t="s">
        <v>820</v>
      </c>
    </row>
    <row r="2939" spans="4:4" x14ac:dyDescent="0.4">
      <c r="D2939" s="37" t="s">
        <v>5159</v>
      </c>
    </row>
    <row r="2940" spans="4:4" x14ac:dyDescent="0.4">
      <c r="D2940" s="37" t="s">
        <v>820</v>
      </c>
    </row>
    <row r="2941" spans="4:4" x14ac:dyDescent="0.4">
      <c r="D2941" s="37" t="s">
        <v>820</v>
      </c>
    </row>
    <row r="2942" spans="4:4" x14ac:dyDescent="0.4">
      <c r="D2942" s="37" t="s">
        <v>820</v>
      </c>
    </row>
    <row r="2943" spans="4:4" x14ac:dyDescent="0.4">
      <c r="D2943" s="37" t="s">
        <v>5159</v>
      </c>
    </row>
    <row r="2944" spans="4:4" x14ac:dyDescent="0.4">
      <c r="D2944" s="37" t="s">
        <v>820</v>
      </c>
    </row>
    <row r="2945" spans="4:4" x14ac:dyDescent="0.4">
      <c r="D2945" s="37" t="s">
        <v>5159</v>
      </c>
    </row>
    <row r="2946" spans="4:4" x14ac:dyDescent="0.4">
      <c r="D2946" s="37" t="s">
        <v>805</v>
      </c>
    </row>
    <row r="2947" spans="4:4" x14ac:dyDescent="0.4">
      <c r="D2947" s="37" t="s">
        <v>5159</v>
      </c>
    </row>
    <row r="2948" spans="4:4" x14ac:dyDescent="0.4">
      <c r="D2948" s="37" t="s">
        <v>820</v>
      </c>
    </row>
    <row r="2949" spans="4:4" x14ac:dyDescent="0.4">
      <c r="D2949" s="37" t="s">
        <v>820</v>
      </c>
    </row>
    <row r="2950" spans="4:4" x14ac:dyDescent="0.4">
      <c r="D2950" s="37" t="s">
        <v>805</v>
      </c>
    </row>
    <row r="2951" spans="4:4" x14ac:dyDescent="0.4">
      <c r="D2951" s="37" t="s">
        <v>5159</v>
      </c>
    </row>
    <row r="2952" spans="4:4" x14ac:dyDescent="0.4">
      <c r="D2952" s="37" t="s">
        <v>820</v>
      </c>
    </row>
    <row r="2953" spans="4:4" x14ac:dyDescent="0.4">
      <c r="D2953" s="37" t="s">
        <v>5159</v>
      </c>
    </row>
    <row r="2954" spans="4:4" x14ac:dyDescent="0.4">
      <c r="D2954" s="37" t="s">
        <v>820</v>
      </c>
    </row>
    <row r="2955" spans="4:4" x14ac:dyDescent="0.4">
      <c r="D2955" s="37" t="s">
        <v>820</v>
      </c>
    </row>
    <row r="2956" spans="4:4" x14ac:dyDescent="0.4">
      <c r="D2956" s="37" t="s">
        <v>820</v>
      </c>
    </row>
    <row r="2957" spans="4:4" x14ac:dyDescent="0.4">
      <c r="D2957" s="37" t="s">
        <v>820</v>
      </c>
    </row>
    <row r="2958" spans="4:4" x14ac:dyDescent="0.4">
      <c r="D2958" s="37" t="s">
        <v>820</v>
      </c>
    </row>
    <row r="2959" spans="4:4" x14ac:dyDescent="0.4">
      <c r="D2959" s="37" t="s">
        <v>820</v>
      </c>
    </row>
    <row r="2960" spans="4:4" x14ac:dyDescent="0.4">
      <c r="D2960" s="37" t="s">
        <v>820</v>
      </c>
    </row>
    <row r="2961" spans="4:4" x14ac:dyDescent="0.4">
      <c r="D2961" s="37" t="s">
        <v>820</v>
      </c>
    </row>
    <row r="2962" spans="4:4" x14ac:dyDescent="0.4">
      <c r="D2962" s="37" t="s">
        <v>820</v>
      </c>
    </row>
    <row r="2963" spans="4:4" x14ac:dyDescent="0.4">
      <c r="D2963" s="37" t="s">
        <v>820</v>
      </c>
    </row>
    <row r="2964" spans="4:4" x14ac:dyDescent="0.4">
      <c r="D2964" s="37" t="s">
        <v>820</v>
      </c>
    </row>
    <row r="2965" spans="4:4" x14ac:dyDescent="0.4">
      <c r="D2965" s="37" t="s">
        <v>820</v>
      </c>
    </row>
    <row r="2966" spans="4:4" x14ac:dyDescent="0.4">
      <c r="D2966" s="37" t="s">
        <v>820</v>
      </c>
    </row>
    <row r="2967" spans="4:4" x14ac:dyDescent="0.4">
      <c r="D2967" s="37" t="s">
        <v>820</v>
      </c>
    </row>
    <row r="2968" spans="4:4" x14ac:dyDescent="0.4">
      <c r="D2968" s="37" t="s">
        <v>820</v>
      </c>
    </row>
    <row r="2969" spans="4:4" x14ac:dyDescent="0.4">
      <c r="D2969" s="37" t="s">
        <v>820</v>
      </c>
    </row>
    <row r="2970" spans="4:4" x14ac:dyDescent="0.4">
      <c r="D2970" s="37" t="s">
        <v>5159</v>
      </c>
    </row>
    <row r="2971" spans="4:4" x14ac:dyDescent="0.4">
      <c r="D2971" s="37" t="s">
        <v>820</v>
      </c>
    </row>
    <row r="2972" spans="4:4" x14ac:dyDescent="0.4">
      <c r="D2972" s="37" t="s">
        <v>820</v>
      </c>
    </row>
    <row r="2973" spans="4:4" x14ac:dyDescent="0.4">
      <c r="D2973" s="37" t="s">
        <v>820</v>
      </c>
    </row>
    <row r="2974" spans="4:4" x14ac:dyDescent="0.4">
      <c r="D2974" s="37" t="s">
        <v>820</v>
      </c>
    </row>
    <row r="2975" spans="4:4" x14ac:dyDescent="0.4">
      <c r="D2975" s="37" t="s">
        <v>820</v>
      </c>
    </row>
    <row r="2976" spans="4:4" x14ac:dyDescent="0.4">
      <c r="D2976" s="37" t="s">
        <v>820</v>
      </c>
    </row>
    <row r="2977" spans="4:4" x14ac:dyDescent="0.4">
      <c r="D2977" s="37" t="s">
        <v>820</v>
      </c>
    </row>
    <row r="2978" spans="4:4" x14ac:dyDescent="0.4">
      <c r="D2978" s="37" t="s">
        <v>820</v>
      </c>
    </row>
    <row r="2979" spans="4:4" x14ac:dyDescent="0.4">
      <c r="D2979" s="37" t="s">
        <v>820</v>
      </c>
    </row>
    <row r="2980" spans="4:4" x14ac:dyDescent="0.4">
      <c r="D2980" s="37" t="s">
        <v>820</v>
      </c>
    </row>
    <row r="2981" spans="4:4" x14ac:dyDescent="0.4">
      <c r="D2981" s="37" t="s">
        <v>820</v>
      </c>
    </row>
    <row r="2982" spans="4:4" x14ac:dyDescent="0.4">
      <c r="D2982" s="37" t="s">
        <v>820</v>
      </c>
    </row>
    <row r="2983" spans="4:4" x14ac:dyDescent="0.4">
      <c r="D2983" s="37" t="s">
        <v>820</v>
      </c>
    </row>
    <row r="2984" spans="4:4" x14ac:dyDescent="0.4">
      <c r="D2984" s="37" t="s">
        <v>820</v>
      </c>
    </row>
    <row r="2985" spans="4:4" x14ac:dyDescent="0.4">
      <c r="D2985" s="37" t="s">
        <v>820</v>
      </c>
    </row>
    <row r="2986" spans="4:4" x14ac:dyDescent="0.4">
      <c r="D2986" s="37" t="s">
        <v>820</v>
      </c>
    </row>
    <row r="2987" spans="4:4" x14ac:dyDescent="0.4">
      <c r="D2987" s="37" t="s">
        <v>820</v>
      </c>
    </row>
    <row r="2988" spans="4:4" x14ac:dyDescent="0.4">
      <c r="D2988" s="37" t="s">
        <v>5159</v>
      </c>
    </row>
    <row r="2989" spans="4:4" x14ac:dyDescent="0.4">
      <c r="D2989" s="37" t="s">
        <v>820</v>
      </c>
    </row>
    <row r="2990" spans="4:4" x14ac:dyDescent="0.4">
      <c r="D2990" s="37" t="s">
        <v>820</v>
      </c>
    </row>
    <row r="2991" spans="4:4" x14ac:dyDescent="0.4">
      <c r="D2991" s="37" t="s">
        <v>820</v>
      </c>
    </row>
    <row r="2992" spans="4:4" x14ac:dyDescent="0.4">
      <c r="D2992" s="37" t="s">
        <v>5159</v>
      </c>
    </row>
    <row r="2993" spans="4:4" x14ac:dyDescent="0.4">
      <c r="D2993" s="37" t="s">
        <v>820</v>
      </c>
    </row>
    <row r="2994" spans="4:4" x14ac:dyDescent="0.4">
      <c r="D2994" s="37" t="s">
        <v>820</v>
      </c>
    </row>
    <row r="2995" spans="4:4" x14ac:dyDescent="0.4">
      <c r="D2995" s="37" t="s">
        <v>5159</v>
      </c>
    </row>
    <row r="2996" spans="4:4" x14ac:dyDescent="0.4">
      <c r="D2996" s="37" t="s">
        <v>820</v>
      </c>
    </row>
    <row r="2997" spans="4:4" x14ac:dyDescent="0.4">
      <c r="D2997" s="37" t="s">
        <v>820</v>
      </c>
    </row>
    <row r="2998" spans="4:4" x14ac:dyDescent="0.4">
      <c r="D2998" s="37" t="s">
        <v>820</v>
      </c>
    </row>
    <row r="2999" spans="4:4" x14ac:dyDescent="0.4">
      <c r="D2999" s="37" t="s">
        <v>820</v>
      </c>
    </row>
    <row r="3000" spans="4:4" x14ac:dyDescent="0.4">
      <c r="D3000" s="37" t="s">
        <v>5159</v>
      </c>
    </row>
    <row r="3001" spans="4:4" x14ac:dyDescent="0.4">
      <c r="D3001" s="37" t="s">
        <v>820</v>
      </c>
    </row>
    <row r="3002" spans="4:4" x14ac:dyDescent="0.4">
      <c r="D3002" s="37" t="s">
        <v>820</v>
      </c>
    </row>
    <row r="3003" spans="4:4" x14ac:dyDescent="0.4">
      <c r="D3003" s="37" t="s">
        <v>820</v>
      </c>
    </row>
    <row r="3004" spans="4:4" x14ac:dyDescent="0.4">
      <c r="D3004" s="37" t="s">
        <v>820</v>
      </c>
    </row>
    <row r="3005" spans="4:4" x14ac:dyDescent="0.4">
      <c r="D3005" s="37" t="s">
        <v>820</v>
      </c>
    </row>
    <row r="3006" spans="4:4" x14ac:dyDescent="0.4">
      <c r="D3006" s="37" t="s">
        <v>820</v>
      </c>
    </row>
    <row r="3007" spans="4:4" x14ac:dyDescent="0.4">
      <c r="D3007" s="37" t="s">
        <v>820</v>
      </c>
    </row>
    <row r="3008" spans="4:4" x14ac:dyDescent="0.4">
      <c r="D3008" s="37" t="s">
        <v>820</v>
      </c>
    </row>
    <row r="3009" spans="4:4" x14ac:dyDescent="0.4">
      <c r="D3009" s="37" t="s">
        <v>820</v>
      </c>
    </row>
    <row r="3010" spans="4:4" x14ac:dyDescent="0.4">
      <c r="D3010" s="37" t="s">
        <v>820</v>
      </c>
    </row>
    <row r="3011" spans="4:4" x14ac:dyDescent="0.4">
      <c r="D3011" s="37" t="s">
        <v>5159</v>
      </c>
    </row>
    <row r="3012" spans="4:4" x14ac:dyDescent="0.4">
      <c r="D3012" s="37" t="s">
        <v>820</v>
      </c>
    </row>
    <row r="3013" spans="4:4" x14ac:dyDescent="0.4">
      <c r="D3013" s="37" t="s">
        <v>820</v>
      </c>
    </row>
    <row r="3014" spans="4:4" x14ac:dyDescent="0.4">
      <c r="D3014" s="37" t="s">
        <v>5159</v>
      </c>
    </row>
    <row r="3015" spans="4:4" x14ac:dyDescent="0.4">
      <c r="D3015" s="37" t="s">
        <v>805</v>
      </c>
    </row>
    <row r="3016" spans="4:4" x14ac:dyDescent="0.4">
      <c r="D3016" s="37" t="s">
        <v>5159</v>
      </c>
    </row>
    <row r="3017" spans="4:4" x14ac:dyDescent="0.4">
      <c r="D3017" s="37" t="s">
        <v>820</v>
      </c>
    </row>
    <row r="3018" spans="4:4" x14ac:dyDescent="0.4">
      <c r="D3018" s="37" t="s">
        <v>820</v>
      </c>
    </row>
    <row r="3019" spans="4:4" x14ac:dyDescent="0.4">
      <c r="D3019" s="37" t="s">
        <v>820</v>
      </c>
    </row>
    <row r="3020" spans="4:4" x14ac:dyDescent="0.4">
      <c r="D3020" s="37" t="s">
        <v>820</v>
      </c>
    </row>
    <row r="3021" spans="4:4" x14ac:dyDescent="0.4">
      <c r="D3021" s="37" t="s">
        <v>820</v>
      </c>
    </row>
    <row r="3022" spans="4:4" x14ac:dyDescent="0.4">
      <c r="D3022" s="37" t="s">
        <v>5159</v>
      </c>
    </row>
    <row r="3023" spans="4:4" x14ac:dyDescent="0.4">
      <c r="D3023" s="37" t="s">
        <v>805</v>
      </c>
    </row>
    <row r="3024" spans="4:4" x14ac:dyDescent="0.4">
      <c r="D3024" s="37" t="s">
        <v>5159</v>
      </c>
    </row>
    <row r="3025" spans="4:4" x14ac:dyDescent="0.4">
      <c r="D3025" s="37" t="s">
        <v>820</v>
      </c>
    </row>
    <row r="3026" spans="4:4" x14ac:dyDescent="0.4">
      <c r="D3026" s="37" t="s">
        <v>820</v>
      </c>
    </row>
    <row r="3027" spans="4:4" x14ac:dyDescent="0.4">
      <c r="D3027" s="37" t="s">
        <v>820</v>
      </c>
    </row>
    <row r="3028" spans="4:4" x14ac:dyDescent="0.4">
      <c r="D3028" s="37" t="s">
        <v>820</v>
      </c>
    </row>
    <row r="3029" spans="4:4" x14ac:dyDescent="0.4">
      <c r="D3029" s="37" t="s">
        <v>5159</v>
      </c>
    </row>
    <row r="3030" spans="4:4" x14ac:dyDescent="0.4">
      <c r="D3030" s="37" t="s">
        <v>820</v>
      </c>
    </row>
    <row r="3031" spans="4:4" x14ac:dyDescent="0.4">
      <c r="D3031" s="37" t="s">
        <v>820</v>
      </c>
    </row>
    <row r="3032" spans="4:4" x14ac:dyDescent="0.4">
      <c r="D3032" s="37" t="s">
        <v>5159</v>
      </c>
    </row>
    <row r="3033" spans="4:4" x14ac:dyDescent="0.4">
      <c r="D3033" s="37" t="s">
        <v>805</v>
      </c>
    </row>
    <row r="3034" spans="4:4" x14ac:dyDescent="0.4">
      <c r="D3034" s="37" t="s">
        <v>820</v>
      </c>
    </row>
    <row r="3035" spans="4:4" x14ac:dyDescent="0.4">
      <c r="D3035" s="37" t="s">
        <v>820</v>
      </c>
    </row>
    <row r="3036" spans="4:4" x14ac:dyDescent="0.4">
      <c r="D3036" s="37" t="s">
        <v>820</v>
      </c>
    </row>
    <row r="3037" spans="4:4" x14ac:dyDescent="0.4">
      <c r="D3037" s="37" t="s">
        <v>5159</v>
      </c>
    </row>
    <row r="3038" spans="4:4" x14ac:dyDescent="0.4">
      <c r="D3038" s="37" t="s">
        <v>820</v>
      </c>
    </row>
    <row r="3039" spans="4:4" x14ac:dyDescent="0.4">
      <c r="D3039" s="37" t="s">
        <v>820</v>
      </c>
    </row>
    <row r="3040" spans="4:4" x14ac:dyDescent="0.4">
      <c r="D3040" s="37" t="s">
        <v>5159</v>
      </c>
    </row>
    <row r="3041" spans="4:4" x14ac:dyDescent="0.4">
      <c r="D3041" s="37" t="s">
        <v>805</v>
      </c>
    </row>
    <row r="3042" spans="4:4" x14ac:dyDescent="0.4">
      <c r="D3042" s="37" t="s">
        <v>820</v>
      </c>
    </row>
    <row r="3043" spans="4:4" x14ac:dyDescent="0.4">
      <c r="D3043" s="37" t="s">
        <v>820</v>
      </c>
    </row>
    <row r="3044" spans="4:4" x14ac:dyDescent="0.4">
      <c r="D3044" s="37" t="s">
        <v>820</v>
      </c>
    </row>
    <row r="3045" spans="4:4" x14ac:dyDescent="0.4">
      <c r="D3045" s="37" t="s">
        <v>5159</v>
      </c>
    </row>
    <row r="3046" spans="4:4" x14ac:dyDescent="0.4">
      <c r="D3046" s="37" t="s">
        <v>820</v>
      </c>
    </row>
    <row r="3047" spans="4:4" x14ac:dyDescent="0.4">
      <c r="D3047" s="37" t="s">
        <v>820</v>
      </c>
    </row>
    <row r="3048" spans="4:4" x14ac:dyDescent="0.4">
      <c r="D3048" s="37" t="s">
        <v>820</v>
      </c>
    </row>
    <row r="3049" spans="4:4" x14ac:dyDescent="0.4">
      <c r="D3049" s="37" t="s">
        <v>820</v>
      </c>
    </row>
    <row r="3050" spans="4:4" x14ac:dyDescent="0.4">
      <c r="D3050" s="37" t="s">
        <v>820</v>
      </c>
    </row>
    <row r="3051" spans="4:4" x14ac:dyDescent="0.4">
      <c r="D3051" s="37" t="s">
        <v>820</v>
      </c>
    </row>
    <row r="3052" spans="4:4" x14ac:dyDescent="0.4">
      <c r="D3052" s="37" t="s">
        <v>805</v>
      </c>
    </row>
    <row r="3053" spans="4:4" x14ac:dyDescent="0.4">
      <c r="D3053" s="37" t="s">
        <v>820</v>
      </c>
    </row>
    <row r="3054" spans="4:4" x14ac:dyDescent="0.4">
      <c r="D3054" s="37" t="s">
        <v>820</v>
      </c>
    </row>
    <row r="3055" spans="4:4" x14ac:dyDescent="0.4">
      <c r="D3055" s="37" t="s">
        <v>820</v>
      </c>
    </row>
    <row r="3056" spans="4:4" x14ac:dyDescent="0.4">
      <c r="D3056" s="37" t="s">
        <v>820</v>
      </c>
    </row>
    <row r="3057" spans="4:4" x14ac:dyDescent="0.4">
      <c r="D3057" s="37" t="s">
        <v>5159</v>
      </c>
    </row>
    <row r="3058" spans="4:4" x14ac:dyDescent="0.4">
      <c r="D3058" s="37" t="s">
        <v>820</v>
      </c>
    </row>
    <row r="3059" spans="4:4" x14ac:dyDescent="0.4">
      <c r="D3059" s="37" t="s">
        <v>805</v>
      </c>
    </row>
    <row r="3060" spans="4:4" x14ac:dyDescent="0.4">
      <c r="D3060" s="37" t="s">
        <v>5159</v>
      </c>
    </row>
    <row r="3061" spans="4:4" x14ac:dyDescent="0.4">
      <c r="D3061" s="37" t="s">
        <v>820</v>
      </c>
    </row>
    <row r="3062" spans="4:4" x14ac:dyDescent="0.4">
      <c r="D3062" s="37" t="s">
        <v>820</v>
      </c>
    </row>
    <row r="3063" spans="4:4" x14ac:dyDescent="0.4">
      <c r="D3063" s="37" t="s">
        <v>805</v>
      </c>
    </row>
    <row r="3064" spans="4:4" x14ac:dyDescent="0.4">
      <c r="D3064" s="37" t="s">
        <v>5159</v>
      </c>
    </row>
    <row r="3065" spans="4:4" x14ac:dyDescent="0.4">
      <c r="D3065" s="37" t="s">
        <v>820</v>
      </c>
    </row>
    <row r="3066" spans="4:4" x14ac:dyDescent="0.4">
      <c r="D3066" s="37" t="s">
        <v>820</v>
      </c>
    </row>
    <row r="3067" spans="4:4" x14ac:dyDescent="0.4">
      <c r="D3067" s="37" t="s">
        <v>5159</v>
      </c>
    </row>
    <row r="3068" spans="4:4" x14ac:dyDescent="0.4">
      <c r="D3068" s="37" t="s">
        <v>820</v>
      </c>
    </row>
    <row r="3069" spans="4:4" x14ac:dyDescent="0.4">
      <c r="D3069" s="37" t="s">
        <v>805</v>
      </c>
    </row>
    <row r="3070" spans="4:4" x14ac:dyDescent="0.4">
      <c r="D3070" s="37" t="s">
        <v>5159</v>
      </c>
    </row>
    <row r="3071" spans="4:4" x14ac:dyDescent="0.4">
      <c r="D3071" s="37" t="s">
        <v>820</v>
      </c>
    </row>
    <row r="3072" spans="4:4" x14ac:dyDescent="0.4">
      <c r="D3072" s="37" t="s">
        <v>820</v>
      </c>
    </row>
    <row r="3073" spans="4:4" x14ac:dyDescent="0.4">
      <c r="D3073" s="37" t="s">
        <v>5159</v>
      </c>
    </row>
    <row r="3074" spans="4:4" x14ac:dyDescent="0.4">
      <c r="D3074" s="37" t="s">
        <v>805</v>
      </c>
    </row>
    <row r="3075" spans="4:4" x14ac:dyDescent="0.4">
      <c r="D3075" s="37" t="s">
        <v>5159</v>
      </c>
    </row>
    <row r="3076" spans="4:4" x14ac:dyDescent="0.4">
      <c r="D3076" s="37" t="s">
        <v>820</v>
      </c>
    </row>
    <row r="3077" spans="4:4" x14ac:dyDescent="0.4">
      <c r="D3077" s="37" t="s">
        <v>820</v>
      </c>
    </row>
    <row r="3078" spans="4:4" x14ac:dyDescent="0.4">
      <c r="D3078" s="37" t="s">
        <v>820</v>
      </c>
    </row>
    <row r="3079" spans="4:4" x14ac:dyDescent="0.4">
      <c r="D3079" s="37" t="s">
        <v>820</v>
      </c>
    </row>
    <row r="3080" spans="4:4" x14ac:dyDescent="0.4">
      <c r="D3080" s="37" t="s">
        <v>820</v>
      </c>
    </row>
    <row r="3081" spans="4:4" x14ac:dyDescent="0.4">
      <c r="D3081" s="37" t="s">
        <v>5159</v>
      </c>
    </row>
    <row r="3082" spans="4:4" x14ac:dyDescent="0.4">
      <c r="D3082" s="37" t="s">
        <v>820</v>
      </c>
    </row>
    <row r="3083" spans="4:4" x14ac:dyDescent="0.4">
      <c r="D3083" s="37" t="s">
        <v>820</v>
      </c>
    </row>
    <row r="3084" spans="4:4" x14ac:dyDescent="0.4">
      <c r="D3084" s="37" t="s">
        <v>5159</v>
      </c>
    </row>
    <row r="3085" spans="4:4" x14ac:dyDescent="0.4">
      <c r="D3085" s="37" t="s">
        <v>820</v>
      </c>
    </row>
    <row r="3086" spans="4:4" x14ac:dyDescent="0.4">
      <c r="D3086" s="37" t="s">
        <v>820</v>
      </c>
    </row>
    <row r="3087" spans="4:4" x14ac:dyDescent="0.4">
      <c r="D3087" s="37" t="s">
        <v>805</v>
      </c>
    </row>
    <row r="3088" spans="4:4" x14ac:dyDescent="0.4">
      <c r="D3088" s="37" t="s">
        <v>805</v>
      </c>
    </row>
    <row r="3089" spans="4:4" x14ac:dyDescent="0.4">
      <c r="D3089" s="37" t="s">
        <v>5159</v>
      </c>
    </row>
    <row r="3090" spans="4:4" x14ac:dyDescent="0.4">
      <c r="D3090" s="37" t="s">
        <v>820</v>
      </c>
    </row>
    <row r="3091" spans="4:4" x14ac:dyDescent="0.4">
      <c r="D3091" s="37" t="s">
        <v>820</v>
      </c>
    </row>
    <row r="3092" spans="4:4" x14ac:dyDescent="0.4">
      <c r="D3092" s="37" t="s">
        <v>5159</v>
      </c>
    </row>
    <row r="3093" spans="4:4" x14ac:dyDescent="0.4">
      <c r="D3093" s="37" t="s">
        <v>820</v>
      </c>
    </row>
    <row r="3094" spans="4:4" x14ac:dyDescent="0.4">
      <c r="D3094" s="37" t="s">
        <v>820</v>
      </c>
    </row>
    <row r="3095" spans="4:4" x14ac:dyDescent="0.4">
      <c r="D3095" s="37" t="s">
        <v>820</v>
      </c>
    </row>
    <row r="3096" spans="4:4" x14ac:dyDescent="0.4">
      <c r="D3096" s="37" t="s">
        <v>820</v>
      </c>
    </row>
    <row r="3097" spans="4:4" x14ac:dyDescent="0.4">
      <c r="D3097" s="37" t="s">
        <v>820</v>
      </c>
    </row>
    <row r="3098" spans="4:4" x14ac:dyDescent="0.4">
      <c r="D3098" s="37" t="s">
        <v>820</v>
      </c>
    </row>
    <row r="3099" spans="4:4" x14ac:dyDescent="0.4">
      <c r="D3099" s="37" t="s">
        <v>805</v>
      </c>
    </row>
    <row r="3100" spans="4:4" x14ac:dyDescent="0.4">
      <c r="D3100" s="37" t="s">
        <v>820</v>
      </c>
    </row>
    <row r="3101" spans="4:4" x14ac:dyDescent="0.4">
      <c r="D3101" s="37" t="s">
        <v>805</v>
      </c>
    </row>
    <row r="3102" spans="4:4" x14ac:dyDescent="0.4">
      <c r="D3102" s="37" t="s">
        <v>5159</v>
      </c>
    </row>
    <row r="3103" spans="4:4" x14ac:dyDescent="0.4">
      <c r="D3103" s="37" t="s">
        <v>820</v>
      </c>
    </row>
    <row r="3104" spans="4:4" x14ac:dyDescent="0.4">
      <c r="D3104" s="37" t="s">
        <v>820</v>
      </c>
    </row>
    <row r="3105" spans="4:4" x14ac:dyDescent="0.4">
      <c r="D3105" s="37" t="s">
        <v>820</v>
      </c>
    </row>
    <row r="3106" spans="4:4" x14ac:dyDescent="0.4">
      <c r="D3106" s="37" t="s">
        <v>820</v>
      </c>
    </row>
    <row r="3107" spans="4:4" x14ac:dyDescent="0.4">
      <c r="D3107" s="37" t="s">
        <v>820</v>
      </c>
    </row>
    <row r="3108" spans="4:4" x14ac:dyDescent="0.4">
      <c r="D3108" s="37" t="s">
        <v>820</v>
      </c>
    </row>
    <row r="3109" spans="4:4" x14ac:dyDescent="0.4">
      <c r="D3109" s="37" t="s">
        <v>820</v>
      </c>
    </row>
    <row r="3110" spans="4:4" x14ac:dyDescent="0.4">
      <c r="D3110" s="37" t="s">
        <v>820</v>
      </c>
    </row>
    <row r="3111" spans="4:4" x14ac:dyDescent="0.4">
      <c r="D3111" s="37" t="s">
        <v>820</v>
      </c>
    </row>
    <row r="3112" spans="4:4" x14ac:dyDescent="0.4">
      <c r="D3112" s="37" t="s">
        <v>805</v>
      </c>
    </row>
    <row r="3113" spans="4:4" x14ac:dyDescent="0.4">
      <c r="D3113" s="37" t="s">
        <v>820</v>
      </c>
    </row>
    <row r="3114" spans="4:4" x14ac:dyDescent="0.4">
      <c r="D3114" s="37" t="s">
        <v>5159</v>
      </c>
    </row>
    <row r="3115" spans="4:4" x14ac:dyDescent="0.4">
      <c r="D3115" s="37" t="s">
        <v>820</v>
      </c>
    </row>
    <row r="3116" spans="4:4" x14ac:dyDescent="0.4">
      <c r="D3116" s="37" t="s">
        <v>820</v>
      </c>
    </row>
    <row r="3117" spans="4:4" x14ac:dyDescent="0.4">
      <c r="D3117" s="37" t="s">
        <v>5159</v>
      </c>
    </row>
    <row r="3118" spans="4:4" x14ac:dyDescent="0.4">
      <c r="D3118" s="37" t="s">
        <v>820</v>
      </c>
    </row>
    <row r="3119" spans="4:4" x14ac:dyDescent="0.4">
      <c r="D3119" s="37" t="s">
        <v>5159</v>
      </c>
    </row>
    <row r="3120" spans="4:4" x14ac:dyDescent="0.4">
      <c r="D3120" s="37" t="s">
        <v>820</v>
      </c>
    </row>
    <row r="3121" spans="4:4" x14ac:dyDescent="0.4">
      <c r="D3121" s="37" t="s">
        <v>820</v>
      </c>
    </row>
    <row r="3122" spans="4:4" x14ac:dyDescent="0.4">
      <c r="D3122" s="37" t="s">
        <v>820</v>
      </c>
    </row>
    <row r="3123" spans="4:4" x14ac:dyDescent="0.4">
      <c r="D3123" s="37" t="s">
        <v>5159</v>
      </c>
    </row>
    <row r="3124" spans="4:4" x14ac:dyDescent="0.4">
      <c r="D3124" s="37" t="s">
        <v>820</v>
      </c>
    </row>
    <row r="3125" spans="4:4" x14ac:dyDescent="0.4">
      <c r="D3125" s="37" t="s">
        <v>5159</v>
      </c>
    </row>
    <row r="3126" spans="4:4" x14ac:dyDescent="0.4">
      <c r="D3126" s="37" t="s">
        <v>820</v>
      </c>
    </row>
    <row r="3127" spans="4:4" x14ac:dyDescent="0.4">
      <c r="D3127" s="37" t="s">
        <v>820</v>
      </c>
    </row>
    <row r="3128" spans="4:4" x14ac:dyDescent="0.4">
      <c r="D3128" s="37" t="s">
        <v>820</v>
      </c>
    </row>
    <row r="3129" spans="4:4" x14ac:dyDescent="0.4">
      <c r="D3129" s="37" t="s">
        <v>805</v>
      </c>
    </row>
    <row r="3130" spans="4:4" x14ac:dyDescent="0.4">
      <c r="D3130" s="37" t="s">
        <v>5159</v>
      </c>
    </row>
    <row r="3131" spans="4:4" x14ac:dyDescent="0.4">
      <c r="D3131" s="37" t="s">
        <v>820</v>
      </c>
    </row>
    <row r="3132" spans="4:4" x14ac:dyDescent="0.4">
      <c r="D3132" s="37" t="s">
        <v>820</v>
      </c>
    </row>
    <row r="3133" spans="4:4" x14ac:dyDescent="0.4">
      <c r="D3133" s="37" t="s">
        <v>5159</v>
      </c>
    </row>
    <row r="3134" spans="4:4" x14ac:dyDescent="0.4">
      <c r="D3134" s="37" t="s">
        <v>820</v>
      </c>
    </row>
    <row r="3135" spans="4:4" x14ac:dyDescent="0.4">
      <c r="D3135" s="37" t="s">
        <v>820</v>
      </c>
    </row>
    <row r="3136" spans="4:4" x14ac:dyDescent="0.4">
      <c r="D3136" s="37" t="s">
        <v>805</v>
      </c>
    </row>
    <row r="3137" spans="4:4" x14ac:dyDescent="0.4">
      <c r="D3137" s="37" t="s">
        <v>5159</v>
      </c>
    </row>
    <row r="3138" spans="4:4" x14ac:dyDescent="0.4">
      <c r="D3138" s="37" t="s">
        <v>820</v>
      </c>
    </row>
    <row r="3139" spans="4:4" x14ac:dyDescent="0.4">
      <c r="D3139" s="37" t="s">
        <v>820</v>
      </c>
    </row>
    <row r="3140" spans="4:4" x14ac:dyDescent="0.4">
      <c r="D3140" s="37" t="s">
        <v>820</v>
      </c>
    </row>
    <row r="3141" spans="4:4" x14ac:dyDescent="0.4">
      <c r="D3141" s="37" t="s">
        <v>5159</v>
      </c>
    </row>
    <row r="3142" spans="4:4" x14ac:dyDescent="0.4">
      <c r="D3142" s="37" t="s">
        <v>820</v>
      </c>
    </row>
    <row r="3143" spans="4:4" x14ac:dyDescent="0.4">
      <c r="D3143" s="37" t="s">
        <v>5159</v>
      </c>
    </row>
    <row r="3144" spans="4:4" x14ac:dyDescent="0.4">
      <c r="D3144" s="37" t="s">
        <v>820</v>
      </c>
    </row>
    <row r="3145" spans="4:4" x14ac:dyDescent="0.4">
      <c r="D3145" s="37" t="s">
        <v>820</v>
      </c>
    </row>
    <row r="3146" spans="4:4" x14ac:dyDescent="0.4">
      <c r="D3146" s="37" t="s">
        <v>5159</v>
      </c>
    </row>
    <row r="3147" spans="4:4" x14ac:dyDescent="0.4">
      <c r="D3147" s="37" t="s">
        <v>820</v>
      </c>
    </row>
    <row r="3148" spans="4:4" x14ac:dyDescent="0.4">
      <c r="D3148" s="37" t="s">
        <v>820</v>
      </c>
    </row>
    <row r="3149" spans="4:4" x14ac:dyDescent="0.4">
      <c r="D3149" s="37" t="s">
        <v>5159</v>
      </c>
    </row>
    <row r="3150" spans="4:4" x14ac:dyDescent="0.4">
      <c r="D3150" s="37" t="s">
        <v>820</v>
      </c>
    </row>
    <row r="3151" spans="4:4" x14ac:dyDescent="0.4">
      <c r="D3151" s="37" t="s">
        <v>820</v>
      </c>
    </row>
    <row r="3152" spans="4:4" x14ac:dyDescent="0.4">
      <c r="D3152" s="37" t="s">
        <v>820</v>
      </c>
    </row>
    <row r="3153" spans="4:4" x14ac:dyDescent="0.4">
      <c r="D3153" s="37" t="s">
        <v>805</v>
      </c>
    </row>
    <row r="3154" spans="4:4" x14ac:dyDescent="0.4">
      <c r="D3154" s="37" t="s">
        <v>820</v>
      </c>
    </row>
    <row r="3155" spans="4:4" x14ac:dyDescent="0.4">
      <c r="D3155" s="37" t="s">
        <v>5159</v>
      </c>
    </row>
    <row r="3156" spans="4:4" x14ac:dyDescent="0.4">
      <c r="D3156" s="37" t="s">
        <v>820</v>
      </c>
    </row>
    <row r="3157" spans="4:4" x14ac:dyDescent="0.4">
      <c r="D3157" s="37" t="s">
        <v>805</v>
      </c>
    </row>
    <row r="3158" spans="4:4" x14ac:dyDescent="0.4">
      <c r="D3158" s="37" t="s">
        <v>5159</v>
      </c>
    </row>
    <row r="3159" spans="4:4" x14ac:dyDescent="0.4">
      <c r="D3159" s="37" t="s">
        <v>820</v>
      </c>
    </row>
    <row r="3160" spans="4:4" x14ac:dyDescent="0.4">
      <c r="D3160" s="37" t="s">
        <v>5159</v>
      </c>
    </row>
    <row r="3161" spans="4:4" x14ac:dyDescent="0.4">
      <c r="D3161" s="37" t="s">
        <v>820</v>
      </c>
    </row>
    <row r="3162" spans="4:4" x14ac:dyDescent="0.4">
      <c r="D3162" s="37" t="s">
        <v>5159</v>
      </c>
    </row>
    <row r="3163" spans="4:4" x14ac:dyDescent="0.4">
      <c r="D3163" s="37" t="s">
        <v>820</v>
      </c>
    </row>
    <row r="3164" spans="4:4" x14ac:dyDescent="0.4">
      <c r="D3164" s="37" t="s">
        <v>5159</v>
      </c>
    </row>
    <row r="3165" spans="4:4" x14ac:dyDescent="0.4">
      <c r="D3165" s="37" t="s">
        <v>805</v>
      </c>
    </row>
    <row r="3166" spans="4:4" x14ac:dyDescent="0.4">
      <c r="D3166" s="37" t="s">
        <v>5159</v>
      </c>
    </row>
    <row r="3167" spans="4:4" x14ac:dyDescent="0.4">
      <c r="D3167" s="37" t="s">
        <v>820</v>
      </c>
    </row>
    <row r="3168" spans="4:4" x14ac:dyDescent="0.4">
      <c r="D3168" s="37" t="s">
        <v>5159</v>
      </c>
    </row>
    <row r="3169" spans="4:4" x14ac:dyDescent="0.4">
      <c r="D3169" s="37" t="s">
        <v>805</v>
      </c>
    </row>
    <row r="3170" spans="4:4" x14ac:dyDescent="0.4">
      <c r="D3170" s="37" t="s">
        <v>820</v>
      </c>
    </row>
    <row r="3171" spans="4:4" x14ac:dyDescent="0.4">
      <c r="D3171" s="37" t="s">
        <v>5159</v>
      </c>
    </row>
    <row r="3172" spans="4:4" x14ac:dyDescent="0.4">
      <c r="D3172" s="37" t="s">
        <v>820</v>
      </c>
    </row>
    <row r="3173" spans="4:4" x14ac:dyDescent="0.4">
      <c r="D3173" s="37" t="s">
        <v>5159</v>
      </c>
    </row>
    <row r="3174" spans="4:4" x14ac:dyDescent="0.4">
      <c r="D3174" s="37" t="s">
        <v>820</v>
      </c>
    </row>
    <row r="3175" spans="4:4" x14ac:dyDescent="0.4">
      <c r="D3175" s="37" t="s">
        <v>820</v>
      </c>
    </row>
    <row r="3176" spans="4:4" x14ac:dyDescent="0.4">
      <c r="D3176" s="37" t="s">
        <v>805</v>
      </c>
    </row>
    <row r="3177" spans="4:4" x14ac:dyDescent="0.4">
      <c r="D3177" s="37" t="s">
        <v>5159</v>
      </c>
    </row>
    <row r="3178" spans="4:4" x14ac:dyDescent="0.4">
      <c r="D3178" s="37" t="s">
        <v>820</v>
      </c>
    </row>
    <row r="3179" spans="4:4" x14ac:dyDescent="0.4">
      <c r="D3179" s="37" t="s">
        <v>820</v>
      </c>
    </row>
    <row r="3180" spans="4:4" x14ac:dyDescent="0.4">
      <c r="D3180" s="37" t="s">
        <v>820</v>
      </c>
    </row>
    <row r="3181" spans="4:4" x14ac:dyDescent="0.4">
      <c r="D3181" s="37" t="s">
        <v>820</v>
      </c>
    </row>
    <row r="3182" spans="4:4" x14ac:dyDescent="0.4">
      <c r="D3182" s="37" t="s">
        <v>5159</v>
      </c>
    </row>
    <row r="3183" spans="4:4" x14ac:dyDescent="0.4">
      <c r="D3183" s="37" t="s">
        <v>805</v>
      </c>
    </row>
    <row r="3184" spans="4:4" x14ac:dyDescent="0.4">
      <c r="D3184" s="37" t="s">
        <v>5159</v>
      </c>
    </row>
    <row r="3185" spans="4:4" x14ac:dyDescent="0.4">
      <c r="D3185" s="37" t="s">
        <v>820</v>
      </c>
    </row>
    <row r="3186" spans="4:4" x14ac:dyDescent="0.4">
      <c r="D3186" s="37" t="s">
        <v>820</v>
      </c>
    </row>
    <row r="3187" spans="4:4" x14ac:dyDescent="0.4">
      <c r="D3187" s="37" t="s">
        <v>820</v>
      </c>
    </row>
    <row r="3188" spans="4:4" x14ac:dyDescent="0.4">
      <c r="D3188" s="37" t="s">
        <v>820</v>
      </c>
    </row>
    <row r="3189" spans="4:4" x14ac:dyDescent="0.4">
      <c r="D3189" s="37" t="s">
        <v>805</v>
      </c>
    </row>
    <row r="3190" spans="4:4" x14ac:dyDescent="0.4">
      <c r="D3190" s="37" t="s">
        <v>820</v>
      </c>
    </row>
    <row r="3191" spans="4:4" x14ac:dyDescent="0.4">
      <c r="D3191" s="37" t="s">
        <v>820</v>
      </c>
    </row>
    <row r="3192" spans="4:4" x14ac:dyDescent="0.4">
      <c r="D3192" s="37" t="s">
        <v>820</v>
      </c>
    </row>
    <row r="3193" spans="4:4" x14ac:dyDescent="0.4">
      <c r="D3193" s="37" t="s">
        <v>820</v>
      </c>
    </row>
    <row r="3194" spans="4:4" x14ac:dyDescent="0.4">
      <c r="D3194" s="37" t="s">
        <v>820</v>
      </c>
    </row>
    <row r="3195" spans="4:4" x14ac:dyDescent="0.4">
      <c r="D3195" s="37" t="s">
        <v>820</v>
      </c>
    </row>
    <row r="3196" spans="4:4" x14ac:dyDescent="0.4">
      <c r="D3196" s="37" t="s">
        <v>820</v>
      </c>
    </row>
    <row r="3197" spans="4:4" x14ac:dyDescent="0.4">
      <c r="D3197" s="37" t="s">
        <v>820</v>
      </c>
    </row>
    <row r="3198" spans="4:4" x14ac:dyDescent="0.4">
      <c r="D3198" s="37" t="s">
        <v>820</v>
      </c>
    </row>
    <row r="3199" spans="4:4" x14ac:dyDescent="0.4">
      <c r="D3199" s="37" t="s">
        <v>820</v>
      </c>
    </row>
    <row r="3200" spans="4:4" x14ac:dyDescent="0.4">
      <c r="D3200" s="37" t="s">
        <v>820</v>
      </c>
    </row>
    <row r="3201" spans="4:4" x14ac:dyDescent="0.4">
      <c r="D3201" s="37" t="s">
        <v>820</v>
      </c>
    </row>
    <row r="3202" spans="4:4" x14ac:dyDescent="0.4">
      <c r="D3202" s="37" t="s">
        <v>820</v>
      </c>
    </row>
    <row r="3203" spans="4:4" x14ac:dyDescent="0.4">
      <c r="D3203" s="37" t="s">
        <v>805</v>
      </c>
    </row>
    <row r="3204" spans="4:4" x14ac:dyDescent="0.4">
      <c r="D3204" s="37" t="s">
        <v>820</v>
      </c>
    </row>
    <row r="3205" spans="4:4" x14ac:dyDescent="0.4">
      <c r="D3205" s="37" t="s">
        <v>820</v>
      </c>
    </row>
  </sheetData>
  <autoFilter ref="A13:I2473" xr:uid="{00000000-0009-0000-0000-000002000000}">
    <sortState xmlns:xlrd2="http://schemas.microsoft.com/office/spreadsheetml/2017/richdata2" ref="A14:I2553">
      <sortCondition descending="1" ref="G13:G2473"/>
    </sortState>
  </autoFilter>
  <phoneticPr fontId="2" type="noConversion"/>
  <hyperlinks>
    <hyperlink ref="B1" tooltip="Quantiwise7G" display="     Refresh     " xr:uid="{A4006746-3263-4E97-90B2-7826B97E95E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313-A0CA-41B1-97C0-F5D2D8F1076B}">
  <dimension ref="A1:G199"/>
  <sheetViews>
    <sheetView showGridLines="0" zoomScaleNormal="10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10" t="s">
        <v>5154</v>
      </c>
      <c r="B8" s="6"/>
      <c r="C8" s="6"/>
      <c r="D8" s="6"/>
      <c r="E8" s="14"/>
    </row>
    <row r="9" spans="1:7" x14ac:dyDescent="0.4">
      <c r="A9" s="69" t="s">
        <v>5156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2246</v>
      </c>
      <c r="B11" s="17" t="s">
        <v>2247</v>
      </c>
      <c r="C11" s="18">
        <v>930</v>
      </c>
      <c r="D11" s="18">
        <v>36363000</v>
      </c>
      <c r="E11" s="19">
        <v>5.86</v>
      </c>
      <c r="F11" s="17"/>
      <c r="G11" s="17"/>
    </row>
    <row r="12" spans="1:7" x14ac:dyDescent="0.4">
      <c r="A12" t="s">
        <v>757</v>
      </c>
      <c r="B12" s="17" t="s">
        <v>758</v>
      </c>
      <c r="C12" s="31">
        <v>287</v>
      </c>
      <c r="D12" s="13">
        <v>34468700</v>
      </c>
      <c r="E12" s="15">
        <v>5.56</v>
      </c>
    </row>
    <row r="13" spans="1:7" x14ac:dyDescent="0.4">
      <c r="A13" t="s">
        <v>158</v>
      </c>
      <c r="B13" t="s">
        <v>159</v>
      </c>
      <c r="C13" s="13">
        <v>298</v>
      </c>
      <c r="D13" s="13">
        <v>30992000</v>
      </c>
      <c r="E13" s="15">
        <v>5</v>
      </c>
    </row>
    <row r="14" spans="1:7" x14ac:dyDescent="0.4">
      <c r="A14" t="s">
        <v>721</v>
      </c>
      <c r="B14" s="17" t="s">
        <v>722</v>
      </c>
      <c r="C14" s="18">
        <v>236</v>
      </c>
      <c r="D14" s="18">
        <v>27541200</v>
      </c>
      <c r="E14" s="19">
        <v>4.4400000000000004</v>
      </c>
      <c r="F14" s="17"/>
      <c r="G14" s="17"/>
    </row>
    <row r="15" spans="1:7" x14ac:dyDescent="0.4">
      <c r="A15" t="s">
        <v>679</v>
      </c>
      <c r="B15" s="17" t="s">
        <v>680</v>
      </c>
      <c r="C15" s="31">
        <v>116</v>
      </c>
      <c r="D15" s="13">
        <v>19778000</v>
      </c>
      <c r="E15" s="15">
        <v>3.19</v>
      </c>
    </row>
    <row r="16" spans="1:7" x14ac:dyDescent="0.4">
      <c r="A16" t="s">
        <v>488</v>
      </c>
      <c r="B16" t="s">
        <v>489</v>
      </c>
      <c r="C16" s="31">
        <v>146</v>
      </c>
      <c r="D16" s="13">
        <v>18323000</v>
      </c>
      <c r="E16" s="15">
        <v>2.95</v>
      </c>
    </row>
    <row r="17" spans="1:7" x14ac:dyDescent="0.4">
      <c r="A17" t="s">
        <v>4343</v>
      </c>
      <c r="B17" s="17" t="s">
        <v>4344</v>
      </c>
      <c r="C17" s="31">
        <v>158</v>
      </c>
      <c r="D17" s="13">
        <v>17522200</v>
      </c>
      <c r="E17" s="15">
        <v>2.82</v>
      </c>
    </row>
    <row r="18" spans="1:7" x14ac:dyDescent="0.4">
      <c r="A18" t="s">
        <v>4627</v>
      </c>
      <c r="B18" t="s">
        <v>4628</v>
      </c>
      <c r="C18" s="13">
        <v>164</v>
      </c>
      <c r="D18" s="13">
        <v>17384000</v>
      </c>
      <c r="E18" s="15">
        <v>2.8</v>
      </c>
    </row>
    <row r="19" spans="1:7" x14ac:dyDescent="0.4">
      <c r="A19" t="s">
        <v>434</v>
      </c>
      <c r="B19" s="17" t="s">
        <v>435</v>
      </c>
      <c r="C19" s="18">
        <v>216</v>
      </c>
      <c r="D19" s="18">
        <v>15595200</v>
      </c>
      <c r="E19" s="19">
        <v>2.5099999999999998</v>
      </c>
      <c r="F19" s="17"/>
      <c r="G19" s="17"/>
    </row>
    <row r="20" spans="1:7" x14ac:dyDescent="0.4">
      <c r="A20" t="s">
        <v>493</v>
      </c>
      <c r="B20" t="s">
        <v>494</v>
      </c>
      <c r="C20" s="13">
        <v>82</v>
      </c>
      <c r="D20" s="13">
        <v>15186400</v>
      </c>
      <c r="E20" s="15">
        <v>2.4500000000000002</v>
      </c>
    </row>
    <row r="21" spans="1:7" x14ac:dyDescent="0.4">
      <c r="A21" t="s">
        <v>41</v>
      </c>
      <c r="B21" t="s">
        <v>42</v>
      </c>
      <c r="C21" s="13">
        <v>132</v>
      </c>
      <c r="D21" s="13">
        <v>14506800</v>
      </c>
      <c r="E21" s="15">
        <v>2.34</v>
      </c>
    </row>
    <row r="22" spans="1:7" x14ac:dyDescent="0.4">
      <c r="A22" t="s">
        <v>31</v>
      </c>
      <c r="B22" t="s">
        <v>32</v>
      </c>
      <c r="C22" s="13">
        <v>40</v>
      </c>
      <c r="D22" s="13">
        <v>14060000</v>
      </c>
      <c r="E22" s="15">
        <v>2.27</v>
      </c>
    </row>
    <row r="23" spans="1:7" x14ac:dyDescent="0.4">
      <c r="A23" t="s">
        <v>446</v>
      </c>
      <c r="B23" t="s">
        <v>447</v>
      </c>
      <c r="C23" s="31">
        <v>84</v>
      </c>
      <c r="D23" s="13">
        <v>13540800</v>
      </c>
      <c r="E23" s="15">
        <v>2.1800000000000002</v>
      </c>
    </row>
    <row r="24" spans="1:7" x14ac:dyDescent="0.4">
      <c r="A24" t="s">
        <v>35</v>
      </c>
      <c r="B24" t="s">
        <v>36</v>
      </c>
      <c r="C24" s="31">
        <v>89</v>
      </c>
      <c r="D24" s="13">
        <v>12415500</v>
      </c>
      <c r="E24" s="15">
        <v>2</v>
      </c>
    </row>
    <row r="25" spans="1:7" x14ac:dyDescent="0.4">
      <c r="A25" t="s">
        <v>479</v>
      </c>
      <c r="B25" t="s">
        <v>480</v>
      </c>
      <c r="C25" s="13">
        <v>92</v>
      </c>
      <c r="D25" s="13">
        <v>11923200</v>
      </c>
      <c r="E25" s="15">
        <v>1.92</v>
      </c>
    </row>
    <row r="26" spans="1:7" x14ac:dyDescent="0.4">
      <c r="A26" t="s">
        <v>401</v>
      </c>
      <c r="B26" t="s">
        <v>402</v>
      </c>
      <c r="C26" s="13">
        <v>235</v>
      </c>
      <c r="D26" s="13">
        <v>11867500</v>
      </c>
      <c r="E26" s="15">
        <v>1.91</v>
      </c>
    </row>
    <row r="27" spans="1:7" x14ac:dyDescent="0.4">
      <c r="A27" t="s">
        <v>397</v>
      </c>
      <c r="B27" t="s">
        <v>398</v>
      </c>
      <c r="C27" s="13">
        <v>91</v>
      </c>
      <c r="D27" s="13">
        <v>11811800</v>
      </c>
      <c r="E27" s="15">
        <v>1.9</v>
      </c>
    </row>
    <row r="28" spans="1:7" x14ac:dyDescent="0.4">
      <c r="A28" t="s">
        <v>4617</v>
      </c>
      <c r="B28" s="17" t="s">
        <v>4618</v>
      </c>
      <c r="C28" s="18">
        <v>139</v>
      </c>
      <c r="D28" s="18">
        <v>11676000</v>
      </c>
      <c r="E28" s="19">
        <v>1.88</v>
      </c>
      <c r="F28" s="17"/>
      <c r="G28" s="17"/>
    </row>
    <row r="29" spans="1:7" x14ac:dyDescent="0.4">
      <c r="A29" t="s">
        <v>232</v>
      </c>
      <c r="B29" t="s">
        <v>233</v>
      </c>
      <c r="C29" s="13">
        <v>37</v>
      </c>
      <c r="D29" s="13">
        <v>11229500</v>
      </c>
      <c r="E29" s="15">
        <v>1.81</v>
      </c>
    </row>
    <row r="30" spans="1:7" x14ac:dyDescent="0.4">
      <c r="A30" t="s">
        <v>353</v>
      </c>
      <c r="B30" t="s">
        <v>354</v>
      </c>
      <c r="C30" s="13">
        <v>57</v>
      </c>
      <c r="D30" s="13">
        <v>11115000</v>
      </c>
      <c r="E30" s="15">
        <v>1.79</v>
      </c>
    </row>
    <row r="31" spans="1:7" x14ac:dyDescent="0.4">
      <c r="A31" t="s">
        <v>45</v>
      </c>
      <c r="B31" t="s">
        <v>46</v>
      </c>
      <c r="C31" s="13">
        <v>74</v>
      </c>
      <c r="D31" s="13">
        <v>10818800</v>
      </c>
      <c r="E31" s="15">
        <v>1.74</v>
      </c>
    </row>
    <row r="32" spans="1:7" x14ac:dyDescent="0.4">
      <c r="A32" t="s">
        <v>422</v>
      </c>
      <c r="B32" t="s">
        <v>423</v>
      </c>
      <c r="C32" s="13">
        <v>76</v>
      </c>
      <c r="D32" s="13">
        <v>10784400</v>
      </c>
      <c r="E32" s="15">
        <v>1.74</v>
      </c>
    </row>
    <row r="33" spans="1:7" x14ac:dyDescent="0.4">
      <c r="A33" t="s">
        <v>737</v>
      </c>
      <c r="B33" t="s">
        <v>738</v>
      </c>
      <c r="C33" s="13">
        <v>73</v>
      </c>
      <c r="D33" s="13">
        <v>9672500</v>
      </c>
      <c r="E33" s="15">
        <v>1.56</v>
      </c>
    </row>
    <row r="34" spans="1:7" x14ac:dyDescent="0.4">
      <c r="A34" t="s">
        <v>631</v>
      </c>
      <c r="B34" t="s">
        <v>632</v>
      </c>
      <c r="C34" s="13">
        <v>64</v>
      </c>
      <c r="D34" s="13">
        <v>9024000</v>
      </c>
      <c r="E34" s="15">
        <v>1.45</v>
      </c>
    </row>
    <row r="35" spans="1:7" x14ac:dyDescent="0.4">
      <c r="A35" t="s">
        <v>569</v>
      </c>
      <c r="B35" t="s">
        <v>570</v>
      </c>
      <c r="C35" s="18">
        <v>38</v>
      </c>
      <c r="D35" s="18">
        <v>8607000</v>
      </c>
      <c r="E35" s="19">
        <v>1.39</v>
      </c>
      <c r="F35" s="17"/>
      <c r="G35" s="17"/>
    </row>
    <row r="36" spans="1:7" x14ac:dyDescent="0.4">
      <c r="A36" t="s">
        <v>471</v>
      </c>
      <c r="B36" t="s">
        <v>472</v>
      </c>
      <c r="C36" s="13">
        <v>77</v>
      </c>
      <c r="D36" s="13">
        <v>8454600</v>
      </c>
      <c r="E36" s="15">
        <v>1.36</v>
      </c>
    </row>
    <row r="37" spans="1:7" x14ac:dyDescent="0.4">
      <c r="A37" t="s">
        <v>236</v>
      </c>
      <c r="B37" t="s">
        <v>237</v>
      </c>
      <c r="C37" s="13">
        <v>11</v>
      </c>
      <c r="D37" s="13">
        <v>8173000</v>
      </c>
      <c r="E37" s="15">
        <v>1.32</v>
      </c>
    </row>
    <row r="38" spans="1:7" x14ac:dyDescent="0.4">
      <c r="A38" t="s">
        <v>516</v>
      </c>
      <c r="B38" t="s">
        <v>517</v>
      </c>
      <c r="C38" s="13">
        <v>131</v>
      </c>
      <c r="D38" s="13">
        <v>7912400</v>
      </c>
      <c r="E38" s="15">
        <v>1.28</v>
      </c>
    </row>
    <row r="39" spans="1:7" x14ac:dyDescent="0.4">
      <c r="A39" t="s">
        <v>57</v>
      </c>
      <c r="B39" t="s">
        <v>58</v>
      </c>
      <c r="C39">
        <v>197</v>
      </c>
      <c r="D39" s="13">
        <v>7692850</v>
      </c>
      <c r="E39" s="15">
        <v>1.24</v>
      </c>
    </row>
    <row r="40" spans="1:7" x14ac:dyDescent="0.4">
      <c r="A40" t="s">
        <v>3931</v>
      </c>
      <c r="B40" t="s">
        <v>3932</v>
      </c>
      <c r="C40">
        <v>76</v>
      </c>
      <c r="D40" s="13">
        <v>7531600</v>
      </c>
      <c r="E40" s="15">
        <v>1.21</v>
      </c>
    </row>
    <row r="41" spans="1:7" x14ac:dyDescent="0.4">
      <c r="A41" t="s">
        <v>3351</v>
      </c>
      <c r="B41" t="s">
        <v>3352</v>
      </c>
      <c r="C41" s="13">
        <v>262</v>
      </c>
      <c r="D41" s="13">
        <v>7191900</v>
      </c>
      <c r="E41" s="15">
        <v>1.1599999999999999</v>
      </c>
    </row>
    <row r="42" spans="1:7" x14ac:dyDescent="0.4">
      <c r="A42" t="s">
        <v>719</v>
      </c>
      <c r="B42" s="17" t="s">
        <v>720</v>
      </c>
      <c r="C42" s="18">
        <v>400</v>
      </c>
      <c r="D42" s="18">
        <v>6800000</v>
      </c>
      <c r="E42" s="19">
        <v>1.1000000000000001</v>
      </c>
      <c r="F42" s="17"/>
      <c r="G42" s="17"/>
    </row>
    <row r="43" spans="1:7" x14ac:dyDescent="0.4">
      <c r="A43" t="s">
        <v>625</v>
      </c>
      <c r="B43" s="17" t="s">
        <v>626</v>
      </c>
      <c r="C43" s="18">
        <v>108</v>
      </c>
      <c r="D43" s="18">
        <v>6760800</v>
      </c>
      <c r="E43" s="19">
        <v>1.0900000000000001</v>
      </c>
      <c r="F43" s="17"/>
      <c r="G43" s="17"/>
    </row>
    <row r="44" spans="1:7" x14ac:dyDescent="0.4">
      <c r="A44" t="s">
        <v>607</v>
      </c>
      <c r="B44" t="s">
        <v>608</v>
      </c>
      <c r="C44" s="13">
        <v>51</v>
      </c>
      <c r="D44" s="13">
        <v>6630000</v>
      </c>
      <c r="E44" s="15">
        <v>1.07</v>
      </c>
    </row>
    <row r="45" spans="1:7" x14ac:dyDescent="0.4">
      <c r="A45" t="s">
        <v>1619</v>
      </c>
      <c r="B45" t="s">
        <v>1620</v>
      </c>
      <c r="C45" s="13">
        <v>821</v>
      </c>
      <c r="D45" s="13">
        <v>6518740</v>
      </c>
      <c r="E45" s="15">
        <v>1.05</v>
      </c>
    </row>
    <row r="46" spans="1:7" x14ac:dyDescent="0.4">
      <c r="A46" t="s">
        <v>761</v>
      </c>
      <c r="B46" t="s">
        <v>762</v>
      </c>
      <c r="C46" s="13">
        <v>55</v>
      </c>
      <c r="D46" s="13">
        <v>6479000</v>
      </c>
      <c r="E46" s="15">
        <v>1.04</v>
      </c>
    </row>
    <row r="47" spans="1:7" x14ac:dyDescent="0.4">
      <c r="A47" t="s">
        <v>557</v>
      </c>
      <c r="B47" t="s">
        <v>558</v>
      </c>
      <c r="C47" s="13">
        <v>169</v>
      </c>
      <c r="D47" s="13">
        <v>6329050</v>
      </c>
      <c r="E47" s="15">
        <v>1.02</v>
      </c>
    </row>
    <row r="48" spans="1:7" x14ac:dyDescent="0.4">
      <c r="A48" t="s">
        <v>545</v>
      </c>
      <c r="B48" t="s">
        <v>546</v>
      </c>
      <c r="C48" s="13">
        <v>152</v>
      </c>
      <c r="D48" s="13">
        <v>5882400</v>
      </c>
      <c r="E48" s="15">
        <v>0.95</v>
      </c>
    </row>
    <row r="49" spans="1:5" x14ac:dyDescent="0.4">
      <c r="A49" t="s">
        <v>2919</v>
      </c>
      <c r="B49" t="s">
        <v>2920</v>
      </c>
      <c r="C49" s="13">
        <v>103</v>
      </c>
      <c r="D49" s="13">
        <v>5356000</v>
      </c>
      <c r="E49" s="15">
        <v>0.86</v>
      </c>
    </row>
    <row r="50" spans="1:5" x14ac:dyDescent="0.4">
      <c r="A50" t="s">
        <v>61</v>
      </c>
      <c r="B50" t="s">
        <v>62</v>
      </c>
      <c r="C50" s="13">
        <v>18</v>
      </c>
      <c r="D50" s="13">
        <v>5283000</v>
      </c>
      <c r="E50" s="15">
        <v>0.85</v>
      </c>
    </row>
    <row r="51" spans="1:5" x14ac:dyDescent="0.4">
      <c r="A51" t="s">
        <v>637</v>
      </c>
      <c r="B51" t="s">
        <v>638</v>
      </c>
      <c r="C51" s="13">
        <v>84</v>
      </c>
      <c r="D51" s="13">
        <v>4771200</v>
      </c>
      <c r="E51" s="15">
        <v>0.77</v>
      </c>
    </row>
    <row r="52" spans="1:5" x14ac:dyDescent="0.4">
      <c r="A52" t="s">
        <v>351</v>
      </c>
      <c r="B52" t="s">
        <v>352</v>
      </c>
      <c r="C52" s="13">
        <v>21</v>
      </c>
      <c r="D52" s="13">
        <v>4609500</v>
      </c>
      <c r="E52" s="15">
        <v>0.74</v>
      </c>
    </row>
    <row r="53" spans="1:5" x14ac:dyDescent="0.4">
      <c r="A53" t="s">
        <v>468</v>
      </c>
      <c r="B53" t="s">
        <v>469</v>
      </c>
      <c r="C53" s="13">
        <v>85</v>
      </c>
      <c r="D53" s="13">
        <v>4539000</v>
      </c>
      <c r="E53" s="15">
        <v>0.73</v>
      </c>
    </row>
    <row r="54" spans="1:5" x14ac:dyDescent="0.4">
      <c r="A54" t="s">
        <v>701</v>
      </c>
      <c r="B54" t="s">
        <v>702</v>
      </c>
      <c r="C54" s="13">
        <v>82</v>
      </c>
      <c r="D54" s="13">
        <v>4485400</v>
      </c>
      <c r="E54" s="15">
        <v>0.72</v>
      </c>
    </row>
    <row r="55" spans="1:5" x14ac:dyDescent="0.4">
      <c r="A55" t="s">
        <v>3232</v>
      </c>
      <c r="B55" t="s">
        <v>3233</v>
      </c>
      <c r="C55" s="13">
        <v>57</v>
      </c>
      <c r="D55" s="13">
        <v>4468800</v>
      </c>
      <c r="E55" s="15">
        <v>0.72</v>
      </c>
    </row>
    <row r="56" spans="1:5" x14ac:dyDescent="0.4">
      <c r="A56" t="s">
        <v>47</v>
      </c>
      <c r="B56" t="s">
        <v>48</v>
      </c>
      <c r="C56">
        <v>109</v>
      </c>
      <c r="D56" s="13">
        <v>4087500</v>
      </c>
      <c r="E56" s="15">
        <v>0.66</v>
      </c>
    </row>
    <row r="57" spans="1:5" x14ac:dyDescent="0.4">
      <c r="A57" t="s">
        <v>361</v>
      </c>
      <c r="B57" t="s">
        <v>362</v>
      </c>
      <c r="C57" s="13">
        <v>66</v>
      </c>
      <c r="D57" s="13">
        <v>3966600</v>
      </c>
      <c r="E57" s="15">
        <v>0.64</v>
      </c>
    </row>
    <row r="58" spans="1:5" x14ac:dyDescent="0.4">
      <c r="A58" t="s">
        <v>27</v>
      </c>
      <c r="B58" t="s">
        <v>28</v>
      </c>
      <c r="C58">
        <v>50</v>
      </c>
      <c r="D58" s="13">
        <v>3925000</v>
      </c>
      <c r="E58" s="15">
        <v>0.63</v>
      </c>
    </row>
    <row r="59" spans="1:5" x14ac:dyDescent="0.4">
      <c r="A59" t="s">
        <v>2095</v>
      </c>
      <c r="B59" t="s">
        <v>2096</v>
      </c>
      <c r="C59">
        <v>238</v>
      </c>
      <c r="D59" s="13">
        <v>3877020</v>
      </c>
      <c r="E59" s="15">
        <v>0.62</v>
      </c>
    </row>
    <row r="60" spans="1:5" x14ac:dyDescent="0.4">
      <c r="A60" t="s">
        <v>5066</v>
      </c>
      <c r="B60" t="s">
        <v>5194</v>
      </c>
      <c r="C60" s="13">
        <v>123</v>
      </c>
      <c r="D60" s="13">
        <v>3702300</v>
      </c>
      <c r="E60" s="15">
        <v>0.6</v>
      </c>
    </row>
    <row r="61" spans="1:5" x14ac:dyDescent="0.4">
      <c r="A61" t="s">
        <v>279</v>
      </c>
      <c r="B61" t="s">
        <v>280</v>
      </c>
      <c r="C61" s="13">
        <v>310</v>
      </c>
      <c r="D61" s="13">
        <v>3679700</v>
      </c>
      <c r="E61" s="15">
        <v>0.59</v>
      </c>
    </row>
    <row r="62" spans="1:5" x14ac:dyDescent="0.4">
      <c r="A62" t="s">
        <v>49</v>
      </c>
      <c r="B62" t="s">
        <v>50</v>
      </c>
      <c r="C62" s="13">
        <v>29</v>
      </c>
      <c r="D62" s="13">
        <v>3677200</v>
      </c>
      <c r="E62" s="15">
        <v>0.59</v>
      </c>
    </row>
    <row r="63" spans="1:5" x14ac:dyDescent="0.4">
      <c r="A63" t="s">
        <v>4669</v>
      </c>
      <c r="B63" t="s">
        <v>4670</v>
      </c>
      <c r="C63" s="13">
        <v>55</v>
      </c>
      <c r="D63" s="13">
        <v>3531000</v>
      </c>
      <c r="E63" s="15">
        <v>0.56999999999999995</v>
      </c>
    </row>
    <row r="64" spans="1:5" x14ac:dyDescent="0.4">
      <c r="A64" t="s">
        <v>733</v>
      </c>
      <c r="B64" t="s">
        <v>734</v>
      </c>
      <c r="C64" s="13">
        <v>42</v>
      </c>
      <c r="D64" s="13">
        <v>3402000</v>
      </c>
      <c r="E64" s="15">
        <v>0.55000000000000004</v>
      </c>
    </row>
    <row r="65" spans="1:5" x14ac:dyDescent="0.4">
      <c r="A65" t="s">
        <v>223</v>
      </c>
      <c r="B65" t="s">
        <v>224</v>
      </c>
      <c r="C65" s="13">
        <v>86</v>
      </c>
      <c r="D65" s="13">
        <v>3366900</v>
      </c>
      <c r="E65" s="15">
        <v>0.54</v>
      </c>
    </row>
    <row r="66" spans="1:5" x14ac:dyDescent="0.4">
      <c r="A66" t="s">
        <v>3661</v>
      </c>
      <c r="B66" t="s">
        <v>3662</v>
      </c>
      <c r="C66" s="13">
        <v>72</v>
      </c>
      <c r="D66" s="13">
        <v>3168000</v>
      </c>
      <c r="E66" s="15">
        <v>0.51</v>
      </c>
    </row>
    <row r="67" spans="1:5" x14ac:dyDescent="0.4">
      <c r="A67" t="s">
        <v>39</v>
      </c>
      <c r="B67" t="s">
        <v>40</v>
      </c>
      <c r="C67" s="13">
        <v>12</v>
      </c>
      <c r="D67" s="13">
        <v>3060000</v>
      </c>
      <c r="E67" s="15">
        <v>0.49</v>
      </c>
    </row>
    <row r="68" spans="1:5" x14ac:dyDescent="0.4">
      <c r="A68" t="s">
        <v>2482</v>
      </c>
      <c r="B68" t="s">
        <v>2483</v>
      </c>
      <c r="C68" s="13">
        <v>203</v>
      </c>
      <c r="D68" s="13">
        <v>2730350</v>
      </c>
      <c r="E68" s="15">
        <v>0.44</v>
      </c>
    </row>
    <row r="69" spans="1:5" x14ac:dyDescent="0.4">
      <c r="A69" t="s">
        <v>603</v>
      </c>
      <c r="B69" t="s">
        <v>604</v>
      </c>
      <c r="C69" s="13">
        <v>46</v>
      </c>
      <c r="D69" s="13">
        <v>2589800</v>
      </c>
      <c r="E69" s="15">
        <v>0.42</v>
      </c>
    </row>
    <row r="70" spans="1:5" x14ac:dyDescent="0.4">
      <c r="A70" t="s">
        <v>420</v>
      </c>
      <c r="B70" t="s">
        <v>421</v>
      </c>
      <c r="C70" s="13">
        <v>57</v>
      </c>
      <c r="D70" s="13">
        <v>2533650</v>
      </c>
      <c r="E70" s="15">
        <v>0.41</v>
      </c>
    </row>
    <row r="71" spans="1:5" x14ac:dyDescent="0.4">
      <c r="A71" t="s">
        <v>4776</v>
      </c>
      <c r="B71" t="s">
        <v>4777</v>
      </c>
      <c r="C71" s="13">
        <v>62</v>
      </c>
      <c r="D71" s="13">
        <v>2514100</v>
      </c>
      <c r="E71" s="15">
        <v>0.41</v>
      </c>
    </row>
    <row r="72" spans="1:5" x14ac:dyDescent="0.4">
      <c r="A72" t="s">
        <v>4854</v>
      </c>
      <c r="B72" t="s">
        <v>4855</v>
      </c>
      <c r="C72" s="13">
        <v>135</v>
      </c>
      <c r="D72" s="13">
        <v>2444850</v>
      </c>
      <c r="E72" s="15">
        <v>0.39</v>
      </c>
    </row>
    <row r="73" spans="1:5" x14ac:dyDescent="0.4">
      <c r="A73" t="s">
        <v>3759</v>
      </c>
      <c r="B73" t="s">
        <v>3760</v>
      </c>
      <c r="C73" s="13">
        <v>137</v>
      </c>
      <c r="D73" s="13">
        <v>2283790</v>
      </c>
      <c r="E73" s="15">
        <v>0.37</v>
      </c>
    </row>
    <row r="74" spans="1:5" x14ac:dyDescent="0.4">
      <c r="A74" t="s">
        <v>349</v>
      </c>
      <c r="B74" t="s">
        <v>350</v>
      </c>
      <c r="C74">
        <v>4</v>
      </c>
      <c r="D74" s="13">
        <v>2196000</v>
      </c>
      <c r="E74" s="15">
        <v>0.35</v>
      </c>
    </row>
    <row r="75" spans="1:5" x14ac:dyDescent="0.4">
      <c r="A75" t="s">
        <v>162</v>
      </c>
      <c r="B75" t="s">
        <v>163</v>
      </c>
      <c r="C75">
        <v>35</v>
      </c>
      <c r="D75" s="13">
        <v>2170000</v>
      </c>
      <c r="E75" s="15">
        <v>0.35</v>
      </c>
    </row>
    <row r="76" spans="1:5" x14ac:dyDescent="0.4">
      <c r="A76" t="s">
        <v>3533</v>
      </c>
      <c r="B76" t="s">
        <v>3534</v>
      </c>
      <c r="C76">
        <v>55</v>
      </c>
      <c r="D76" s="13">
        <v>2101000</v>
      </c>
      <c r="E76" s="15">
        <v>0.34</v>
      </c>
    </row>
    <row r="77" spans="1:5" x14ac:dyDescent="0.4">
      <c r="A77" t="s">
        <v>4848</v>
      </c>
      <c r="B77" t="s">
        <v>4849</v>
      </c>
      <c r="C77" s="13">
        <v>91</v>
      </c>
      <c r="D77" s="13">
        <v>2047500</v>
      </c>
      <c r="E77" s="15">
        <v>0.33</v>
      </c>
    </row>
    <row r="78" spans="1:5" x14ac:dyDescent="0.4">
      <c r="A78" t="s">
        <v>470</v>
      </c>
      <c r="B78" t="s">
        <v>5181</v>
      </c>
      <c r="C78">
        <v>57</v>
      </c>
      <c r="D78" s="13">
        <v>1955100</v>
      </c>
      <c r="E78" s="15">
        <v>0.32</v>
      </c>
    </row>
    <row r="79" spans="1:5" x14ac:dyDescent="0.4">
      <c r="A79" t="s">
        <v>671</v>
      </c>
      <c r="B79" t="s">
        <v>672</v>
      </c>
      <c r="C79">
        <v>103</v>
      </c>
      <c r="D79" s="13">
        <v>1940520</v>
      </c>
      <c r="E79" s="15">
        <v>0.31</v>
      </c>
    </row>
    <row r="80" spans="1:5" x14ac:dyDescent="0.4">
      <c r="A80" t="s">
        <v>613</v>
      </c>
      <c r="B80" t="s">
        <v>614</v>
      </c>
      <c r="C80">
        <v>34</v>
      </c>
      <c r="D80" s="13">
        <v>1846200</v>
      </c>
      <c r="E80" s="15">
        <v>0.3</v>
      </c>
    </row>
    <row r="81" spans="1:5" x14ac:dyDescent="0.4">
      <c r="A81" t="s">
        <v>4014</v>
      </c>
      <c r="B81" t="s">
        <v>4015</v>
      </c>
      <c r="C81">
        <v>53</v>
      </c>
      <c r="D81" s="13">
        <v>1603250</v>
      </c>
      <c r="E81" s="15">
        <v>0.26</v>
      </c>
    </row>
    <row r="82" spans="1:5" x14ac:dyDescent="0.4">
      <c r="A82" t="s">
        <v>876</v>
      </c>
      <c r="B82" t="s">
        <v>877</v>
      </c>
      <c r="C82" s="13">
        <v>46</v>
      </c>
      <c r="D82" s="13">
        <v>1561700</v>
      </c>
      <c r="E82" s="15">
        <v>0.25</v>
      </c>
    </row>
    <row r="83" spans="1:5" x14ac:dyDescent="0.4">
      <c r="A83" t="s">
        <v>3443</v>
      </c>
      <c r="B83" t="s">
        <v>3444</v>
      </c>
      <c r="C83">
        <v>136</v>
      </c>
      <c r="D83" s="13">
        <v>1538160</v>
      </c>
      <c r="E83" s="15">
        <v>0.25</v>
      </c>
    </row>
    <row r="84" spans="1:5" x14ac:dyDescent="0.4">
      <c r="A84" t="s">
        <v>723</v>
      </c>
      <c r="B84" t="s">
        <v>724</v>
      </c>
      <c r="C84" s="13">
        <v>9</v>
      </c>
      <c r="D84" s="13">
        <v>1332000</v>
      </c>
      <c r="E84" s="15">
        <v>0.21</v>
      </c>
    </row>
    <row r="85" spans="1:5" x14ac:dyDescent="0.4">
      <c r="A85" t="s">
        <v>484</v>
      </c>
      <c r="B85" t="s">
        <v>485</v>
      </c>
      <c r="C85" s="13">
        <v>22</v>
      </c>
      <c r="D85" s="13">
        <v>1317800</v>
      </c>
      <c r="E85" s="15">
        <v>0.21</v>
      </c>
    </row>
    <row r="86" spans="1:5" x14ac:dyDescent="0.4">
      <c r="A86" t="s">
        <v>2043</v>
      </c>
      <c r="B86" t="s">
        <v>2044</v>
      </c>
      <c r="C86" s="13">
        <v>234</v>
      </c>
      <c r="D86" s="13">
        <v>1256580</v>
      </c>
      <c r="E86" s="15">
        <v>0.2</v>
      </c>
    </row>
    <row r="87" spans="1:5" x14ac:dyDescent="0.4">
      <c r="A87" t="s">
        <v>3445</v>
      </c>
      <c r="B87" t="s">
        <v>3446</v>
      </c>
      <c r="C87" s="13">
        <v>77</v>
      </c>
      <c r="D87" s="13">
        <v>1199660</v>
      </c>
      <c r="E87" s="15">
        <v>0.19</v>
      </c>
    </row>
    <row r="88" spans="1:5" x14ac:dyDescent="0.4">
      <c r="A88" t="s">
        <v>258</v>
      </c>
      <c r="B88" t="s">
        <v>259</v>
      </c>
      <c r="C88" s="13">
        <v>51</v>
      </c>
      <c r="D88" s="13">
        <v>1173000</v>
      </c>
      <c r="E88" s="15">
        <v>0.19</v>
      </c>
    </row>
    <row r="89" spans="1:5" x14ac:dyDescent="0.4">
      <c r="A89" t="s">
        <v>3252</v>
      </c>
      <c r="B89" t="s">
        <v>3253</v>
      </c>
      <c r="C89" s="13">
        <v>22</v>
      </c>
      <c r="D89" s="13">
        <v>1161600</v>
      </c>
      <c r="E89" s="15">
        <v>0.19</v>
      </c>
    </row>
    <row r="90" spans="1:5" x14ac:dyDescent="0.4">
      <c r="A90" t="s">
        <v>3837</v>
      </c>
      <c r="B90" t="s">
        <v>3838</v>
      </c>
      <c r="C90" s="13">
        <v>101</v>
      </c>
      <c r="D90" s="13">
        <v>1086760</v>
      </c>
      <c r="E90" s="15">
        <v>0.18</v>
      </c>
    </row>
    <row r="91" spans="1:5" x14ac:dyDescent="0.4">
      <c r="A91" t="s">
        <v>512</v>
      </c>
      <c r="B91" t="s">
        <v>513</v>
      </c>
      <c r="C91">
        <v>15</v>
      </c>
      <c r="D91" s="13">
        <v>721500</v>
      </c>
      <c r="E91" s="15">
        <v>0.12</v>
      </c>
    </row>
    <row r="92" spans="1:5" x14ac:dyDescent="0.4">
      <c r="A92" t="s">
        <v>221</v>
      </c>
      <c r="B92" t="s">
        <v>222</v>
      </c>
      <c r="C92" s="13">
        <v>12</v>
      </c>
      <c r="D92" s="13">
        <v>564600</v>
      </c>
      <c r="E92" s="15">
        <v>0.09</v>
      </c>
    </row>
    <row r="93" spans="1:5" x14ac:dyDescent="0.4">
      <c r="B93" t="s">
        <v>10</v>
      </c>
      <c r="C93" s="13">
        <v>1058676</v>
      </c>
      <c r="D93" s="13">
        <v>1058676</v>
      </c>
      <c r="E93" s="15">
        <v>0.17</v>
      </c>
    </row>
    <row r="94" spans="1:5" x14ac:dyDescent="0.4">
      <c r="C94" s="13"/>
      <c r="D94" s="13"/>
    </row>
    <row r="95" spans="1:5" x14ac:dyDescent="0.4">
      <c r="C95" s="13"/>
      <c r="D95" s="13"/>
    </row>
    <row r="96" spans="1:5" x14ac:dyDescent="0.4">
      <c r="C96" s="13"/>
      <c r="D96" s="13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C99" s="13"/>
      <c r="D99" s="13"/>
    </row>
    <row r="100" spans="3:5" x14ac:dyDescent="0.4">
      <c r="C100" s="13"/>
      <c r="D100" s="13"/>
    </row>
    <row r="101" spans="3:5" x14ac:dyDescent="0.4">
      <c r="C101" s="13"/>
      <c r="D101" s="13"/>
    </row>
    <row r="102" spans="3:5" x14ac:dyDescent="0.4">
      <c r="C102" s="13"/>
      <c r="D102" s="13"/>
    </row>
    <row r="103" spans="3:5" x14ac:dyDescent="0.4">
      <c r="D103" s="13"/>
    </row>
    <row r="104" spans="3:5" x14ac:dyDescent="0.4">
      <c r="C104" s="13"/>
      <c r="D104" s="13"/>
    </row>
    <row r="105" spans="3:5" x14ac:dyDescent="0.4">
      <c r="D105" s="13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8CB795E3-9BC1-48D2-9B36-5D5C06BECCE7}"/>
  </hyperlink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0A2-F27F-48D2-9F9C-68EA74BE6713}">
  <dimension ref="A1:E199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5154</v>
      </c>
      <c r="B8" s="6"/>
      <c r="C8" s="6"/>
      <c r="D8" s="6"/>
      <c r="E8" s="14"/>
    </row>
    <row r="9" spans="1:5" x14ac:dyDescent="0.4">
      <c r="A9" s="69" t="s">
        <v>5156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2246</v>
      </c>
      <c r="B11" t="s">
        <v>2247</v>
      </c>
      <c r="C11" s="13">
        <v>944</v>
      </c>
      <c r="D11" s="13">
        <v>38373600</v>
      </c>
      <c r="E11" s="15">
        <v>6.15</v>
      </c>
    </row>
    <row r="12" spans="1:5" x14ac:dyDescent="0.4">
      <c r="A12" t="s">
        <v>158</v>
      </c>
      <c r="B12" t="s">
        <v>159</v>
      </c>
      <c r="C12" s="31">
        <v>298</v>
      </c>
      <c r="D12" s="13">
        <v>30098000</v>
      </c>
      <c r="E12" s="15">
        <v>4.82</v>
      </c>
    </row>
    <row r="13" spans="1:5" x14ac:dyDescent="0.4">
      <c r="A13" t="s">
        <v>757</v>
      </c>
      <c r="B13" t="s">
        <v>758</v>
      </c>
      <c r="C13" s="13">
        <v>245</v>
      </c>
      <c r="D13" s="13">
        <v>28934500</v>
      </c>
      <c r="E13" s="15">
        <v>4.6399999999999997</v>
      </c>
    </row>
    <row r="14" spans="1:5" x14ac:dyDescent="0.4">
      <c r="A14" t="s">
        <v>721</v>
      </c>
      <c r="B14" t="s">
        <v>722</v>
      </c>
      <c r="C14" s="13">
        <v>236</v>
      </c>
      <c r="D14" s="13">
        <v>23623600</v>
      </c>
      <c r="E14" s="15">
        <v>3.78</v>
      </c>
    </row>
    <row r="15" spans="1:5" x14ac:dyDescent="0.4">
      <c r="A15" t="s">
        <v>679</v>
      </c>
      <c r="B15" t="s">
        <v>680</v>
      </c>
      <c r="C15" s="31">
        <v>103</v>
      </c>
      <c r="D15" s="13">
        <v>18313400</v>
      </c>
      <c r="E15" s="15">
        <v>2.93</v>
      </c>
    </row>
    <row r="16" spans="1:5" x14ac:dyDescent="0.4">
      <c r="A16" t="s">
        <v>35</v>
      </c>
      <c r="B16" t="s">
        <v>36</v>
      </c>
      <c r="C16" s="31">
        <v>89</v>
      </c>
      <c r="D16" s="13">
        <v>17034600</v>
      </c>
      <c r="E16" s="15">
        <v>2.73</v>
      </c>
    </row>
    <row r="17" spans="1:5" x14ac:dyDescent="0.4">
      <c r="A17" t="s">
        <v>41</v>
      </c>
      <c r="B17" t="s">
        <v>42</v>
      </c>
      <c r="C17" s="31">
        <v>132</v>
      </c>
      <c r="D17" s="13">
        <v>15747600</v>
      </c>
      <c r="E17" s="15">
        <v>2.52</v>
      </c>
    </row>
    <row r="18" spans="1:5" x14ac:dyDescent="0.4">
      <c r="A18" t="s">
        <v>4343</v>
      </c>
      <c r="B18" t="s">
        <v>4344</v>
      </c>
      <c r="C18" s="13">
        <v>146</v>
      </c>
      <c r="D18" s="13">
        <v>14293400</v>
      </c>
      <c r="E18" s="15">
        <v>2.29</v>
      </c>
    </row>
    <row r="19" spans="1:5" x14ac:dyDescent="0.4">
      <c r="A19" t="s">
        <v>434</v>
      </c>
      <c r="B19" t="s">
        <v>435</v>
      </c>
      <c r="C19" s="13">
        <v>208</v>
      </c>
      <c r="D19" s="13">
        <v>13936000</v>
      </c>
      <c r="E19" s="15">
        <v>2.23</v>
      </c>
    </row>
    <row r="20" spans="1:5" x14ac:dyDescent="0.4">
      <c r="A20" t="s">
        <v>31</v>
      </c>
      <c r="B20" t="s">
        <v>32</v>
      </c>
      <c r="C20" s="13">
        <v>37</v>
      </c>
      <c r="D20" s="13">
        <v>13653000</v>
      </c>
      <c r="E20" s="15">
        <v>2.19</v>
      </c>
    </row>
    <row r="21" spans="1:5" x14ac:dyDescent="0.4">
      <c r="A21" t="s">
        <v>397</v>
      </c>
      <c r="B21" t="s">
        <v>398</v>
      </c>
      <c r="C21" s="13">
        <v>105</v>
      </c>
      <c r="D21" s="13">
        <v>13566000</v>
      </c>
      <c r="E21" s="15">
        <v>2.17</v>
      </c>
    </row>
    <row r="22" spans="1:5" x14ac:dyDescent="0.4">
      <c r="A22" t="s">
        <v>488</v>
      </c>
      <c r="B22" t="s">
        <v>489</v>
      </c>
      <c r="C22" s="13">
        <v>135</v>
      </c>
      <c r="D22" s="13">
        <v>13540500</v>
      </c>
      <c r="E22" s="15">
        <v>2.17</v>
      </c>
    </row>
    <row r="23" spans="1:5" x14ac:dyDescent="0.4">
      <c r="A23" t="s">
        <v>493</v>
      </c>
      <c r="B23" t="s">
        <v>494</v>
      </c>
      <c r="C23" s="31">
        <v>95</v>
      </c>
      <c r="D23" s="13">
        <v>13319000</v>
      </c>
      <c r="E23" s="15">
        <v>2.13</v>
      </c>
    </row>
    <row r="24" spans="1:5" x14ac:dyDescent="0.4">
      <c r="A24" t="s">
        <v>446</v>
      </c>
      <c r="B24" t="s">
        <v>447</v>
      </c>
      <c r="C24" s="31">
        <v>84</v>
      </c>
      <c r="D24" s="13">
        <v>13112400</v>
      </c>
      <c r="E24" s="15">
        <v>2.1</v>
      </c>
    </row>
    <row r="25" spans="1:5" x14ac:dyDescent="0.4">
      <c r="A25" t="s">
        <v>401</v>
      </c>
      <c r="B25" t="s">
        <v>402</v>
      </c>
      <c r="C25" s="13">
        <v>235</v>
      </c>
      <c r="D25" s="13">
        <v>12760500</v>
      </c>
      <c r="E25" s="15">
        <v>2.04</v>
      </c>
    </row>
    <row r="26" spans="1:5" x14ac:dyDescent="0.4">
      <c r="A26" t="s">
        <v>353</v>
      </c>
      <c r="B26" t="s">
        <v>354</v>
      </c>
      <c r="C26" s="13">
        <v>66</v>
      </c>
      <c r="D26" s="13">
        <v>12573000</v>
      </c>
      <c r="E26" s="15">
        <v>2.0099999999999998</v>
      </c>
    </row>
    <row r="27" spans="1:5" x14ac:dyDescent="0.4">
      <c r="A27" t="s">
        <v>45</v>
      </c>
      <c r="B27" t="s">
        <v>46</v>
      </c>
      <c r="C27" s="13">
        <v>74</v>
      </c>
      <c r="D27" s="13">
        <v>12343200</v>
      </c>
      <c r="E27" s="15">
        <v>1.98</v>
      </c>
    </row>
    <row r="28" spans="1:5" x14ac:dyDescent="0.4">
      <c r="A28" t="s">
        <v>4627</v>
      </c>
      <c r="B28" t="s">
        <v>4628</v>
      </c>
      <c r="C28" s="13">
        <v>121</v>
      </c>
      <c r="D28" s="13">
        <v>12184700</v>
      </c>
      <c r="E28" s="15">
        <v>1.95</v>
      </c>
    </row>
    <row r="29" spans="1:5" x14ac:dyDescent="0.4">
      <c r="A29" t="s">
        <v>232</v>
      </c>
      <c r="B29" t="s">
        <v>233</v>
      </c>
      <c r="C29" s="13">
        <v>37</v>
      </c>
      <c r="D29" s="13">
        <v>12154500</v>
      </c>
      <c r="E29" s="15">
        <v>1.95</v>
      </c>
    </row>
    <row r="30" spans="1:5" x14ac:dyDescent="0.4">
      <c r="A30" t="s">
        <v>4617</v>
      </c>
      <c r="B30" t="s">
        <v>4618</v>
      </c>
      <c r="C30" s="13">
        <v>139</v>
      </c>
      <c r="D30" s="13">
        <v>11926200</v>
      </c>
      <c r="E30" s="15">
        <v>1.91</v>
      </c>
    </row>
    <row r="31" spans="1:5" x14ac:dyDescent="0.4">
      <c r="A31" t="s">
        <v>422</v>
      </c>
      <c r="B31" t="s">
        <v>423</v>
      </c>
      <c r="C31" s="13">
        <v>76</v>
      </c>
      <c r="D31" s="13">
        <v>11787600</v>
      </c>
      <c r="E31" s="15">
        <v>1.89</v>
      </c>
    </row>
    <row r="32" spans="1:5" x14ac:dyDescent="0.4">
      <c r="A32" t="s">
        <v>479</v>
      </c>
      <c r="B32" t="s">
        <v>480</v>
      </c>
      <c r="C32" s="13">
        <v>92</v>
      </c>
      <c r="D32" s="13">
        <v>11132000</v>
      </c>
      <c r="E32" s="15">
        <v>1.78</v>
      </c>
    </row>
    <row r="33" spans="1:5" x14ac:dyDescent="0.4">
      <c r="A33" t="s">
        <v>737</v>
      </c>
      <c r="B33" t="s">
        <v>738</v>
      </c>
      <c r="C33" s="13">
        <v>73</v>
      </c>
      <c r="D33" s="13">
        <v>10913500</v>
      </c>
      <c r="E33" s="15">
        <v>1.75</v>
      </c>
    </row>
    <row r="34" spans="1:5" x14ac:dyDescent="0.4">
      <c r="A34" t="s">
        <v>607</v>
      </c>
      <c r="B34" t="s">
        <v>608</v>
      </c>
      <c r="C34" s="13">
        <v>73</v>
      </c>
      <c r="D34" s="13">
        <v>10782100</v>
      </c>
      <c r="E34" s="15">
        <v>1.73</v>
      </c>
    </row>
    <row r="35" spans="1:5" x14ac:dyDescent="0.4">
      <c r="A35" t="s">
        <v>631</v>
      </c>
      <c r="B35" t="s">
        <v>632</v>
      </c>
      <c r="C35" s="13">
        <v>64</v>
      </c>
      <c r="D35" s="13">
        <v>10368000</v>
      </c>
      <c r="E35" s="15">
        <v>1.66</v>
      </c>
    </row>
    <row r="36" spans="1:5" x14ac:dyDescent="0.4">
      <c r="A36" t="s">
        <v>3351</v>
      </c>
      <c r="B36" t="s">
        <v>3352</v>
      </c>
      <c r="C36" s="13">
        <v>352</v>
      </c>
      <c r="D36" s="13">
        <v>9785600</v>
      </c>
      <c r="E36" s="15">
        <v>1.57</v>
      </c>
    </row>
    <row r="37" spans="1:5" x14ac:dyDescent="0.4">
      <c r="A37" t="s">
        <v>57</v>
      </c>
      <c r="B37" t="s">
        <v>58</v>
      </c>
      <c r="C37" s="13">
        <v>197</v>
      </c>
      <c r="D37" s="13">
        <v>9298400</v>
      </c>
      <c r="E37" s="15">
        <v>1.49</v>
      </c>
    </row>
    <row r="38" spans="1:5" x14ac:dyDescent="0.4">
      <c r="A38" t="s">
        <v>516</v>
      </c>
      <c r="B38" t="s">
        <v>517</v>
      </c>
      <c r="C38" s="13">
        <v>131</v>
      </c>
      <c r="D38" s="13">
        <v>9170000</v>
      </c>
      <c r="E38" s="15">
        <v>1.47</v>
      </c>
    </row>
    <row r="39" spans="1:5" x14ac:dyDescent="0.4">
      <c r="A39" t="s">
        <v>236</v>
      </c>
      <c r="B39" t="s">
        <v>237</v>
      </c>
      <c r="C39">
        <v>11</v>
      </c>
      <c r="D39" s="13">
        <v>8910000</v>
      </c>
      <c r="E39" s="15">
        <v>1.43</v>
      </c>
    </row>
    <row r="40" spans="1:5" x14ac:dyDescent="0.4">
      <c r="A40" t="s">
        <v>1619</v>
      </c>
      <c r="B40" t="s">
        <v>1620</v>
      </c>
      <c r="C40">
        <v>980</v>
      </c>
      <c r="D40" s="13">
        <v>8232000</v>
      </c>
      <c r="E40" s="15">
        <v>1.32</v>
      </c>
    </row>
    <row r="41" spans="1:5" x14ac:dyDescent="0.4">
      <c r="A41" t="s">
        <v>569</v>
      </c>
      <c r="B41" t="s">
        <v>570</v>
      </c>
      <c r="C41">
        <v>42</v>
      </c>
      <c r="D41" s="13">
        <v>7623000</v>
      </c>
      <c r="E41" s="15">
        <v>1.22</v>
      </c>
    </row>
    <row r="42" spans="1:5" x14ac:dyDescent="0.4">
      <c r="A42" t="s">
        <v>3931</v>
      </c>
      <c r="B42" t="s">
        <v>3932</v>
      </c>
      <c r="C42">
        <v>76</v>
      </c>
      <c r="D42" s="13">
        <v>7379600</v>
      </c>
      <c r="E42" s="15">
        <v>1.18</v>
      </c>
    </row>
    <row r="43" spans="1:5" x14ac:dyDescent="0.4">
      <c r="A43" t="s">
        <v>719</v>
      </c>
      <c r="B43" t="s">
        <v>720</v>
      </c>
      <c r="C43" s="13">
        <v>400</v>
      </c>
      <c r="D43" s="13">
        <v>7092000</v>
      </c>
      <c r="E43" s="15">
        <v>1.1399999999999999</v>
      </c>
    </row>
    <row r="44" spans="1:5" x14ac:dyDescent="0.4">
      <c r="A44" t="s">
        <v>471</v>
      </c>
      <c r="B44" t="s">
        <v>472</v>
      </c>
      <c r="C44" s="13">
        <v>66</v>
      </c>
      <c r="D44" s="13">
        <v>6692400</v>
      </c>
      <c r="E44" s="15">
        <v>1.07</v>
      </c>
    </row>
    <row r="45" spans="1:5" x14ac:dyDescent="0.4">
      <c r="A45" t="s">
        <v>545</v>
      </c>
      <c r="B45" t="s">
        <v>546</v>
      </c>
      <c r="C45" s="13">
        <v>152</v>
      </c>
      <c r="D45" s="13">
        <v>6163600</v>
      </c>
      <c r="E45" s="15">
        <v>0.99</v>
      </c>
    </row>
    <row r="46" spans="1:5" x14ac:dyDescent="0.4">
      <c r="A46" t="s">
        <v>2919</v>
      </c>
      <c r="B46" t="s">
        <v>2920</v>
      </c>
      <c r="C46" s="13">
        <v>113</v>
      </c>
      <c r="D46" s="13">
        <v>5989000</v>
      </c>
      <c r="E46" s="15">
        <v>0.96</v>
      </c>
    </row>
    <row r="47" spans="1:5" x14ac:dyDescent="0.4">
      <c r="A47" t="s">
        <v>2095</v>
      </c>
      <c r="B47" t="s">
        <v>2096</v>
      </c>
      <c r="C47" s="13">
        <v>345</v>
      </c>
      <c r="D47" s="13">
        <v>5847750</v>
      </c>
      <c r="E47" s="15">
        <v>0.94</v>
      </c>
    </row>
    <row r="48" spans="1:5" x14ac:dyDescent="0.4">
      <c r="A48" t="s">
        <v>512</v>
      </c>
      <c r="B48" t="s">
        <v>513</v>
      </c>
      <c r="C48" s="13">
        <v>112</v>
      </c>
      <c r="D48" s="13">
        <v>5734400</v>
      </c>
      <c r="E48" s="15">
        <v>0.92</v>
      </c>
    </row>
    <row r="49" spans="1:5" x14ac:dyDescent="0.4">
      <c r="A49" t="s">
        <v>49</v>
      </c>
      <c r="B49" t="s">
        <v>50</v>
      </c>
      <c r="C49" s="13">
        <v>43</v>
      </c>
      <c r="D49" s="13">
        <v>5650200</v>
      </c>
      <c r="E49" s="15">
        <v>0.91</v>
      </c>
    </row>
    <row r="50" spans="1:5" x14ac:dyDescent="0.4">
      <c r="A50" t="s">
        <v>637</v>
      </c>
      <c r="B50" t="s">
        <v>638</v>
      </c>
      <c r="C50" s="13">
        <v>84</v>
      </c>
      <c r="D50" s="13">
        <v>5577600</v>
      </c>
      <c r="E50" s="15">
        <v>0.89</v>
      </c>
    </row>
    <row r="51" spans="1:5" x14ac:dyDescent="0.4">
      <c r="A51" t="s">
        <v>625</v>
      </c>
      <c r="B51" t="s">
        <v>626</v>
      </c>
      <c r="C51" s="13">
        <v>87</v>
      </c>
      <c r="D51" s="13">
        <v>5359200</v>
      </c>
      <c r="E51" s="15">
        <v>0.86</v>
      </c>
    </row>
    <row r="52" spans="1:5" x14ac:dyDescent="0.4">
      <c r="A52" t="s">
        <v>27</v>
      </c>
      <c r="B52" t="s">
        <v>28</v>
      </c>
      <c r="C52" s="13">
        <v>59</v>
      </c>
      <c r="D52" s="13">
        <v>4891100</v>
      </c>
      <c r="E52" s="15">
        <v>0.78</v>
      </c>
    </row>
    <row r="53" spans="1:5" x14ac:dyDescent="0.4">
      <c r="A53" t="s">
        <v>223</v>
      </c>
      <c r="B53" t="s">
        <v>224</v>
      </c>
      <c r="C53" s="13">
        <v>117</v>
      </c>
      <c r="D53" s="13">
        <v>4861350</v>
      </c>
      <c r="E53" s="15">
        <v>0.78</v>
      </c>
    </row>
    <row r="54" spans="1:5" x14ac:dyDescent="0.4">
      <c r="A54" t="s">
        <v>351</v>
      </c>
      <c r="B54" t="s">
        <v>352</v>
      </c>
      <c r="C54" s="13">
        <v>21</v>
      </c>
      <c r="D54" s="13">
        <v>4714500</v>
      </c>
      <c r="E54" s="15">
        <v>0.76</v>
      </c>
    </row>
    <row r="55" spans="1:5" x14ac:dyDescent="0.4">
      <c r="A55" t="s">
        <v>701</v>
      </c>
      <c r="B55" t="s">
        <v>702</v>
      </c>
      <c r="C55">
        <v>82</v>
      </c>
      <c r="D55" s="13">
        <v>4657600</v>
      </c>
      <c r="E55" s="15">
        <v>0.75</v>
      </c>
    </row>
    <row r="56" spans="1:5" x14ac:dyDescent="0.4">
      <c r="A56" t="s">
        <v>761</v>
      </c>
      <c r="B56" t="s">
        <v>762</v>
      </c>
      <c r="C56">
        <v>55</v>
      </c>
      <c r="D56" s="13">
        <v>4526500</v>
      </c>
      <c r="E56" s="15">
        <v>0.73</v>
      </c>
    </row>
    <row r="57" spans="1:5" x14ac:dyDescent="0.4">
      <c r="A57" t="s">
        <v>557</v>
      </c>
      <c r="B57" t="s">
        <v>558</v>
      </c>
      <c r="C57">
        <v>132</v>
      </c>
      <c r="D57" s="13">
        <v>4448400</v>
      </c>
      <c r="E57" s="15">
        <v>0.71</v>
      </c>
    </row>
    <row r="58" spans="1:5" x14ac:dyDescent="0.4">
      <c r="A58" t="s">
        <v>3232</v>
      </c>
      <c r="B58" t="s">
        <v>3233</v>
      </c>
      <c r="C58">
        <v>57</v>
      </c>
      <c r="D58" s="13">
        <v>4446000</v>
      </c>
      <c r="E58" s="15">
        <v>0.71</v>
      </c>
    </row>
    <row r="59" spans="1:5" x14ac:dyDescent="0.4">
      <c r="A59" t="s">
        <v>468</v>
      </c>
      <c r="B59" t="s">
        <v>469</v>
      </c>
      <c r="C59">
        <v>85</v>
      </c>
      <c r="D59" s="13">
        <v>4207500</v>
      </c>
      <c r="E59" s="15">
        <v>0.67</v>
      </c>
    </row>
    <row r="60" spans="1:5" x14ac:dyDescent="0.4">
      <c r="A60" t="s">
        <v>47</v>
      </c>
      <c r="B60" t="s">
        <v>48</v>
      </c>
      <c r="C60">
        <v>109</v>
      </c>
      <c r="D60" s="13">
        <v>3967600</v>
      </c>
      <c r="E60" s="15">
        <v>0.64</v>
      </c>
    </row>
    <row r="61" spans="1:5" x14ac:dyDescent="0.4">
      <c r="A61" t="s">
        <v>361</v>
      </c>
      <c r="B61" t="s">
        <v>362</v>
      </c>
      <c r="C61" s="13">
        <v>66</v>
      </c>
      <c r="D61" s="13">
        <v>3913800</v>
      </c>
      <c r="E61" s="15">
        <v>0.63</v>
      </c>
    </row>
    <row r="62" spans="1:5" x14ac:dyDescent="0.4">
      <c r="A62" t="s">
        <v>5066</v>
      </c>
      <c r="B62" t="s">
        <v>5194</v>
      </c>
      <c r="C62" s="13">
        <v>123</v>
      </c>
      <c r="D62" s="13">
        <v>3899100</v>
      </c>
      <c r="E62" s="15">
        <v>0.62</v>
      </c>
    </row>
    <row r="63" spans="1:5" x14ac:dyDescent="0.4">
      <c r="A63" t="s">
        <v>39</v>
      </c>
      <c r="B63" t="s">
        <v>40</v>
      </c>
      <c r="C63" s="13">
        <v>14</v>
      </c>
      <c r="D63" s="13">
        <v>3724000</v>
      </c>
      <c r="E63" s="15">
        <v>0.6</v>
      </c>
    </row>
    <row r="64" spans="1:5" x14ac:dyDescent="0.4">
      <c r="A64" t="s">
        <v>733</v>
      </c>
      <c r="B64" t="s">
        <v>734</v>
      </c>
      <c r="C64" s="13">
        <v>42</v>
      </c>
      <c r="D64" s="13">
        <v>3620400</v>
      </c>
      <c r="E64" s="15">
        <v>0.57999999999999996</v>
      </c>
    </row>
    <row r="65" spans="1:5" x14ac:dyDescent="0.4">
      <c r="A65" t="s">
        <v>162</v>
      </c>
      <c r="B65" t="s">
        <v>163</v>
      </c>
      <c r="C65" s="13">
        <v>58</v>
      </c>
      <c r="D65" s="13">
        <v>3068200</v>
      </c>
      <c r="E65" s="15">
        <v>0.49</v>
      </c>
    </row>
    <row r="66" spans="1:5" x14ac:dyDescent="0.4">
      <c r="A66" t="s">
        <v>61</v>
      </c>
      <c r="B66" t="s">
        <v>62</v>
      </c>
      <c r="C66" s="13">
        <v>9</v>
      </c>
      <c r="D66" s="13">
        <v>2952000</v>
      </c>
      <c r="E66" s="15">
        <v>0.47</v>
      </c>
    </row>
    <row r="67" spans="1:5" x14ac:dyDescent="0.4">
      <c r="A67" t="s">
        <v>577</v>
      </c>
      <c r="B67" t="s">
        <v>578</v>
      </c>
      <c r="C67" s="13">
        <v>63</v>
      </c>
      <c r="D67" s="13">
        <v>2891700</v>
      </c>
      <c r="E67" s="15">
        <v>0.46</v>
      </c>
    </row>
    <row r="68" spans="1:5" x14ac:dyDescent="0.4">
      <c r="A68" t="s">
        <v>279</v>
      </c>
      <c r="B68" t="s">
        <v>280</v>
      </c>
      <c r="C68" s="13">
        <v>217</v>
      </c>
      <c r="D68" s="13">
        <v>2886100</v>
      </c>
      <c r="E68" s="15">
        <v>0.46</v>
      </c>
    </row>
    <row r="69" spans="1:5" x14ac:dyDescent="0.4">
      <c r="A69" t="s">
        <v>4776</v>
      </c>
      <c r="B69" t="s">
        <v>4777</v>
      </c>
      <c r="C69">
        <v>62</v>
      </c>
      <c r="D69" s="13">
        <v>2771400</v>
      </c>
      <c r="E69" s="15">
        <v>0.44</v>
      </c>
    </row>
    <row r="70" spans="1:5" x14ac:dyDescent="0.4">
      <c r="A70" t="s">
        <v>3661</v>
      </c>
      <c r="B70" t="s">
        <v>3662</v>
      </c>
      <c r="C70">
        <v>72</v>
      </c>
      <c r="D70" s="13">
        <v>2764800</v>
      </c>
      <c r="E70" s="15">
        <v>0.44</v>
      </c>
    </row>
    <row r="71" spans="1:5" x14ac:dyDescent="0.4">
      <c r="A71" t="s">
        <v>420</v>
      </c>
      <c r="B71" t="s">
        <v>421</v>
      </c>
      <c r="C71">
        <v>57</v>
      </c>
      <c r="D71" s="13">
        <v>2679000</v>
      </c>
      <c r="E71" s="15">
        <v>0.43</v>
      </c>
    </row>
    <row r="72" spans="1:5" x14ac:dyDescent="0.4">
      <c r="A72" t="s">
        <v>4669</v>
      </c>
      <c r="B72" t="s">
        <v>4670</v>
      </c>
      <c r="C72">
        <v>37</v>
      </c>
      <c r="D72" s="13">
        <v>2479000</v>
      </c>
      <c r="E72" s="15">
        <v>0.4</v>
      </c>
    </row>
    <row r="73" spans="1:5" x14ac:dyDescent="0.4">
      <c r="A73" t="s">
        <v>484</v>
      </c>
      <c r="B73" t="s">
        <v>485</v>
      </c>
      <c r="C73">
        <v>45</v>
      </c>
      <c r="D73" s="13">
        <v>2439000</v>
      </c>
      <c r="E73" s="15">
        <v>0.39</v>
      </c>
    </row>
    <row r="74" spans="1:5" x14ac:dyDescent="0.4">
      <c r="A74" t="s">
        <v>4014</v>
      </c>
      <c r="B74" t="s">
        <v>4015</v>
      </c>
      <c r="C74">
        <v>72</v>
      </c>
      <c r="D74" s="13">
        <v>2282400</v>
      </c>
      <c r="E74" s="15">
        <v>0.37</v>
      </c>
    </row>
    <row r="75" spans="1:5" x14ac:dyDescent="0.4">
      <c r="A75" t="s">
        <v>3533</v>
      </c>
      <c r="B75" t="s">
        <v>3534</v>
      </c>
      <c r="C75">
        <v>55</v>
      </c>
      <c r="D75" s="13">
        <v>2252250</v>
      </c>
      <c r="E75" s="15">
        <v>0.36</v>
      </c>
    </row>
    <row r="76" spans="1:5" x14ac:dyDescent="0.4">
      <c r="A76" t="s">
        <v>470</v>
      </c>
      <c r="B76" t="s">
        <v>5181</v>
      </c>
      <c r="C76">
        <v>57</v>
      </c>
      <c r="D76" s="13">
        <v>2106150</v>
      </c>
      <c r="E76" s="15">
        <v>0.34</v>
      </c>
    </row>
    <row r="77" spans="1:5" x14ac:dyDescent="0.4">
      <c r="A77" t="s">
        <v>551</v>
      </c>
      <c r="B77" t="s">
        <v>552</v>
      </c>
      <c r="C77" s="13">
        <v>53</v>
      </c>
      <c r="D77" s="13">
        <v>2045800</v>
      </c>
      <c r="E77" s="15">
        <v>0.33</v>
      </c>
    </row>
    <row r="78" spans="1:5" x14ac:dyDescent="0.4">
      <c r="A78" t="s">
        <v>4848</v>
      </c>
      <c r="B78" t="s">
        <v>4849</v>
      </c>
      <c r="C78">
        <v>91</v>
      </c>
      <c r="D78" s="13">
        <v>2029300</v>
      </c>
      <c r="E78" s="15">
        <v>0.33</v>
      </c>
    </row>
    <row r="79" spans="1:5" x14ac:dyDescent="0.4">
      <c r="A79" t="s">
        <v>671</v>
      </c>
      <c r="B79" t="s">
        <v>672</v>
      </c>
      <c r="C79">
        <v>103</v>
      </c>
      <c r="D79" s="13">
        <v>2013650</v>
      </c>
      <c r="E79" s="15">
        <v>0.32</v>
      </c>
    </row>
    <row r="80" spans="1:5" x14ac:dyDescent="0.4">
      <c r="A80" t="s">
        <v>613</v>
      </c>
      <c r="B80" t="s">
        <v>614</v>
      </c>
      <c r="C80">
        <v>34</v>
      </c>
      <c r="D80" s="13">
        <v>1791800</v>
      </c>
      <c r="E80" s="15">
        <v>0.28999999999999998</v>
      </c>
    </row>
    <row r="81" spans="1:5" x14ac:dyDescent="0.4">
      <c r="A81" t="s">
        <v>876</v>
      </c>
      <c r="B81" t="s">
        <v>877</v>
      </c>
      <c r="C81">
        <v>46</v>
      </c>
      <c r="D81" s="13">
        <v>1782500</v>
      </c>
      <c r="E81" s="15">
        <v>0.28999999999999998</v>
      </c>
    </row>
    <row r="82" spans="1:5" x14ac:dyDescent="0.4">
      <c r="A82" t="s">
        <v>3443</v>
      </c>
      <c r="B82" t="s">
        <v>3444</v>
      </c>
      <c r="C82">
        <v>136</v>
      </c>
      <c r="D82" s="13">
        <v>1725840</v>
      </c>
      <c r="E82" s="15">
        <v>0.28000000000000003</v>
      </c>
    </row>
    <row r="83" spans="1:5" x14ac:dyDescent="0.4">
      <c r="A83" t="s">
        <v>258</v>
      </c>
      <c r="B83" t="s">
        <v>259</v>
      </c>
      <c r="C83">
        <v>63</v>
      </c>
      <c r="D83" s="13">
        <v>1524600</v>
      </c>
      <c r="E83" s="15">
        <v>0.24</v>
      </c>
    </row>
    <row r="84" spans="1:5" x14ac:dyDescent="0.4">
      <c r="A84" t="s">
        <v>2043</v>
      </c>
      <c r="B84" t="s">
        <v>2044</v>
      </c>
      <c r="C84">
        <v>289</v>
      </c>
      <c r="D84" s="13">
        <v>1491240</v>
      </c>
      <c r="E84" s="15">
        <v>0.24</v>
      </c>
    </row>
    <row r="85" spans="1:5" x14ac:dyDescent="0.4">
      <c r="A85" t="s">
        <v>723</v>
      </c>
      <c r="B85" t="s">
        <v>724</v>
      </c>
      <c r="C85">
        <v>9</v>
      </c>
      <c r="D85" s="13">
        <v>1419300</v>
      </c>
      <c r="E85" s="15">
        <v>0.23</v>
      </c>
    </row>
    <row r="86" spans="1:5" x14ac:dyDescent="0.4">
      <c r="A86" t="s">
        <v>3837</v>
      </c>
      <c r="B86" t="s">
        <v>3838</v>
      </c>
      <c r="C86" s="13">
        <v>127</v>
      </c>
      <c r="D86" s="13">
        <v>1413510</v>
      </c>
      <c r="E86" s="15">
        <v>0.23</v>
      </c>
    </row>
    <row r="87" spans="1:5" x14ac:dyDescent="0.4">
      <c r="A87" t="s">
        <v>3445</v>
      </c>
      <c r="B87" t="s">
        <v>3446</v>
      </c>
      <c r="C87">
        <v>77</v>
      </c>
      <c r="D87" s="13">
        <v>1234310</v>
      </c>
      <c r="E87" s="15">
        <v>0.2</v>
      </c>
    </row>
    <row r="88" spans="1:5" x14ac:dyDescent="0.4">
      <c r="A88" t="s">
        <v>3252</v>
      </c>
      <c r="B88" t="s">
        <v>3253</v>
      </c>
      <c r="C88">
        <v>22</v>
      </c>
      <c r="D88" s="13">
        <v>1201200</v>
      </c>
      <c r="E88" s="15">
        <v>0.19</v>
      </c>
    </row>
    <row r="89" spans="1:5" x14ac:dyDescent="0.4">
      <c r="A89" t="s">
        <v>2568</v>
      </c>
      <c r="B89" t="s">
        <v>2569</v>
      </c>
      <c r="C89">
        <v>32</v>
      </c>
      <c r="D89" s="13">
        <v>1150400</v>
      </c>
      <c r="E89" s="15">
        <v>0.18</v>
      </c>
    </row>
    <row r="90" spans="1:5" x14ac:dyDescent="0.4">
      <c r="A90" t="s">
        <v>4260</v>
      </c>
      <c r="B90" t="s">
        <v>4261</v>
      </c>
      <c r="C90">
        <v>21</v>
      </c>
      <c r="D90" s="13">
        <v>1085700</v>
      </c>
      <c r="E90" s="15">
        <v>0.17</v>
      </c>
    </row>
    <row r="91" spans="1:5" x14ac:dyDescent="0.4">
      <c r="A91" t="s">
        <v>349</v>
      </c>
      <c r="B91" t="s">
        <v>350</v>
      </c>
      <c r="C91">
        <v>2</v>
      </c>
      <c r="D91" s="13">
        <v>884000</v>
      </c>
      <c r="E91" s="15">
        <v>0.14000000000000001</v>
      </c>
    </row>
    <row r="92" spans="1:5" x14ac:dyDescent="0.4">
      <c r="A92" t="s">
        <v>603</v>
      </c>
      <c r="B92" t="s">
        <v>604</v>
      </c>
      <c r="C92" s="13">
        <v>13</v>
      </c>
      <c r="D92" s="13">
        <v>713700</v>
      </c>
      <c r="E92" s="15">
        <v>0.11</v>
      </c>
    </row>
    <row r="93" spans="1:5" x14ac:dyDescent="0.4">
      <c r="A93" t="s">
        <v>2695</v>
      </c>
      <c r="B93" t="s">
        <v>2696</v>
      </c>
      <c r="C93">
        <v>409</v>
      </c>
      <c r="D93" s="13">
        <v>693664</v>
      </c>
      <c r="E93" s="15">
        <v>0.11</v>
      </c>
    </row>
    <row r="94" spans="1:5" x14ac:dyDescent="0.4">
      <c r="A94" t="s">
        <v>709</v>
      </c>
      <c r="B94" t="s">
        <v>710</v>
      </c>
      <c r="C94">
        <v>13</v>
      </c>
      <c r="D94" s="13">
        <v>636350</v>
      </c>
      <c r="E94" s="15">
        <v>0.1</v>
      </c>
    </row>
    <row r="95" spans="1:5" x14ac:dyDescent="0.4">
      <c r="A95" t="s">
        <v>221</v>
      </c>
      <c r="B95" t="s">
        <v>222</v>
      </c>
      <c r="C95" s="13">
        <v>12</v>
      </c>
      <c r="D95" s="13">
        <v>597600</v>
      </c>
      <c r="E95" s="15">
        <v>0.1</v>
      </c>
    </row>
    <row r="96" spans="1:5" x14ac:dyDescent="0.4">
      <c r="A96" t="s">
        <v>3645</v>
      </c>
      <c r="B96" t="s">
        <v>3646</v>
      </c>
      <c r="C96" s="13">
        <v>4</v>
      </c>
      <c r="D96" s="13">
        <v>283200</v>
      </c>
      <c r="E96" s="15">
        <v>0.05</v>
      </c>
    </row>
    <row r="97" spans="2:5" x14ac:dyDescent="0.4">
      <c r="B97" t="s">
        <v>10</v>
      </c>
      <c r="C97" s="13">
        <v>-533444</v>
      </c>
      <c r="D97" s="13">
        <v>-533444</v>
      </c>
      <c r="E97" s="15"/>
    </row>
    <row r="98" spans="2:5" x14ac:dyDescent="0.4">
      <c r="C98" s="13"/>
      <c r="D98" s="13"/>
    </row>
    <row r="99" spans="2:5" x14ac:dyDescent="0.4">
      <c r="D99" s="13"/>
    </row>
    <row r="100" spans="2:5" x14ac:dyDescent="0.4">
      <c r="D100" s="13"/>
    </row>
    <row r="101" spans="2:5" x14ac:dyDescent="0.4">
      <c r="D101" s="13"/>
    </row>
    <row r="102" spans="2:5" x14ac:dyDescent="0.4">
      <c r="C102" s="13"/>
      <c r="D102" s="13"/>
    </row>
    <row r="103" spans="2:5" x14ac:dyDescent="0.4">
      <c r="C103" s="13"/>
      <c r="D103" s="13"/>
    </row>
    <row r="104" spans="2:5" x14ac:dyDescent="0.4">
      <c r="D104" s="13"/>
    </row>
    <row r="105" spans="2:5" x14ac:dyDescent="0.4">
      <c r="D105" s="13"/>
      <c r="E105" s="15"/>
    </row>
    <row r="106" spans="2:5" x14ac:dyDescent="0.4">
      <c r="D106" s="13"/>
      <c r="E106" s="15"/>
    </row>
    <row r="107" spans="2:5" x14ac:dyDescent="0.4">
      <c r="D107" s="13"/>
      <c r="E107" s="15"/>
    </row>
    <row r="108" spans="2:5" x14ac:dyDescent="0.4">
      <c r="D108" s="13"/>
      <c r="E108" s="15"/>
    </row>
    <row r="109" spans="2:5" x14ac:dyDescent="0.4">
      <c r="D109" s="13"/>
      <c r="E109" s="15"/>
    </row>
    <row r="110" spans="2:5" x14ac:dyDescent="0.4">
      <c r="D110" s="13"/>
      <c r="E110" s="15"/>
    </row>
    <row r="111" spans="2:5" x14ac:dyDescent="0.4">
      <c r="D111" s="13"/>
      <c r="E111" s="15"/>
    </row>
    <row r="112" spans="2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53532C75-627C-4053-90C1-7CBFBFB09955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780-59F6-4FD6-BCA8-EB33176118CD}">
  <dimension ref="A1:G204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5155</v>
      </c>
      <c r="B8" s="6"/>
      <c r="C8" s="6"/>
      <c r="D8" s="6"/>
      <c r="E8" s="14"/>
    </row>
    <row r="9" spans="1:7" x14ac:dyDescent="0.4">
      <c r="A9" s="69" t="s">
        <v>5157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721</v>
      </c>
      <c r="B11" s="17" t="s">
        <v>722</v>
      </c>
      <c r="C11" s="18">
        <v>449</v>
      </c>
      <c r="D11" s="18">
        <v>52398300</v>
      </c>
      <c r="E11" s="19">
        <v>9.64</v>
      </c>
      <c r="F11" s="17"/>
      <c r="G11" s="17"/>
    </row>
    <row r="12" spans="1:7" x14ac:dyDescent="0.4">
      <c r="A12" t="s">
        <v>761</v>
      </c>
      <c r="B12" s="17" t="s">
        <v>762</v>
      </c>
      <c r="C12" s="70">
        <v>335</v>
      </c>
      <c r="D12" s="18">
        <v>39463000</v>
      </c>
      <c r="E12" s="19">
        <v>7.26</v>
      </c>
      <c r="F12" s="17"/>
      <c r="G12" s="17"/>
    </row>
    <row r="13" spans="1:7" x14ac:dyDescent="0.4">
      <c r="A13" t="s">
        <v>236</v>
      </c>
      <c r="B13" t="s">
        <v>237</v>
      </c>
      <c r="C13" s="13">
        <v>29</v>
      </c>
      <c r="D13" s="13">
        <v>21547000</v>
      </c>
      <c r="E13" s="15">
        <v>3.96</v>
      </c>
    </row>
    <row r="14" spans="1:7" x14ac:dyDescent="0.4">
      <c r="A14" t="s">
        <v>679</v>
      </c>
      <c r="B14" t="s">
        <v>680</v>
      </c>
      <c r="C14" s="13">
        <v>120</v>
      </c>
      <c r="D14" s="13">
        <v>20460000</v>
      </c>
      <c r="E14" s="15">
        <v>3.76</v>
      </c>
    </row>
    <row r="15" spans="1:7" x14ac:dyDescent="0.4">
      <c r="A15" t="s">
        <v>4968</v>
      </c>
      <c r="B15" t="s">
        <v>4969</v>
      </c>
      <c r="C15" s="31">
        <v>501</v>
      </c>
      <c r="D15" s="13">
        <v>16457850</v>
      </c>
      <c r="E15" s="15">
        <v>3.03</v>
      </c>
    </row>
    <row r="16" spans="1:7" x14ac:dyDescent="0.4">
      <c r="A16" t="s">
        <v>603</v>
      </c>
      <c r="B16" t="s">
        <v>604</v>
      </c>
      <c r="C16" s="31">
        <v>289</v>
      </c>
      <c r="D16" s="13">
        <v>16270700</v>
      </c>
      <c r="E16" s="15">
        <v>2.99</v>
      </c>
    </row>
    <row r="17" spans="1:7" x14ac:dyDescent="0.4">
      <c r="A17" t="s">
        <v>757</v>
      </c>
      <c r="B17" s="17" t="s">
        <v>758</v>
      </c>
      <c r="C17" s="70">
        <v>125</v>
      </c>
      <c r="D17" s="18">
        <v>15012500</v>
      </c>
      <c r="E17" s="19">
        <v>2.76</v>
      </c>
      <c r="F17" s="17"/>
      <c r="G17" s="17"/>
    </row>
    <row r="18" spans="1:7" x14ac:dyDescent="0.4">
      <c r="A18" t="s">
        <v>434</v>
      </c>
      <c r="B18" t="s">
        <v>435</v>
      </c>
      <c r="C18" s="13">
        <v>181</v>
      </c>
      <c r="D18" s="13">
        <v>13068200</v>
      </c>
      <c r="E18" s="15">
        <v>2.4</v>
      </c>
    </row>
    <row r="19" spans="1:7" x14ac:dyDescent="0.4">
      <c r="A19" t="s">
        <v>4627</v>
      </c>
      <c r="B19" t="s">
        <v>4628</v>
      </c>
      <c r="C19" s="13">
        <v>120</v>
      </c>
      <c r="D19" s="13">
        <v>12720000</v>
      </c>
      <c r="E19" s="15">
        <v>2.34</v>
      </c>
    </row>
    <row r="20" spans="1:7" x14ac:dyDescent="0.4">
      <c r="A20" t="s">
        <v>643</v>
      </c>
      <c r="B20" t="s">
        <v>644</v>
      </c>
      <c r="C20" s="13">
        <v>100</v>
      </c>
      <c r="D20" s="13">
        <v>12560000</v>
      </c>
      <c r="E20" s="15">
        <v>2.31</v>
      </c>
    </row>
    <row r="21" spans="1:7" x14ac:dyDescent="0.4">
      <c r="A21" t="s">
        <v>737</v>
      </c>
      <c r="B21" t="s">
        <v>738</v>
      </c>
      <c r="C21" s="13">
        <v>93</v>
      </c>
      <c r="D21" s="13">
        <v>12322500</v>
      </c>
      <c r="E21" s="15">
        <v>2.27</v>
      </c>
    </row>
    <row r="22" spans="1:7" x14ac:dyDescent="0.4">
      <c r="A22" t="s">
        <v>493</v>
      </c>
      <c r="B22" s="17" t="s">
        <v>494</v>
      </c>
      <c r="C22" s="18">
        <v>65</v>
      </c>
      <c r="D22" s="18">
        <v>12038000</v>
      </c>
      <c r="E22" s="19">
        <v>2.2200000000000002</v>
      </c>
      <c r="F22" s="17"/>
      <c r="G22" s="17"/>
    </row>
    <row r="23" spans="1:7" x14ac:dyDescent="0.4">
      <c r="A23" t="s">
        <v>232</v>
      </c>
      <c r="B23" s="17" t="s">
        <v>233</v>
      </c>
      <c r="C23" s="70">
        <v>39</v>
      </c>
      <c r="D23" s="18">
        <v>11836500</v>
      </c>
      <c r="E23" s="19">
        <v>2.1800000000000002</v>
      </c>
      <c r="F23" s="17"/>
      <c r="G23" s="17"/>
    </row>
    <row r="24" spans="1:7" x14ac:dyDescent="0.4">
      <c r="A24" t="s">
        <v>666</v>
      </c>
      <c r="B24" t="s">
        <v>667</v>
      </c>
      <c r="C24" s="31">
        <v>396</v>
      </c>
      <c r="D24" s="13">
        <v>11206800</v>
      </c>
      <c r="E24" s="15">
        <v>2.06</v>
      </c>
    </row>
    <row r="25" spans="1:7" x14ac:dyDescent="0.4">
      <c r="A25" t="s">
        <v>4848</v>
      </c>
      <c r="B25" t="s">
        <v>4849</v>
      </c>
      <c r="C25" s="13">
        <v>491</v>
      </c>
      <c r="D25" s="13">
        <v>11047500</v>
      </c>
      <c r="E25" s="15">
        <v>2.0299999999999998</v>
      </c>
    </row>
    <row r="26" spans="1:7" x14ac:dyDescent="0.4">
      <c r="A26" t="s">
        <v>3635</v>
      </c>
      <c r="B26" t="s">
        <v>3636</v>
      </c>
      <c r="C26" s="13">
        <v>220</v>
      </c>
      <c r="D26" s="13">
        <v>10824000</v>
      </c>
      <c r="E26" s="15">
        <v>1.99</v>
      </c>
    </row>
    <row r="27" spans="1:7" x14ac:dyDescent="0.4">
      <c r="A27" t="s">
        <v>31</v>
      </c>
      <c r="B27" t="s">
        <v>32</v>
      </c>
      <c r="C27" s="13">
        <v>29</v>
      </c>
      <c r="D27" s="13">
        <v>10193500</v>
      </c>
      <c r="E27" s="15">
        <v>1.88</v>
      </c>
    </row>
    <row r="28" spans="1:7" x14ac:dyDescent="0.4">
      <c r="A28" t="s">
        <v>252</v>
      </c>
      <c r="B28" t="s">
        <v>253</v>
      </c>
      <c r="C28" s="13">
        <v>80</v>
      </c>
      <c r="D28" s="13">
        <v>10072000</v>
      </c>
      <c r="E28" s="15">
        <v>1.85</v>
      </c>
    </row>
    <row r="29" spans="1:7" x14ac:dyDescent="0.4">
      <c r="A29" t="s">
        <v>397</v>
      </c>
      <c r="B29" t="s">
        <v>398</v>
      </c>
      <c r="C29" s="13">
        <v>76</v>
      </c>
      <c r="D29" s="13">
        <v>9864800</v>
      </c>
      <c r="E29" s="15">
        <v>1.82</v>
      </c>
    </row>
    <row r="30" spans="1:7" x14ac:dyDescent="0.4">
      <c r="A30" t="s">
        <v>2001</v>
      </c>
      <c r="B30" t="s">
        <v>2002</v>
      </c>
      <c r="C30" s="13">
        <v>278</v>
      </c>
      <c r="D30" s="13">
        <v>9855100</v>
      </c>
      <c r="E30" s="15">
        <v>1.81</v>
      </c>
    </row>
    <row r="31" spans="1:7" x14ac:dyDescent="0.4">
      <c r="A31" t="s">
        <v>619</v>
      </c>
      <c r="B31" t="s">
        <v>620</v>
      </c>
      <c r="C31" s="13">
        <v>137</v>
      </c>
      <c r="D31" s="13">
        <v>9288600</v>
      </c>
      <c r="E31" s="15">
        <v>1.71</v>
      </c>
    </row>
    <row r="32" spans="1:7" x14ac:dyDescent="0.4">
      <c r="A32" t="s">
        <v>180</v>
      </c>
      <c r="B32" t="s">
        <v>181</v>
      </c>
      <c r="C32" s="13">
        <v>70</v>
      </c>
      <c r="D32" s="13">
        <v>8771000</v>
      </c>
      <c r="E32" s="15">
        <v>1.61</v>
      </c>
    </row>
    <row r="33" spans="1:5" x14ac:dyDescent="0.4">
      <c r="A33" t="s">
        <v>353</v>
      </c>
      <c r="B33" t="s">
        <v>354</v>
      </c>
      <c r="C33" s="13">
        <v>43</v>
      </c>
      <c r="D33" s="13">
        <v>8385000</v>
      </c>
      <c r="E33" s="15">
        <v>1.54</v>
      </c>
    </row>
    <row r="34" spans="1:5" x14ac:dyDescent="0.4">
      <c r="A34" t="s">
        <v>3015</v>
      </c>
      <c r="B34" t="s">
        <v>3016</v>
      </c>
      <c r="C34" s="13">
        <v>213</v>
      </c>
      <c r="D34" s="13">
        <v>8157900</v>
      </c>
      <c r="E34" s="15">
        <v>1.5</v>
      </c>
    </row>
    <row r="35" spans="1:5" x14ac:dyDescent="0.4">
      <c r="A35" t="s">
        <v>733</v>
      </c>
      <c r="B35" t="s">
        <v>734</v>
      </c>
      <c r="C35">
        <v>100</v>
      </c>
      <c r="D35" s="13">
        <v>8100000</v>
      </c>
      <c r="E35" s="15">
        <v>1.49</v>
      </c>
    </row>
    <row r="36" spans="1:5" x14ac:dyDescent="0.4">
      <c r="A36" t="s">
        <v>5112</v>
      </c>
      <c r="B36" t="s">
        <v>5113</v>
      </c>
      <c r="C36" s="13">
        <v>228</v>
      </c>
      <c r="D36" s="13">
        <v>7991400</v>
      </c>
      <c r="E36" s="15">
        <v>1.47</v>
      </c>
    </row>
    <row r="37" spans="1:5" x14ac:dyDescent="0.4">
      <c r="A37" t="s">
        <v>2919</v>
      </c>
      <c r="B37" t="s">
        <v>2920</v>
      </c>
      <c r="C37" s="13">
        <v>146</v>
      </c>
      <c r="D37" s="13">
        <v>7592000</v>
      </c>
      <c r="E37" s="15">
        <v>1.4</v>
      </c>
    </row>
    <row r="38" spans="1:5" x14ac:dyDescent="0.4">
      <c r="A38" t="s">
        <v>3533</v>
      </c>
      <c r="B38" t="s">
        <v>3534</v>
      </c>
      <c r="C38" s="13">
        <v>192</v>
      </c>
      <c r="D38" s="13">
        <v>7334400</v>
      </c>
      <c r="E38" s="15">
        <v>1.35</v>
      </c>
    </row>
    <row r="39" spans="1:5" x14ac:dyDescent="0.4">
      <c r="A39" t="s">
        <v>1444</v>
      </c>
      <c r="B39" t="s">
        <v>1445</v>
      </c>
      <c r="C39" s="13">
        <v>308</v>
      </c>
      <c r="D39" s="13">
        <v>7114800</v>
      </c>
      <c r="E39" s="15">
        <v>1.31</v>
      </c>
    </row>
    <row r="40" spans="1:5" x14ac:dyDescent="0.4">
      <c r="A40" t="s">
        <v>412</v>
      </c>
      <c r="B40" t="s">
        <v>413</v>
      </c>
      <c r="C40" s="13">
        <v>350</v>
      </c>
      <c r="D40" s="13">
        <v>6989500</v>
      </c>
      <c r="E40" s="15">
        <v>1.29</v>
      </c>
    </row>
    <row r="41" spans="1:5" x14ac:dyDescent="0.4">
      <c r="A41" t="s">
        <v>446</v>
      </c>
      <c r="B41" t="s">
        <v>447</v>
      </c>
      <c r="C41" s="13">
        <v>43</v>
      </c>
      <c r="D41" s="13">
        <v>6931600</v>
      </c>
      <c r="E41" s="15">
        <v>1.28</v>
      </c>
    </row>
    <row r="42" spans="1:5" x14ac:dyDescent="0.4">
      <c r="A42" t="s">
        <v>351</v>
      </c>
      <c r="B42" t="s">
        <v>352</v>
      </c>
      <c r="C42" s="13">
        <v>30</v>
      </c>
      <c r="D42" s="13">
        <v>6585000</v>
      </c>
      <c r="E42" s="15">
        <v>1.21</v>
      </c>
    </row>
    <row r="43" spans="1:5" x14ac:dyDescent="0.4">
      <c r="A43" t="s">
        <v>488</v>
      </c>
      <c r="B43" t="s">
        <v>489</v>
      </c>
      <c r="C43">
        <v>50</v>
      </c>
      <c r="D43" s="13">
        <v>6275000</v>
      </c>
      <c r="E43" s="15">
        <v>1.1499999999999999</v>
      </c>
    </row>
    <row r="44" spans="1:5" x14ac:dyDescent="0.4">
      <c r="A44" t="s">
        <v>35</v>
      </c>
      <c r="B44" t="s">
        <v>36</v>
      </c>
      <c r="C44" s="13">
        <v>42</v>
      </c>
      <c r="D44" s="13">
        <v>5859000</v>
      </c>
      <c r="E44" s="15">
        <v>1.08</v>
      </c>
    </row>
    <row r="45" spans="1:5" x14ac:dyDescent="0.4">
      <c r="A45" t="s">
        <v>719</v>
      </c>
      <c r="B45" t="s">
        <v>720</v>
      </c>
      <c r="C45" s="13">
        <v>344</v>
      </c>
      <c r="D45" s="13">
        <v>5848000</v>
      </c>
      <c r="E45" s="15">
        <v>1.08</v>
      </c>
    </row>
    <row r="46" spans="1:5" x14ac:dyDescent="0.4">
      <c r="A46" t="s">
        <v>422</v>
      </c>
      <c r="B46" t="s">
        <v>423</v>
      </c>
      <c r="C46" s="13">
        <v>38</v>
      </c>
      <c r="D46" s="13">
        <v>5392200</v>
      </c>
      <c r="E46" s="15">
        <v>0.99</v>
      </c>
    </row>
    <row r="47" spans="1:5" x14ac:dyDescent="0.4">
      <c r="A47" t="s">
        <v>607</v>
      </c>
      <c r="B47" t="s">
        <v>608</v>
      </c>
      <c r="C47">
        <v>40</v>
      </c>
      <c r="D47" s="13">
        <v>5200000</v>
      </c>
      <c r="E47" s="15">
        <v>0.96</v>
      </c>
    </row>
    <row r="48" spans="1:5" x14ac:dyDescent="0.4">
      <c r="A48" t="s">
        <v>486</v>
      </c>
      <c r="B48" t="s">
        <v>487</v>
      </c>
      <c r="C48">
        <v>19</v>
      </c>
      <c r="D48" s="13">
        <v>5054000</v>
      </c>
      <c r="E48" s="15">
        <v>0.93</v>
      </c>
    </row>
    <row r="49" spans="1:5" x14ac:dyDescent="0.4">
      <c r="A49" t="s">
        <v>3931</v>
      </c>
      <c r="B49" t="s">
        <v>3932</v>
      </c>
      <c r="C49">
        <v>50</v>
      </c>
      <c r="D49" s="13">
        <v>4955000</v>
      </c>
      <c r="E49" s="15">
        <v>0.91</v>
      </c>
    </row>
    <row r="50" spans="1:5" x14ac:dyDescent="0.4">
      <c r="A50" t="s">
        <v>723</v>
      </c>
      <c r="B50" t="s">
        <v>724</v>
      </c>
      <c r="C50" s="13">
        <v>30</v>
      </c>
      <c r="D50" s="13">
        <v>4440000</v>
      </c>
      <c r="E50" s="15">
        <v>0.82</v>
      </c>
    </row>
    <row r="51" spans="1:5" x14ac:dyDescent="0.4">
      <c r="A51" t="s">
        <v>4493</v>
      </c>
      <c r="B51" t="s">
        <v>4494</v>
      </c>
      <c r="C51" s="13">
        <v>65</v>
      </c>
      <c r="D51" s="13">
        <v>4309500</v>
      </c>
      <c r="E51" s="15">
        <v>0.79</v>
      </c>
    </row>
    <row r="52" spans="1:5" x14ac:dyDescent="0.4">
      <c r="A52" t="s">
        <v>593</v>
      </c>
      <c r="B52" t="s">
        <v>594</v>
      </c>
      <c r="C52">
        <v>100</v>
      </c>
      <c r="D52" s="13">
        <v>4265000</v>
      </c>
      <c r="E52" s="15">
        <v>0.78</v>
      </c>
    </row>
    <row r="53" spans="1:5" x14ac:dyDescent="0.4">
      <c r="A53" t="s">
        <v>631</v>
      </c>
      <c r="B53" t="s">
        <v>632</v>
      </c>
      <c r="C53" s="13">
        <v>30</v>
      </c>
      <c r="D53" s="13">
        <v>4230000</v>
      </c>
      <c r="E53" s="15">
        <v>0.78</v>
      </c>
    </row>
    <row r="54" spans="1:5" x14ac:dyDescent="0.4">
      <c r="A54" t="s">
        <v>579</v>
      </c>
      <c r="B54" t="s">
        <v>580</v>
      </c>
      <c r="C54">
        <v>142</v>
      </c>
      <c r="D54" s="13">
        <v>4210300</v>
      </c>
      <c r="E54" s="15">
        <v>0.77</v>
      </c>
    </row>
    <row r="55" spans="1:5" x14ac:dyDescent="0.4">
      <c r="A55" t="s">
        <v>468</v>
      </c>
      <c r="B55" t="s">
        <v>469</v>
      </c>
      <c r="C55" s="13">
        <v>78</v>
      </c>
      <c r="D55" s="13">
        <v>4165200</v>
      </c>
      <c r="E55" s="15">
        <v>0.77</v>
      </c>
    </row>
    <row r="56" spans="1:5" x14ac:dyDescent="0.4">
      <c r="A56" t="s">
        <v>664</v>
      </c>
      <c r="B56" t="s">
        <v>665</v>
      </c>
      <c r="C56" s="13">
        <v>88</v>
      </c>
      <c r="D56" s="13">
        <v>4118400</v>
      </c>
      <c r="E56" s="15">
        <v>0.76</v>
      </c>
    </row>
    <row r="57" spans="1:5" x14ac:dyDescent="0.4">
      <c r="A57" t="s">
        <v>3409</v>
      </c>
      <c r="B57" t="s">
        <v>3410</v>
      </c>
      <c r="C57">
        <v>150</v>
      </c>
      <c r="D57" s="13">
        <v>3862500</v>
      </c>
      <c r="E57" s="15">
        <v>0.71</v>
      </c>
    </row>
    <row r="58" spans="1:5" x14ac:dyDescent="0.4">
      <c r="A58" t="s">
        <v>479</v>
      </c>
      <c r="B58" t="s">
        <v>480</v>
      </c>
      <c r="C58">
        <v>29</v>
      </c>
      <c r="D58" s="13">
        <v>3758400</v>
      </c>
      <c r="E58" s="15">
        <v>0.69</v>
      </c>
    </row>
    <row r="59" spans="1:5" x14ac:dyDescent="0.4">
      <c r="A59" t="s">
        <v>4343</v>
      </c>
      <c r="B59" t="s">
        <v>4344</v>
      </c>
      <c r="C59">
        <v>32</v>
      </c>
      <c r="D59" s="13">
        <v>3548800</v>
      </c>
      <c r="E59" s="15">
        <v>0.65</v>
      </c>
    </row>
    <row r="60" spans="1:5" x14ac:dyDescent="0.4">
      <c r="A60" t="s">
        <v>471</v>
      </c>
      <c r="B60" t="s">
        <v>472</v>
      </c>
      <c r="C60" s="13">
        <v>30</v>
      </c>
      <c r="D60" s="13">
        <v>3294000</v>
      </c>
      <c r="E60" s="15">
        <v>0.61</v>
      </c>
    </row>
    <row r="61" spans="1:5" x14ac:dyDescent="0.4">
      <c r="A61" t="s">
        <v>158</v>
      </c>
      <c r="B61" t="s">
        <v>159</v>
      </c>
      <c r="C61" s="13">
        <v>29</v>
      </c>
      <c r="D61" s="13">
        <v>3016000</v>
      </c>
      <c r="E61" s="15">
        <v>0.55000000000000004</v>
      </c>
    </row>
    <row r="62" spans="1:5" x14ac:dyDescent="0.4">
      <c r="A62" t="s">
        <v>45</v>
      </c>
      <c r="B62" t="s">
        <v>46</v>
      </c>
      <c r="C62" s="13">
        <v>19</v>
      </c>
      <c r="D62" s="13">
        <v>2777800</v>
      </c>
      <c r="E62" s="15">
        <v>0.51</v>
      </c>
    </row>
    <row r="63" spans="1:5" x14ac:dyDescent="0.4">
      <c r="A63" t="s">
        <v>41</v>
      </c>
      <c r="B63" t="s">
        <v>42</v>
      </c>
      <c r="C63" s="13">
        <v>25</v>
      </c>
      <c r="D63" s="13">
        <v>2747500</v>
      </c>
      <c r="E63" s="15">
        <v>0.51</v>
      </c>
    </row>
    <row r="64" spans="1:5" x14ac:dyDescent="0.4">
      <c r="A64" t="s">
        <v>5172</v>
      </c>
      <c r="B64" t="s">
        <v>5173</v>
      </c>
      <c r="C64" s="13">
        <v>100</v>
      </c>
      <c r="D64" s="13">
        <v>2555000</v>
      </c>
      <c r="E64" s="15">
        <v>0.47</v>
      </c>
    </row>
    <row r="65" spans="1:5" x14ac:dyDescent="0.4">
      <c r="A65" t="s">
        <v>401</v>
      </c>
      <c r="B65" t="s">
        <v>402</v>
      </c>
      <c r="C65" s="13">
        <v>50</v>
      </c>
      <c r="D65" s="13">
        <v>2525000</v>
      </c>
      <c r="E65" s="15">
        <v>0.46</v>
      </c>
    </row>
    <row r="66" spans="1:5" x14ac:dyDescent="0.4">
      <c r="A66" t="s">
        <v>470</v>
      </c>
      <c r="B66" t="s">
        <v>5181</v>
      </c>
      <c r="C66" s="13">
        <v>70</v>
      </c>
      <c r="D66" s="13">
        <v>2401000</v>
      </c>
      <c r="E66" s="15">
        <v>0.44</v>
      </c>
    </row>
    <row r="67" spans="1:5" x14ac:dyDescent="0.4">
      <c r="A67" t="s">
        <v>4501</v>
      </c>
      <c r="B67" t="s">
        <v>4502</v>
      </c>
      <c r="C67" s="13">
        <v>25</v>
      </c>
      <c r="D67" s="13">
        <v>2202500</v>
      </c>
      <c r="E67" s="15">
        <v>0.41</v>
      </c>
    </row>
    <row r="68" spans="1:5" x14ac:dyDescent="0.4">
      <c r="A68" t="s">
        <v>4790</v>
      </c>
      <c r="B68" t="s">
        <v>4791</v>
      </c>
      <c r="C68">
        <v>143</v>
      </c>
      <c r="D68" s="13">
        <v>2197910</v>
      </c>
      <c r="E68" s="15">
        <v>0.4</v>
      </c>
    </row>
    <row r="69" spans="1:5" x14ac:dyDescent="0.4">
      <c r="A69" t="s">
        <v>717</v>
      </c>
      <c r="B69" t="s">
        <v>718</v>
      </c>
      <c r="C69" s="13">
        <v>99</v>
      </c>
      <c r="D69" s="13">
        <v>2079000</v>
      </c>
      <c r="E69" s="15">
        <v>0.38</v>
      </c>
    </row>
    <row r="70" spans="1:5" x14ac:dyDescent="0.4">
      <c r="A70" t="s">
        <v>551</v>
      </c>
      <c r="B70" t="s">
        <v>552</v>
      </c>
      <c r="C70" s="13">
        <v>53</v>
      </c>
      <c r="D70" s="13">
        <v>1990150</v>
      </c>
      <c r="E70" s="15">
        <v>0.37</v>
      </c>
    </row>
    <row r="71" spans="1:5" x14ac:dyDescent="0.4">
      <c r="A71" t="s">
        <v>687</v>
      </c>
      <c r="B71" t="s">
        <v>688</v>
      </c>
      <c r="C71">
        <v>23</v>
      </c>
      <c r="D71" s="13">
        <v>1932000</v>
      </c>
      <c r="E71" s="15">
        <v>0.36</v>
      </c>
    </row>
    <row r="72" spans="1:5" x14ac:dyDescent="0.4">
      <c r="A72" t="s">
        <v>4068</v>
      </c>
      <c r="B72" t="s">
        <v>4069</v>
      </c>
      <c r="C72" s="13">
        <v>145</v>
      </c>
      <c r="D72" s="13">
        <v>1900950</v>
      </c>
      <c r="E72" s="15">
        <v>0.35</v>
      </c>
    </row>
    <row r="73" spans="1:5" x14ac:dyDescent="0.4">
      <c r="A73" t="s">
        <v>4681</v>
      </c>
      <c r="B73" t="s">
        <v>4682</v>
      </c>
      <c r="C73" s="13">
        <v>92</v>
      </c>
      <c r="D73" s="13">
        <v>1828040</v>
      </c>
      <c r="E73" s="15">
        <v>0.34</v>
      </c>
    </row>
    <row r="74" spans="1:5" x14ac:dyDescent="0.4">
      <c r="A74" t="s">
        <v>39</v>
      </c>
      <c r="B74" t="s">
        <v>40</v>
      </c>
      <c r="C74" s="13">
        <v>7</v>
      </c>
      <c r="D74" s="13">
        <v>1785000</v>
      </c>
      <c r="E74" s="15">
        <v>0.33</v>
      </c>
    </row>
    <row r="75" spans="1:5" x14ac:dyDescent="0.4">
      <c r="A75" t="s">
        <v>2482</v>
      </c>
      <c r="B75" t="s">
        <v>2483</v>
      </c>
      <c r="C75" s="13">
        <v>100</v>
      </c>
      <c r="D75" s="13">
        <v>1345000</v>
      </c>
      <c r="E75" s="15">
        <v>0.25</v>
      </c>
    </row>
    <row r="76" spans="1:5" x14ac:dyDescent="0.4">
      <c r="B76" t="s">
        <v>10</v>
      </c>
      <c r="C76" s="13">
        <v>4944183</v>
      </c>
      <c r="D76" s="13">
        <v>4944183</v>
      </c>
      <c r="E76" s="15">
        <v>0.91</v>
      </c>
    </row>
    <row r="77" spans="1:5" x14ac:dyDescent="0.4"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C81" s="13"/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2EB2F9F8-4661-4BF4-B970-83B91447C6C6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F36-FF2F-4365-AB93-2B41A7E89577}">
  <dimension ref="A1:E20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5155</v>
      </c>
      <c r="B8" s="6"/>
      <c r="C8" s="6"/>
      <c r="D8" s="6"/>
      <c r="E8" s="14"/>
    </row>
    <row r="9" spans="1:5" x14ac:dyDescent="0.4">
      <c r="A9" s="69" t="s">
        <v>5157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721</v>
      </c>
      <c r="B11" t="s">
        <v>722</v>
      </c>
      <c r="C11" s="13">
        <v>479</v>
      </c>
      <c r="D11" s="13">
        <v>47947900</v>
      </c>
      <c r="E11" s="15">
        <v>9.0299999999999994</v>
      </c>
    </row>
    <row r="12" spans="1:5" x14ac:dyDescent="0.4">
      <c r="A12" t="s">
        <v>236</v>
      </c>
      <c r="B12" t="s">
        <v>237</v>
      </c>
      <c r="C12" s="31">
        <v>39</v>
      </c>
      <c r="D12" s="13">
        <v>31590000</v>
      </c>
      <c r="E12" s="15">
        <v>5.95</v>
      </c>
    </row>
    <row r="13" spans="1:5" x14ac:dyDescent="0.4">
      <c r="A13" t="s">
        <v>493</v>
      </c>
      <c r="B13" t="s">
        <v>494</v>
      </c>
      <c r="C13" s="13">
        <v>193</v>
      </c>
      <c r="D13" s="13">
        <v>27058600</v>
      </c>
      <c r="E13" s="15">
        <v>5.0999999999999996</v>
      </c>
    </row>
    <row r="14" spans="1:5" x14ac:dyDescent="0.4">
      <c r="A14" t="s">
        <v>3533</v>
      </c>
      <c r="B14" t="s">
        <v>3534</v>
      </c>
      <c r="C14" s="13">
        <v>552</v>
      </c>
      <c r="D14" s="13">
        <v>22604400</v>
      </c>
      <c r="E14" s="15">
        <v>4.26</v>
      </c>
    </row>
    <row r="15" spans="1:5" x14ac:dyDescent="0.4">
      <c r="A15" t="s">
        <v>232</v>
      </c>
      <c r="B15" t="s">
        <v>233</v>
      </c>
      <c r="C15" s="31">
        <v>54</v>
      </c>
      <c r="D15" s="13">
        <v>17739000</v>
      </c>
      <c r="E15" s="15">
        <v>3.34</v>
      </c>
    </row>
    <row r="16" spans="1:5" x14ac:dyDescent="0.4">
      <c r="A16" t="s">
        <v>679</v>
      </c>
      <c r="B16" t="s">
        <v>680</v>
      </c>
      <c r="C16" s="31">
        <v>97</v>
      </c>
      <c r="D16" s="13">
        <v>17246600</v>
      </c>
      <c r="E16" s="15">
        <v>3.25</v>
      </c>
    </row>
    <row r="17" spans="1:5" x14ac:dyDescent="0.4">
      <c r="A17" t="s">
        <v>603</v>
      </c>
      <c r="B17" t="s">
        <v>604</v>
      </c>
      <c r="C17" s="31">
        <v>289</v>
      </c>
      <c r="D17" s="13">
        <v>15866100</v>
      </c>
      <c r="E17" s="15">
        <v>2.99</v>
      </c>
    </row>
    <row r="18" spans="1:5" x14ac:dyDescent="0.4">
      <c r="A18" t="s">
        <v>666</v>
      </c>
      <c r="B18" t="s">
        <v>667</v>
      </c>
      <c r="C18" s="13">
        <v>550</v>
      </c>
      <c r="D18" s="13">
        <v>14822500</v>
      </c>
      <c r="E18" s="15">
        <v>2.79</v>
      </c>
    </row>
    <row r="19" spans="1:5" x14ac:dyDescent="0.4">
      <c r="A19" t="s">
        <v>2919</v>
      </c>
      <c r="B19" t="s">
        <v>2920</v>
      </c>
      <c r="C19" s="13">
        <v>249</v>
      </c>
      <c r="D19" s="13">
        <v>13197000</v>
      </c>
      <c r="E19" s="15">
        <v>2.4900000000000002</v>
      </c>
    </row>
    <row r="20" spans="1:5" x14ac:dyDescent="0.4">
      <c r="A20" t="s">
        <v>4627</v>
      </c>
      <c r="B20" t="s">
        <v>4628</v>
      </c>
      <c r="C20" s="13">
        <v>120</v>
      </c>
      <c r="D20" s="13">
        <v>12084000</v>
      </c>
      <c r="E20" s="15">
        <v>2.2799999999999998</v>
      </c>
    </row>
    <row r="21" spans="1:5" x14ac:dyDescent="0.4">
      <c r="A21" t="s">
        <v>643</v>
      </c>
      <c r="B21" t="s">
        <v>644</v>
      </c>
      <c r="C21" s="13">
        <v>100</v>
      </c>
      <c r="D21" s="13">
        <v>11980000</v>
      </c>
      <c r="E21" s="15">
        <v>2.2599999999999998</v>
      </c>
    </row>
    <row r="22" spans="1:5" x14ac:dyDescent="0.4">
      <c r="A22" t="s">
        <v>4848</v>
      </c>
      <c r="B22" t="s">
        <v>4849</v>
      </c>
      <c r="C22" s="13">
        <v>491</v>
      </c>
      <c r="D22" s="13">
        <v>10949300</v>
      </c>
      <c r="E22" s="15">
        <v>2.06</v>
      </c>
    </row>
    <row r="23" spans="1:5" x14ac:dyDescent="0.4">
      <c r="A23" t="s">
        <v>3635</v>
      </c>
      <c r="B23" t="s">
        <v>3636</v>
      </c>
      <c r="C23" s="31">
        <v>220</v>
      </c>
      <c r="D23" s="13">
        <v>10780000</v>
      </c>
      <c r="E23" s="15">
        <v>2.0299999999999998</v>
      </c>
    </row>
    <row r="24" spans="1:5" x14ac:dyDescent="0.4">
      <c r="A24" t="s">
        <v>31</v>
      </c>
      <c r="B24" t="s">
        <v>32</v>
      </c>
      <c r="C24" s="31">
        <v>29</v>
      </c>
      <c r="D24" s="13">
        <v>10701000</v>
      </c>
      <c r="E24" s="15">
        <v>2.02</v>
      </c>
    </row>
    <row r="25" spans="1:5" x14ac:dyDescent="0.4">
      <c r="A25" t="s">
        <v>422</v>
      </c>
      <c r="B25" t="s">
        <v>423</v>
      </c>
      <c r="C25" s="13">
        <v>68</v>
      </c>
      <c r="D25" s="13">
        <v>10546800</v>
      </c>
      <c r="E25" s="15">
        <v>1.99</v>
      </c>
    </row>
    <row r="26" spans="1:5" x14ac:dyDescent="0.4">
      <c r="A26" t="s">
        <v>252</v>
      </c>
      <c r="B26" t="s">
        <v>253</v>
      </c>
      <c r="C26" s="13">
        <v>80</v>
      </c>
      <c r="D26" s="13">
        <v>10128000</v>
      </c>
      <c r="E26" s="15">
        <v>1.91</v>
      </c>
    </row>
    <row r="27" spans="1:5" x14ac:dyDescent="0.4">
      <c r="A27" t="s">
        <v>397</v>
      </c>
      <c r="B27" t="s">
        <v>398</v>
      </c>
      <c r="C27" s="13">
        <v>75</v>
      </c>
      <c r="D27" s="13">
        <v>9690000</v>
      </c>
      <c r="E27" s="15">
        <v>1.83</v>
      </c>
    </row>
    <row r="28" spans="1:5" x14ac:dyDescent="0.4">
      <c r="A28" t="s">
        <v>757</v>
      </c>
      <c r="B28" t="s">
        <v>758</v>
      </c>
      <c r="C28" s="13">
        <v>80</v>
      </c>
      <c r="D28" s="13">
        <v>9448000</v>
      </c>
      <c r="E28" s="15">
        <v>1.78</v>
      </c>
    </row>
    <row r="29" spans="1:5" x14ac:dyDescent="0.4">
      <c r="A29" t="s">
        <v>2001</v>
      </c>
      <c r="B29" t="s">
        <v>2002</v>
      </c>
      <c r="C29" s="13">
        <v>278</v>
      </c>
      <c r="D29" s="13">
        <v>8687500</v>
      </c>
      <c r="E29" s="15">
        <v>1.64</v>
      </c>
    </row>
    <row r="30" spans="1:5" x14ac:dyDescent="0.4">
      <c r="A30" t="s">
        <v>619</v>
      </c>
      <c r="B30" t="s">
        <v>620</v>
      </c>
      <c r="C30" s="13">
        <v>137</v>
      </c>
      <c r="D30" s="13">
        <v>8631000</v>
      </c>
      <c r="E30" s="15">
        <v>1.63</v>
      </c>
    </row>
    <row r="31" spans="1:5" x14ac:dyDescent="0.4">
      <c r="A31" t="s">
        <v>733</v>
      </c>
      <c r="B31" t="s">
        <v>734</v>
      </c>
      <c r="C31" s="13">
        <v>100</v>
      </c>
      <c r="D31" s="13">
        <v>8620000</v>
      </c>
      <c r="E31" s="15">
        <v>1.62</v>
      </c>
    </row>
    <row r="32" spans="1:5" x14ac:dyDescent="0.4">
      <c r="A32" t="s">
        <v>353</v>
      </c>
      <c r="B32" t="s">
        <v>354</v>
      </c>
      <c r="C32" s="13">
        <v>43</v>
      </c>
      <c r="D32" s="13">
        <v>8191500</v>
      </c>
      <c r="E32" s="15">
        <v>1.54</v>
      </c>
    </row>
    <row r="33" spans="1:5" x14ac:dyDescent="0.4">
      <c r="A33" t="s">
        <v>5112</v>
      </c>
      <c r="B33" t="s">
        <v>5113</v>
      </c>
      <c r="C33" s="13">
        <v>229</v>
      </c>
      <c r="D33" s="13">
        <v>8106600</v>
      </c>
      <c r="E33" s="15">
        <v>1.53</v>
      </c>
    </row>
    <row r="34" spans="1:5" x14ac:dyDescent="0.4">
      <c r="A34" t="s">
        <v>180</v>
      </c>
      <c r="B34" t="s">
        <v>181</v>
      </c>
      <c r="C34" s="13">
        <v>70</v>
      </c>
      <c r="D34" s="13">
        <v>8029000</v>
      </c>
      <c r="E34" s="15">
        <v>1.51</v>
      </c>
    </row>
    <row r="35" spans="1:5" x14ac:dyDescent="0.4">
      <c r="A35" t="s">
        <v>35</v>
      </c>
      <c r="B35" t="s">
        <v>36</v>
      </c>
      <c r="C35" s="13">
        <v>41</v>
      </c>
      <c r="D35" s="13">
        <v>7847400</v>
      </c>
      <c r="E35" s="15">
        <v>1.48</v>
      </c>
    </row>
    <row r="36" spans="1:5" x14ac:dyDescent="0.4">
      <c r="A36" t="s">
        <v>3015</v>
      </c>
      <c r="B36" t="s">
        <v>3016</v>
      </c>
      <c r="C36" s="13">
        <v>212</v>
      </c>
      <c r="D36" s="13">
        <v>7801600</v>
      </c>
      <c r="E36" s="15">
        <v>1.47</v>
      </c>
    </row>
    <row r="37" spans="1:5" x14ac:dyDescent="0.4">
      <c r="A37" t="s">
        <v>412</v>
      </c>
      <c r="B37" t="s">
        <v>413</v>
      </c>
      <c r="C37" s="13">
        <v>350</v>
      </c>
      <c r="D37" s="13">
        <v>7787500</v>
      </c>
      <c r="E37" s="15">
        <v>1.47</v>
      </c>
    </row>
    <row r="38" spans="1:5" x14ac:dyDescent="0.4">
      <c r="A38" t="s">
        <v>737</v>
      </c>
      <c r="B38" t="s">
        <v>738</v>
      </c>
      <c r="C38" s="13">
        <v>49</v>
      </c>
      <c r="D38" s="13">
        <v>7325500</v>
      </c>
      <c r="E38" s="15">
        <v>1.38</v>
      </c>
    </row>
    <row r="39" spans="1:5" x14ac:dyDescent="0.4">
      <c r="A39" t="s">
        <v>1444</v>
      </c>
      <c r="B39" t="s">
        <v>1445</v>
      </c>
      <c r="C39" s="13">
        <v>308</v>
      </c>
      <c r="D39" s="13">
        <v>7084000</v>
      </c>
      <c r="E39" s="15">
        <v>1.33</v>
      </c>
    </row>
    <row r="40" spans="1:5" x14ac:dyDescent="0.4">
      <c r="A40" t="s">
        <v>351</v>
      </c>
      <c r="B40" t="s">
        <v>352</v>
      </c>
      <c r="C40" s="13">
        <v>30</v>
      </c>
      <c r="D40" s="13">
        <v>6735000</v>
      </c>
      <c r="E40" s="15">
        <v>1.27</v>
      </c>
    </row>
    <row r="41" spans="1:5" x14ac:dyDescent="0.4">
      <c r="A41" t="s">
        <v>446</v>
      </c>
      <c r="B41" t="s">
        <v>447</v>
      </c>
      <c r="C41" s="13">
        <v>43</v>
      </c>
      <c r="D41" s="13">
        <v>6712300</v>
      </c>
      <c r="E41" s="15">
        <v>1.26</v>
      </c>
    </row>
    <row r="42" spans="1:5" x14ac:dyDescent="0.4">
      <c r="A42" t="s">
        <v>434</v>
      </c>
      <c r="B42" t="s">
        <v>435</v>
      </c>
      <c r="C42" s="13">
        <v>100</v>
      </c>
      <c r="D42" s="13">
        <v>6700000</v>
      </c>
      <c r="E42" s="15">
        <v>1.26</v>
      </c>
    </row>
    <row r="43" spans="1:5" x14ac:dyDescent="0.4">
      <c r="A43" t="s">
        <v>719</v>
      </c>
      <c r="B43" t="s">
        <v>720</v>
      </c>
      <c r="C43" s="13">
        <v>345</v>
      </c>
      <c r="D43" s="13">
        <v>6116850</v>
      </c>
      <c r="E43" s="15">
        <v>1.1499999999999999</v>
      </c>
    </row>
    <row r="44" spans="1:5" x14ac:dyDescent="0.4">
      <c r="A44" t="s">
        <v>607</v>
      </c>
      <c r="B44" t="s">
        <v>608</v>
      </c>
      <c r="C44">
        <v>40</v>
      </c>
      <c r="D44" s="13">
        <v>5908000</v>
      </c>
      <c r="E44" s="15">
        <v>1.1100000000000001</v>
      </c>
    </row>
    <row r="45" spans="1:5" x14ac:dyDescent="0.4">
      <c r="A45" t="s">
        <v>4968</v>
      </c>
      <c r="B45" t="s">
        <v>4969</v>
      </c>
      <c r="C45">
        <v>199</v>
      </c>
      <c r="D45" s="13">
        <v>5751100</v>
      </c>
      <c r="E45" s="15">
        <v>1.08</v>
      </c>
    </row>
    <row r="46" spans="1:5" x14ac:dyDescent="0.4">
      <c r="A46" t="s">
        <v>486</v>
      </c>
      <c r="B46" t="s">
        <v>487</v>
      </c>
      <c r="C46" s="13">
        <v>19</v>
      </c>
      <c r="D46" s="13">
        <v>5025500</v>
      </c>
      <c r="E46" s="15">
        <v>0.95</v>
      </c>
    </row>
    <row r="47" spans="1:5" x14ac:dyDescent="0.4">
      <c r="A47" t="s">
        <v>488</v>
      </c>
      <c r="B47" t="s">
        <v>489</v>
      </c>
      <c r="C47" s="13">
        <v>50</v>
      </c>
      <c r="D47" s="13">
        <v>5015000</v>
      </c>
      <c r="E47" s="15">
        <v>0.94</v>
      </c>
    </row>
    <row r="48" spans="1:5" x14ac:dyDescent="0.4">
      <c r="A48" t="s">
        <v>631</v>
      </c>
      <c r="B48" t="s">
        <v>632</v>
      </c>
      <c r="C48" s="13">
        <v>30</v>
      </c>
      <c r="D48" s="13">
        <v>4860000</v>
      </c>
      <c r="E48" s="15">
        <v>0.92</v>
      </c>
    </row>
    <row r="49" spans="1:5" x14ac:dyDescent="0.4">
      <c r="A49" t="s">
        <v>3931</v>
      </c>
      <c r="B49" t="s">
        <v>3932</v>
      </c>
      <c r="C49">
        <v>50</v>
      </c>
      <c r="D49" s="13">
        <v>4855000</v>
      </c>
      <c r="E49" s="15">
        <v>0.91</v>
      </c>
    </row>
    <row r="50" spans="1:5" x14ac:dyDescent="0.4">
      <c r="A50" t="s">
        <v>723</v>
      </c>
      <c r="B50" t="s">
        <v>724</v>
      </c>
      <c r="C50" s="13">
        <v>30</v>
      </c>
      <c r="D50" s="13">
        <v>4731000</v>
      </c>
      <c r="E50" s="15">
        <v>0.89</v>
      </c>
    </row>
    <row r="51" spans="1:5" x14ac:dyDescent="0.4">
      <c r="A51" t="s">
        <v>664</v>
      </c>
      <c r="B51" t="s">
        <v>665</v>
      </c>
      <c r="C51" s="13">
        <v>88</v>
      </c>
      <c r="D51" s="13">
        <v>4567200</v>
      </c>
      <c r="E51" s="15">
        <v>0.86</v>
      </c>
    </row>
    <row r="52" spans="1:5" x14ac:dyDescent="0.4">
      <c r="A52" t="s">
        <v>579</v>
      </c>
      <c r="B52" t="s">
        <v>580</v>
      </c>
      <c r="C52" s="13">
        <v>142</v>
      </c>
      <c r="D52" s="13">
        <v>4288400</v>
      </c>
      <c r="E52" s="15">
        <v>0.81</v>
      </c>
    </row>
    <row r="53" spans="1:5" x14ac:dyDescent="0.4">
      <c r="A53" t="s">
        <v>593</v>
      </c>
      <c r="B53" t="s">
        <v>594</v>
      </c>
      <c r="C53">
        <v>100</v>
      </c>
      <c r="D53" s="13">
        <v>4200000</v>
      </c>
      <c r="E53" s="15">
        <v>0.79</v>
      </c>
    </row>
    <row r="54" spans="1:5" x14ac:dyDescent="0.4">
      <c r="A54" t="s">
        <v>4493</v>
      </c>
      <c r="B54" t="s">
        <v>4494</v>
      </c>
      <c r="C54" s="13">
        <v>65</v>
      </c>
      <c r="D54" s="13">
        <v>4173000</v>
      </c>
      <c r="E54" s="15">
        <v>0.79</v>
      </c>
    </row>
    <row r="55" spans="1:5" x14ac:dyDescent="0.4">
      <c r="A55" t="s">
        <v>468</v>
      </c>
      <c r="B55" t="s">
        <v>469</v>
      </c>
      <c r="C55" s="13">
        <v>78</v>
      </c>
      <c r="D55" s="13">
        <v>3861000</v>
      </c>
      <c r="E55" s="15">
        <v>0.73</v>
      </c>
    </row>
    <row r="56" spans="1:5" x14ac:dyDescent="0.4">
      <c r="A56" t="s">
        <v>3409</v>
      </c>
      <c r="B56" t="s">
        <v>3410</v>
      </c>
      <c r="C56">
        <v>150</v>
      </c>
      <c r="D56" s="13">
        <v>3855000</v>
      </c>
      <c r="E56" s="15">
        <v>0.73</v>
      </c>
    </row>
    <row r="57" spans="1:5" x14ac:dyDescent="0.4">
      <c r="A57" t="s">
        <v>479</v>
      </c>
      <c r="B57" t="s">
        <v>480</v>
      </c>
      <c r="C57">
        <v>29</v>
      </c>
      <c r="D57" s="13">
        <v>3509000</v>
      </c>
      <c r="E57" s="15">
        <v>0.66</v>
      </c>
    </row>
    <row r="58" spans="1:5" x14ac:dyDescent="0.4">
      <c r="A58" t="s">
        <v>45</v>
      </c>
      <c r="B58" t="s">
        <v>46</v>
      </c>
      <c r="C58">
        <v>19</v>
      </c>
      <c r="D58" s="13">
        <v>3169200</v>
      </c>
      <c r="E58" s="15">
        <v>0.6</v>
      </c>
    </row>
    <row r="59" spans="1:5" x14ac:dyDescent="0.4">
      <c r="A59" t="s">
        <v>4343</v>
      </c>
      <c r="B59" t="s">
        <v>4344</v>
      </c>
      <c r="C59" s="13">
        <v>32</v>
      </c>
      <c r="D59" s="13">
        <v>3132800</v>
      </c>
      <c r="E59" s="15">
        <v>0.59</v>
      </c>
    </row>
    <row r="60" spans="1:5" x14ac:dyDescent="0.4">
      <c r="A60" t="s">
        <v>471</v>
      </c>
      <c r="B60" t="s">
        <v>472</v>
      </c>
      <c r="C60">
        <v>30</v>
      </c>
      <c r="D60" s="13">
        <v>3042000</v>
      </c>
      <c r="E60" s="15">
        <v>0.56999999999999995</v>
      </c>
    </row>
    <row r="61" spans="1:5" x14ac:dyDescent="0.4">
      <c r="A61" t="s">
        <v>41</v>
      </c>
      <c r="B61" t="s">
        <v>42</v>
      </c>
      <c r="C61" s="13">
        <v>25</v>
      </c>
      <c r="D61" s="13">
        <v>2982500</v>
      </c>
      <c r="E61" s="15">
        <v>0.56000000000000005</v>
      </c>
    </row>
    <row r="62" spans="1:5" x14ac:dyDescent="0.4">
      <c r="A62" t="s">
        <v>158</v>
      </c>
      <c r="B62" t="s">
        <v>159</v>
      </c>
      <c r="C62" s="13">
        <v>29</v>
      </c>
      <c r="D62" s="13">
        <v>2929000</v>
      </c>
      <c r="E62" s="15">
        <v>0.55000000000000004</v>
      </c>
    </row>
    <row r="63" spans="1:5" x14ac:dyDescent="0.4">
      <c r="A63" t="s">
        <v>5172</v>
      </c>
      <c r="B63" t="s">
        <v>5173</v>
      </c>
      <c r="C63" s="13">
        <v>100</v>
      </c>
      <c r="D63" s="13">
        <v>2750000</v>
      </c>
      <c r="E63" s="15">
        <v>0.52</v>
      </c>
    </row>
    <row r="64" spans="1:5" x14ac:dyDescent="0.4">
      <c r="A64" t="s">
        <v>401</v>
      </c>
      <c r="B64" t="s">
        <v>402</v>
      </c>
      <c r="C64" s="13">
        <v>50</v>
      </c>
      <c r="D64" s="13">
        <v>2715000</v>
      </c>
      <c r="E64" s="15">
        <v>0.51</v>
      </c>
    </row>
    <row r="65" spans="1:5" x14ac:dyDescent="0.4">
      <c r="A65" t="s">
        <v>470</v>
      </c>
      <c r="B65" t="s">
        <v>5181</v>
      </c>
      <c r="C65" s="13">
        <v>70</v>
      </c>
      <c r="D65" s="13">
        <v>2586500</v>
      </c>
      <c r="E65" s="15">
        <v>0.49</v>
      </c>
    </row>
    <row r="66" spans="1:5" x14ac:dyDescent="0.4">
      <c r="A66" t="s">
        <v>4501</v>
      </c>
      <c r="B66" t="s">
        <v>4502</v>
      </c>
      <c r="C66" s="13">
        <v>25</v>
      </c>
      <c r="D66" s="13">
        <v>2520000</v>
      </c>
      <c r="E66" s="15">
        <v>0.47</v>
      </c>
    </row>
    <row r="67" spans="1:5" x14ac:dyDescent="0.4">
      <c r="A67" t="s">
        <v>687</v>
      </c>
      <c r="B67" t="s">
        <v>688</v>
      </c>
      <c r="C67" s="13">
        <v>23</v>
      </c>
      <c r="D67" s="13">
        <v>2247100</v>
      </c>
      <c r="E67" s="15">
        <v>0.42</v>
      </c>
    </row>
    <row r="68" spans="1:5" x14ac:dyDescent="0.4">
      <c r="A68" t="s">
        <v>4790</v>
      </c>
      <c r="B68" t="s">
        <v>4791</v>
      </c>
      <c r="C68" s="13">
        <v>144</v>
      </c>
      <c r="D68" s="13">
        <v>2144160</v>
      </c>
      <c r="E68" s="15">
        <v>0.4</v>
      </c>
    </row>
    <row r="69" spans="1:5" x14ac:dyDescent="0.4">
      <c r="A69" t="s">
        <v>551</v>
      </c>
      <c r="B69" t="s">
        <v>552</v>
      </c>
      <c r="C69" s="13">
        <v>55</v>
      </c>
      <c r="D69" s="13">
        <v>2123000</v>
      </c>
      <c r="E69" s="15">
        <v>0.4</v>
      </c>
    </row>
    <row r="70" spans="1:5" x14ac:dyDescent="0.4">
      <c r="A70" t="s">
        <v>4068</v>
      </c>
      <c r="B70" t="s">
        <v>4069</v>
      </c>
      <c r="C70">
        <v>146</v>
      </c>
      <c r="D70" s="13">
        <v>1997280</v>
      </c>
      <c r="E70" s="15">
        <v>0.38</v>
      </c>
    </row>
    <row r="71" spans="1:5" x14ac:dyDescent="0.4">
      <c r="A71" t="s">
        <v>717</v>
      </c>
      <c r="B71" t="s">
        <v>718</v>
      </c>
      <c r="C71">
        <v>99</v>
      </c>
      <c r="D71" s="13">
        <v>1977030</v>
      </c>
      <c r="E71" s="15">
        <v>0.37</v>
      </c>
    </row>
    <row r="72" spans="1:5" x14ac:dyDescent="0.4">
      <c r="A72" t="s">
        <v>39</v>
      </c>
      <c r="B72" t="s">
        <v>40</v>
      </c>
      <c r="C72">
        <v>7</v>
      </c>
      <c r="D72" s="13">
        <v>1862000</v>
      </c>
      <c r="E72" s="15">
        <v>0.35</v>
      </c>
    </row>
    <row r="73" spans="1:5" x14ac:dyDescent="0.4">
      <c r="A73" t="s">
        <v>4681</v>
      </c>
      <c r="B73" t="s">
        <v>4682</v>
      </c>
      <c r="C73" s="13">
        <v>92</v>
      </c>
      <c r="D73" s="13">
        <v>1839080</v>
      </c>
      <c r="E73" s="15">
        <v>0.35</v>
      </c>
    </row>
    <row r="74" spans="1:5" x14ac:dyDescent="0.4">
      <c r="A74" t="s">
        <v>2482</v>
      </c>
      <c r="B74" t="s">
        <v>2483</v>
      </c>
      <c r="C74" s="13">
        <v>100</v>
      </c>
      <c r="D74" s="13">
        <v>1130000</v>
      </c>
      <c r="E74" s="15">
        <v>0.21</v>
      </c>
    </row>
    <row r="75" spans="1:5" x14ac:dyDescent="0.4">
      <c r="B75" t="s">
        <v>10</v>
      </c>
      <c r="C75" s="13">
        <v>6323660</v>
      </c>
      <c r="D75" s="13">
        <v>6323660</v>
      </c>
      <c r="E75" s="15">
        <v>1.19</v>
      </c>
    </row>
    <row r="76" spans="1:5" x14ac:dyDescent="0.4">
      <c r="D76" s="13"/>
    </row>
    <row r="77" spans="1:5" x14ac:dyDescent="0.4"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D84" s="13"/>
      <c r="E84" s="15"/>
    </row>
    <row r="85" spans="3:5" x14ac:dyDescent="0.4">
      <c r="D85" s="13"/>
      <c r="E85" s="15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6EBDC57F-A7ED-46CC-9F5F-5679E3364A89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D78-78E4-4DE1-96A7-AD6BEF0D5FE3}">
  <dimension ref="A1:G218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5160</v>
      </c>
      <c r="B8" s="6"/>
      <c r="C8" s="6"/>
      <c r="D8" s="6"/>
      <c r="E8" s="14"/>
    </row>
    <row r="9" spans="1:7" x14ac:dyDescent="0.4">
      <c r="A9" s="69" t="s">
        <v>5162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4790</v>
      </c>
      <c r="B11" s="17" t="s">
        <v>4791</v>
      </c>
      <c r="C11" s="18">
        <v>2141</v>
      </c>
      <c r="D11" s="18">
        <v>32907170</v>
      </c>
      <c r="E11" s="19">
        <v>6.1</v>
      </c>
      <c r="F11" s="17"/>
      <c r="G11" s="17"/>
    </row>
    <row r="12" spans="1:7" x14ac:dyDescent="0.4">
      <c r="A12" t="s">
        <v>470</v>
      </c>
      <c r="B12" s="17" t="s">
        <v>5181</v>
      </c>
      <c r="C12" s="18">
        <v>859</v>
      </c>
      <c r="D12" s="18">
        <v>29463700</v>
      </c>
      <c r="E12" s="19">
        <v>5.46</v>
      </c>
      <c r="F12" s="17"/>
      <c r="G12" s="17"/>
    </row>
    <row r="13" spans="1:7" x14ac:dyDescent="0.4">
      <c r="A13" t="s">
        <v>422</v>
      </c>
      <c r="B13" s="17" t="s">
        <v>423</v>
      </c>
      <c r="C13" s="18">
        <v>197</v>
      </c>
      <c r="D13" s="18">
        <v>27954300</v>
      </c>
      <c r="E13" s="19">
        <v>5.18</v>
      </c>
      <c r="F13" s="17"/>
      <c r="G13" s="17"/>
    </row>
    <row r="14" spans="1:7" x14ac:dyDescent="0.4">
      <c r="A14" t="s">
        <v>434</v>
      </c>
      <c r="B14" s="17" t="s">
        <v>435</v>
      </c>
      <c r="C14" s="18">
        <v>360</v>
      </c>
      <c r="D14" s="18">
        <v>25992000</v>
      </c>
      <c r="E14" s="19">
        <v>4.82</v>
      </c>
      <c r="F14" s="17"/>
      <c r="G14" s="17"/>
    </row>
    <row r="15" spans="1:7" x14ac:dyDescent="0.4">
      <c r="A15" t="s">
        <v>679</v>
      </c>
      <c r="B15" s="17" t="s">
        <v>680</v>
      </c>
      <c r="C15" s="18">
        <v>114</v>
      </c>
      <c r="D15" s="18">
        <v>19437000</v>
      </c>
      <c r="E15" s="19">
        <v>3.6</v>
      </c>
      <c r="F15" s="17"/>
      <c r="G15" s="17"/>
    </row>
    <row r="16" spans="1:7" x14ac:dyDescent="0.4">
      <c r="A16" t="s">
        <v>593</v>
      </c>
      <c r="B16" s="17" t="s">
        <v>594</v>
      </c>
      <c r="C16" s="18">
        <v>432</v>
      </c>
      <c r="D16" s="18">
        <v>18424800</v>
      </c>
      <c r="E16" s="19">
        <v>3.42</v>
      </c>
      <c r="F16" s="17"/>
      <c r="G16" s="17"/>
    </row>
    <row r="17" spans="1:7" x14ac:dyDescent="0.4">
      <c r="A17" t="s">
        <v>446</v>
      </c>
      <c r="B17" t="s">
        <v>447</v>
      </c>
      <c r="C17" s="13">
        <v>108</v>
      </c>
      <c r="D17" s="13">
        <v>17409600</v>
      </c>
      <c r="E17" s="15">
        <v>3.23</v>
      </c>
    </row>
    <row r="18" spans="1:7" x14ac:dyDescent="0.4">
      <c r="A18" t="s">
        <v>2626</v>
      </c>
      <c r="B18" s="17" t="s">
        <v>2627</v>
      </c>
      <c r="C18" s="18">
        <v>642</v>
      </c>
      <c r="D18" s="18">
        <v>17237700</v>
      </c>
      <c r="E18" s="19">
        <v>3.2</v>
      </c>
      <c r="F18" s="17"/>
      <c r="G18" s="17"/>
    </row>
    <row r="19" spans="1:7" x14ac:dyDescent="0.4">
      <c r="A19" t="s">
        <v>2232</v>
      </c>
      <c r="B19" t="s">
        <v>2233</v>
      </c>
      <c r="C19" s="31">
        <v>911</v>
      </c>
      <c r="D19" s="13">
        <v>16161140</v>
      </c>
      <c r="E19" s="15">
        <v>3</v>
      </c>
    </row>
    <row r="20" spans="1:7" x14ac:dyDescent="0.4">
      <c r="A20" t="s">
        <v>426</v>
      </c>
      <c r="B20" t="s">
        <v>427</v>
      </c>
      <c r="C20" s="31">
        <v>2766</v>
      </c>
      <c r="D20" s="13">
        <v>15821520</v>
      </c>
      <c r="E20" s="15">
        <v>2.93</v>
      </c>
    </row>
    <row r="21" spans="1:7" x14ac:dyDescent="0.4">
      <c r="A21" t="s">
        <v>401</v>
      </c>
      <c r="B21" t="s">
        <v>402</v>
      </c>
      <c r="C21" s="13">
        <v>313</v>
      </c>
      <c r="D21" s="13">
        <v>15806500</v>
      </c>
      <c r="E21" s="15">
        <v>2.93</v>
      </c>
    </row>
    <row r="22" spans="1:7" x14ac:dyDescent="0.4">
      <c r="A22" t="s">
        <v>479</v>
      </c>
      <c r="B22" t="s">
        <v>480</v>
      </c>
      <c r="C22" s="31">
        <v>114</v>
      </c>
      <c r="D22" s="13">
        <v>14774400</v>
      </c>
      <c r="E22" s="15">
        <v>2.74</v>
      </c>
    </row>
    <row r="23" spans="1:7" x14ac:dyDescent="0.4">
      <c r="A23" t="s">
        <v>484</v>
      </c>
      <c r="B23" t="s">
        <v>485</v>
      </c>
      <c r="C23" s="31">
        <v>214</v>
      </c>
      <c r="D23" s="13">
        <v>12818600</v>
      </c>
      <c r="E23" s="15">
        <v>2.38</v>
      </c>
    </row>
    <row r="24" spans="1:7" x14ac:dyDescent="0.4">
      <c r="A24" t="s">
        <v>158</v>
      </c>
      <c r="B24" t="s">
        <v>159</v>
      </c>
      <c r="C24" s="31">
        <v>121</v>
      </c>
      <c r="D24" s="13">
        <v>12584000</v>
      </c>
      <c r="E24" s="15">
        <v>2.33</v>
      </c>
    </row>
    <row r="25" spans="1:7" x14ac:dyDescent="0.4">
      <c r="A25" t="s">
        <v>3273</v>
      </c>
      <c r="B25" t="s">
        <v>3274</v>
      </c>
      <c r="C25" s="13">
        <v>269</v>
      </c>
      <c r="D25" s="13">
        <v>12535400</v>
      </c>
      <c r="E25" s="15">
        <v>2.3199999999999998</v>
      </c>
    </row>
    <row r="26" spans="1:7" x14ac:dyDescent="0.4">
      <c r="A26" t="s">
        <v>757</v>
      </c>
      <c r="B26" t="s">
        <v>758</v>
      </c>
      <c r="C26" s="13">
        <v>99</v>
      </c>
      <c r="D26" s="13">
        <v>11889900</v>
      </c>
      <c r="E26" s="15">
        <v>2.2000000000000002</v>
      </c>
    </row>
    <row r="27" spans="1:7" x14ac:dyDescent="0.4">
      <c r="A27" t="s">
        <v>486</v>
      </c>
      <c r="B27" t="s">
        <v>487</v>
      </c>
      <c r="C27" s="13">
        <v>44</v>
      </c>
      <c r="D27" s="13">
        <v>11704000</v>
      </c>
      <c r="E27" s="15">
        <v>2.17</v>
      </c>
    </row>
    <row r="28" spans="1:7" x14ac:dyDescent="0.4">
      <c r="A28" t="s">
        <v>607</v>
      </c>
      <c r="B28" t="s">
        <v>608</v>
      </c>
      <c r="C28" s="13">
        <v>87</v>
      </c>
      <c r="D28" s="13">
        <v>11310000</v>
      </c>
      <c r="E28" s="15">
        <v>2.1</v>
      </c>
    </row>
    <row r="29" spans="1:7" x14ac:dyDescent="0.4">
      <c r="A29" t="s">
        <v>488</v>
      </c>
      <c r="B29" t="s">
        <v>489</v>
      </c>
      <c r="C29" s="13">
        <v>90</v>
      </c>
      <c r="D29" s="13">
        <v>11295000</v>
      </c>
      <c r="E29" s="15">
        <v>2.09</v>
      </c>
    </row>
    <row r="30" spans="1:7" x14ac:dyDescent="0.4">
      <c r="A30" t="s">
        <v>359</v>
      </c>
      <c r="B30" t="s">
        <v>360</v>
      </c>
      <c r="C30" s="31">
        <v>25</v>
      </c>
      <c r="D30" s="13">
        <v>10725000</v>
      </c>
      <c r="E30" s="15">
        <v>1.99</v>
      </c>
    </row>
    <row r="31" spans="1:7" x14ac:dyDescent="0.4">
      <c r="A31" t="s">
        <v>495</v>
      </c>
      <c r="B31" t="s">
        <v>496</v>
      </c>
      <c r="C31" s="13">
        <v>35</v>
      </c>
      <c r="D31" s="13">
        <v>10570000</v>
      </c>
      <c r="E31" s="15">
        <v>1.96</v>
      </c>
    </row>
    <row r="32" spans="1:7" x14ac:dyDescent="0.4">
      <c r="A32" t="s">
        <v>45</v>
      </c>
      <c r="B32" t="s">
        <v>46</v>
      </c>
      <c r="C32" s="13">
        <v>69</v>
      </c>
      <c r="D32" s="13">
        <v>10087800</v>
      </c>
      <c r="E32" s="15">
        <v>1.87</v>
      </c>
    </row>
    <row r="33" spans="1:5" x14ac:dyDescent="0.4">
      <c r="A33" t="s">
        <v>41</v>
      </c>
      <c r="B33" t="s">
        <v>42</v>
      </c>
      <c r="C33" s="13">
        <v>86</v>
      </c>
      <c r="D33" s="13">
        <v>9451400</v>
      </c>
      <c r="E33" s="15">
        <v>1.75</v>
      </c>
    </row>
    <row r="34" spans="1:5" x14ac:dyDescent="0.4">
      <c r="A34" t="s">
        <v>737</v>
      </c>
      <c r="B34" t="s">
        <v>738</v>
      </c>
      <c r="C34" s="13">
        <v>67</v>
      </c>
      <c r="D34" s="13">
        <v>8877500</v>
      </c>
      <c r="E34" s="15">
        <v>1.65</v>
      </c>
    </row>
    <row r="35" spans="1:5" x14ac:dyDescent="0.4">
      <c r="A35" t="s">
        <v>351</v>
      </c>
      <c r="B35" t="s">
        <v>352</v>
      </c>
      <c r="C35" s="13">
        <v>39</v>
      </c>
      <c r="D35" s="13">
        <v>8560500</v>
      </c>
      <c r="E35" s="15">
        <v>1.59</v>
      </c>
    </row>
    <row r="36" spans="1:5" x14ac:dyDescent="0.4">
      <c r="A36" t="s">
        <v>162</v>
      </c>
      <c r="B36" t="s">
        <v>163</v>
      </c>
      <c r="C36" s="13">
        <v>134</v>
      </c>
      <c r="D36" s="13">
        <v>8308000</v>
      </c>
      <c r="E36" s="15">
        <v>1.54</v>
      </c>
    </row>
    <row r="37" spans="1:5" x14ac:dyDescent="0.4">
      <c r="A37" t="s">
        <v>683</v>
      </c>
      <c r="B37" t="s">
        <v>684</v>
      </c>
      <c r="C37" s="13">
        <v>80</v>
      </c>
      <c r="D37" s="13">
        <v>8240000</v>
      </c>
      <c r="E37" s="15">
        <v>1.53</v>
      </c>
    </row>
    <row r="38" spans="1:5" x14ac:dyDescent="0.4">
      <c r="A38" t="s">
        <v>51</v>
      </c>
      <c r="B38" t="s">
        <v>52</v>
      </c>
      <c r="C38" s="13">
        <v>156</v>
      </c>
      <c r="D38" s="13">
        <v>8080800</v>
      </c>
      <c r="E38" s="15">
        <v>1.5</v>
      </c>
    </row>
    <row r="39" spans="1:5" x14ac:dyDescent="0.4">
      <c r="A39" t="s">
        <v>551</v>
      </c>
      <c r="B39" t="s">
        <v>552</v>
      </c>
      <c r="C39" s="13">
        <v>193</v>
      </c>
      <c r="D39" s="13">
        <v>7247150</v>
      </c>
      <c r="E39" s="15">
        <v>1.34</v>
      </c>
    </row>
    <row r="40" spans="1:5" x14ac:dyDescent="0.4">
      <c r="A40" t="s">
        <v>471</v>
      </c>
      <c r="B40" t="s">
        <v>472</v>
      </c>
      <c r="C40" s="13">
        <v>65</v>
      </c>
      <c r="D40" s="13">
        <v>7137000</v>
      </c>
      <c r="E40" s="15">
        <v>1.32</v>
      </c>
    </row>
    <row r="41" spans="1:5" x14ac:dyDescent="0.4">
      <c r="A41" t="s">
        <v>675</v>
      </c>
      <c r="B41" t="s">
        <v>676</v>
      </c>
      <c r="C41" s="13">
        <v>140</v>
      </c>
      <c r="D41" s="13">
        <v>6713000</v>
      </c>
      <c r="E41" s="15">
        <v>1.24</v>
      </c>
    </row>
    <row r="42" spans="1:5" x14ac:dyDescent="0.4">
      <c r="A42" t="s">
        <v>637</v>
      </c>
      <c r="B42" t="s">
        <v>638</v>
      </c>
      <c r="C42" s="13">
        <v>114</v>
      </c>
      <c r="D42" s="13">
        <v>6475200</v>
      </c>
      <c r="E42" s="15">
        <v>1.2</v>
      </c>
    </row>
    <row r="43" spans="1:5" x14ac:dyDescent="0.4">
      <c r="A43" t="s">
        <v>643</v>
      </c>
      <c r="B43" t="s">
        <v>644</v>
      </c>
      <c r="C43">
        <v>45</v>
      </c>
      <c r="D43" s="13">
        <v>5652000</v>
      </c>
      <c r="E43" s="15">
        <v>1.05</v>
      </c>
    </row>
    <row r="44" spans="1:5" x14ac:dyDescent="0.4">
      <c r="A44" t="s">
        <v>3062</v>
      </c>
      <c r="B44" t="s">
        <v>3063</v>
      </c>
      <c r="C44">
        <v>236</v>
      </c>
      <c r="D44" s="13">
        <v>5475200</v>
      </c>
      <c r="E44" s="15">
        <v>1.01</v>
      </c>
    </row>
    <row r="45" spans="1:5" x14ac:dyDescent="0.4">
      <c r="A45" t="s">
        <v>4270</v>
      </c>
      <c r="B45" t="s">
        <v>4271</v>
      </c>
      <c r="C45" s="13">
        <v>459</v>
      </c>
      <c r="D45" s="13">
        <v>4860810</v>
      </c>
      <c r="E45" s="15">
        <v>0.9</v>
      </c>
    </row>
    <row r="46" spans="1:5" x14ac:dyDescent="0.4">
      <c r="A46" t="s">
        <v>563</v>
      </c>
      <c r="B46" t="s">
        <v>564</v>
      </c>
      <c r="C46" s="13">
        <v>121</v>
      </c>
      <c r="D46" s="13">
        <v>4803700</v>
      </c>
      <c r="E46" s="15">
        <v>0.89</v>
      </c>
    </row>
    <row r="47" spans="1:5" x14ac:dyDescent="0.4">
      <c r="A47" t="s">
        <v>420</v>
      </c>
      <c r="B47" t="s">
        <v>421</v>
      </c>
      <c r="C47">
        <v>102</v>
      </c>
      <c r="D47" s="13">
        <v>4533900</v>
      </c>
      <c r="E47" s="15">
        <v>0.84</v>
      </c>
    </row>
    <row r="48" spans="1:5" x14ac:dyDescent="0.4">
      <c r="A48" t="s">
        <v>4968</v>
      </c>
      <c r="B48" t="s">
        <v>4969</v>
      </c>
      <c r="C48">
        <v>115</v>
      </c>
      <c r="D48" s="13">
        <v>3777750</v>
      </c>
      <c r="E48" s="15">
        <v>0.7</v>
      </c>
    </row>
    <row r="49" spans="1:5" x14ac:dyDescent="0.4">
      <c r="A49" t="s">
        <v>2841</v>
      </c>
      <c r="B49" t="s">
        <v>2842</v>
      </c>
      <c r="C49" s="13">
        <v>520</v>
      </c>
      <c r="D49" s="13">
        <v>3707600</v>
      </c>
      <c r="E49" s="15">
        <v>0.69</v>
      </c>
    </row>
    <row r="50" spans="1:5" x14ac:dyDescent="0.4">
      <c r="A50" t="s">
        <v>545</v>
      </c>
      <c r="B50" t="s">
        <v>546</v>
      </c>
      <c r="C50" s="13">
        <v>95</v>
      </c>
      <c r="D50" s="13">
        <v>3676500</v>
      </c>
      <c r="E50" s="15">
        <v>0.68</v>
      </c>
    </row>
    <row r="51" spans="1:5" x14ac:dyDescent="0.4">
      <c r="A51" t="s">
        <v>701</v>
      </c>
      <c r="B51" t="s">
        <v>702</v>
      </c>
      <c r="C51" s="13">
        <v>64</v>
      </c>
      <c r="D51" s="13">
        <v>3500800</v>
      </c>
      <c r="E51" s="15">
        <v>0.65</v>
      </c>
    </row>
    <row r="52" spans="1:5" x14ac:dyDescent="0.4">
      <c r="A52" t="s">
        <v>35</v>
      </c>
      <c r="B52" t="s">
        <v>36</v>
      </c>
      <c r="C52" s="13">
        <v>25</v>
      </c>
      <c r="D52" s="13">
        <v>3487500</v>
      </c>
      <c r="E52" s="15">
        <v>0.65</v>
      </c>
    </row>
    <row r="53" spans="1:5" x14ac:dyDescent="0.4">
      <c r="A53" t="s">
        <v>719</v>
      </c>
      <c r="B53" t="s">
        <v>720</v>
      </c>
      <c r="C53" s="13">
        <v>185</v>
      </c>
      <c r="D53" s="13">
        <v>3145000</v>
      </c>
      <c r="E53" s="15">
        <v>0.57999999999999996</v>
      </c>
    </row>
    <row r="54" spans="1:5" x14ac:dyDescent="0.4">
      <c r="A54" t="s">
        <v>4501</v>
      </c>
      <c r="B54" t="s">
        <v>4502</v>
      </c>
      <c r="C54" s="13">
        <v>33</v>
      </c>
      <c r="D54" s="13">
        <v>2907300</v>
      </c>
      <c r="E54" s="15">
        <v>0.54</v>
      </c>
    </row>
    <row r="55" spans="1:5" x14ac:dyDescent="0.4">
      <c r="A55" t="s">
        <v>555</v>
      </c>
      <c r="B55" t="s">
        <v>556</v>
      </c>
      <c r="C55" s="13">
        <v>25</v>
      </c>
      <c r="D55" s="13">
        <v>2877500</v>
      </c>
      <c r="E55" s="15">
        <v>0.53</v>
      </c>
    </row>
    <row r="56" spans="1:5" x14ac:dyDescent="0.4">
      <c r="A56" t="s">
        <v>250</v>
      </c>
      <c r="B56" t="s">
        <v>251</v>
      </c>
      <c r="C56">
        <v>205</v>
      </c>
      <c r="D56" s="13">
        <v>2669100</v>
      </c>
      <c r="E56" s="15">
        <v>0.49</v>
      </c>
    </row>
    <row r="57" spans="1:5" x14ac:dyDescent="0.4">
      <c r="A57" t="s">
        <v>627</v>
      </c>
      <c r="B57" t="s">
        <v>628</v>
      </c>
      <c r="C57" s="13">
        <v>190</v>
      </c>
      <c r="D57" s="13">
        <v>2452900</v>
      </c>
      <c r="E57" s="15">
        <v>0.45</v>
      </c>
    </row>
    <row r="58" spans="1:5" x14ac:dyDescent="0.4">
      <c r="A58" t="s">
        <v>733</v>
      </c>
      <c r="B58" t="s">
        <v>734</v>
      </c>
      <c r="C58" s="13">
        <v>29</v>
      </c>
      <c r="D58" s="13">
        <v>2349000</v>
      </c>
      <c r="E58" s="15">
        <v>0.44</v>
      </c>
    </row>
    <row r="59" spans="1:5" x14ac:dyDescent="0.4">
      <c r="A59" t="s">
        <v>3035</v>
      </c>
      <c r="B59" t="s">
        <v>3036</v>
      </c>
      <c r="C59" s="13">
        <v>107</v>
      </c>
      <c r="D59" s="13">
        <v>2343300</v>
      </c>
      <c r="E59" s="15">
        <v>0.43</v>
      </c>
    </row>
    <row r="60" spans="1:5" x14ac:dyDescent="0.4">
      <c r="A60" t="s">
        <v>759</v>
      </c>
      <c r="B60" t="s">
        <v>760</v>
      </c>
      <c r="C60" s="13">
        <v>107</v>
      </c>
      <c r="D60" s="13">
        <v>2268400</v>
      </c>
      <c r="E60" s="15">
        <v>0.42</v>
      </c>
    </row>
    <row r="61" spans="1:5" x14ac:dyDescent="0.4">
      <c r="A61" t="s">
        <v>397</v>
      </c>
      <c r="B61" t="s">
        <v>398</v>
      </c>
      <c r="C61" s="13">
        <v>17</v>
      </c>
      <c r="D61" s="13">
        <v>2206600</v>
      </c>
      <c r="E61" s="15">
        <v>0.41</v>
      </c>
    </row>
    <row r="62" spans="1:5" x14ac:dyDescent="0.4">
      <c r="A62" t="s">
        <v>4617</v>
      </c>
      <c r="B62" t="s">
        <v>4618</v>
      </c>
      <c r="C62" s="13">
        <v>26</v>
      </c>
      <c r="D62" s="13">
        <v>2184000</v>
      </c>
      <c r="E62" s="15">
        <v>0.4</v>
      </c>
    </row>
    <row r="63" spans="1:5" x14ac:dyDescent="0.4">
      <c r="A63" t="s">
        <v>771</v>
      </c>
      <c r="B63" t="s">
        <v>772</v>
      </c>
      <c r="C63" s="13">
        <v>144</v>
      </c>
      <c r="D63" s="13">
        <v>2162880</v>
      </c>
      <c r="E63" s="15">
        <v>0.4</v>
      </c>
    </row>
    <row r="64" spans="1:5" x14ac:dyDescent="0.4">
      <c r="A64" t="s">
        <v>1545</v>
      </c>
      <c r="B64" t="s">
        <v>1546</v>
      </c>
      <c r="C64" s="13">
        <v>52</v>
      </c>
      <c r="D64" s="13">
        <v>2041000</v>
      </c>
      <c r="E64" s="15">
        <v>0.38</v>
      </c>
    </row>
    <row r="65" spans="1:5" x14ac:dyDescent="0.4">
      <c r="A65" t="s">
        <v>3156</v>
      </c>
      <c r="B65" t="s">
        <v>3157</v>
      </c>
      <c r="C65">
        <v>61</v>
      </c>
      <c r="D65" s="13">
        <v>1872700</v>
      </c>
      <c r="E65" s="15">
        <v>0.35</v>
      </c>
    </row>
    <row r="66" spans="1:5" x14ac:dyDescent="0.4">
      <c r="A66" t="s">
        <v>585</v>
      </c>
      <c r="B66" t="s">
        <v>586</v>
      </c>
      <c r="C66" s="13">
        <v>58</v>
      </c>
      <c r="D66" s="13">
        <v>1673300</v>
      </c>
      <c r="E66" s="15">
        <v>0.31</v>
      </c>
    </row>
    <row r="67" spans="1:5" x14ac:dyDescent="0.4">
      <c r="A67" t="s">
        <v>3661</v>
      </c>
      <c r="B67" t="s">
        <v>3662</v>
      </c>
      <c r="C67" s="13">
        <v>38</v>
      </c>
      <c r="D67" s="13">
        <v>1672000</v>
      </c>
      <c r="E67" s="15">
        <v>0.31</v>
      </c>
    </row>
    <row r="68" spans="1:5" x14ac:dyDescent="0.4">
      <c r="A68" t="s">
        <v>279</v>
      </c>
      <c r="B68" t="s">
        <v>280</v>
      </c>
      <c r="C68" s="13">
        <v>127</v>
      </c>
      <c r="D68" s="13">
        <v>1507490</v>
      </c>
      <c r="E68" s="15">
        <v>0.28000000000000003</v>
      </c>
    </row>
    <row r="69" spans="1:5" x14ac:dyDescent="0.4">
      <c r="A69" t="s">
        <v>697</v>
      </c>
      <c r="B69" t="s">
        <v>698</v>
      </c>
      <c r="C69" s="13">
        <v>19</v>
      </c>
      <c r="D69" s="13">
        <v>1383200</v>
      </c>
      <c r="E69" s="15">
        <v>0.26</v>
      </c>
    </row>
    <row r="70" spans="1:5" x14ac:dyDescent="0.4">
      <c r="A70" t="s">
        <v>671</v>
      </c>
      <c r="B70" t="s">
        <v>672</v>
      </c>
      <c r="C70" s="13">
        <v>73</v>
      </c>
      <c r="D70" s="13">
        <v>1375320</v>
      </c>
      <c r="E70" s="15">
        <v>0.25</v>
      </c>
    </row>
    <row r="71" spans="1:5" x14ac:dyDescent="0.4">
      <c r="A71" t="s">
        <v>767</v>
      </c>
      <c r="B71" t="s">
        <v>768</v>
      </c>
      <c r="C71">
        <v>50</v>
      </c>
      <c r="D71" s="13">
        <v>1250000</v>
      </c>
      <c r="E71" s="15">
        <v>0.23</v>
      </c>
    </row>
    <row r="72" spans="1:5" x14ac:dyDescent="0.4">
      <c r="A72" t="s">
        <v>3533</v>
      </c>
      <c r="B72" t="s">
        <v>3534</v>
      </c>
      <c r="C72">
        <v>31</v>
      </c>
      <c r="D72" s="13">
        <v>1184200</v>
      </c>
      <c r="E72" s="15">
        <v>0.22</v>
      </c>
    </row>
    <row r="73" spans="1:5" x14ac:dyDescent="0.4">
      <c r="A73" t="s">
        <v>3395</v>
      </c>
      <c r="B73" t="s">
        <v>3396</v>
      </c>
      <c r="C73" s="13">
        <v>15</v>
      </c>
      <c r="D73" s="13">
        <v>1042500</v>
      </c>
      <c r="E73" s="15">
        <v>0.19</v>
      </c>
    </row>
    <row r="74" spans="1:5" x14ac:dyDescent="0.4">
      <c r="A74" t="s">
        <v>180</v>
      </c>
      <c r="B74" t="s">
        <v>181</v>
      </c>
      <c r="C74" s="13">
        <v>5</v>
      </c>
      <c r="D74" s="13">
        <v>626500</v>
      </c>
      <c r="E74" s="15">
        <v>0.12</v>
      </c>
    </row>
    <row r="75" spans="1:5" x14ac:dyDescent="0.4">
      <c r="A75" t="s">
        <v>349</v>
      </c>
      <c r="B75" t="s">
        <v>350</v>
      </c>
      <c r="C75" s="13">
        <v>1</v>
      </c>
      <c r="D75" s="13">
        <v>549000</v>
      </c>
      <c r="E75" s="15">
        <v>0.1</v>
      </c>
    </row>
    <row r="76" spans="1:5" x14ac:dyDescent="0.4">
      <c r="A76" t="s">
        <v>468</v>
      </c>
      <c r="B76" t="s">
        <v>469</v>
      </c>
      <c r="C76" s="13">
        <v>10</v>
      </c>
      <c r="D76" s="13">
        <v>534000</v>
      </c>
      <c r="E76" s="15">
        <v>0.1</v>
      </c>
    </row>
    <row r="77" spans="1:5" x14ac:dyDescent="0.4">
      <c r="A77" t="s">
        <v>49</v>
      </c>
      <c r="B77" t="s">
        <v>50</v>
      </c>
      <c r="C77" s="13">
        <v>4</v>
      </c>
      <c r="D77" s="13">
        <v>507200</v>
      </c>
      <c r="E77" s="15">
        <v>0.09</v>
      </c>
    </row>
    <row r="78" spans="1:5" x14ac:dyDescent="0.4">
      <c r="A78" t="s">
        <v>5206</v>
      </c>
      <c r="B78" t="s">
        <v>5207</v>
      </c>
      <c r="C78">
        <v>34</v>
      </c>
      <c r="D78" s="13">
        <v>467840</v>
      </c>
      <c r="E78" s="15">
        <v>0.09</v>
      </c>
    </row>
    <row r="79" spans="1:5" x14ac:dyDescent="0.4">
      <c r="A79" t="s">
        <v>3351</v>
      </c>
      <c r="B79" t="s">
        <v>3352</v>
      </c>
      <c r="C79">
        <v>16</v>
      </c>
      <c r="D79" s="13">
        <v>439200</v>
      </c>
      <c r="E79" s="15">
        <v>0.08</v>
      </c>
    </row>
    <row r="80" spans="1:5" x14ac:dyDescent="0.4">
      <c r="B80" t="s">
        <v>10</v>
      </c>
      <c r="C80" s="13">
        <v>4266186</v>
      </c>
      <c r="D80" s="13">
        <v>4266186</v>
      </c>
      <c r="E80" s="15">
        <v>0.79</v>
      </c>
    </row>
    <row r="81" spans="4:5" x14ac:dyDescent="0.4">
      <c r="D81" s="13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4CFC6816-6A98-4F06-A539-8D4E831B862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90B-199C-4109-998E-F8A136356200}">
  <dimension ref="A1:E10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5160</v>
      </c>
      <c r="B8" s="6"/>
      <c r="C8" s="6"/>
      <c r="D8" s="6"/>
      <c r="E8" s="14"/>
    </row>
    <row r="9" spans="1:5" x14ac:dyDescent="0.4">
      <c r="A9" s="69" t="s">
        <v>5162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4790</v>
      </c>
      <c r="B11" t="s">
        <v>4791</v>
      </c>
      <c r="C11" s="13">
        <v>2009</v>
      </c>
      <c r="D11" s="13">
        <v>29914010</v>
      </c>
      <c r="E11" s="15">
        <v>5.44</v>
      </c>
    </row>
    <row r="12" spans="1:5" x14ac:dyDescent="0.4">
      <c r="A12" t="s">
        <v>422</v>
      </c>
      <c r="B12" t="s">
        <v>423</v>
      </c>
      <c r="C12" s="31">
        <v>179</v>
      </c>
      <c r="D12" s="13">
        <v>27762900</v>
      </c>
      <c r="E12" s="15">
        <v>5.05</v>
      </c>
    </row>
    <row r="13" spans="1:5" x14ac:dyDescent="0.4">
      <c r="A13" t="s">
        <v>470</v>
      </c>
      <c r="B13" t="s">
        <v>5181</v>
      </c>
      <c r="C13" s="13">
        <v>723</v>
      </c>
      <c r="D13" s="13">
        <v>26714850</v>
      </c>
      <c r="E13" s="15">
        <v>4.8600000000000003</v>
      </c>
    </row>
    <row r="14" spans="1:5" x14ac:dyDescent="0.4">
      <c r="A14" t="s">
        <v>434</v>
      </c>
      <c r="B14" t="s">
        <v>435</v>
      </c>
      <c r="C14" s="13">
        <v>314</v>
      </c>
      <c r="D14" s="13">
        <v>21038000</v>
      </c>
      <c r="E14" s="15">
        <v>3.83</v>
      </c>
    </row>
    <row r="15" spans="1:5" x14ac:dyDescent="0.4">
      <c r="A15" t="s">
        <v>679</v>
      </c>
      <c r="B15" t="s">
        <v>680</v>
      </c>
      <c r="C15" s="31">
        <v>114</v>
      </c>
      <c r="D15" s="13">
        <v>20269200</v>
      </c>
      <c r="E15" s="15">
        <v>3.69</v>
      </c>
    </row>
    <row r="16" spans="1:5" x14ac:dyDescent="0.4">
      <c r="A16" t="s">
        <v>593</v>
      </c>
      <c r="B16" t="s">
        <v>594</v>
      </c>
      <c r="C16" s="31">
        <v>432</v>
      </c>
      <c r="D16" s="13">
        <v>18144000</v>
      </c>
      <c r="E16" s="15">
        <v>3.3</v>
      </c>
    </row>
    <row r="17" spans="1:5" x14ac:dyDescent="0.4">
      <c r="A17" t="s">
        <v>2626</v>
      </c>
      <c r="B17" t="s">
        <v>2627</v>
      </c>
      <c r="C17" s="31">
        <v>642</v>
      </c>
      <c r="D17" s="13">
        <v>17687100</v>
      </c>
      <c r="E17" s="15">
        <v>3.22</v>
      </c>
    </row>
    <row r="18" spans="1:5" x14ac:dyDescent="0.4">
      <c r="A18" t="s">
        <v>401</v>
      </c>
      <c r="B18" t="s">
        <v>402</v>
      </c>
      <c r="C18" s="13">
        <v>313</v>
      </c>
      <c r="D18" s="13">
        <v>16995900</v>
      </c>
      <c r="E18" s="15">
        <v>3.09</v>
      </c>
    </row>
    <row r="19" spans="1:5" x14ac:dyDescent="0.4">
      <c r="A19" t="s">
        <v>446</v>
      </c>
      <c r="B19" t="s">
        <v>447</v>
      </c>
      <c r="C19" s="13">
        <v>108</v>
      </c>
      <c r="D19" s="13">
        <v>16858800</v>
      </c>
      <c r="E19" s="15">
        <v>3.07</v>
      </c>
    </row>
    <row r="20" spans="1:5" x14ac:dyDescent="0.4">
      <c r="A20" t="s">
        <v>2232</v>
      </c>
      <c r="B20" t="s">
        <v>2233</v>
      </c>
      <c r="C20" s="13">
        <v>911</v>
      </c>
      <c r="D20" s="13">
        <v>16006270</v>
      </c>
      <c r="E20" s="15">
        <v>2.91</v>
      </c>
    </row>
    <row r="21" spans="1:5" x14ac:dyDescent="0.4">
      <c r="A21" t="s">
        <v>426</v>
      </c>
      <c r="B21" t="s">
        <v>427</v>
      </c>
      <c r="C21" s="13">
        <v>2446</v>
      </c>
      <c r="D21" s="13">
        <v>15507640</v>
      </c>
      <c r="E21" s="15">
        <v>2.82</v>
      </c>
    </row>
    <row r="22" spans="1:5" x14ac:dyDescent="0.4">
      <c r="A22" t="s">
        <v>479</v>
      </c>
      <c r="B22" t="s">
        <v>480</v>
      </c>
      <c r="C22" s="13">
        <v>127</v>
      </c>
      <c r="D22" s="13">
        <v>15367000</v>
      </c>
      <c r="E22" s="15">
        <v>2.8</v>
      </c>
    </row>
    <row r="23" spans="1:5" x14ac:dyDescent="0.4">
      <c r="A23" t="s">
        <v>45</v>
      </c>
      <c r="B23" t="s">
        <v>46</v>
      </c>
      <c r="C23" s="31">
        <v>91</v>
      </c>
      <c r="D23" s="13">
        <v>15178800</v>
      </c>
      <c r="E23" s="15">
        <v>2.76</v>
      </c>
    </row>
    <row r="24" spans="1:5" x14ac:dyDescent="0.4">
      <c r="A24" t="s">
        <v>607</v>
      </c>
      <c r="B24" t="s">
        <v>608</v>
      </c>
      <c r="C24" s="31">
        <v>95</v>
      </c>
      <c r="D24" s="13">
        <v>14031500</v>
      </c>
      <c r="E24" s="15">
        <v>2.5499999999999998</v>
      </c>
    </row>
    <row r="25" spans="1:5" x14ac:dyDescent="0.4">
      <c r="A25" t="s">
        <v>757</v>
      </c>
      <c r="B25" t="s">
        <v>758</v>
      </c>
      <c r="C25" s="13">
        <v>118</v>
      </c>
      <c r="D25" s="13">
        <v>13935800</v>
      </c>
      <c r="E25" s="15">
        <v>2.54</v>
      </c>
    </row>
    <row r="26" spans="1:5" x14ac:dyDescent="0.4">
      <c r="A26" t="s">
        <v>484</v>
      </c>
      <c r="B26" t="s">
        <v>485</v>
      </c>
      <c r="C26" s="13">
        <v>248</v>
      </c>
      <c r="D26" s="13">
        <v>13441600</v>
      </c>
      <c r="E26" s="15">
        <v>2.4500000000000002</v>
      </c>
    </row>
    <row r="27" spans="1:5" x14ac:dyDescent="0.4">
      <c r="A27" t="s">
        <v>3273</v>
      </c>
      <c r="B27" t="s">
        <v>3274</v>
      </c>
      <c r="C27" s="13">
        <v>269</v>
      </c>
      <c r="D27" s="13">
        <v>12495050</v>
      </c>
      <c r="E27" s="15">
        <v>2.27</v>
      </c>
    </row>
    <row r="28" spans="1:5" x14ac:dyDescent="0.4">
      <c r="A28" t="s">
        <v>158</v>
      </c>
      <c r="B28" t="s">
        <v>159</v>
      </c>
      <c r="C28" s="13">
        <v>121</v>
      </c>
      <c r="D28" s="13">
        <v>12221000</v>
      </c>
      <c r="E28" s="15">
        <v>2.2200000000000002</v>
      </c>
    </row>
    <row r="29" spans="1:5" x14ac:dyDescent="0.4">
      <c r="A29" t="s">
        <v>486</v>
      </c>
      <c r="B29" t="s">
        <v>487</v>
      </c>
      <c r="C29" s="13">
        <v>44</v>
      </c>
      <c r="D29" s="13">
        <v>11638000</v>
      </c>
      <c r="E29" s="15">
        <v>2.12</v>
      </c>
    </row>
    <row r="30" spans="1:5" x14ac:dyDescent="0.4">
      <c r="A30" t="s">
        <v>41</v>
      </c>
      <c r="B30" t="s">
        <v>42</v>
      </c>
      <c r="C30" s="13">
        <v>96</v>
      </c>
      <c r="D30" s="13">
        <v>11452800</v>
      </c>
      <c r="E30" s="15">
        <v>2.08</v>
      </c>
    </row>
    <row r="31" spans="1:5" x14ac:dyDescent="0.4">
      <c r="A31" t="s">
        <v>683</v>
      </c>
      <c r="B31" t="s">
        <v>684</v>
      </c>
      <c r="C31" s="13">
        <v>102</v>
      </c>
      <c r="D31" s="13">
        <v>11383200</v>
      </c>
      <c r="E31" s="15">
        <v>2.0699999999999998</v>
      </c>
    </row>
    <row r="32" spans="1:5" x14ac:dyDescent="0.4">
      <c r="A32" t="s">
        <v>488</v>
      </c>
      <c r="B32" t="s">
        <v>489</v>
      </c>
      <c r="C32" s="13">
        <v>109</v>
      </c>
      <c r="D32" s="13">
        <v>10932700</v>
      </c>
      <c r="E32" s="15">
        <v>1.99</v>
      </c>
    </row>
    <row r="33" spans="1:5" x14ac:dyDescent="0.4">
      <c r="A33" t="s">
        <v>359</v>
      </c>
      <c r="B33" t="s">
        <v>360</v>
      </c>
      <c r="C33" s="13">
        <v>26</v>
      </c>
      <c r="D33" s="13">
        <v>10660000</v>
      </c>
      <c r="E33" s="15">
        <v>1.94</v>
      </c>
    </row>
    <row r="34" spans="1:5" x14ac:dyDescent="0.4">
      <c r="A34" t="s">
        <v>737</v>
      </c>
      <c r="B34" t="s">
        <v>738</v>
      </c>
      <c r="C34" s="13">
        <v>67</v>
      </c>
      <c r="D34" s="13">
        <v>10016500</v>
      </c>
      <c r="E34" s="15">
        <v>1.82</v>
      </c>
    </row>
    <row r="35" spans="1:5" x14ac:dyDescent="0.4">
      <c r="A35" t="s">
        <v>51</v>
      </c>
      <c r="B35" t="s">
        <v>52</v>
      </c>
      <c r="C35" s="13">
        <v>156</v>
      </c>
      <c r="D35" s="13">
        <v>9500400</v>
      </c>
      <c r="E35" s="15">
        <v>1.73</v>
      </c>
    </row>
    <row r="36" spans="1:5" x14ac:dyDescent="0.4">
      <c r="A36" t="s">
        <v>637</v>
      </c>
      <c r="B36" t="s">
        <v>638</v>
      </c>
      <c r="C36" s="13">
        <v>140</v>
      </c>
      <c r="D36" s="13">
        <v>9296000</v>
      </c>
      <c r="E36" s="15">
        <v>1.69</v>
      </c>
    </row>
    <row r="37" spans="1:5" x14ac:dyDescent="0.4">
      <c r="A37" t="s">
        <v>495</v>
      </c>
      <c r="B37" t="s">
        <v>496</v>
      </c>
      <c r="C37" s="13">
        <v>29</v>
      </c>
      <c r="D37" s="13">
        <v>8845000</v>
      </c>
      <c r="E37" s="15">
        <v>1.61</v>
      </c>
    </row>
    <row r="38" spans="1:5" x14ac:dyDescent="0.4">
      <c r="A38" t="s">
        <v>351</v>
      </c>
      <c r="B38" t="s">
        <v>352</v>
      </c>
      <c r="C38" s="13">
        <v>34</v>
      </c>
      <c r="D38" s="13">
        <v>7633000</v>
      </c>
      <c r="E38" s="15">
        <v>1.39</v>
      </c>
    </row>
    <row r="39" spans="1:5" x14ac:dyDescent="0.4">
      <c r="A39" t="s">
        <v>551</v>
      </c>
      <c r="B39" t="s">
        <v>552</v>
      </c>
      <c r="C39" s="13">
        <v>193</v>
      </c>
      <c r="D39" s="13">
        <v>7449800</v>
      </c>
      <c r="E39" s="15">
        <v>1.36</v>
      </c>
    </row>
    <row r="40" spans="1:5" x14ac:dyDescent="0.4">
      <c r="A40" t="s">
        <v>675</v>
      </c>
      <c r="B40" t="s">
        <v>676</v>
      </c>
      <c r="C40">
        <v>140</v>
      </c>
      <c r="D40" s="13">
        <v>7070000</v>
      </c>
      <c r="E40" s="15">
        <v>1.29</v>
      </c>
    </row>
    <row r="41" spans="1:5" x14ac:dyDescent="0.4">
      <c r="A41" t="s">
        <v>162</v>
      </c>
      <c r="B41" t="s">
        <v>163</v>
      </c>
      <c r="C41">
        <v>118</v>
      </c>
      <c r="D41" s="13">
        <v>6242200</v>
      </c>
      <c r="E41" s="15">
        <v>1.1399999999999999</v>
      </c>
    </row>
    <row r="42" spans="1:5" x14ac:dyDescent="0.4">
      <c r="A42" t="s">
        <v>471</v>
      </c>
      <c r="B42" t="s">
        <v>472</v>
      </c>
      <c r="C42">
        <v>60</v>
      </c>
      <c r="D42" s="13">
        <v>6084000</v>
      </c>
      <c r="E42" s="15">
        <v>1.1100000000000001</v>
      </c>
    </row>
    <row r="43" spans="1:5" x14ac:dyDescent="0.4">
      <c r="A43" t="s">
        <v>35</v>
      </c>
      <c r="B43" t="s">
        <v>36</v>
      </c>
      <c r="C43" s="13">
        <v>31</v>
      </c>
      <c r="D43" s="13">
        <v>5933400</v>
      </c>
      <c r="E43" s="15">
        <v>1.08</v>
      </c>
    </row>
    <row r="44" spans="1:5" x14ac:dyDescent="0.4">
      <c r="A44" t="s">
        <v>4270</v>
      </c>
      <c r="B44" t="s">
        <v>4271</v>
      </c>
      <c r="C44">
        <v>459</v>
      </c>
      <c r="D44" s="13">
        <v>5425380</v>
      </c>
      <c r="E44" s="15">
        <v>0.99</v>
      </c>
    </row>
    <row r="45" spans="1:5" x14ac:dyDescent="0.4">
      <c r="A45" t="s">
        <v>643</v>
      </c>
      <c r="B45" t="s">
        <v>644</v>
      </c>
      <c r="C45">
        <v>45</v>
      </c>
      <c r="D45" s="13">
        <v>5391000</v>
      </c>
      <c r="E45" s="15">
        <v>0.98</v>
      </c>
    </row>
    <row r="46" spans="1:5" x14ac:dyDescent="0.4">
      <c r="A46" t="s">
        <v>420</v>
      </c>
      <c r="B46" t="s">
        <v>421</v>
      </c>
      <c r="C46" s="13">
        <v>114</v>
      </c>
      <c r="D46" s="13">
        <v>5358000</v>
      </c>
      <c r="E46" s="15">
        <v>0.98</v>
      </c>
    </row>
    <row r="47" spans="1:5" x14ac:dyDescent="0.4">
      <c r="A47" t="s">
        <v>563</v>
      </c>
      <c r="B47" t="s">
        <v>564</v>
      </c>
      <c r="C47" s="13">
        <v>121</v>
      </c>
      <c r="D47" s="13">
        <v>4749250</v>
      </c>
      <c r="E47" s="15">
        <v>0.86</v>
      </c>
    </row>
    <row r="48" spans="1:5" x14ac:dyDescent="0.4">
      <c r="A48" t="s">
        <v>3062</v>
      </c>
      <c r="B48" t="s">
        <v>3063</v>
      </c>
      <c r="C48">
        <v>199</v>
      </c>
      <c r="D48" s="13">
        <v>4586950</v>
      </c>
      <c r="E48" s="15">
        <v>0.83</v>
      </c>
    </row>
    <row r="49" spans="1:5" x14ac:dyDescent="0.4">
      <c r="A49" t="s">
        <v>4968</v>
      </c>
      <c r="B49" t="s">
        <v>4969</v>
      </c>
      <c r="C49">
        <v>152</v>
      </c>
      <c r="D49" s="13">
        <v>4392800</v>
      </c>
      <c r="E49" s="15">
        <v>0.8</v>
      </c>
    </row>
    <row r="50" spans="1:5" x14ac:dyDescent="0.4">
      <c r="A50" t="s">
        <v>545</v>
      </c>
      <c r="B50" t="s">
        <v>546</v>
      </c>
      <c r="C50">
        <v>95</v>
      </c>
      <c r="D50" s="13">
        <v>3852250</v>
      </c>
      <c r="E50" s="15">
        <v>0.7</v>
      </c>
    </row>
    <row r="51" spans="1:5" x14ac:dyDescent="0.4">
      <c r="A51" t="s">
        <v>701</v>
      </c>
      <c r="B51" t="s">
        <v>702</v>
      </c>
      <c r="C51" s="13">
        <v>64</v>
      </c>
      <c r="D51" s="13">
        <v>3635200</v>
      </c>
      <c r="E51" s="15">
        <v>0.66</v>
      </c>
    </row>
    <row r="52" spans="1:5" x14ac:dyDescent="0.4">
      <c r="A52" t="s">
        <v>4501</v>
      </c>
      <c r="B52" t="s">
        <v>4502</v>
      </c>
      <c r="C52" s="13">
        <v>33</v>
      </c>
      <c r="D52" s="13">
        <v>3326400</v>
      </c>
      <c r="E52" s="15">
        <v>0.61</v>
      </c>
    </row>
    <row r="53" spans="1:5" x14ac:dyDescent="0.4">
      <c r="A53" t="s">
        <v>2841</v>
      </c>
      <c r="B53" t="s">
        <v>2842</v>
      </c>
      <c r="C53">
        <v>433</v>
      </c>
      <c r="D53" s="13">
        <v>3169560</v>
      </c>
      <c r="E53" s="15">
        <v>0.57999999999999996</v>
      </c>
    </row>
    <row r="54" spans="1:5" x14ac:dyDescent="0.4">
      <c r="A54" t="s">
        <v>555</v>
      </c>
      <c r="B54" t="s">
        <v>556</v>
      </c>
      <c r="C54" s="13">
        <v>25</v>
      </c>
      <c r="D54" s="13">
        <v>3150000</v>
      </c>
      <c r="E54" s="15">
        <v>0.56999999999999995</v>
      </c>
    </row>
    <row r="55" spans="1:5" x14ac:dyDescent="0.4">
      <c r="A55" t="s">
        <v>397</v>
      </c>
      <c r="B55" t="s">
        <v>398</v>
      </c>
      <c r="C55">
        <v>22</v>
      </c>
      <c r="D55" s="13">
        <v>2842400</v>
      </c>
      <c r="E55" s="15">
        <v>0.52</v>
      </c>
    </row>
    <row r="56" spans="1:5" x14ac:dyDescent="0.4">
      <c r="A56" t="s">
        <v>719</v>
      </c>
      <c r="B56" t="s">
        <v>720</v>
      </c>
      <c r="C56">
        <v>156</v>
      </c>
      <c r="D56" s="13">
        <v>2765880</v>
      </c>
      <c r="E56" s="15">
        <v>0.5</v>
      </c>
    </row>
    <row r="57" spans="1:5" x14ac:dyDescent="0.4">
      <c r="A57" t="s">
        <v>627</v>
      </c>
      <c r="B57" t="s">
        <v>628</v>
      </c>
      <c r="C57" s="13">
        <v>190</v>
      </c>
      <c r="D57" s="13">
        <v>2737900</v>
      </c>
      <c r="E57" s="15">
        <v>0.5</v>
      </c>
    </row>
    <row r="58" spans="1:5" x14ac:dyDescent="0.4">
      <c r="A58" t="s">
        <v>733</v>
      </c>
      <c r="B58" t="s">
        <v>734</v>
      </c>
      <c r="C58">
        <v>29</v>
      </c>
      <c r="D58" s="13">
        <v>2499800</v>
      </c>
      <c r="E58" s="15">
        <v>0.45</v>
      </c>
    </row>
    <row r="59" spans="1:5" x14ac:dyDescent="0.4">
      <c r="A59" t="s">
        <v>3035</v>
      </c>
      <c r="B59" t="s">
        <v>3036</v>
      </c>
      <c r="C59">
        <v>107</v>
      </c>
      <c r="D59" s="13">
        <v>2439600</v>
      </c>
      <c r="E59" s="15">
        <v>0.44</v>
      </c>
    </row>
    <row r="60" spans="1:5" x14ac:dyDescent="0.4">
      <c r="A60" t="s">
        <v>759</v>
      </c>
      <c r="B60" t="s">
        <v>760</v>
      </c>
      <c r="C60">
        <v>107</v>
      </c>
      <c r="D60" s="13">
        <v>2343300</v>
      </c>
      <c r="E60" s="15">
        <v>0.43</v>
      </c>
    </row>
    <row r="61" spans="1:5" x14ac:dyDescent="0.4">
      <c r="A61" t="s">
        <v>771</v>
      </c>
      <c r="B61" t="s">
        <v>772</v>
      </c>
      <c r="C61" s="13">
        <v>144</v>
      </c>
      <c r="D61" s="13">
        <v>2289600</v>
      </c>
      <c r="E61" s="15">
        <v>0.42</v>
      </c>
    </row>
    <row r="62" spans="1:5" x14ac:dyDescent="0.4">
      <c r="A62" t="s">
        <v>250</v>
      </c>
      <c r="B62" t="s">
        <v>251</v>
      </c>
      <c r="C62" s="13">
        <v>161</v>
      </c>
      <c r="D62" s="13">
        <v>2173500</v>
      </c>
      <c r="E62" s="15">
        <v>0.4</v>
      </c>
    </row>
    <row r="63" spans="1:5" x14ac:dyDescent="0.4">
      <c r="A63" t="s">
        <v>1545</v>
      </c>
      <c r="B63" t="s">
        <v>1546</v>
      </c>
      <c r="C63" s="13">
        <v>52</v>
      </c>
      <c r="D63" s="13">
        <v>2004600</v>
      </c>
      <c r="E63" s="15">
        <v>0.36</v>
      </c>
    </row>
    <row r="64" spans="1:5" x14ac:dyDescent="0.4">
      <c r="A64" t="s">
        <v>3156</v>
      </c>
      <c r="B64" t="s">
        <v>3157</v>
      </c>
      <c r="C64" s="13">
        <v>61</v>
      </c>
      <c r="D64" s="13">
        <v>1894050</v>
      </c>
      <c r="E64" s="15">
        <v>0.34</v>
      </c>
    </row>
    <row r="65" spans="1:5" x14ac:dyDescent="0.4">
      <c r="A65" t="s">
        <v>279</v>
      </c>
      <c r="B65" t="s">
        <v>280</v>
      </c>
      <c r="C65" s="13">
        <v>127</v>
      </c>
      <c r="D65" s="13">
        <v>1689100</v>
      </c>
      <c r="E65" s="15">
        <v>0.31</v>
      </c>
    </row>
    <row r="66" spans="1:5" x14ac:dyDescent="0.4">
      <c r="A66" t="s">
        <v>4617</v>
      </c>
      <c r="B66" t="s">
        <v>4618</v>
      </c>
      <c r="C66">
        <v>19</v>
      </c>
      <c r="D66" s="13">
        <v>1630200</v>
      </c>
      <c r="E66" s="15">
        <v>0.3</v>
      </c>
    </row>
    <row r="67" spans="1:5" x14ac:dyDescent="0.4">
      <c r="A67" t="s">
        <v>697</v>
      </c>
      <c r="B67" t="s">
        <v>698</v>
      </c>
      <c r="C67" s="13">
        <v>19</v>
      </c>
      <c r="D67" s="13">
        <v>1620700</v>
      </c>
      <c r="E67" s="15">
        <v>0.28999999999999998</v>
      </c>
    </row>
    <row r="68" spans="1:5" x14ac:dyDescent="0.4">
      <c r="A68" t="s">
        <v>585</v>
      </c>
      <c r="B68" t="s">
        <v>586</v>
      </c>
      <c r="C68" s="13">
        <v>58</v>
      </c>
      <c r="D68" s="13">
        <v>1615300</v>
      </c>
      <c r="E68" s="15">
        <v>0.28999999999999998</v>
      </c>
    </row>
    <row r="69" spans="1:5" x14ac:dyDescent="0.4">
      <c r="A69" t="s">
        <v>671</v>
      </c>
      <c r="B69" t="s">
        <v>672</v>
      </c>
      <c r="C69" s="13">
        <v>73</v>
      </c>
      <c r="D69" s="13">
        <v>1427150</v>
      </c>
      <c r="E69" s="15">
        <v>0.26</v>
      </c>
    </row>
    <row r="70" spans="1:5" x14ac:dyDescent="0.4">
      <c r="A70" t="s">
        <v>3533</v>
      </c>
      <c r="B70" t="s">
        <v>3534</v>
      </c>
      <c r="C70" s="13">
        <v>31</v>
      </c>
      <c r="D70" s="13">
        <v>1269450</v>
      </c>
      <c r="E70" s="15">
        <v>0.23</v>
      </c>
    </row>
    <row r="71" spans="1:5" x14ac:dyDescent="0.4">
      <c r="A71" t="s">
        <v>767</v>
      </c>
      <c r="B71" t="s">
        <v>768</v>
      </c>
      <c r="C71">
        <v>50</v>
      </c>
      <c r="D71" s="13">
        <v>1217500</v>
      </c>
      <c r="E71" s="15">
        <v>0.22</v>
      </c>
    </row>
    <row r="72" spans="1:5" x14ac:dyDescent="0.4">
      <c r="A72" t="s">
        <v>3395</v>
      </c>
      <c r="B72" t="s">
        <v>3396</v>
      </c>
      <c r="C72">
        <v>15</v>
      </c>
      <c r="D72" s="13">
        <v>1062000</v>
      </c>
      <c r="E72" s="15">
        <v>0.19</v>
      </c>
    </row>
    <row r="73" spans="1:5" x14ac:dyDescent="0.4">
      <c r="A73" t="s">
        <v>5206</v>
      </c>
      <c r="B73" t="s">
        <v>5207</v>
      </c>
      <c r="C73">
        <v>34</v>
      </c>
      <c r="D73" s="13">
        <v>553180</v>
      </c>
      <c r="E73" s="15">
        <v>0.1</v>
      </c>
    </row>
    <row r="74" spans="1:5" x14ac:dyDescent="0.4">
      <c r="A74" t="s">
        <v>49</v>
      </c>
      <c r="B74" t="s">
        <v>50</v>
      </c>
      <c r="C74" s="13">
        <v>4</v>
      </c>
      <c r="D74" s="13">
        <v>525600</v>
      </c>
      <c r="E74" s="15">
        <v>0.1</v>
      </c>
    </row>
    <row r="75" spans="1:5" x14ac:dyDescent="0.4">
      <c r="A75" t="s">
        <v>3351</v>
      </c>
      <c r="B75" t="s">
        <v>3352</v>
      </c>
      <c r="C75" s="13">
        <v>16</v>
      </c>
      <c r="D75" s="13">
        <v>444800</v>
      </c>
      <c r="E75" s="15">
        <v>0.08</v>
      </c>
    </row>
    <row r="76" spans="1:5" x14ac:dyDescent="0.4">
      <c r="B76" t="s">
        <v>10</v>
      </c>
      <c r="C76" s="13">
        <v>7738757</v>
      </c>
      <c r="D76" s="13">
        <v>7738757</v>
      </c>
      <c r="E76" s="15">
        <v>1.41</v>
      </c>
    </row>
    <row r="77" spans="1:5" x14ac:dyDescent="0.4">
      <c r="D77" s="13"/>
      <c r="E77" s="15"/>
    </row>
    <row r="78" spans="1:5" x14ac:dyDescent="0.4">
      <c r="D78" s="13"/>
      <c r="E78" s="15"/>
    </row>
    <row r="79" spans="1:5" x14ac:dyDescent="0.4">
      <c r="D79" s="13"/>
      <c r="E79" s="15"/>
    </row>
    <row r="80" spans="1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6676FAE5-167C-47D1-9FB9-BFD59E50F18E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showGridLines="0" topLeftCell="F35" zoomScale="115" zoomScaleNormal="115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30" t="s">
        <v>573</v>
      </c>
      <c r="B8" s="6"/>
      <c r="C8" s="6"/>
      <c r="D8" s="6"/>
      <c r="E8" s="14"/>
    </row>
    <row r="9" spans="1:7" x14ac:dyDescent="0.4">
      <c r="A9" s="69" t="s">
        <v>574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188</v>
      </c>
      <c r="B11" s="17" t="s">
        <v>189</v>
      </c>
      <c r="C11" s="18">
        <v>545</v>
      </c>
      <c r="D11" s="18">
        <v>642555000</v>
      </c>
      <c r="E11" s="19">
        <v>24.4</v>
      </c>
      <c r="F11" s="17"/>
      <c r="G11" s="17"/>
    </row>
    <row r="12" spans="1:7" x14ac:dyDescent="0.4">
      <c r="A12" t="s">
        <v>13</v>
      </c>
      <c r="B12" s="17" t="s">
        <v>14</v>
      </c>
      <c r="C12" s="31">
        <v>328</v>
      </c>
      <c r="D12" s="13">
        <v>636320000</v>
      </c>
      <c r="E12" s="15">
        <v>24.16</v>
      </c>
    </row>
    <row r="13" spans="1:7" x14ac:dyDescent="0.4">
      <c r="A13" t="s">
        <v>495</v>
      </c>
      <c r="B13" t="s">
        <v>496</v>
      </c>
      <c r="C13" s="13">
        <v>379</v>
      </c>
      <c r="D13" s="13">
        <v>114458000</v>
      </c>
      <c r="E13" s="15">
        <v>4.3499999999999996</v>
      </c>
    </row>
    <row r="14" spans="1:7" x14ac:dyDescent="0.4">
      <c r="A14" t="s">
        <v>479</v>
      </c>
      <c r="B14" s="17" t="s">
        <v>480</v>
      </c>
      <c r="C14" s="18">
        <v>879</v>
      </c>
      <c r="D14" s="18">
        <v>113918400</v>
      </c>
      <c r="E14" s="19">
        <v>4.33</v>
      </c>
      <c r="F14" s="17"/>
      <c r="G14" s="17"/>
    </row>
    <row r="15" spans="1:7" x14ac:dyDescent="0.4">
      <c r="A15" t="s">
        <v>471</v>
      </c>
      <c r="B15" s="17" t="s">
        <v>472</v>
      </c>
      <c r="C15" s="31">
        <v>960</v>
      </c>
      <c r="D15" s="13">
        <v>105408000</v>
      </c>
      <c r="E15" s="15">
        <v>4</v>
      </c>
    </row>
    <row r="16" spans="1:7" x14ac:dyDescent="0.4">
      <c r="A16" t="s">
        <v>484</v>
      </c>
      <c r="B16" t="s">
        <v>485</v>
      </c>
      <c r="C16" s="31">
        <v>1700</v>
      </c>
      <c r="D16" s="13">
        <v>101830000</v>
      </c>
      <c r="E16" s="15">
        <v>3.87</v>
      </c>
    </row>
    <row r="17" spans="1:7" x14ac:dyDescent="0.4">
      <c r="A17" t="s">
        <v>719</v>
      </c>
      <c r="B17" s="17" t="s">
        <v>720</v>
      </c>
      <c r="C17" s="31">
        <v>5918</v>
      </c>
      <c r="D17" s="13">
        <v>100606000</v>
      </c>
      <c r="E17" s="15">
        <v>3.82</v>
      </c>
    </row>
    <row r="18" spans="1:7" x14ac:dyDescent="0.4">
      <c r="A18" t="s">
        <v>92</v>
      </c>
      <c r="B18" t="s">
        <v>93</v>
      </c>
      <c r="C18" s="13">
        <v>62</v>
      </c>
      <c r="D18" s="13">
        <v>99200000</v>
      </c>
      <c r="E18" s="15">
        <v>3.77</v>
      </c>
    </row>
    <row r="19" spans="1:7" x14ac:dyDescent="0.4">
      <c r="A19" t="s">
        <v>349</v>
      </c>
      <c r="B19" s="17" t="s">
        <v>350</v>
      </c>
      <c r="C19" s="18">
        <v>170</v>
      </c>
      <c r="D19" s="18">
        <v>93330000</v>
      </c>
      <c r="E19" s="19">
        <v>3.54</v>
      </c>
      <c r="F19" s="17"/>
      <c r="G19" s="17"/>
    </row>
    <row r="20" spans="1:7" x14ac:dyDescent="0.4">
      <c r="A20" t="s">
        <v>506</v>
      </c>
      <c r="B20" t="s">
        <v>507</v>
      </c>
      <c r="C20" s="13">
        <v>7076</v>
      </c>
      <c r="D20" s="13">
        <v>92554080</v>
      </c>
      <c r="E20" s="15">
        <v>3.51</v>
      </c>
    </row>
    <row r="21" spans="1:7" x14ac:dyDescent="0.4">
      <c r="A21" t="s">
        <v>717</v>
      </c>
      <c r="B21" t="s">
        <v>718</v>
      </c>
      <c r="C21" s="13">
        <v>4292</v>
      </c>
      <c r="D21" s="13">
        <v>90132000</v>
      </c>
      <c r="E21" s="15">
        <v>3.42</v>
      </c>
    </row>
    <row r="22" spans="1:7" x14ac:dyDescent="0.4">
      <c r="A22" t="s">
        <v>488</v>
      </c>
      <c r="B22" t="s">
        <v>489</v>
      </c>
      <c r="C22" s="13">
        <v>708</v>
      </c>
      <c r="D22" s="13">
        <v>88854000</v>
      </c>
      <c r="E22" s="15">
        <v>3.37</v>
      </c>
    </row>
    <row r="23" spans="1:7" x14ac:dyDescent="0.4">
      <c r="A23" t="s">
        <v>482</v>
      </c>
      <c r="B23" t="s">
        <v>483</v>
      </c>
      <c r="C23" s="31">
        <v>563</v>
      </c>
      <c r="D23" s="13">
        <v>72908500</v>
      </c>
      <c r="E23" s="15">
        <v>2.77</v>
      </c>
    </row>
    <row r="24" spans="1:7" x14ac:dyDescent="0.4">
      <c r="A24" t="s">
        <v>549</v>
      </c>
      <c r="B24" t="s">
        <v>550</v>
      </c>
      <c r="C24" s="31">
        <v>1774</v>
      </c>
      <c r="D24" s="13">
        <v>56945400</v>
      </c>
      <c r="E24" s="15">
        <v>2.16</v>
      </c>
    </row>
    <row r="25" spans="1:7" x14ac:dyDescent="0.4">
      <c r="A25" t="s">
        <v>3097</v>
      </c>
      <c r="B25" t="s">
        <v>3098</v>
      </c>
      <c r="C25" s="13">
        <v>1709</v>
      </c>
      <c r="D25" s="13">
        <v>53833500</v>
      </c>
      <c r="E25" s="15">
        <v>2.04</v>
      </c>
    </row>
    <row r="26" spans="1:7" x14ac:dyDescent="0.4">
      <c r="A26" t="s">
        <v>357</v>
      </c>
      <c r="B26" t="s">
        <v>358</v>
      </c>
      <c r="C26" s="13">
        <v>802</v>
      </c>
      <c r="D26" s="13">
        <v>42265400</v>
      </c>
      <c r="E26" s="15">
        <v>1.6</v>
      </c>
    </row>
    <row r="27" spans="1:7" x14ac:dyDescent="0.4">
      <c r="A27" t="s">
        <v>497</v>
      </c>
      <c r="B27" t="s">
        <v>498</v>
      </c>
      <c r="C27" s="13">
        <v>2116</v>
      </c>
      <c r="D27" s="13">
        <v>39040200</v>
      </c>
      <c r="E27" s="15">
        <v>1.48</v>
      </c>
    </row>
    <row r="28" spans="1:7" x14ac:dyDescent="0.4">
      <c r="A28" t="s">
        <v>575</v>
      </c>
      <c r="B28" s="17" t="s">
        <v>576</v>
      </c>
      <c r="C28" s="18">
        <v>512</v>
      </c>
      <c r="D28" s="18">
        <v>29440000</v>
      </c>
      <c r="E28" s="19">
        <v>1.1200000000000001</v>
      </c>
      <c r="F28" s="17"/>
      <c r="G28" s="17"/>
    </row>
    <row r="29" spans="1:7" x14ac:dyDescent="0.4">
      <c r="A29" t="s">
        <v>585</v>
      </c>
      <c r="B29" t="s">
        <v>586</v>
      </c>
      <c r="C29" s="13">
        <v>700</v>
      </c>
      <c r="D29" s="13">
        <v>20195000</v>
      </c>
      <c r="E29" s="15">
        <v>0.77</v>
      </c>
    </row>
    <row r="30" spans="1:7" x14ac:dyDescent="0.4">
      <c r="A30" t="s">
        <v>468</v>
      </c>
      <c r="B30" t="s">
        <v>469</v>
      </c>
      <c r="C30" s="13">
        <v>265</v>
      </c>
      <c r="D30" s="13">
        <v>14151000</v>
      </c>
      <c r="E30" s="15">
        <v>0.54</v>
      </c>
    </row>
    <row r="31" spans="1:7" x14ac:dyDescent="0.4">
      <c r="A31" t="s">
        <v>577</v>
      </c>
      <c r="B31" t="s">
        <v>578</v>
      </c>
      <c r="C31" s="13">
        <v>67</v>
      </c>
      <c r="D31" s="13">
        <v>3209300</v>
      </c>
      <c r="E31" s="15">
        <v>0.12</v>
      </c>
    </row>
    <row r="32" spans="1:7" x14ac:dyDescent="0.4">
      <c r="B32" t="s">
        <v>10</v>
      </c>
      <c r="C32" s="13">
        <v>22647559</v>
      </c>
      <c r="D32" s="13">
        <v>22647559</v>
      </c>
      <c r="E32" s="15">
        <v>0.86</v>
      </c>
    </row>
    <row r="33" spans="2:7" x14ac:dyDescent="0.4">
      <c r="C33" s="13"/>
      <c r="D33" s="13"/>
    </row>
    <row r="34" spans="2:7" x14ac:dyDescent="0.4">
      <c r="C34" s="13"/>
      <c r="D34" s="13"/>
      <c r="E34" s="15"/>
    </row>
    <row r="35" spans="2:7" x14ac:dyDescent="0.4">
      <c r="C35" s="18"/>
      <c r="D35" s="18"/>
      <c r="E35" s="19"/>
      <c r="F35" s="17"/>
      <c r="G35" s="17"/>
    </row>
    <row r="36" spans="2:7" x14ac:dyDescent="0.4">
      <c r="C36" s="13"/>
      <c r="D36" s="13"/>
      <c r="E36" s="15"/>
    </row>
    <row r="37" spans="2:7" x14ac:dyDescent="0.4">
      <c r="C37" s="13"/>
      <c r="D37" s="13"/>
      <c r="E37" s="15"/>
    </row>
    <row r="38" spans="2:7" x14ac:dyDescent="0.4">
      <c r="C38" s="13"/>
      <c r="D38" s="13"/>
      <c r="E38" s="15"/>
    </row>
    <row r="39" spans="2:7" x14ac:dyDescent="0.4">
      <c r="D39" s="13"/>
      <c r="E39" s="15"/>
    </row>
    <row r="40" spans="2:7" x14ac:dyDescent="0.4">
      <c r="D40" s="13"/>
      <c r="E40" s="15"/>
    </row>
    <row r="41" spans="2:7" x14ac:dyDescent="0.4">
      <c r="C41" s="13"/>
      <c r="D41" s="13"/>
      <c r="E41" s="15"/>
    </row>
    <row r="42" spans="2:7" x14ac:dyDescent="0.4">
      <c r="B42" s="17"/>
      <c r="C42" s="18"/>
      <c r="D42" s="18"/>
      <c r="E42" s="19"/>
      <c r="F42" s="17"/>
      <c r="G42" s="17"/>
    </row>
    <row r="43" spans="2:7" x14ac:dyDescent="0.4">
      <c r="B43" s="17"/>
      <c r="C43" s="18"/>
      <c r="D43" s="18"/>
      <c r="E43" s="19"/>
      <c r="F43" s="17"/>
      <c r="G43" s="17"/>
    </row>
    <row r="44" spans="2:7" x14ac:dyDescent="0.4">
      <c r="C44" s="13"/>
      <c r="D44" s="13"/>
      <c r="E44" s="15"/>
    </row>
    <row r="45" spans="2:7" x14ac:dyDescent="0.4">
      <c r="C45" s="13"/>
      <c r="D45" s="13"/>
      <c r="E45" s="15"/>
    </row>
    <row r="46" spans="2:7" x14ac:dyDescent="0.4">
      <c r="C46" s="13"/>
      <c r="D46" s="13"/>
      <c r="E46" s="15"/>
    </row>
    <row r="47" spans="2:7" x14ac:dyDescent="0.4">
      <c r="C47" s="13"/>
      <c r="D47" s="13"/>
      <c r="E47" s="15"/>
    </row>
    <row r="48" spans="2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C55" s="13"/>
      <c r="D55" s="13"/>
      <c r="E55" s="15"/>
    </row>
    <row r="56" spans="3:5" x14ac:dyDescent="0.4">
      <c r="D56" s="13"/>
      <c r="E56" s="15"/>
    </row>
    <row r="57" spans="3:5" x14ac:dyDescent="0.4">
      <c r="C57" s="13"/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9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573</v>
      </c>
      <c r="B8" s="6"/>
      <c r="C8" s="6"/>
      <c r="D8" s="6"/>
      <c r="E8" s="14"/>
    </row>
    <row r="9" spans="1:5" x14ac:dyDescent="0.4">
      <c r="A9" s="69" t="s">
        <v>574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188</v>
      </c>
      <c r="B11" t="s">
        <v>189</v>
      </c>
      <c r="C11" s="13">
        <v>545</v>
      </c>
      <c r="D11" s="13">
        <v>598410000</v>
      </c>
      <c r="E11" s="15">
        <v>24.31</v>
      </c>
    </row>
    <row r="12" spans="1:5" x14ac:dyDescent="0.4">
      <c r="A12" t="s">
        <v>13</v>
      </c>
      <c r="B12" t="s">
        <v>14</v>
      </c>
      <c r="C12" s="31">
        <v>328</v>
      </c>
      <c r="D12" s="13">
        <v>596632000</v>
      </c>
      <c r="E12" s="15">
        <v>24.24</v>
      </c>
    </row>
    <row r="13" spans="1:5" x14ac:dyDescent="0.4">
      <c r="A13" t="s">
        <v>495</v>
      </c>
      <c r="B13" t="s">
        <v>496</v>
      </c>
      <c r="C13" s="13">
        <v>379</v>
      </c>
      <c r="D13" s="13">
        <v>115595000</v>
      </c>
      <c r="E13" s="15">
        <v>4.7</v>
      </c>
    </row>
    <row r="14" spans="1:5" x14ac:dyDescent="0.4">
      <c r="A14" t="s">
        <v>479</v>
      </c>
      <c r="B14" t="s">
        <v>480</v>
      </c>
      <c r="C14" s="13">
        <v>879</v>
      </c>
      <c r="D14" s="13">
        <v>106359000</v>
      </c>
      <c r="E14" s="15">
        <v>4.32</v>
      </c>
    </row>
    <row r="15" spans="1:5" x14ac:dyDescent="0.4">
      <c r="A15" t="s">
        <v>719</v>
      </c>
      <c r="B15" t="s">
        <v>720</v>
      </c>
      <c r="C15" s="31">
        <v>5918</v>
      </c>
      <c r="D15" s="13">
        <v>104926140</v>
      </c>
      <c r="E15" s="15">
        <v>4.26</v>
      </c>
    </row>
    <row r="16" spans="1:5" x14ac:dyDescent="0.4">
      <c r="A16" t="s">
        <v>92</v>
      </c>
      <c r="B16" t="s">
        <v>93</v>
      </c>
      <c r="C16" s="31">
        <v>62</v>
      </c>
      <c r="D16" s="13">
        <v>100068000</v>
      </c>
      <c r="E16" s="15">
        <v>4.07</v>
      </c>
    </row>
    <row r="17" spans="1:5" x14ac:dyDescent="0.4">
      <c r="A17" t="s">
        <v>471</v>
      </c>
      <c r="B17" t="s">
        <v>472</v>
      </c>
      <c r="C17" s="31">
        <v>960</v>
      </c>
      <c r="D17" s="13">
        <v>97344000</v>
      </c>
      <c r="E17" s="15">
        <v>3.95</v>
      </c>
    </row>
    <row r="18" spans="1:5" x14ac:dyDescent="0.4">
      <c r="A18" t="s">
        <v>484</v>
      </c>
      <c r="B18" t="s">
        <v>485</v>
      </c>
      <c r="C18" s="13">
        <v>1700</v>
      </c>
      <c r="D18" s="13">
        <v>92140000</v>
      </c>
      <c r="E18" s="15">
        <v>3.74</v>
      </c>
    </row>
    <row r="19" spans="1:5" x14ac:dyDescent="0.4">
      <c r="A19" t="s">
        <v>717</v>
      </c>
      <c r="B19" t="s">
        <v>718</v>
      </c>
      <c r="C19" s="13">
        <v>4292</v>
      </c>
      <c r="D19" s="13">
        <v>85711240</v>
      </c>
      <c r="E19" s="15">
        <v>3.48</v>
      </c>
    </row>
    <row r="20" spans="1:5" x14ac:dyDescent="0.4">
      <c r="A20" t="s">
        <v>506</v>
      </c>
      <c r="B20" t="s">
        <v>507</v>
      </c>
      <c r="C20" s="13">
        <v>7076</v>
      </c>
      <c r="D20" s="13">
        <v>82930720</v>
      </c>
      <c r="E20" s="15">
        <v>3.37</v>
      </c>
    </row>
    <row r="21" spans="1:5" x14ac:dyDescent="0.4">
      <c r="A21" t="s">
        <v>349</v>
      </c>
      <c r="B21" t="s">
        <v>350</v>
      </c>
      <c r="C21" s="13">
        <v>170</v>
      </c>
      <c r="D21" s="13">
        <v>75140000</v>
      </c>
      <c r="E21" s="15">
        <v>3.05</v>
      </c>
    </row>
    <row r="22" spans="1:5" x14ac:dyDescent="0.4">
      <c r="A22" t="s">
        <v>488</v>
      </c>
      <c r="B22" t="s">
        <v>489</v>
      </c>
      <c r="C22" s="13">
        <v>708</v>
      </c>
      <c r="D22" s="13">
        <v>71012400</v>
      </c>
      <c r="E22" s="15">
        <v>2.89</v>
      </c>
    </row>
    <row r="23" spans="1:5" x14ac:dyDescent="0.4">
      <c r="A23" t="s">
        <v>482</v>
      </c>
      <c r="B23" t="s">
        <v>483</v>
      </c>
      <c r="C23" s="31">
        <v>563</v>
      </c>
      <c r="D23" s="13">
        <v>66096200</v>
      </c>
      <c r="E23" s="15">
        <v>2.69</v>
      </c>
    </row>
    <row r="24" spans="1:5" x14ac:dyDescent="0.4">
      <c r="A24" t="s">
        <v>549</v>
      </c>
      <c r="B24" t="s">
        <v>550</v>
      </c>
      <c r="C24" s="31">
        <v>1774</v>
      </c>
      <c r="D24" s="13">
        <v>51357300</v>
      </c>
      <c r="E24" s="15">
        <v>2.09</v>
      </c>
    </row>
    <row r="25" spans="1:5" x14ac:dyDescent="0.4">
      <c r="A25" t="s">
        <v>3097</v>
      </c>
      <c r="B25" t="s">
        <v>3098</v>
      </c>
      <c r="C25" s="13">
        <v>1709</v>
      </c>
      <c r="D25" s="13">
        <v>49390100</v>
      </c>
      <c r="E25" s="15">
        <v>2.0099999999999998</v>
      </c>
    </row>
    <row r="26" spans="1:5" x14ac:dyDescent="0.4">
      <c r="A26" t="s">
        <v>357</v>
      </c>
      <c r="B26" t="s">
        <v>358</v>
      </c>
      <c r="C26" s="13">
        <v>802</v>
      </c>
      <c r="D26" s="13">
        <v>40420800</v>
      </c>
      <c r="E26" s="15">
        <v>1.64</v>
      </c>
    </row>
    <row r="27" spans="1:5" x14ac:dyDescent="0.4">
      <c r="A27" t="s">
        <v>497</v>
      </c>
      <c r="B27" t="s">
        <v>498</v>
      </c>
      <c r="C27" s="13">
        <v>2116</v>
      </c>
      <c r="D27" s="13">
        <v>38934400</v>
      </c>
      <c r="E27" s="15">
        <v>1.58</v>
      </c>
    </row>
    <row r="28" spans="1:5" x14ac:dyDescent="0.4">
      <c r="A28" t="s">
        <v>575</v>
      </c>
      <c r="B28" t="s">
        <v>576</v>
      </c>
      <c r="C28" s="13">
        <v>512</v>
      </c>
      <c r="D28" s="13">
        <v>30259200</v>
      </c>
      <c r="E28" s="15">
        <v>1.23</v>
      </c>
    </row>
    <row r="29" spans="1:5" x14ac:dyDescent="0.4">
      <c r="A29" t="s">
        <v>585</v>
      </c>
      <c r="B29" t="s">
        <v>586</v>
      </c>
      <c r="C29" s="13">
        <v>700</v>
      </c>
      <c r="D29" s="13">
        <v>19495000</v>
      </c>
      <c r="E29" s="15">
        <v>0.79</v>
      </c>
    </row>
    <row r="30" spans="1:5" x14ac:dyDescent="0.4">
      <c r="A30" t="s">
        <v>468</v>
      </c>
      <c r="B30" t="s">
        <v>469</v>
      </c>
      <c r="C30" s="13">
        <v>265</v>
      </c>
      <c r="D30" s="13">
        <v>13117500</v>
      </c>
      <c r="E30" s="15">
        <v>0.53</v>
      </c>
    </row>
    <row r="31" spans="1:5" x14ac:dyDescent="0.4">
      <c r="A31" t="s">
        <v>577</v>
      </c>
      <c r="B31" t="s">
        <v>578</v>
      </c>
      <c r="C31" s="13">
        <v>67</v>
      </c>
      <c r="D31" s="13">
        <v>3075300</v>
      </c>
      <c r="E31" s="15">
        <v>0.12</v>
      </c>
    </row>
    <row r="32" spans="1:5" x14ac:dyDescent="0.4">
      <c r="B32" t="s">
        <v>10</v>
      </c>
      <c r="C32" s="13">
        <v>22923294</v>
      </c>
      <c r="D32" s="13">
        <v>22923294</v>
      </c>
      <c r="E32" s="15">
        <v>0.93</v>
      </c>
    </row>
    <row r="33" spans="3:5" x14ac:dyDescent="0.4">
      <c r="C33" s="13"/>
      <c r="D33" s="13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C44" s="13"/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900-000000000000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4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481</v>
      </c>
      <c r="B8" s="6"/>
      <c r="C8" s="6"/>
      <c r="D8" s="6"/>
      <c r="E8" s="14"/>
    </row>
    <row r="9" spans="1:7" x14ac:dyDescent="0.4">
      <c r="A9" s="69" t="s">
        <v>522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348</v>
      </c>
      <c r="D11" s="18">
        <v>675120000</v>
      </c>
      <c r="E11" s="19">
        <v>28.88</v>
      </c>
      <c r="F11" s="17"/>
      <c r="G11" s="17"/>
    </row>
    <row r="12" spans="1:7" x14ac:dyDescent="0.4">
      <c r="A12" t="s">
        <v>80</v>
      </c>
      <c r="B12" s="17" t="s">
        <v>81</v>
      </c>
      <c r="C12" s="70">
        <v>1900</v>
      </c>
      <c r="D12" s="18">
        <v>569050000</v>
      </c>
      <c r="E12" s="19">
        <v>24.34</v>
      </c>
      <c r="F12" s="17"/>
      <c r="G12" s="17"/>
    </row>
    <row r="13" spans="1:7" x14ac:dyDescent="0.4">
      <c r="A13" t="s">
        <v>453</v>
      </c>
      <c r="B13" t="s">
        <v>454</v>
      </c>
      <c r="C13" s="13">
        <v>107</v>
      </c>
      <c r="D13" s="13">
        <v>128828000</v>
      </c>
      <c r="E13" s="15">
        <v>5.51</v>
      </c>
    </row>
    <row r="14" spans="1:7" x14ac:dyDescent="0.4">
      <c r="A14" t="s">
        <v>188</v>
      </c>
      <c r="B14" t="s">
        <v>189</v>
      </c>
      <c r="C14" s="13">
        <v>107</v>
      </c>
      <c r="D14" s="13">
        <v>126153000</v>
      </c>
      <c r="E14" s="15">
        <v>5.4</v>
      </c>
    </row>
    <row r="15" spans="1:7" x14ac:dyDescent="0.4">
      <c r="A15" t="s">
        <v>643</v>
      </c>
      <c r="B15" t="s">
        <v>644</v>
      </c>
      <c r="C15" s="31">
        <v>834</v>
      </c>
      <c r="D15" s="13">
        <v>104750400</v>
      </c>
      <c r="E15" s="15">
        <v>4.4800000000000004</v>
      </c>
    </row>
    <row r="16" spans="1:7" x14ac:dyDescent="0.4">
      <c r="A16" t="s">
        <v>349</v>
      </c>
      <c r="B16" t="s">
        <v>350</v>
      </c>
      <c r="C16" s="31">
        <v>167</v>
      </c>
      <c r="D16" s="13">
        <v>91683000</v>
      </c>
      <c r="E16" s="15">
        <v>3.92</v>
      </c>
    </row>
    <row r="17" spans="1:7" x14ac:dyDescent="0.4">
      <c r="A17" t="s">
        <v>479</v>
      </c>
      <c r="B17" s="17" t="s">
        <v>480</v>
      </c>
      <c r="C17" s="70">
        <v>682</v>
      </c>
      <c r="D17" s="18">
        <v>88387200</v>
      </c>
      <c r="E17" s="19">
        <v>3.78</v>
      </c>
      <c r="F17" s="17"/>
      <c r="G17" s="17"/>
    </row>
    <row r="18" spans="1:7" x14ac:dyDescent="0.4">
      <c r="A18" t="s">
        <v>569</v>
      </c>
      <c r="B18" t="s">
        <v>570</v>
      </c>
      <c r="C18" s="13">
        <v>307</v>
      </c>
      <c r="D18" s="13">
        <v>69535500</v>
      </c>
      <c r="E18" s="15">
        <v>2.97</v>
      </c>
    </row>
    <row r="19" spans="1:7" x14ac:dyDescent="0.4">
      <c r="A19" t="s">
        <v>471</v>
      </c>
      <c r="B19" t="s">
        <v>472</v>
      </c>
      <c r="C19" s="13">
        <v>614</v>
      </c>
      <c r="D19" s="13">
        <v>67417200</v>
      </c>
      <c r="E19" s="15">
        <v>2.88</v>
      </c>
    </row>
    <row r="20" spans="1:7" x14ac:dyDescent="0.4">
      <c r="A20" t="s">
        <v>484</v>
      </c>
      <c r="B20" t="s">
        <v>485</v>
      </c>
      <c r="C20" s="13">
        <v>1112</v>
      </c>
      <c r="D20" s="13">
        <v>66608800</v>
      </c>
      <c r="E20" s="15">
        <v>2.85</v>
      </c>
    </row>
    <row r="21" spans="1:7" x14ac:dyDescent="0.4">
      <c r="A21" t="s">
        <v>355</v>
      </c>
      <c r="B21" t="s">
        <v>356</v>
      </c>
      <c r="C21" s="13">
        <v>328</v>
      </c>
      <c r="D21" s="13">
        <v>48019200</v>
      </c>
      <c r="E21" s="15">
        <v>2.0499999999999998</v>
      </c>
    </row>
    <row r="22" spans="1:7" x14ac:dyDescent="0.4">
      <c r="A22" t="s">
        <v>3931</v>
      </c>
      <c r="B22" s="17" t="s">
        <v>3932</v>
      </c>
      <c r="C22" s="18">
        <v>460</v>
      </c>
      <c r="D22" s="18">
        <v>45586000</v>
      </c>
      <c r="E22" s="19">
        <v>1.95</v>
      </c>
      <c r="F22" s="17"/>
      <c r="G22" s="17"/>
    </row>
    <row r="23" spans="1:7" x14ac:dyDescent="0.4">
      <c r="A23" t="s">
        <v>555</v>
      </c>
      <c r="B23" s="17" t="s">
        <v>556</v>
      </c>
      <c r="C23" s="70">
        <v>348</v>
      </c>
      <c r="D23" s="18">
        <v>40054800</v>
      </c>
      <c r="E23" s="19">
        <v>1.71</v>
      </c>
      <c r="F23" s="17"/>
      <c r="G23" s="17"/>
    </row>
    <row r="24" spans="1:7" x14ac:dyDescent="0.4">
      <c r="A24" t="s">
        <v>486</v>
      </c>
      <c r="B24" t="s">
        <v>487</v>
      </c>
      <c r="C24" s="31">
        <v>135</v>
      </c>
      <c r="D24" s="13">
        <v>35910000</v>
      </c>
      <c r="E24" s="15">
        <v>1.54</v>
      </c>
    </row>
    <row r="25" spans="1:7" x14ac:dyDescent="0.4">
      <c r="A25" t="s">
        <v>351</v>
      </c>
      <c r="B25" t="s">
        <v>352</v>
      </c>
      <c r="C25" s="13">
        <v>153</v>
      </c>
      <c r="D25" s="13">
        <v>33583500</v>
      </c>
      <c r="E25" s="15">
        <v>1.44</v>
      </c>
    </row>
    <row r="26" spans="1:7" x14ac:dyDescent="0.4">
      <c r="A26" t="s">
        <v>719</v>
      </c>
      <c r="B26" t="s">
        <v>720</v>
      </c>
      <c r="C26" s="13">
        <v>1896</v>
      </c>
      <c r="D26" s="13">
        <v>32232000</v>
      </c>
      <c r="E26" s="15">
        <v>1.38</v>
      </c>
    </row>
    <row r="27" spans="1:7" x14ac:dyDescent="0.4">
      <c r="A27" t="s">
        <v>769</v>
      </c>
      <c r="B27" t="s">
        <v>770</v>
      </c>
      <c r="C27" s="13">
        <v>305</v>
      </c>
      <c r="D27" s="13">
        <v>29341000</v>
      </c>
      <c r="E27" s="15">
        <v>1.26</v>
      </c>
    </row>
    <row r="28" spans="1:7" x14ac:dyDescent="0.4">
      <c r="A28" t="s">
        <v>506</v>
      </c>
      <c r="B28" t="s">
        <v>507</v>
      </c>
      <c r="C28" s="13">
        <v>1799</v>
      </c>
      <c r="D28" s="13">
        <v>23530920</v>
      </c>
      <c r="E28" s="15">
        <v>1.01</v>
      </c>
    </row>
    <row r="29" spans="1:7" x14ac:dyDescent="0.4">
      <c r="A29" t="s">
        <v>666</v>
      </c>
      <c r="B29" t="s">
        <v>667</v>
      </c>
      <c r="C29" s="13">
        <v>628</v>
      </c>
      <c r="D29" s="13">
        <v>17772400</v>
      </c>
      <c r="E29" s="15">
        <v>0.76</v>
      </c>
    </row>
    <row r="30" spans="1:7" x14ac:dyDescent="0.4">
      <c r="A30" t="s">
        <v>4448</v>
      </c>
      <c r="B30" t="s">
        <v>4449</v>
      </c>
      <c r="C30" s="13">
        <v>818</v>
      </c>
      <c r="D30" s="13">
        <v>17259800</v>
      </c>
      <c r="E30" s="15">
        <v>0.74</v>
      </c>
    </row>
    <row r="31" spans="1:7" x14ac:dyDescent="0.4">
      <c r="A31" t="s">
        <v>621</v>
      </c>
      <c r="B31" t="s">
        <v>622</v>
      </c>
      <c r="C31" s="13">
        <v>316</v>
      </c>
      <c r="D31" s="13">
        <v>13951400</v>
      </c>
      <c r="E31" s="15">
        <v>0.6</v>
      </c>
    </row>
    <row r="32" spans="1:7" x14ac:dyDescent="0.4">
      <c r="A32" t="s">
        <v>4014</v>
      </c>
      <c r="B32" t="s">
        <v>4015</v>
      </c>
      <c r="C32" s="13">
        <v>429</v>
      </c>
      <c r="D32" s="13">
        <v>12977250</v>
      </c>
      <c r="E32" s="15">
        <v>0.56000000000000005</v>
      </c>
    </row>
    <row r="33" spans="2:5" x14ac:dyDescent="0.4">
      <c r="B33" t="s">
        <v>490</v>
      </c>
      <c r="C33" s="13">
        <v>39619360</v>
      </c>
      <c r="D33" s="13"/>
      <c r="E33" s="15"/>
    </row>
    <row r="34" spans="2:5" x14ac:dyDescent="0.4">
      <c r="C34" s="13"/>
      <c r="D34" s="13"/>
    </row>
    <row r="35" spans="2:5" x14ac:dyDescent="0.4">
      <c r="D35" s="13"/>
    </row>
    <row r="36" spans="2:5" x14ac:dyDescent="0.4">
      <c r="C36" s="13"/>
      <c r="D36" s="13"/>
      <c r="E36" s="15"/>
    </row>
    <row r="37" spans="2:5" x14ac:dyDescent="0.4">
      <c r="C37" s="13"/>
      <c r="D37" s="13"/>
      <c r="E37" s="15"/>
    </row>
    <row r="38" spans="2:5" x14ac:dyDescent="0.4">
      <c r="C38" s="13"/>
      <c r="D38" s="13"/>
      <c r="E38" s="15"/>
    </row>
    <row r="39" spans="2:5" x14ac:dyDescent="0.4">
      <c r="C39" s="13"/>
      <c r="D39" s="13"/>
      <c r="E39" s="15"/>
    </row>
    <row r="40" spans="2:5" x14ac:dyDescent="0.4">
      <c r="C40" s="13"/>
      <c r="D40" s="13"/>
      <c r="E40" s="15"/>
    </row>
    <row r="41" spans="2:5" x14ac:dyDescent="0.4">
      <c r="C41" s="13"/>
      <c r="D41" s="13"/>
      <c r="E41" s="15"/>
    </row>
    <row r="42" spans="2:5" x14ac:dyDescent="0.4">
      <c r="C42" s="13"/>
      <c r="D42" s="13"/>
      <c r="E42" s="15"/>
    </row>
    <row r="43" spans="2:5" x14ac:dyDescent="0.4">
      <c r="D43" s="13"/>
      <c r="E43" s="15"/>
    </row>
    <row r="44" spans="2:5" x14ac:dyDescent="0.4">
      <c r="C44" s="13"/>
      <c r="D44" s="13"/>
      <c r="E44" s="15"/>
    </row>
    <row r="45" spans="2:5" x14ac:dyDescent="0.4">
      <c r="C45" s="13"/>
      <c r="D45" s="13"/>
      <c r="E45" s="15"/>
    </row>
    <row r="46" spans="2:5" x14ac:dyDescent="0.4">
      <c r="C46" s="13"/>
      <c r="D46" s="13"/>
      <c r="E46" s="15"/>
    </row>
    <row r="47" spans="2:5" x14ac:dyDescent="0.4">
      <c r="D47" s="13"/>
      <c r="E47" s="15"/>
    </row>
    <row r="48" spans="2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A00-000000000000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481</v>
      </c>
      <c r="B8" s="6"/>
      <c r="C8" s="6"/>
      <c r="D8" s="6"/>
      <c r="E8" s="14"/>
    </row>
    <row r="9" spans="1:5" x14ac:dyDescent="0.4">
      <c r="A9" s="69" t="s">
        <v>522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348</v>
      </c>
      <c r="D11" s="13">
        <v>633012000</v>
      </c>
      <c r="E11" s="15">
        <v>29.34</v>
      </c>
    </row>
    <row r="12" spans="1:5" x14ac:dyDescent="0.4">
      <c r="A12" t="s">
        <v>80</v>
      </c>
      <c r="B12" t="s">
        <v>81</v>
      </c>
      <c r="C12" s="31">
        <v>1900</v>
      </c>
      <c r="D12" s="13">
        <v>513950000</v>
      </c>
      <c r="E12" s="15">
        <v>23.83</v>
      </c>
    </row>
    <row r="13" spans="1:5" x14ac:dyDescent="0.4">
      <c r="A13" t="s">
        <v>188</v>
      </c>
      <c r="B13" t="s">
        <v>189</v>
      </c>
      <c r="C13" s="13">
        <v>107</v>
      </c>
      <c r="D13" s="13">
        <v>117486000</v>
      </c>
      <c r="E13" s="15">
        <v>5.45</v>
      </c>
    </row>
    <row r="14" spans="1:5" x14ac:dyDescent="0.4">
      <c r="A14" t="s">
        <v>453</v>
      </c>
      <c r="B14" t="s">
        <v>454</v>
      </c>
      <c r="C14" s="13">
        <v>107</v>
      </c>
      <c r="D14" s="13">
        <v>108070000</v>
      </c>
      <c r="E14" s="15">
        <v>5.01</v>
      </c>
    </row>
    <row r="15" spans="1:5" x14ac:dyDescent="0.4">
      <c r="A15" t="s">
        <v>643</v>
      </c>
      <c r="B15" t="s">
        <v>644</v>
      </c>
      <c r="C15" s="31">
        <v>834</v>
      </c>
      <c r="D15" s="13">
        <v>99913200</v>
      </c>
      <c r="E15" s="15">
        <v>4.63</v>
      </c>
    </row>
    <row r="16" spans="1:5" x14ac:dyDescent="0.4">
      <c r="A16" t="s">
        <v>479</v>
      </c>
      <c r="B16" t="s">
        <v>480</v>
      </c>
      <c r="C16" s="31">
        <v>682</v>
      </c>
      <c r="D16" s="13">
        <v>82522000</v>
      </c>
      <c r="E16" s="15">
        <v>3.83</v>
      </c>
    </row>
    <row r="17" spans="1:5" x14ac:dyDescent="0.4">
      <c r="A17" t="s">
        <v>349</v>
      </c>
      <c r="B17" t="s">
        <v>350</v>
      </c>
      <c r="C17" s="31">
        <v>167</v>
      </c>
      <c r="D17" s="13">
        <v>73814000</v>
      </c>
      <c r="E17" s="15">
        <v>3.42</v>
      </c>
    </row>
    <row r="18" spans="1:5" x14ac:dyDescent="0.4">
      <c r="A18" t="s">
        <v>471</v>
      </c>
      <c r="B18" t="s">
        <v>472</v>
      </c>
      <c r="C18" s="13">
        <v>614</v>
      </c>
      <c r="D18" s="13">
        <v>62259600</v>
      </c>
      <c r="E18" s="15">
        <v>2.89</v>
      </c>
    </row>
    <row r="19" spans="1:5" x14ac:dyDescent="0.4">
      <c r="A19" t="s">
        <v>484</v>
      </c>
      <c r="B19" t="s">
        <v>485</v>
      </c>
      <c r="C19" s="13">
        <v>1112</v>
      </c>
      <c r="D19" s="13">
        <v>60270400</v>
      </c>
      <c r="E19" s="15">
        <v>2.79</v>
      </c>
    </row>
    <row r="20" spans="1:5" x14ac:dyDescent="0.4">
      <c r="A20" t="s">
        <v>569</v>
      </c>
      <c r="B20" t="s">
        <v>570</v>
      </c>
      <c r="C20" s="13">
        <v>307</v>
      </c>
      <c r="D20" s="13">
        <v>55720500</v>
      </c>
      <c r="E20" s="15">
        <v>2.58</v>
      </c>
    </row>
    <row r="21" spans="1:5" x14ac:dyDescent="0.4">
      <c r="A21" t="s">
        <v>3931</v>
      </c>
      <c r="B21" t="s">
        <v>3932</v>
      </c>
      <c r="C21" s="13">
        <v>460</v>
      </c>
      <c r="D21" s="13">
        <v>44666000</v>
      </c>
      <c r="E21" s="15">
        <v>2.0699999999999998</v>
      </c>
    </row>
    <row r="22" spans="1:5" x14ac:dyDescent="0.4">
      <c r="A22" t="s">
        <v>355</v>
      </c>
      <c r="B22" t="s">
        <v>356</v>
      </c>
      <c r="C22" s="13">
        <v>328</v>
      </c>
      <c r="D22" s="13">
        <v>44542400</v>
      </c>
      <c r="E22" s="15">
        <v>2.06</v>
      </c>
    </row>
    <row r="23" spans="1:5" x14ac:dyDescent="0.4">
      <c r="A23" t="s">
        <v>555</v>
      </c>
      <c r="B23" t="s">
        <v>556</v>
      </c>
      <c r="C23" s="31">
        <v>348</v>
      </c>
      <c r="D23" s="13">
        <v>43848000</v>
      </c>
      <c r="E23" s="15">
        <v>2.0299999999999998</v>
      </c>
    </row>
    <row r="24" spans="1:5" x14ac:dyDescent="0.4">
      <c r="A24" t="s">
        <v>486</v>
      </c>
      <c r="B24" t="s">
        <v>487</v>
      </c>
      <c r="C24" s="31">
        <v>135</v>
      </c>
      <c r="D24" s="13">
        <v>35707500</v>
      </c>
      <c r="E24" s="15">
        <v>1.66</v>
      </c>
    </row>
    <row r="25" spans="1:5" x14ac:dyDescent="0.4">
      <c r="A25" t="s">
        <v>351</v>
      </c>
      <c r="B25" t="s">
        <v>352</v>
      </c>
      <c r="C25" s="13">
        <v>153</v>
      </c>
      <c r="D25" s="13">
        <v>34348500</v>
      </c>
      <c r="E25" s="15">
        <v>1.59</v>
      </c>
    </row>
    <row r="26" spans="1:5" x14ac:dyDescent="0.4">
      <c r="A26" t="s">
        <v>719</v>
      </c>
      <c r="B26" t="s">
        <v>720</v>
      </c>
      <c r="C26" s="13">
        <v>1896</v>
      </c>
      <c r="D26" s="13">
        <v>33616080</v>
      </c>
      <c r="E26" s="15">
        <v>1.56</v>
      </c>
    </row>
    <row r="27" spans="1:5" x14ac:dyDescent="0.4">
      <c r="A27" t="s">
        <v>769</v>
      </c>
      <c r="B27" t="s">
        <v>770</v>
      </c>
      <c r="C27" s="13">
        <v>305</v>
      </c>
      <c r="D27" s="13">
        <v>27755000</v>
      </c>
      <c r="E27" s="15">
        <v>1.29</v>
      </c>
    </row>
    <row r="28" spans="1:5" x14ac:dyDescent="0.4">
      <c r="A28" t="s">
        <v>506</v>
      </c>
      <c r="B28" t="s">
        <v>507</v>
      </c>
      <c r="C28" s="13">
        <v>1799</v>
      </c>
      <c r="D28" s="13">
        <v>21084280</v>
      </c>
      <c r="E28" s="15">
        <v>0.98</v>
      </c>
    </row>
    <row r="29" spans="1:5" x14ac:dyDescent="0.4">
      <c r="A29" t="s">
        <v>4448</v>
      </c>
      <c r="B29" t="s">
        <v>4449</v>
      </c>
      <c r="C29" s="13">
        <v>818</v>
      </c>
      <c r="D29" s="13">
        <v>19877400</v>
      </c>
      <c r="E29" s="15">
        <v>0.92</v>
      </c>
    </row>
    <row r="30" spans="1:5" x14ac:dyDescent="0.4">
      <c r="A30" t="s">
        <v>666</v>
      </c>
      <c r="B30" t="s">
        <v>667</v>
      </c>
      <c r="C30" s="13">
        <v>628</v>
      </c>
      <c r="D30" s="13">
        <v>16924600</v>
      </c>
      <c r="E30" s="15">
        <v>0.78</v>
      </c>
    </row>
    <row r="31" spans="1:5" x14ac:dyDescent="0.4">
      <c r="A31" t="s">
        <v>621</v>
      </c>
      <c r="B31" t="s">
        <v>622</v>
      </c>
      <c r="C31" s="13">
        <v>316</v>
      </c>
      <c r="D31" s="13">
        <v>14172600</v>
      </c>
      <c r="E31" s="15">
        <v>0.66</v>
      </c>
    </row>
    <row r="32" spans="1:5" x14ac:dyDescent="0.4">
      <c r="A32" t="s">
        <v>4014</v>
      </c>
      <c r="B32" t="s">
        <v>4015</v>
      </c>
      <c r="C32" s="13">
        <v>429</v>
      </c>
      <c r="D32" s="13">
        <v>13599300</v>
      </c>
      <c r="E32" s="15">
        <v>0.63</v>
      </c>
    </row>
    <row r="33" spans="2:5" x14ac:dyDescent="0.4">
      <c r="B33" t="s">
        <v>490</v>
      </c>
      <c r="C33" s="13">
        <v>40043222</v>
      </c>
      <c r="D33" s="13"/>
      <c r="E33" s="15"/>
    </row>
    <row r="34" spans="2:5" x14ac:dyDescent="0.4">
      <c r="C34" s="13"/>
      <c r="D34" s="13"/>
    </row>
    <row r="35" spans="2:5" x14ac:dyDescent="0.4">
      <c r="C35" s="13"/>
      <c r="D35" s="13"/>
    </row>
    <row r="36" spans="2:5" x14ac:dyDescent="0.4">
      <c r="C36" s="13"/>
      <c r="D36" s="13"/>
      <c r="E36" s="15"/>
    </row>
    <row r="37" spans="2:5" x14ac:dyDescent="0.4">
      <c r="C37" s="13"/>
      <c r="D37" s="13"/>
      <c r="E37" s="15"/>
    </row>
    <row r="38" spans="2:5" x14ac:dyDescent="0.4">
      <c r="C38" s="13"/>
      <c r="D38" s="13"/>
      <c r="E38" s="15"/>
    </row>
    <row r="39" spans="2:5" x14ac:dyDescent="0.4">
      <c r="C39" s="13"/>
      <c r="D39" s="13"/>
      <c r="E39" s="15"/>
    </row>
    <row r="40" spans="2:5" x14ac:dyDescent="0.4">
      <c r="C40" s="13"/>
      <c r="D40" s="13"/>
      <c r="E40" s="15"/>
    </row>
    <row r="41" spans="2:5" x14ac:dyDescent="0.4">
      <c r="C41" s="13"/>
      <c r="D41" s="13"/>
      <c r="E41" s="15"/>
    </row>
    <row r="42" spans="2:5" x14ac:dyDescent="0.4">
      <c r="C42" s="13"/>
      <c r="D42" s="13"/>
      <c r="E42" s="15"/>
    </row>
    <row r="43" spans="2:5" x14ac:dyDescent="0.4">
      <c r="C43" s="13"/>
      <c r="D43" s="13"/>
      <c r="E43" s="15"/>
    </row>
    <row r="44" spans="2:5" x14ac:dyDescent="0.4">
      <c r="D44" s="13"/>
      <c r="E44" s="15"/>
    </row>
    <row r="45" spans="2:5" x14ac:dyDescent="0.4">
      <c r="D45" s="13"/>
      <c r="E45" s="15"/>
    </row>
    <row r="46" spans="2:5" x14ac:dyDescent="0.4">
      <c r="C46" s="13"/>
      <c r="D46" s="13"/>
      <c r="E46" s="15"/>
    </row>
    <row r="47" spans="2:5" x14ac:dyDescent="0.4">
      <c r="C47" s="13"/>
      <c r="D47" s="13"/>
      <c r="E47" s="15"/>
    </row>
    <row r="48" spans="2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0B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8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499</v>
      </c>
      <c r="B8" s="6"/>
      <c r="C8" s="6"/>
      <c r="D8" s="6"/>
      <c r="E8" s="14"/>
    </row>
    <row r="9" spans="1:7" x14ac:dyDescent="0.4">
      <c r="A9" s="69" t="s">
        <v>523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80</v>
      </c>
      <c r="B11" s="17" t="s">
        <v>81</v>
      </c>
      <c r="C11" s="18">
        <v>561</v>
      </c>
      <c r="D11" s="18">
        <v>168019500</v>
      </c>
      <c r="E11" s="19">
        <v>23.97</v>
      </c>
      <c r="F11" s="17"/>
      <c r="G11" s="17"/>
    </row>
    <row r="12" spans="1:7" x14ac:dyDescent="0.4">
      <c r="A12" t="s">
        <v>13</v>
      </c>
      <c r="B12" s="17" t="s">
        <v>14</v>
      </c>
      <c r="C12" s="18">
        <v>69</v>
      </c>
      <c r="D12" s="18">
        <v>133860000</v>
      </c>
      <c r="E12" s="19">
        <v>19.100000000000001</v>
      </c>
      <c r="F12" s="17"/>
      <c r="G12" s="17"/>
    </row>
    <row r="13" spans="1:7" x14ac:dyDescent="0.4">
      <c r="A13" t="s">
        <v>188</v>
      </c>
      <c r="B13" s="17" t="s">
        <v>189</v>
      </c>
      <c r="C13" s="18">
        <v>42</v>
      </c>
      <c r="D13" s="18">
        <v>49518000</v>
      </c>
      <c r="E13" s="19">
        <v>7.06</v>
      </c>
      <c r="F13" s="17"/>
      <c r="G13" s="17"/>
    </row>
    <row r="14" spans="1:7" x14ac:dyDescent="0.4">
      <c r="A14" t="s">
        <v>212</v>
      </c>
      <c r="B14" s="17" t="s">
        <v>213</v>
      </c>
      <c r="C14" s="18">
        <v>254</v>
      </c>
      <c r="D14" s="18">
        <v>45974000</v>
      </c>
      <c r="E14" s="19">
        <v>6.56</v>
      </c>
      <c r="F14" s="17"/>
      <c r="G14" s="17"/>
    </row>
    <row r="15" spans="1:7" x14ac:dyDescent="0.4">
      <c r="A15" t="s">
        <v>488</v>
      </c>
      <c r="B15" s="17" t="s">
        <v>489</v>
      </c>
      <c r="C15" s="18">
        <v>318</v>
      </c>
      <c r="D15" s="18">
        <v>39909000</v>
      </c>
      <c r="E15" s="19">
        <v>5.69</v>
      </c>
      <c r="F15" s="17"/>
      <c r="G15" s="17"/>
    </row>
    <row r="16" spans="1:7" x14ac:dyDescent="0.4">
      <c r="A16" t="s">
        <v>355</v>
      </c>
      <c r="B16" s="17" t="s">
        <v>356</v>
      </c>
      <c r="C16" s="18">
        <v>270</v>
      </c>
      <c r="D16" s="18">
        <v>39528000</v>
      </c>
      <c r="E16" s="19">
        <v>5.64</v>
      </c>
      <c r="F16" s="17"/>
      <c r="G16" s="17"/>
    </row>
    <row r="17" spans="1:7" x14ac:dyDescent="0.4">
      <c r="A17" t="s">
        <v>453</v>
      </c>
      <c r="B17" t="s">
        <v>454</v>
      </c>
      <c r="C17" s="13">
        <v>31</v>
      </c>
      <c r="D17" s="13">
        <v>37324000</v>
      </c>
      <c r="E17" s="15">
        <v>5.32</v>
      </c>
    </row>
    <row r="18" spans="1:7" x14ac:dyDescent="0.4">
      <c r="A18" t="s">
        <v>347</v>
      </c>
      <c r="B18" s="17" t="s">
        <v>348</v>
      </c>
      <c r="C18" s="18">
        <v>261</v>
      </c>
      <c r="D18" s="18">
        <v>33355800</v>
      </c>
      <c r="E18" s="19">
        <v>4.76</v>
      </c>
      <c r="F18" s="17"/>
      <c r="G18" s="17"/>
    </row>
    <row r="19" spans="1:7" x14ac:dyDescent="0.4">
      <c r="A19" t="s">
        <v>679</v>
      </c>
      <c r="B19" t="s">
        <v>680</v>
      </c>
      <c r="C19" s="31">
        <v>166</v>
      </c>
      <c r="D19" s="13">
        <v>28303000</v>
      </c>
      <c r="E19" s="15">
        <v>4.04</v>
      </c>
    </row>
    <row r="20" spans="1:7" x14ac:dyDescent="0.4">
      <c r="A20" t="s">
        <v>158</v>
      </c>
      <c r="B20" t="s">
        <v>159</v>
      </c>
      <c r="C20" s="31">
        <v>258</v>
      </c>
      <c r="D20" s="13">
        <v>26832000</v>
      </c>
      <c r="E20" s="15">
        <v>3.83</v>
      </c>
    </row>
    <row r="21" spans="1:7" x14ac:dyDescent="0.4">
      <c r="A21" t="s">
        <v>757</v>
      </c>
      <c r="B21" t="s">
        <v>758</v>
      </c>
      <c r="C21" s="13">
        <v>222</v>
      </c>
      <c r="D21" s="13">
        <v>26662200</v>
      </c>
      <c r="E21" s="15">
        <v>3.8</v>
      </c>
    </row>
    <row r="22" spans="1:7" x14ac:dyDescent="0.4">
      <c r="A22" t="s">
        <v>1176</v>
      </c>
      <c r="B22" t="s">
        <v>1177</v>
      </c>
      <c r="C22" s="31">
        <v>1551</v>
      </c>
      <c r="D22" s="13">
        <v>22954800</v>
      </c>
      <c r="E22" s="15">
        <v>3.27</v>
      </c>
    </row>
    <row r="23" spans="1:7" x14ac:dyDescent="0.4">
      <c r="A23" t="s">
        <v>4132</v>
      </c>
      <c r="B23" t="s">
        <v>4133</v>
      </c>
      <c r="C23" s="31">
        <v>500</v>
      </c>
      <c r="D23" s="13">
        <v>17150000</v>
      </c>
      <c r="E23" s="15">
        <v>2.4500000000000002</v>
      </c>
    </row>
    <row r="24" spans="1:7" x14ac:dyDescent="0.4">
      <c r="A24" t="s">
        <v>92</v>
      </c>
      <c r="B24" t="s">
        <v>93</v>
      </c>
      <c r="C24" s="31">
        <v>8</v>
      </c>
      <c r="D24" s="13">
        <v>12800000</v>
      </c>
      <c r="E24" s="15">
        <v>1.83</v>
      </c>
    </row>
    <row r="25" spans="1:7" x14ac:dyDescent="0.4">
      <c r="A25" t="s">
        <v>769</v>
      </c>
      <c r="B25" t="s">
        <v>770</v>
      </c>
      <c r="C25" s="13">
        <v>78</v>
      </c>
      <c r="D25" s="13">
        <v>7503600</v>
      </c>
      <c r="E25" s="15">
        <v>1.07</v>
      </c>
    </row>
    <row r="26" spans="1:7" x14ac:dyDescent="0.4">
      <c r="A26" t="s">
        <v>477</v>
      </c>
      <c r="B26" t="s">
        <v>478</v>
      </c>
      <c r="C26" s="13">
        <v>493</v>
      </c>
      <c r="D26" s="13">
        <v>6763960</v>
      </c>
      <c r="E26" s="15">
        <v>0.96</v>
      </c>
    </row>
    <row r="27" spans="1:7" x14ac:dyDescent="0.4">
      <c r="A27" t="s">
        <v>719</v>
      </c>
      <c r="B27" t="s">
        <v>720</v>
      </c>
      <c r="C27" s="13">
        <v>264</v>
      </c>
      <c r="D27" s="13">
        <v>4488000</v>
      </c>
      <c r="E27" s="15">
        <v>0.64</v>
      </c>
    </row>
    <row r="28" spans="1:7" x14ac:dyDescent="0.4">
      <c r="B28" t="s">
        <v>10</v>
      </c>
      <c r="C28" s="13">
        <v>-1542369</v>
      </c>
      <c r="D28" s="13">
        <v>-1542369</v>
      </c>
      <c r="E28" s="15"/>
    </row>
    <row r="29" spans="1:7" x14ac:dyDescent="0.4">
      <c r="C29" s="13"/>
      <c r="D29" s="13"/>
    </row>
    <row r="30" spans="1:7" x14ac:dyDescent="0.4">
      <c r="C30" s="31"/>
      <c r="D30" s="13"/>
    </row>
    <row r="31" spans="1:7" x14ac:dyDescent="0.4">
      <c r="C31" s="13"/>
      <c r="D31" s="13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C00-000000000000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499</v>
      </c>
      <c r="B8" s="6"/>
      <c r="C8" s="6"/>
      <c r="D8" s="6"/>
      <c r="E8" s="14"/>
    </row>
    <row r="9" spans="1:5" x14ac:dyDescent="0.4">
      <c r="A9" s="69" t="s">
        <v>523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80</v>
      </c>
      <c r="B11" t="s">
        <v>81</v>
      </c>
      <c r="C11" s="13">
        <v>561</v>
      </c>
      <c r="D11" s="13">
        <v>151750500</v>
      </c>
      <c r="E11" s="15">
        <v>23.23</v>
      </c>
    </row>
    <row r="12" spans="1:5" x14ac:dyDescent="0.4">
      <c r="A12" t="s">
        <v>13</v>
      </c>
      <c r="B12" t="s">
        <v>14</v>
      </c>
      <c r="C12" s="31">
        <v>69</v>
      </c>
      <c r="D12" s="13">
        <v>125511000</v>
      </c>
      <c r="E12" s="15">
        <v>19.21</v>
      </c>
    </row>
    <row r="13" spans="1:5" x14ac:dyDescent="0.4">
      <c r="A13" t="s">
        <v>188</v>
      </c>
      <c r="B13" t="s">
        <v>189</v>
      </c>
      <c r="C13">
        <v>42</v>
      </c>
      <c r="D13" s="13">
        <v>46116000</v>
      </c>
      <c r="E13" s="15">
        <v>7.06</v>
      </c>
    </row>
    <row r="14" spans="1:5" x14ac:dyDescent="0.4">
      <c r="A14" t="s">
        <v>212</v>
      </c>
      <c r="B14" t="s">
        <v>213</v>
      </c>
      <c r="C14" s="13">
        <v>254</v>
      </c>
      <c r="D14" s="13">
        <v>41529000</v>
      </c>
      <c r="E14" s="15">
        <v>6.36</v>
      </c>
    </row>
    <row r="15" spans="1:5" x14ac:dyDescent="0.4">
      <c r="A15" t="s">
        <v>355</v>
      </c>
      <c r="B15" t="s">
        <v>356</v>
      </c>
      <c r="C15" s="31">
        <v>270</v>
      </c>
      <c r="D15" s="13">
        <v>36666000</v>
      </c>
      <c r="E15" s="15">
        <v>5.61</v>
      </c>
    </row>
    <row r="16" spans="1:5" x14ac:dyDescent="0.4">
      <c r="A16" t="s">
        <v>347</v>
      </c>
      <c r="B16" t="s">
        <v>348</v>
      </c>
      <c r="C16" s="31">
        <v>261</v>
      </c>
      <c r="D16" s="13">
        <v>33408000</v>
      </c>
      <c r="E16" s="15">
        <v>5.1100000000000003</v>
      </c>
    </row>
    <row r="17" spans="1:5" x14ac:dyDescent="0.4">
      <c r="A17" t="s">
        <v>488</v>
      </c>
      <c r="B17" t="s">
        <v>489</v>
      </c>
      <c r="C17" s="31">
        <v>318</v>
      </c>
      <c r="D17" s="13">
        <v>31895400</v>
      </c>
      <c r="E17" s="15">
        <v>4.88</v>
      </c>
    </row>
    <row r="18" spans="1:5" x14ac:dyDescent="0.4">
      <c r="A18" t="s">
        <v>453</v>
      </c>
      <c r="B18" t="s">
        <v>454</v>
      </c>
      <c r="C18" s="13">
        <v>31</v>
      </c>
      <c r="D18" s="13">
        <v>31310000</v>
      </c>
      <c r="E18" s="15">
        <v>4.79</v>
      </c>
    </row>
    <row r="19" spans="1:5" x14ac:dyDescent="0.4">
      <c r="A19" t="s">
        <v>679</v>
      </c>
      <c r="B19" t="s">
        <v>680</v>
      </c>
      <c r="C19" s="13">
        <v>166</v>
      </c>
      <c r="D19" s="13">
        <v>29514800</v>
      </c>
      <c r="E19" s="15">
        <v>4.5199999999999996</v>
      </c>
    </row>
    <row r="20" spans="1:5" x14ac:dyDescent="0.4">
      <c r="A20" t="s">
        <v>757</v>
      </c>
      <c r="B20" t="s">
        <v>758</v>
      </c>
      <c r="C20" s="13">
        <v>222</v>
      </c>
      <c r="D20" s="13">
        <v>26218200</v>
      </c>
      <c r="E20" s="15">
        <v>4.01</v>
      </c>
    </row>
    <row r="21" spans="1:5" x14ac:dyDescent="0.4">
      <c r="A21" t="s">
        <v>158</v>
      </c>
      <c r="B21" t="s">
        <v>159</v>
      </c>
      <c r="C21" s="13">
        <v>258</v>
      </c>
      <c r="D21" s="13">
        <v>26058000</v>
      </c>
      <c r="E21" s="15">
        <v>3.99</v>
      </c>
    </row>
    <row r="22" spans="1:5" x14ac:dyDescent="0.4">
      <c r="A22" t="s">
        <v>1176</v>
      </c>
      <c r="B22" t="s">
        <v>1177</v>
      </c>
      <c r="C22" s="13">
        <v>1551</v>
      </c>
      <c r="D22" s="13">
        <v>20581770</v>
      </c>
      <c r="E22" s="15">
        <v>3.15</v>
      </c>
    </row>
    <row r="23" spans="1:5" x14ac:dyDescent="0.4">
      <c r="A23" t="s">
        <v>4132</v>
      </c>
      <c r="B23" t="s">
        <v>4133</v>
      </c>
      <c r="C23" s="31">
        <v>500</v>
      </c>
      <c r="D23" s="13">
        <v>20500000</v>
      </c>
      <c r="E23" s="15">
        <v>3.14</v>
      </c>
    </row>
    <row r="24" spans="1:5" x14ac:dyDescent="0.4">
      <c r="A24" t="s">
        <v>92</v>
      </c>
      <c r="B24" t="s">
        <v>93</v>
      </c>
      <c r="C24" s="31">
        <v>8</v>
      </c>
      <c r="D24" s="13">
        <v>12912000</v>
      </c>
      <c r="E24" s="15">
        <v>1.98</v>
      </c>
    </row>
    <row r="25" spans="1:5" x14ac:dyDescent="0.4">
      <c r="A25" t="s">
        <v>477</v>
      </c>
      <c r="B25" t="s">
        <v>478</v>
      </c>
      <c r="C25" s="13">
        <v>493</v>
      </c>
      <c r="D25" s="13">
        <v>7592200</v>
      </c>
      <c r="E25" s="15">
        <v>1.1599999999999999</v>
      </c>
    </row>
    <row r="26" spans="1:5" x14ac:dyDescent="0.4">
      <c r="A26" t="s">
        <v>769</v>
      </c>
      <c r="B26" t="s">
        <v>770</v>
      </c>
      <c r="C26" s="13">
        <v>78</v>
      </c>
      <c r="D26" s="13">
        <v>7098000</v>
      </c>
      <c r="E26" s="15">
        <v>1.0900000000000001</v>
      </c>
    </row>
    <row r="27" spans="1:5" x14ac:dyDescent="0.4">
      <c r="A27" t="s">
        <v>719</v>
      </c>
      <c r="B27" t="s">
        <v>720</v>
      </c>
      <c r="C27" s="13">
        <v>264</v>
      </c>
      <c r="D27" s="13">
        <v>4680720</v>
      </c>
      <c r="E27" s="15">
        <v>0.72</v>
      </c>
    </row>
    <row r="28" spans="1:5" x14ac:dyDescent="0.4">
      <c r="B28" t="s">
        <v>10</v>
      </c>
      <c r="C28" s="13">
        <v>-366523</v>
      </c>
      <c r="D28" s="13">
        <v>-366523</v>
      </c>
      <c r="E28" s="15"/>
    </row>
    <row r="29" spans="1:5" x14ac:dyDescent="0.4">
      <c r="C29" s="13"/>
      <c r="D29" s="13"/>
    </row>
    <row r="30" spans="1:5" x14ac:dyDescent="0.4">
      <c r="C30" s="13"/>
      <c r="D30" s="13"/>
    </row>
    <row r="31" spans="1:5" x14ac:dyDescent="0.4">
      <c r="C31" s="13"/>
      <c r="D31" s="13"/>
    </row>
    <row r="32" spans="1:5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0D00-000000000000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showGridLines="0" topLeftCell="F35" zoomScale="115" zoomScaleNormal="115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749</v>
      </c>
      <c r="B8" s="6"/>
      <c r="C8" s="6"/>
      <c r="D8" s="6"/>
      <c r="E8" s="14"/>
    </row>
    <row r="9" spans="1:7" x14ac:dyDescent="0.4">
      <c r="A9" s="69" t="s">
        <v>750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80</v>
      </c>
      <c r="B11" s="17" t="s">
        <v>81</v>
      </c>
      <c r="C11" s="18">
        <v>1612</v>
      </c>
      <c r="D11" s="18">
        <v>482794000</v>
      </c>
      <c r="E11" s="19">
        <v>17.02</v>
      </c>
      <c r="F11" s="17"/>
      <c r="G11" s="17"/>
    </row>
    <row r="12" spans="1:7" x14ac:dyDescent="0.4">
      <c r="A12" t="s">
        <v>13</v>
      </c>
      <c r="B12" s="17" t="s">
        <v>14</v>
      </c>
      <c r="C12" s="31">
        <v>241</v>
      </c>
      <c r="D12" s="13">
        <v>467540000</v>
      </c>
      <c r="E12" s="15">
        <v>16.48</v>
      </c>
    </row>
    <row r="13" spans="1:7" x14ac:dyDescent="0.4">
      <c r="A13" t="s">
        <v>140</v>
      </c>
      <c r="B13" t="s">
        <v>141</v>
      </c>
      <c r="C13" s="13">
        <v>325</v>
      </c>
      <c r="D13" s="13">
        <v>216450000</v>
      </c>
      <c r="E13" s="15">
        <v>7.63</v>
      </c>
    </row>
    <row r="14" spans="1:7" x14ac:dyDescent="0.4">
      <c r="A14" t="s">
        <v>188</v>
      </c>
      <c r="B14" s="17" t="s">
        <v>189</v>
      </c>
      <c r="C14" s="18">
        <v>125</v>
      </c>
      <c r="D14" s="18">
        <v>147375000</v>
      </c>
      <c r="E14" s="19">
        <v>5.19</v>
      </c>
      <c r="F14" s="17"/>
      <c r="G14" s="17"/>
    </row>
    <row r="15" spans="1:7" x14ac:dyDescent="0.4">
      <c r="A15" t="s">
        <v>19</v>
      </c>
      <c r="B15" s="17" t="s">
        <v>20</v>
      </c>
      <c r="C15" s="31">
        <v>486</v>
      </c>
      <c r="D15" s="13">
        <v>131949000</v>
      </c>
      <c r="E15" s="15">
        <v>4.6500000000000004</v>
      </c>
    </row>
    <row r="16" spans="1:7" x14ac:dyDescent="0.4">
      <c r="A16" t="s">
        <v>73</v>
      </c>
      <c r="B16" t="s">
        <v>74</v>
      </c>
      <c r="C16" s="31">
        <v>98</v>
      </c>
      <c r="D16" s="13">
        <v>122304000</v>
      </c>
      <c r="E16" s="15">
        <v>4.3099999999999996</v>
      </c>
    </row>
    <row r="17" spans="1:7" x14ac:dyDescent="0.4">
      <c r="A17" t="s">
        <v>127</v>
      </c>
      <c r="B17" s="17" t="s">
        <v>128</v>
      </c>
      <c r="C17" s="31">
        <v>567</v>
      </c>
      <c r="D17" s="13">
        <v>95199300</v>
      </c>
      <c r="E17" s="15">
        <v>3.36</v>
      </c>
    </row>
    <row r="18" spans="1:7" x14ac:dyDescent="0.4">
      <c r="A18" t="s">
        <v>172</v>
      </c>
      <c r="B18" t="s">
        <v>173</v>
      </c>
      <c r="C18" s="13">
        <v>138</v>
      </c>
      <c r="D18" s="13">
        <v>92460000</v>
      </c>
      <c r="E18" s="15">
        <v>3.26</v>
      </c>
    </row>
    <row r="19" spans="1:7" x14ac:dyDescent="0.4">
      <c r="A19" t="s">
        <v>15</v>
      </c>
      <c r="B19" s="17" t="s">
        <v>16</v>
      </c>
      <c r="C19" s="18">
        <v>74</v>
      </c>
      <c r="D19" s="18">
        <v>84064000</v>
      </c>
      <c r="E19" s="19">
        <v>2.96</v>
      </c>
      <c r="F19" s="17"/>
      <c r="G19" s="17"/>
    </row>
    <row r="20" spans="1:7" x14ac:dyDescent="0.4">
      <c r="A20" t="s">
        <v>122</v>
      </c>
      <c r="B20" t="s">
        <v>5175</v>
      </c>
      <c r="C20" s="13">
        <v>93</v>
      </c>
      <c r="D20" s="13">
        <v>80166000</v>
      </c>
      <c r="E20" s="15">
        <v>2.83</v>
      </c>
    </row>
    <row r="21" spans="1:7" x14ac:dyDescent="0.4">
      <c r="A21" t="s">
        <v>553</v>
      </c>
      <c r="B21" t="s">
        <v>554</v>
      </c>
      <c r="C21" s="13">
        <v>486</v>
      </c>
      <c r="D21" s="13">
        <v>79947000</v>
      </c>
      <c r="E21" s="15">
        <v>2.82</v>
      </c>
    </row>
    <row r="22" spans="1:7" x14ac:dyDescent="0.4">
      <c r="A22" t="s">
        <v>17</v>
      </c>
      <c r="B22" t="s">
        <v>18</v>
      </c>
      <c r="C22" s="13">
        <v>707</v>
      </c>
      <c r="D22" s="13">
        <v>76638800</v>
      </c>
      <c r="E22" s="15">
        <v>2.7</v>
      </c>
    </row>
    <row r="23" spans="1:7" x14ac:dyDescent="0.4">
      <c r="A23" t="s">
        <v>11</v>
      </c>
      <c r="B23" t="s">
        <v>12</v>
      </c>
      <c r="C23" s="31">
        <v>18</v>
      </c>
      <c r="D23" s="13">
        <v>70722000</v>
      </c>
      <c r="E23" s="15">
        <v>2.4900000000000002</v>
      </c>
    </row>
    <row r="24" spans="1:7" x14ac:dyDescent="0.4">
      <c r="A24" t="s">
        <v>236</v>
      </c>
      <c r="B24" t="s">
        <v>237</v>
      </c>
      <c r="C24" s="31">
        <v>85</v>
      </c>
      <c r="D24" s="13">
        <v>63155000</v>
      </c>
      <c r="E24" s="15">
        <v>2.23</v>
      </c>
    </row>
    <row r="25" spans="1:7" x14ac:dyDescent="0.4">
      <c r="A25" t="s">
        <v>309</v>
      </c>
      <c r="B25" t="s">
        <v>310</v>
      </c>
      <c r="C25" s="13">
        <v>497</v>
      </c>
      <c r="D25" s="13">
        <v>51588600</v>
      </c>
      <c r="E25" s="15">
        <v>1.82</v>
      </c>
    </row>
    <row r="26" spans="1:7" x14ac:dyDescent="0.4">
      <c r="A26" t="s">
        <v>27</v>
      </c>
      <c r="B26" t="s">
        <v>28</v>
      </c>
      <c r="C26" s="13">
        <v>623</v>
      </c>
      <c r="D26" s="13">
        <v>48905500</v>
      </c>
      <c r="E26" s="15">
        <v>1.72</v>
      </c>
    </row>
    <row r="27" spans="1:7" x14ac:dyDescent="0.4">
      <c r="A27" t="s">
        <v>287</v>
      </c>
      <c r="B27" t="s">
        <v>288</v>
      </c>
      <c r="C27" s="13">
        <v>118</v>
      </c>
      <c r="D27" s="13">
        <v>47318000</v>
      </c>
      <c r="E27" s="15">
        <v>1.67</v>
      </c>
    </row>
    <row r="28" spans="1:7" x14ac:dyDescent="0.4">
      <c r="A28" t="s">
        <v>31</v>
      </c>
      <c r="B28" s="17" t="s">
        <v>32</v>
      </c>
      <c r="C28" s="18">
        <v>121</v>
      </c>
      <c r="D28" s="18">
        <v>42531500</v>
      </c>
      <c r="E28" s="19">
        <v>1.5</v>
      </c>
      <c r="F28" s="17"/>
      <c r="G28" s="17"/>
    </row>
    <row r="29" spans="1:7" x14ac:dyDescent="0.4">
      <c r="A29" t="s">
        <v>33</v>
      </c>
      <c r="B29" t="s">
        <v>34</v>
      </c>
      <c r="C29" s="13">
        <v>222</v>
      </c>
      <c r="D29" s="13">
        <v>42091200</v>
      </c>
      <c r="E29" s="15">
        <v>1.48</v>
      </c>
    </row>
    <row r="30" spans="1:7" x14ac:dyDescent="0.4">
      <c r="A30" t="s">
        <v>320</v>
      </c>
      <c r="B30" t="s">
        <v>321</v>
      </c>
      <c r="C30" s="13">
        <v>692</v>
      </c>
      <c r="D30" s="13">
        <v>38752000</v>
      </c>
      <c r="E30" s="15">
        <v>1.37</v>
      </c>
    </row>
    <row r="31" spans="1:7" x14ac:dyDescent="0.4">
      <c r="A31" t="s">
        <v>451</v>
      </c>
      <c r="B31" t="s">
        <v>452</v>
      </c>
      <c r="C31" s="13">
        <v>42</v>
      </c>
      <c r="D31" s="13">
        <v>35196000</v>
      </c>
      <c r="E31" s="15">
        <v>1.24</v>
      </c>
    </row>
    <row r="32" spans="1:7" x14ac:dyDescent="0.4">
      <c r="A32" t="s">
        <v>299</v>
      </c>
      <c r="B32" t="s">
        <v>300</v>
      </c>
      <c r="C32" s="13">
        <v>53</v>
      </c>
      <c r="D32" s="13">
        <v>32648000</v>
      </c>
      <c r="E32" s="15">
        <v>1.1499999999999999</v>
      </c>
    </row>
    <row r="33" spans="1:7" x14ac:dyDescent="0.4">
      <c r="A33" t="s">
        <v>453</v>
      </c>
      <c r="B33" t="s">
        <v>454</v>
      </c>
      <c r="C33" s="13">
        <v>24</v>
      </c>
      <c r="D33" s="13">
        <v>28896000</v>
      </c>
      <c r="E33" s="15">
        <v>1.02</v>
      </c>
    </row>
    <row r="34" spans="1:7" x14ac:dyDescent="0.4">
      <c r="A34" t="s">
        <v>232</v>
      </c>
      <c r="B34" t="s">
        <v>233</v>
      </c>
      <c r="C34" s="13">
        <v>86</v>
      </c>
      <c r="D34" s="13">
        <v>26101000</v>
      </c>
      <c r="E34" s="15">
        <v>0.92</v>
      </c>
    </row>
    <row r="35" spans="1:7" x14ac:dyDescent="0.4">
      <c r="A35" t="s">
        <v>88</v>
      </c>
      <c r="B35" s="17" t="s">
        <v>89</v>
      </c>
      <c r="C35" s="18">
        <v>125</v>
      </c>
      <c r="D35" s="18">
        <v>24437500</v>
      </c>
      <c r="E35" s="19">
        <v>0.86</v>
      </c>
      <c r="F35" s="17"/>
      <c r="G35" s="17"/>
    </row>
    <row r="36" spans="1:7" x14ac:dyDescent="0.4">
      <c r="A36" t="s">
        <v>326</v>
      </c>
      <c r="B36" t="s">
        <v>327</v>
      </c>
      <c r="C36" s="13">
        <v>154</v>
      </c>
      <c r="D36" s="13">
        <v>23885400</v>
      </c>
      <c r="E36" s="15">
        <v>0.84</v>
      </c>
    </row>
    <row r="37" spans="1:7" x14ac:dyDescent="0.4">
      <c r="A37" t="s">
        <v>559</v>
      </c>
      <c r="B37" t="s">
        <v>560</v>
      </c>
      <c r="C37" s="13">
        <v>17</v>
      </c>
      <c r="D37" s="13">
        <v>23715000</v>
      </c>
      <c r="E37" s="15">
        <v>0.84</v>
      </c>
    </row>
    <row r="38" spans="1:7" x14ac:dyDescent="0.4">
      <c r="A38" t="s">
        <v>347</v>
      </c>
      <c r="B38" t="s">
        <v>348</v>
      </c>
      <c r="C38" s="13">
        <v>139</v>
      </c>
      <c r="D38" s="13">
        <v>17764200</v>
      </c>
      <c r="E38" s="15">
        <v>0.63</v>
      </c>
    </row>
    <row r="39" spans="1:7" x14ac:dyDescent="0.4">
      <c r="A39" t="s">
        <v>166</v>
      </c>
      <c r="B39" t="s">
        <v>167</v>
      </c>
      <c r="C39">
        <v>62</v>
      </c>
      <c r="D39" s="13">
        <v>17205000</v>
      </c>
      <c r="E39" s="15">
        <v>0.61</v>
      </c>
    </row>
    <row r="40" spans="1:7" x14ac:dyDescent="0.4">
      <c r="A40" t="s">
        <v>240</v>
      </c>
      <c r="B40" t="s">
        <v>241</v>
      </c>
      <c r="C40">
        <v>152</v>
      </c>
      <c r="D40" s="13">
        <v>16355200</v>
      </c>
      <c r="E40" s="15">
        <v>0.57999999999999996</v>
      </c>
    </row>
    <row r="41" spans="1:7" x14ac:dyDescent="0.4">
      <c r="A41" t="s">
        <v>47</v>
      </c>
      <c r="B41" t="s">
        <v>48</v>
      </c>
      <c r="C41" s="13">
        <v>435</v>
      </c>
      <c r="D41" s="13">
        <v>16312500</v>
      </c>
      <c r="E41" s="15">
        <v>0.56999999999999995</v>
      </c>
    </row>
    <row r="42" spans="1:7" x14ac:dyDescent="0.4">
      <c r="A42" t="s">
        <v>90</v>
      </c>
      <c r="B42" s="17" t="s">
        <v>91</v>
      </c>
      <c r="C42" s="17">
        <v>196</v>
      </c>
      <c r="D42" s="18">
        <v>10917200</v>
      </c>
      <c r="E42" s="19">
        <v>0.38</v>
      </c>
      <c r="F42" s="17"/>
      <c r="G42" s="17"/>
    </row>
    <row r="43" spans="1:7" x14ac:dyDescent="0.4">
      <c r="A43" t="s">
        <v>35</v>
      </c>
      <c r="B43" s="17" t="s">
        <v>36</v>
      </c>
      <c r="C43" s="18">
        <v>73</v>
      </c>
      <c r="D43" s="18">
        <v>10183500</v>
      </c>
      <c r="E43" s="19">
        <v>0.36</v>
      </c>
      <c r="F43" s="17"/>
      <c r="G43" s="17"/>
    </row>
    <row r="44" spans="1:7" x14ac:dyDescent="0.4">
      <c r="A44" t="s">
        <v>98</v>
      </c>
      <c r="B44" t="s">
        <v>99</v>
      </c>
      <c r="C44" s="13">
        <v>44</v>
      </c>
      <c r="D44" s="13">
        <v>8778000</v>
      </c>
      <c r="E44" s="15">
        <v>0.31</v>
      </c>
    </row>
    <row r="45" spans="1:7" x14ac:dyDescent="0.4">
      <c r="A45" t="s">
        <v>609</v>
      </c>
      <c r="B45" t="s">
        <v>610</v>
      </c>
      <c r="C45" s="13">
        <v>119</v>
      </c>
      <c r="D45" s="13">
        <v>8651300</v>
      </c>
      <c r="E45" s="15">
        <v>0.3</v>
      </c>
    </row>
    <row r="46" spans="1:7" x14ac:dyDescent="0.4">
      <c r="A46" t="s">
        <v>41</v>
      </c>
      <c r="B46" t="s">
        <v>42</v>
      </c>
      <c r="C46" s="13">
        <v>74</v>
      </c>
      <c r="D46" s="13">
        <v>8132600</v>
      </c>
      <c r="E46" s="15">
        <v>0.28999999999999998</v>
      </c>
    </row>
    <row r="47" spans="1:7" x14ac:dyDescent="0.4">
      <c r="A47" t="s">
        <v>631</v>
      </c>
      <c r="B47" t="s">
        <v>632</v>
      </c>
      <c r="C47" s="13">
        <v>53</v>
      </c>
      <c r="D47" s="13">
        <v>7473000</v>
      </c>
      <c r="E47" s="15">
        <v>0.26</v>
      </c>
    </row>
    <row r="48" spans="1:7" x14ac:dyDescent="0.4">
      <c r="A48" t="s">
        <v>397</v>
      </c>
      <c r="B48" t="s">
        <v>398</v>
      </c>
      <c r="C48" s="13">
        <v>54</v>
      </c>
      <c r="D48" s="13">
        <v>7009200</v>
      </c>
      <c r="E48" s="15">
        <v>0.25</v>
      </c>
    </row>
    <row r="49" spans="1:5" x14ac:dyDescent="0.4">
      <c r="A49" t="s">
        <v>723</v>
      </c>
      <c r="B49" t="s">
        <v>724</v>
      </c>
      <c r="C49" s="13">
        <v>47</v>
      </c>
      <c r="D49" s="13">
        <v>6956000</v>
      </c>
      <c r="E49" s="15">
        <v>0.25</v>
      </c>
    </row>
    <row r="50" spans="1:5" x14ac:dyDescent="0.4">
      <c r="A50" t="s">
        <v>751</v>
      </c>
      <c r="B50" t="s">
        <v>752</v>
      </c>
      <c r="C50" s="13">
        <v>79</v>
      </c>
      <c r="D50" s="13">
        <v>6643900</v>
      </c>
      <c r="E50" s="15">
        <v>0.23</v>
      </c>
    </row>
    <row r="51" spans="1:5" x14ac:dyDescent="0.4">
      <c r="A51" t="s">
        <v>351</v>
      </c>
      <c r="B51" t="s">
        <v>352</v>
      </c>
      <c r="C51" s="13">
        <v>21</v>
      </c>
      <c r="D51" s="13">
        <v>4609500</v>
      </c>
      <c r="E51" s="15">
        <v>0.16</v>
      </c>
    </row>
    <row r="52" spans="1:5" x14ac:dyDescent="0.4">
      <c r="A52" t="s">
        <v>571</v>
      </c>
      <c r="B52" t="s">
        <v>572</v>
      </c>
      <c r="C52" s="13">
        <v>75</v>
      </c>
      <c r="D52" s="13">
        <v>4530000</v>
      </c>
      <c r="E52" s="15">
        <v>0.16</v>
      </c>
    </row>
    <row r="53" spans="1:5" x14ac:dyDescent="0.4">
      <c r="A53" t="s">
        <v>53</v>
      </c>
      <c r="B53" t="s">
        <v>54</v>
      </c>
      <c r="C53" s="13">
        <v>9</v>
      </c>
      <c r="D53" s="13">
        <v>3928500</v>
      </c>
      <c r="E53" s="15">
        <v>0.14000000000000001</v>
      </c>
    </row>
    <row r="54" spans="1:5" x14ac:dyDescent="0.4">
      <c r="A54" t="s">
        <v>43</v>
      </c>
      <c r="B54" t="s">
        <v>44</v>
      </c>
      <c r="C54" s="13">
        <v>39</v>
      </c>
      <c r="D54" s="13">
        <v>3689400</v>
      </c>
      <c r="E54" s="15">
        <v>0.13</v>
      </c>
    </row>
    <row r="55" spans="1:5" x14ac:dyDescent="0.4">
      <c r="B55" t="s">
        <v>10</v>
      </c>
      <c r="C55" s="13">
        <v>1140325</v>
      </c>
      <c r="D55" s="13">
        <v>1140325</v>
      </c>
      <c r="E55" s="15">
        <v>0.04</v>
      </c>
    </row>
    <row r="56" spans="1:5" x14ac:dyDescent="0.4">
      <c r="D56" s="13"/>
    </row>
    <row r="57" spans="1:5" x14ac:dyDescent="0.4">
      <c r="C57" s="13"/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  <c r="E62" s="15"/>
    </row>
    <row r="63" spans="1:5" x14ac:dyDescent="0.4">
      <c r="C63" s="13"/>
      <c r="D63" s="13"/>
      <c r="E63" s="15"/>
    </row>
    <row r="64" spans="1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C82" s="13"/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E00-000000000000}"/>
  </hyperlink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9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749</v>
      </c>
      <c r="B8" s="6"/>
      <c r="C8" s="6"/>
      <c r="D8" s="6"/>
      <c r="E8" s="14"/>
    </row>
    <row r="9" spans="1:5" x14ac:dyDescent="0.4">
      <c r="A9" s="69" t="s">
        <v>750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241</v>
      </c>
      <c r="D11" s="13">
        <v>438379000</v>
      </c>
      <c r="E11" s="15">
        <v>15.85</v>
      </c>
    </row>
    <row r="12" spans="1:5" x14ac:dyDescent="0.4">
      <c r="A12" t="s">
        <v>80</v>
      </c>
      <c r="B12" t="s">
        <v>81</v>
      </c>
      <c r="C12" s="31">
        <v>1612</v>
      </c>
      <c r="D12" s="13">
        <v>436046000</v>
      </c>
      <c r="E12" s="15">
        <v>15.76</v>
      </c>
    </row>
    <row r="13" spans="1:5" x14ac:dyDescent="0.4">
      <c r="A13" t="s">
        <v>140</v>
      </c>
      <c r="B13" t="s">
        <v>141</v>
      </c>
      <c r="C13" s="13">
        <v>325</v>
      </c>
      <c r="D13" s="13">
        <v>227500000</v>
      </c>
      <c r="E13" s="15">
        <v>8.2200000000000006</v>
      </c>
    </row>
    <row r="14" spans="1:5" x14ac:dyDescent="0.4">
      <c r="A14" t="s">
        <v>188</v>
      </c>
      <c r="B14" t="s">
        <v>189</v>
      </c>
      <c r="C14" s="13">
        <v>125</v>
      </c>
      <c r="D14" s="13">
        <v>137250000</v>
      </c>
      <c r="E14" s="15">
        <v>4.96</v>
      </c>
    </row>
    <row r="15" spans="1:5" x14ac:dyDescent="0.4">
      <c r="A15" t="s">
        <v>19</v>
      </c>
      <c r="B15" t="s">
        <v>20</v>
      </c>
      <c r="C15" s="31">
        <v>486</v>
      </c>
      <c r="D15" s="13">
        <v>125874000</v>
      </c>
      <c r="E15" s="15">
        <v>4.55</v>
      </c>
    </row>
    <row r="16" spans="1:5" x14ac:dyDescent="0.4">
      <c r="A16" t="s">
        <v>73</v>
      </c>
      <c r="B16" t="s">
        <v>74</v>
      </c>
      <c r="C16" s="31">
        <v>98</v>
      </c>
      <c r="D16" s="13">
        <v>119168000</v>
      </c>
      <c r="E16" s="15">
        <v>4.3099999999999996</v>
      </c>
    </row>
    <row r="17" spans="1:5" x14ac:dyDescent="0.4">
      <c r="A17" t="s">
        <v>127</v>
      </c>
      <c r="B17" t="s">
        <v>128</v>
      </c>
      <c r="C17" s="31">
        <v>567</v>
      </c>
      <c r="D17" s="13">
        <v>95256000</v>
      </c>
      <c r="E17" s="15">
        <v>3.44</v>
      </c>
    </row>
    <row r="18" spans="1:5" x14ac:dyDescent="0.4">
      <c r="A18" t="s">
        <v>15</v>
      </c>
      <c r="B18" t="s">
        <v>16</v>
      </c>
      <c r="C18" s="13">
        <v>74</v>
      </c>
      <c r="D18" s="13">
        <v>87246000</v>
      </c>
      <c r="E18" s="15">
        <v>3.15</v>
      </c>
    </row>
    <row r="19" spans="1:5" x14ac:dyDescent="0.4">
      <c r="A19" t="s">
        <v>172</v>
      </c>
      <c r="B19" t="s">
        <v>173</v>
      </c>
      <c r="C19" s="13">
        <v>138</v>
      </c>
      <c r="D19" s="13">
        <v>86802000</v>
      </c>
      <c r="E19" s="15">
        <v>3.14</v>
      </c>
    </row>
    <row r="20" spans="1:5" x14ac:dyDescent="0.4">
      <c r="A20" t="s">
        <v>17</v>
      </c>
      <c r="B20" t="s">
        <v>18</v>
      </c>
      <c r="C20" s="13">
        <v>707</v>
      </c>
      <c r="D20" s="13">
        <v>78335600</v>
      </c>
      <c r="E20" s="15">
        <v>2.83</v>
      </c>
    </row>
    <row r="21" spans="1:5" x14ac:dyDescent="0.4">
      <c r="A21" t="s">
        <v>553</v>
      </c>
      <c r="B21" t="s">
        <v>554</v>
      </c>
      <c r="C21" s="13">
        <v>486</v>
      </c>
      <c r="D21" s="13">
        <v>78294600</v>
      </c>
      <c r="E21" s="15">
        <v>2.83</v>
      </c>
    </row>
    <row r="22" spans="1:5" x14ac:dyDescent="0.4">
      <c r="A22" t="s">
        <v>122</v>
      </c>
      <c r="B22" t="s">
        <v>5175</v>
      </c>
      <c r="C22" s="13">
        <v>93</v>
      </c>
      <c r="D22" s="13">
        <v>77562000</v>
      </c>
      <c r="E22" s="15">
        <v>2.8</v>
      </c>
    </row>
    <row r="23" spans="1:5" x14ac:dyDescent="0.4">
      <c r="A23" t="s">
        <v>236</v>
      </c>
      <c r="B23" t="s">
        <v>237</v>
      </c>
      <c r="C23" s="31">
        <v>85</v>
      </c>
      <c r="D23" s="13">
        <v>68850000</v>
      </c>
      <c r="E23" s="15">
        <v>2.4900000000000002</v>
      </c>
    </row>
    <row r="24" spans="1:5" x14ac:dyDescent="0.4">
      <c r="A24" t="s">
        <v>11</v>
      </c>
      <c r="B24" t="s">
        <v>12</v>
      </c>
      <c r="C24" s="31">
        <v>18</v>
      </c>
      <c r="D24" s="13">
        <v>67410000</v>
      </c>
      <c r="E24" s="15">
        <v>2.44</v>
      </c>
    </row>
    <row r="25" spans="1:5" x14ac:dyDescent="0.4">
      <c r="A25" t="s">
        <v>309</v>
      </c>
      <c r="B25" t="s">
        <v>310</v>
      </c>
      <c r="C25" s="13">
        <v>497</v>
      </c>
      <c r="D25" s="13">
        <v>51837100</v>
      </c>
      <c r="E25" s="15">
        <v>1.87</v>
      </c>
    </row>
    <row r="26" spans="1:5" x14ac:dyDescent="0.4">
      <c r="A26" t="s">
        <v>27</v>
      </c>
      <c r="B26" t="s">
        <v>28</v>
      </c>
      <c r="C26" s="13">
        <v>623</v>
      </c>
      <c r="D26" s="13">
        <v>51646700</v>
      </c>
      <c r="E26" s="15">
        <v>1.87</v>
      </c>
    </row>
    <row r="27" spans="1:5" x14ac:dyDescent="0.4">
      <c r="A27" t="s">
        <v>287</v>
      </c>
      <c r="B27" t="s">
        <v>288</v>
      </c>
      <c r="C27" s="13">
        <v>118</v>
      </c>
      <c r="D27" s="13">
        <v>49206000</v>
      </c>
      <c r="E27" s="15">
        <v>1.78</v>
      </c>
    </row>
    <row r="28" spans="1:5" x14ac:dyDescent="0.4">
      <c r="A28" t="s">
        <v>31</v>
      </c>
      <c r="B28" t="s">
        <v>32</v>
      </c>
      <c r="C28" s="13">
        <v>121</v>
      </c>
      <c r="D28" s="13">
        <v>44649000</v>
      </c>
      <c r="E28" s="15">
        <v>1.61</v>
      </c>
    </row>
    <row r="29" spans="1:5" x14ac:dyDescent="0.4">
      <c r="A29" t="s">
        <v>33</v>
      </c>
      <c r="B29" t="s">
        <v>34</v>
      </c>
      <c r="C29" s="13">
        <v>222</v>
      </c>
      <c r="D29" s="13">
        <v>41913600</v>
      </c>
      <c r="E29" s="15">
        <v>1.52</v>
      </c>
    </row>
    <row r="30" spans="1:5" x14ac:dyDescent="0.4">
      <c r="A30" t="s">
        <v>320</v>
      </c>
      <c r="B30" t="s">
        <v>321</v>
      </c>
      <c r="C30" s="13">
        <v>692</v>
      </c>
      <c r="D30" s="13">
        <v>41520000</v>
      </c>
      <c r="E30" s="15">
        <v>1.5</v>
      </c>
    </row>
    <row r="31" spans="1:5" x14ac:dyDescent="0.4">
      <c r="A31" t="s">
        <v>299</v>
      </c>
      <c r="B31" t="s">
        <v>300</v>
      </c>
      <c r="C31" s="13">
        <v>53</v>
      </c>
      <c r="D31" s="13">
        <v>32542000</v>
      </c>
      <c r="E31" s="15">
        <v>1.18</v>
      </c>
    </row>
    <row r="32" spans="1:5" x14ac:dyDescent="0.4">
      <c r="A32" t="s">
        <v>451</v>
      </c>
      <c r="B32" t="s">
        <v>452</v>
      </c>
      <c r="C32" s="13">
        <v>42</v>
      </c>
      <c r="D32" s="13">
        <v>30744000</v>
      </c>
      <c r="E32" s="15">
        <v>1.1100000000000001</v>
      </c>
    </row>
    <row r="33" spans="1:5" x14ac:dyDescent="0.4">
      <c r="A33" t="s">
        <v>232</v>
      </c>
      <c r="B33" t="s">
        <v>233</v>
      </c>
      <c r="C33" s="13">
        <v>86</v>
      </c>
      <c r="D33" s="13">
        <v>28251000</v>
      </c>
      <c r="E33" s="15">
        <v>1.02</v>
      </c>
    </row>
    <row r="34" spans="1:5" x14ac:dyDescent="0.4">
      <c r="A34" t="s">
        <v>88</v>
      </c>
      <c r="B34" t="s">
        <v>89</v>
      </c>
      <c r="C34" s="13">
        <v>125</v>
      </c>
      <c r="D34" s="13">
        <v>25187500</v>
      </c>
      <c r="E34" s="15">
        <v>0.91</v>
      </c>
    </row>
    <row r="35" spans="1:5" x14ac:dyDescent="0.4">
      <c r="A35" t="s">
        <v>326</v>
      </c>
      <c r="B35" t="s">
        <v>327</v>
      </c>
      <c r="C35" s="13">
        <v>154</v>
      </c>
      <c r="D35" s="13">
        <v>24670800</v>
      </c>
      <c r="E35" s="15">
        <v>0.89</v>
      </c>
    </row>
    <row r="36" spans="1:5" x14ac:dyDescent="0.4">
      <c r="A36" t="s">
        <v>453</v>
      </c>
      <c r="B36" t="s">
        <v>454</v>
      </c>
      <c r="C36" s="13">
        <v>24</v>
      </c>
      <c r="D36" s="13">
        <v>24240000</v>
      </c>
      <c r="E36" s="15">
        <v>0.88</v>
      </c>
    </row>
    <row r="37" spans="1:5" x14ac:dyDescent="0.4">
      <c r="A37" t="s">
        <v>559</v>
      </c>
      <c r="B37" t="s">
        <v>560</v>
      </c>
      <c r="C37" s="13">
        <v>17</v>
      </c>
      <c r="D37" s="13">
        <v>24123000</v>
      </c>
      <c r="E37" s="15">
        <v>0.87</v>
      </c>
    </row>
    <row r="38" spans="1:5" x14ac:dyDescent="0.4">
      <c r="A38" t="s">
        <v>240</v>
      </c>
      <c r="B38" t="s">
        <v>241</v>
      </c>
      <c r="C38" s="13">
        <v>152</v>
      </c>
      <c r="D38" s="13">
        <v>19364800</v>
      </c>
      <c r="E38" s="15">
        <v>0.7</v>
      </c>
    </row>
    <row r="39" spans="1:5" x14ac:dyDescent="0.4">
      <c r="A39" t="s">
        <v>347</v>
      </c>
      <c r="B39" t="s">
        <v>348</v>
      </c>
      <c r="C39">
        <v>139</v>
      </c>
      <c r="D39" s="13">
        <v>17792000</v>
      </c>
      <c r="E39" s="15">
        <v>0.64</v>
      </c>
    </row>
    <row r="40" spans="1:5" x14ac:dyDescent="0.4">
      <c r="A40" t="s">
        <v>166</v>
      </c>
      <c r="B40" t="s">
        <v>167</v>
      </c>
      <c r="C40">
        <v>62</v>
      </c>
      <c r="D40" s="13">
        <v>16709000</v>
      </c>
      <c r="E40" s="15">
        <v>0.6</v>
      </c>
    </row>
    <row r="41" spans="1:5" x14ac:dyDescent="0.4">
      <c r="A41" t="s">
        <v>47</v>
      </c>
      <c r="B41" t="s">
        <v>48</v>
      </c>
      <c r="C41">
        <v>435</v>
      </c>
      <c r="D41" s="13">
        <v>15834000</v>
      </c>
      <c r="E41" s="15">
        <v>0.56999999999999995</v>
      </c>
    </row>
    <row r="42" spans="1:5" x14ac:dyDescent="0.4">
      <c r="A42" t="s">
        <v>35</v>
      </c>
      <c r="B42" t="s">
        <v>36</v>
      </c>
      <c r="C42">
        <v>73</v>
      </c>
      <c r="D42" s="13">
        <v>13972200</v>
      </c>
      <c r="E42" s="15">
        <v>0.51</v>
      </c>
    </row>
    <row r="43" spans="1:5" x14ac:dyDescent="0.4">
      <c r="A43" t="s">
        <v>90</v>
      </c>
      <c r="B43" t="s">
        <v>91</v>
      </c>
      <c r="C43" s="13">
        <v>196</v>
      </c>
      <c r="D43" s="13">
        <v>11505200</v>
      </c>
      <c r="E43" s="15">
        <v>0.42</v>
      </c>
    </row>
    <row r="44" spans="1:5" x14ac:dyDescent="0.4">
      <c r="A44" t="s">
        <v>98</v>
      </c>
      <c r="B44" t="s">
        <v>99</v>
      </c>
      <c r="C44" s="13">
        <v>44</v>
      </c>
      <c r="D44" s="13">
        <v>8954000</v>
      </c>
      <c r="E44" s="15">
        <v>0.32</v>
      </c>
    </row>
    <row r="45" spans="1:5" x14ac:dyDescent="0.4">
      <c r="A45" t="s">
        <v>41</v>
      </c>
      <c r="B45" t="s">
        <v>42</v>
      </c>
      <c r="C45" s="13">
        <v>74</v>
      </c>
      <c r="D45" s="13">
        <v>8828200</v>
      </c>
      <c r="E45" s="15">
        <v>0.32</v>
      </c>
    </row>
    <row r="46" spans="1:5" x14ac:dyDescent="0.4">
      <c r="A46" t="s">
        <v>631</v>
      </c>
      <c r="B46" t="s">
        <v>632</v>
      </c>
      <c r="C46" s="13">
        <v>53</v>
      </c>
      <c r="D46" s="13">
        <v>8586000</v>
      </c>
      <c r="E46" s="15">
        <v>0.31</v>
      </c>
    </row>
    <row r="47" spans="1:5" x14ac:dyDescent="0.4">
      <c r="A47" t="s">
        <v>609</v>
      </c>
      <c r="B47" t="s">
        <v>610</v>
      </c>
      <c r="C47" s="13">
        <v>119</v>
      </c>
      <c r="D47" s="13">
        <v>8401400</v>
      </c>
      <c r="E47" s="15">
        <v>0.3</v>
      </c>
    </row>
    <row r="48" spans="1:5" x14ac:dyDescent="0.4">
      <c r="A48" t="s">
        <v>723</v>
      </c>
      <c r="B48" t="s">
        <v>724</v>
      </c>
      <c r="C48" s="13">
        <v>47</v>
      </c>
      <c r="D48" s="13">
        <v>7411900</v>
      </c>
      <c r="E48" s="15">
        <v>0.27</v>
      </c>
    </row>
    <row r="49" spans="1:5" x14ac:dyDescent="0.4">
      <c r="A49" t="s">
        <v>397</v>
      </c>
      <c r="B49" t="s">
        <v>398</v>
      </c>
      <c r="C49">
        <v>54</v>
      </c>
      <c r="D49" s="13">
        <v>6976800</v>
      </c>
      <c r="E49" s="15">
        <v>0.25</v>
      </c>
    </row>
    <row r="50" spans="1:5" x14ac:dyDescent="0.4">
      <c r="A50" t="s">
        <v>751</v>
      </c>
      <c r="B50" t="s">
        <v>752</v>
      </c>
      <c r="C50" s="13">
        <v>79</v>
      </c>
      <c r="D50" s="13">
        <v>6794000</v>
      </c>
      <c r="E50" s="15">
        <v>0.25</v>
      </c>
    </row>
    <row r="51" spans="1:5" x14ac:dyDescent="0.4">
      <c r="A51" t="s">
        <v>351</v>
      </c>
      <c r="B51" t="s">
        <v>352</v>
      </c>
      <c r="C51" s="13">
        <v>21</v>
      </c>
      <c r="D51" s="13">
        <v>4714500</v>
      </c>
      <c r="E51" s="15">
        <v>0.17</v>
      </c>
    </row>
    <row r="52" spans="1:5" x14ac:dyDescent="0.4">
      <c r="A52" t="s">
        <v>571</v>
      </c>
      <c r="B52" t="s">
        <v>572</v>
      </c>
      <c r="C52" s="13">
        <v>75</v>
      </c>
      <c r="D52" s="13">
        <v>4627500</v>
      </c>
      <c r="E52" s="15">
        <v>0.17</v>
      </c>
    </row>
    <row r="53" spans="1:5" x14ac:dyDescent="0.4">
      <c r="A53" t="s">
        <v>53</v>
      </c>
      <c r="B53" t="s">
        <v>54</v>
      </c>
      <c r="C53" s="13">
        <v>9</v>
      </c>
      <c r="D53" s="13">
        <v>4252500</v>
      </c>
      <c r="E53" s="15">
        <v>0.15</v>
      </c>
    </row>
    <row r="54" spans="1:5" x14ac:dyDescent="0.4">
      <c r="A54" t="s">
        <v>43</v>
      </c>
      <c r="B54" t="s">
        <v>44</v>
      </c>
      <c r="C54" s="13">
        <v>39</v>
      </c>
      <c r="D54" s="13">
        <v>3767400</v>
      </c>
      <c r="E54" s="15">
        <v>0.14000000000000001</v>
      </c>
    </row>
    <row r="55" spans="1:5" x14ac:dyDescent="0.4">
      <c r="B55" t="s">
        <v>10</v>
      </c>
      <c r="C55" s="13">
        <v>3439990</v>
      </c>
      <c r="D55" s="13">
        <v>3439990</v>
      </c>
      <c r="E55" s="15">
        <v>0.12</v>
      </c>
    </row>
    <row r="56" spans="1:5" x14ac:dyDescent="0.4">
      <c r="D56" s="13"/>
    </row>
    <row r="57" spans="1:5" x14ac:dyDescent="0.4"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D60" s="13"/>
    </row>
    <row r="61" spans="1:5" x14ac:dyDescent="0.4">
      <c r="C61" s="13"/>
      <c r="D61" s="13"/>
      <c r="E61" s="15"/>
    </row>
    <row r="62" spans="1:5" x14ac:dyDescent="0.4">
      <c r="C62" s="13"/>
      <c r="D62" s="13"/>
      <c r="E62" s="15"/>
    </row>
    <row r="63" spans="1:5" x14ac:dyDescent="0.4">
      <c r="C63" s="13"/>
      <c r="D63" s="13"/>
      <c r="E63" s="15"/>
    </row>
    <row r="64" spans="1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F00-0000000000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4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457</v>
      </c>
      <c r="B8" s="6"/>
      <c r="C8" s="6"/>
      <c r="D8" s="6"/>
      <c r="E8" s="14"/>
    </row>
    <row r="9" spans="1:7" x14ac:dyDescent="0.4">
      <c r="A9" s="69" t="s">
        <v>524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458</v>
      </c>
      <c r="B11" s="17" t="s">
        <v>459</v>
      </c>
      <c r="C11" s="18">
        <v>1491</v>
      </c>
      <c r="D11" s="18">
        <v>280009800</v>
      </c>
      <c r="E11" s="19">
        <v>23.19</v>
      </c>
      <c r="F11" s="17"/>
      <c r="G11" s="17"/>
    </row>
    <row r="12" spans="1:7" x14ac:dyDescent="0.4">
      <c r="A12" t="s">
        <v>13</v>
      </c>
      <c r="B12" s="17" t="s">
        <v>14</v>
      </c>
      <c r="C12" s="70">
        <v>139</v>
      </c>
      <c r="D12" s="18">
        <v>269660000</v>
      </c>
      <c r="E12" s="19">
        <v>22.33</v>
      </c>
      <c r="F12" s="17"/>
      <c r="G12" s="17"/>
    </row>
    <row r="13" spans="1:7" x14ac:dyDescent="0.4">
      <c r="A13" t="s">
        <v>217</v>
      </c>
      <c r="B13" t="s">
        <v>218</v>
      </c>
      <c r="C13" s="13">
        <v>57</v>
      </c>
      <c r="D13" s="13">
        <v>38304000</v>
      </c>
      <c r="E13" s="15">
        <v>3.17</v>
      </c>
    </row>
    <row r="14" spans="1:7" x14ac:dyDescent="0.4">
      <c r="A14" t="s">
        <v>289</v>
      </c>
      <c r="B14" t="s">
        <v>290</v>
      </c>
      <c r="C14" s="13">
        <v>57</v>
      </c>
      <c r="D14" s="13">
        <v>23655000</v>
      </c>
      <c r="E14" s="15">
        <v>1.96</v>
      </c>
    </row>
    <row r="15" spans="1:7" x14ac:dyDescent="0.4">
      <c r="A15" t="s">
        <v>102</v>
      </c>
      <c r="B15" t="s">
        <v>103</v>
      </c>
      <c r="C15" s="31">
        <v>142</v>
      </c>
      <c r="D15" s="13">
        <v>22123600</v>
      </c>
      <c r="E15" s="15">
        <v>1.83</v>
      </c>
    </row>
    <row r="16" spans="1:7" x14ac:dyDescent="0.4">
      <c r="A16" t="s">
        <v>516</v>
      </c>
      <c r="B16" t="s">
        <v>517</v>
      </c>
      <c r="C16" s="31">
        <v>357</v>
      </c>
      <c r="D16" s="13">
        <v>21562800</v>
      </c>
      <c r="E16" s="15">
        <v>1.79</v>
      </c>
    </row>
    <row r="17" spans="1:7" x14ac:dyDescent="0.4">
      <c r="A17" t="s">
        <v>140</v>
      </c>
      <c r="B17" s="17" t="s">
        <v>141</v>
      </c>
      <c r="C17" s="70">
        <v>32</v>
      </c>
      <c r="D17" s="18">
        <v>21312000</v>
      </c>
      <c r="E17" s="19">
        <v>1.77</v>
      </c>
      <c r="F17" s="17"/>
      <c r="G17" s="17"/>
    </row>
    <row r="18" spans="1:7" x14ac:dyDescent="0.4">
      <c r="A18" t="s">
        <v>118</v>
      </c>
      <c r="B18" t="s">
        <v>119</v>
      </c>
      <c r="C18" s="13">
        <v>81</v>
      </c>
      <c r="D18" s="13">
        <v>20209500</v>
      </c>
      <c r="E18" s="15">
        <v>1.67</v>
      </c>
    </row>
    <row r="19" spans="1:7" x14ac:dyDescent="0.4">
      <c r="A19" t="s">
        <v>82</v>
      </c>
      <c r="B19" t="s">
        <v>83</v>
      </c>
      <c r="C19" s="13">
        <v>44</v>
      </c>
      <c r="D19" s="13">
        <v>18040000</v>
      </c>
      <c r="E19" s="15">
        <v>1.49</v>
      </c>
    </row>
    <row r="20" spans="1:7" x14ac:dyDescent="0.4">
      <c r="A20" t="s">
        <v>188</v>
      </c>
      <c r="B20" t="s">
        <v>189</v>
      </c>
      <c r="C20" s="13">
        <v>15</v>
      </c>
      <c r="D20" s="13">
        <v>17685000</v>
      </c>
      <c r="E20" s="15">
        <v>1.46</v>
      </c>
    </row>
    <row r="21" spans="1:7" x14ac:dyDescent="0.4">
      <c r="A21" t="s">
        <v>759</v>
      </c>
      <c r="B21" t="s">
        <v>760</v>
      </c>
      <c r="C21" s="13">
        <v>825</v>
      </c>
      <c r="D21" s="13">
        <v>17490000</v>
      </c>
      <c r="E21" s="15">
        <v>1.45</v>
      </c>
    </row>
    <row r="22" spans="1:7" x14ac:dyDescent="0.4">
      <c r="A22" t="s">
        <v>453</v>
      </c>
      <c r="B22" s="17" t="s">
        <v>454</v>
      </c>
      <c r="C22" s="18">
        <v>14</v>
      </c>
      <c r="D22" s="18">
        <v>16856000</v>
      </c>
      <c r="E22" s="19">
        <v>1.4</v>
      </c>
      <c r="F22" s="17"/>
      <c r="G22" s="17"/>
    </row>
    <row r="23" spans="1:7" x14ac:dyDescent="0.4">
      <c r="A23" t="s">
        <v>3743</v>
      </c>
      <c r="B23" s="17" t="s">
        <v>3744</v>
      </c>
      <c r="C23" s="70">
        <v>257</v>
      </c>
      <c r="D23" s="18">
        <v>16705000</v>
      </c>
      <c r="E23" s="19">
        <v>1.38</v>
      </c>
      <c r="F23" s="17"/>
      <c r="G23" s="17"/>
    </row>
    <row r="24" spans="1:7" x14ac:dyDescent="0.4">
      <c r="A24" t="s">
        <v>133</v>
      </c>
      <c r="B24" t="s">
        <v>134</v>
      </c>
      <c r="C24" s="31">
        <v>89</v>
      </c>
      <c r="D24" s="13">
        <v>16109000</v>
      </c>
      <c r="E24" s="15">
        <v>1.33</v>
      </c>
    </row>
    <row r="25" spans="1:7" x14ac:dyDescent="0.4">
      <c r="A25" t="s">
        <v>166</v>
      </c>
      <c r="B25" t="s">
        <v>167</v>
      </c>
      <c r="C25" s="13">
        <v>54</v>
      </c>
      <c r="D25" s="13">
        <v>14985000</v>
      </c>
      <c r="E25" s="15">
        <v>1.24</v>
      </c>
    </row>
    <row r="26" spans="1:7" x14ac:dyDescent="0.4">
      <c r="A26" t="s">
        <v>73</v>
      </c>
      <c r="B26" t="s">
        <v>74</v>
      </c>
      <c r="C26" s="13">
        <v>12</v>
      </c>
      <c r="D26" s="13">
        <v>14976000</v>
      </c>
      <c r="E26" s="15">
        <v>1.24</v>
      </c>
    </row>
    <row r="27" spans="1:7" x14ac:dyDescent="0.4">
      <c r="A27" t="s">
        <v>1112</v>
      </c>
      <c r="B27" t="s">
        <v>1113</v>
      </c>
      <c r="C27" s="13">
        <v>956</v>
      </c>
      <c r="D27" s="13">
        <v>13900240</v>
      </c>
      <c r="E27" s="15">
        <v>1.1499999999999999</v>
      </c>
    </row>
    <row r="28" spans="1:7" x14ac:dyDescent="0.4">
      <c r="A28" t="s">
        <v>135</v>
      </c>
      <c r="B28" t="s">
        <v>136</v>
      </c>
      <c r="C28" s="13">
        <v>33</v>
      </c>
      <c r="D28" s="13">
        <v>13810500</v>
      </c>
      <c r="E28" s="15">
        <v>1.1399999999999999</v>
      </c>
    </row>
    <row r="29" spans="1:7" x14ac:dyDescent="0.4">
      <c r="A29" t="s">
        <v>303</v>
      </c>
      <c r="B29" t="s">
        <v>304</v>
      </c>
      <c r="C29" s="13">
        <v>23</v>
      </c>
      <c r="D29" s="13">
        <v>13248000</v>
      </c>
      <c r="E29" s="15">
        <v>1.1000000000000001</v>
      </c>
    </row>
    <row r="30" spans="1:7" x14ac:dyDescent="0.4">
      <c r="A30" t="s">
        <v>757</v>
      </c>
      <c r="B30" t="s">
        <v>758</v>
      </c>
      <c r="C30" s="13">
        <v>101</v>
      </c>
      <c r="D30" s="13">
        <v>12130100</v>
      </c>
      <c r="E30" s="15">
        <v>1</v>
      </c>
    </row>
    <row r="31" spans="1:7" x14ac:dyDescent="0.4">
      <c r="A31" t="s">
        <v>11</v>
      </c>
      <c r="B31" t="s">
        <v>12</v>
      </c>
      <c r="C31" s="13">
        <v>3</v>
      </c>
      <c r="D31" s="13">
        <v>11787000</v>
      </c>
      <c r="E31" s="15">
        <v>0.98</v>
      </c>
    </row>
    <row r="32" spans="1:7" x14ac:dyDescent="0.4">
      <c r="A32" t="s">
        <v>1350</v>
      </c>
      <c r="B32" t="s">
        <v>1351</v>
      </c>
      <c r="C32" s="13">
        <v>546</v>
      </c>
      <c r="D32" s="13">
        <v>11547900</v>
      </c>
      <c r="E32" s="15">
        <v>0.96</v>
      </c>
    </row>
    <row r="33" spans="1:5" x14ac:dyDescent="0.4">
      <c r="A33" t="s">
        <v>108</v>
      </c>
      <c r="B33" t="s">
        <v>109</v>
      </c>
      <c r="C33" s="13">
        <v>31</v>
      </c>
      <c r="D33" s="13">
        <v>11005000</v>
      </c>
      <c r="E33" s="15">
        <v>0.91</v>
      </c>
    </row>
    <row r="34" spans="1:5" x14ac:dyDescent="0.4">
      <c r="A34" t="s">
        <v>78</v>
      </c>
      <c r="B34" t="s">
        <v>79</v>
      </c>
      <c r="C34" s="13">
        <v>8</v>
      </c>
      <c r="D34" s="13">
        <v>10552000</v>
      </c>
      <c r="E34" s="15">
        <v>0.87</v>
      </c>
    </row>
    <row r="35" spans="1:5" x14ac:dyDescent="0.4">
      <c r="A35" t="s">
        <v>1918</v>
      </c>
      <c r="B35" t="s">
        <v>1919</v>
      </c>
      <c r="C35" s="13">
        <v>667</v>
      </c>
      <c r="D35" s="13">
        <v>9864930</v>
      </c>
      <c r="E35" s="15">
        <v>0.82</v>
      </c>
    </row>
    <row r="36" spans="1:5" x14ac:dyDescent="0.4">
      <c r="A36" t="s">
        <v>1892</v>
      </c>
      <c r="B36" t="s">
        <v>1893</v>
      </c>
      <c r="C36" s="13">
        <v>275</v>
      </c>
      <c r="D36" s="13">
        <v>9473750</v>
      </c>
      <c r="E36" s="15">
        <v>0.78</v>
      </c>
    </row>
    <row r="37" spans="1:5" x14ac:dyDescent="0.4">
      <c r="A37" t="s">
        <v>17</v>
      </c>
      <c r="B37" t="s">
        <v>18</v>
      </c>
      <c r="C37" s="13">
        <v>76</v>
      </c>
      <c r="D37" s="13">
        <v>8238400</v>
      </c>
      <c r="E37" s="15">
        <v>0.68</v>
      </c>
    </row>
    <row r="38" spans="1:5" x14ac:dyDescent="0.4">
      <c r="A38" t="s">
        <v>653</v>
      </c>
      <c r="B38" t="s">
        <v>654</v>
      </c>
      <c r="C38" s="13">
        <v>79</v>
      </c>
      <c r="D38" s="13">
        <v>8121200</v>
      </c>
      <c r="E38" s="15">
        <v>0.67</v>
      </c>
    </row>
    <row r="39" spans="1:5" x14ac:dyDescent="0.4">
      <c r="A39" t="s">
        <v>112</v>
      </c>
      <c r="B39" t="s">
        <v>113</v>
      </c>
      <c r="C39" s="13">
        <v>67</v>
      </c>
      <c r="D39" s="13">
        <v>7999800</v>
      </c>
      <c r="E39" s="15">
        <v>0.66</v>
      </c>
    </row>
    <row r="40" spans="1:5" x14ac:dyDescent="0.4">
      <c r="A40" t="s">
        <v>15</v>
      </c>
      <c r="B40" t="s">
        <v>16</v>
      </c>
      <c r="C40" s="13">
        <v>7</v>
      </c>
      <c r="D40" s="13">
        <v>7952000</v>
      </c>
      <c r="E40" s="15">
        <v>0.66</v>
      </c>
    </row>
    <row r="41" spans="1:5" x14ac:dyDescent="0.4">
      <c r="A41" t="s">
        <v>168</v>
      </c>
      <c r="B41" t="s">
        <v>169</v>
      </c>
      <c r="C41" s="13">
        <v>498</v>
      </c>
      <c r="D41" s="13">
        <v>7664220</v>
      </c>
      <c r="E41" s="15">
        <v>0.63</v>
      </c>
    </row>
    <row r="42" spans="1:5" x14ac:dyDescent="0.4">
      <c r="A42" t="s">
        <v>142</v>
      </c>
      <c r="B42" t="s">
        <v>143</v>
      </c>
      <c r="C42" s="13">
        <v>45</v>
      </c>
      <c r="D42" s="13">
        <v>7659000</v>
      </c>
      <c r="E42" s="15">
        <v>0.63</v>
      </c>
    </row>
    <row r="43" spans="1:5" x14ac:dyDescent="0.4">
      <c r="A43" t="s">
        <v>104</v>
      </c>
      <c r="B43" t="s">
        <v>105</v>
      </c>
      <c r="C43" s="13">
        <v>13</v>
      </c>
      <c r="D43" s="13">
        <v>7358000</v>
      </c>
      <c r="E43" s="15">
        <v>0.61</v>
      </c>
    </row>
    <row r="44" spans="1:5" x14ac:dyDescent="0.4">
      <c r="A44" t="s">
        <v>328</v>
      </c>
      <c r="B44" t="s">
        <v>329</v>
      </c>
      <c r="C44" s="13">
        <v>44</v>
      </c>
      <c r="D44" s="13">
        <v>7176400</v>
      </c>
      <c r="E44" s="15">
        <v>0.59</v>
      </c>
    </row>
    <row r="45" spans="1:5" x14ac:dyDescent="0.4">
      <c r="A45" t="s">
        <v>194</v>
      </c>
      <c r="B45" t="s">
        <v>195</v>
      </c>
      <c r="C45" s="13">
        <v>341</v>
      </c>
      <c r="D45" s="13">
        <v>7161000</v>
      </c>
      <c r="E45" s="15">
        <v>0.59</v>
      </c>
    </row>
    <row r="46" spans="1:5" x14ac:dyDescent="0.4">
      <c r="A46" t="s">
        <v>146</v>
      </c>
      <c r="B46" t="s">
        <v>147</v>
      </c>
      <c r="C46" s="13">
        <v>27</v>
      </c>
      <c r="D46" s="13">
        <v>6966000</v>
      </c>
      <c r="E46" s="15">
        <v>0.57999999999999996</v>
      </c>
    </row>
    <row r="47" spans="1:5" x14ac:dyDescent="0.4">
      <c r="A47" t="s">
        <v>309</v>
      </c>
      <c r="B47" t="s">
        <v>310</v>
      </c>
      <c r="C47" s="13">
        <v>66</v>
      </c>
      <c r="D47" s="13">
        <v>6850800</v>
      </c>
      <c r="E47" s="15">
        <v>0.56999999999999995</v>
      </c>
    </row>
    <row r="48" spans="1:5" x14ac:dyDescent="0.4">
      <c r="A48" t="s">
        <v>316</v>
      </c>
      <c r="B48" t="s">
        <v>317</v>
      </c>
      <c r="C48">
        <v>89</v>
      </c>
      <c r="D48" s="13">
        <v>6710600</v>
      </c>
      <c r="E48" s="15">
        <v>0.56000000000000005</v>
      </c>
    </row>
    <row r="49" spans="1:5" x14ac:dyDescent="0.4">
      <c r="A49" t="s">
        <v>455</v>
      </c>
      <c r="B49" t="s">
        <v>456</v>
      </c>
      <c r="C49" s="13">
        <v>55</v>
      </c>
      <c r="D49" s="13">
        <v>6589000</v>
      </c>
      <c r="E49" s="15">
        <v>0.55000000000000004</v>
      </c>
    </row>
    <row r="50" spans="1:5" x14ac:dyDescent="0.4">
      <c r="A50" t="s">
        <v>729</v>
      </c>
      <c r="B50" t="s">
        <v>730</v>
      </c>
      <c r="C50" s="13">
        <v>4720</v>
      </c>
      <c r="D50" s="13">
        <v>6584400</v>
      </c>
      <c r="E50" s="15">
        <v>0.55000000000000004</v>
      </c>
    </row>
    <row r="51" spans="1:5" x14ac:dyDescent="0.4">
      <c r="A51" t="s">
        <v>174</v>
      </c>
      <c r="B51" t="s">
        <v>175</v>
      </c>
      <c r="C51" s="13">
        <v>42</v>
      </c>
      <c r="D51" s="13">
        <v>6526800</v>
      </c>
      <c r="E51" s="15">
        <v>0.54</v>
      </c>
    </row>
    <row r="52" spans="1:5" x14ac:dyDescent="0.4">
      <c r="A52" t="s">
        <v>92</v>
      </c>
      <c r="B52" t="s">
        <v>93</v>
      </c>
      <c r="C52" s="13">
        <v>4</v>
      </c>
      <c r="D52" s="13">
        <v>6400000</v>
      </c>
      <c r="E52" s="15">
        <v>0.53</v>
      </c>
    </row>
    <row r="53" spans="1:5" x14ac:dyDescent="0.4">
      <c r="A53" t="s">
        <v>182</v>
      </c>
      <c r="B53" t="s">
        <v>183</v>
      </c>
      <c r="C53" s="13">
        <v>94</v>
      </c>
      <c r="D53" s="13">
        <v>6298000</v>
      </c>
      <c r="E53" s="15">
        <v>0.52</v>
      </c>
    </row>
    <row r="54" spans="1:5" x14ac:dyDescent="0.4">
      <c r="A54" t="s">
        <v>466</v>
      </c>
      <c r="B54" t="s">
        <v>467</v>
      </c>
      <c r="C54" s="13">
        <v>190</v>
      </c>
      <c r="D54" s="13">
        <v>6279500</v>
      </c>
      <c r="E54" s="15">
        <v>0.52</v>
      </c>
    </row>
    <row r="55" spans="1:5" x14ac:dyDescent="0.4">
      <c r="A55" t="s">
        <v>122</v>
      </c>
      <c r="B55" t="s">
        <v>5175</v>
      </c>
      <c r="C55" s="13">
        <v>7</v>
      </c>
      <c r="D55" s="13">
        <v>6034000</v>
      </c>
      <c r="E55" s="15">
        <v>0.5</v>
      </c>
    </row>
    <row r="56" spans="1:5" x14ac:dyDescent="0.4">
      <c r="A56" t="s">
        <v>3049</v>
      </c>
      <c r="B56" t="s">
        <v>3050</v>
      </c>
      <c r="C56" s="13">
        <v>175</v>
      </c>
      <c r="D56" s="13">
        <v>5897500</v>
      </c>
      <c r="E56" s="15">
        <v>0.49</v>
      </c>
    </row>
    <row r="57" spans="1:5" x14ac:dyDescent="0.4">
      <c r="A57" t="s">
        <v>1317</v>
      </c>
      <c r="B57" t="s">
        <v>1318</v>
      </c>
      <c r="C57">
        <v>131</v>
      </c>
      <c r="D57" s="13">
        <v>5803300</v>
      </c>
      <c r="E57" s="15">
        <v>0.48</v>
      </c>
    </row>
    <row r="58" spans="1:5" x14ac:dyDescent="0.4">
      <c r="A58" t="s">
        <v>1699</v>
      </c>
      <c r="B58" t="s">
        <v>1700</v>
      </c>
      <c r="C58">
        <v>23</v>
      </c>
      <c r="D58" s="13">
        <v>5784500</v>
      </c>
      <c r="E58" s="15">
        <v>0.48</v>
      </c>
    </row>
    <row r="59" spans="1:5" x14ac:dyDescent="0.4">
      <c r="A59" t="s">
        <v>150</v>
      </c>
      <c r="B59" t="s">
        <v>151</v>
      </c>
      <c r="C59">
        <v>69</v>
      </c>
      <c r="D59" s="13">
        <v>5733900</v>
      </c>
      <c r="E59" s="15">
        <v>0.47</v>
      </c>
    </row>
    <row r="60" spans="1:5" x14ac:dyDescent="0.4">
      <c r="A60" t="s">
        <v>148</v>
      </c>
      <c r="B60" t="s">
        <v>149</v>
      </c>
      <c r="C60" s="13">
        <v>11</v>
      </c>
      <c r="D60" s="13">
        <v>5731000</v>
      </c>
      <c r="E60" s="15">
        <v>0.47</v>
      </c>
    </row>
    <row r="61" spans="1:5" x14ac:dyDescent="0.4">
      <c r="A61" t="s">
        <v>559</v>
      </c>
      <c r="B61" t="s">
        <v>560</v>
      </c>
      <c r="C61" s="13">
        <v>4</v>
      </c>
      <c r="D61" s="13">
        <v>5580000</v>
      </c>
      <c r="E61" s="15">
        <v>0.46</v>
      </c>
    </row>
    <row r="62" spans="1:5" x14ac:dyDescent="0.4">
      <c r="A62" t="s">
        <v>63</v>
      </c>
      <c r="B62" t="s">
        <v>64</v>
      </c>
      <c r="C62">
        <v>12</v>
      </c>
      <c r="D62" s="13">
        <v>4794000</v>
      </c>
      <c r="E62" s="15">
        <v>0.4</v>
      </c>
    </row>
    <row r="63" spans="1:5" x14ac:dyDescent="0.4">
      <c r="A63" t="s">
        <v>53</v>
      </c>
      <c r="B63" t="s">
        <v>54</v>
      </c>
      <c r="C63" s="13">
        <v>10</v>
      </c>
      <c r="D63" s="13">
        <v>4365000</v>
      </c>
      <c r="E63" s="15">
        <v>0.36</v>
      </c>
    </row>
    <row r="64" spans="1:5" x14ac:dyDescent="0.4">
      <c r="A64" t="s">
        <v>473</v>
      </c>
      <c r="B64" t="s">
        <v>474</v>
      </c>
      <c r="C64" s="13">
        <v>351</v>
      </c>
      <c r="D64" s="13">
        <v>4187430</v>
      </c>
      <c r="E64" s="15">
        <v>0.35</v>
      </c>
    </row>
    <row r="65" spans="1:5" x14ac:dyDescent="0.4">
      <c r="A65" t="s">
        <v>2043</v>
      </c>
      <c r="B65" t="s">
        <v>2044</v>
      </c>
      <c r="C65" s="13">
        <v>778</v>
      </c>
      <c r="D65" s="13">
        <v>4177860</v>
      </c>
      <c r="E65" s="15">
        <v>0.35</v>
      </c>
    </row>
    <row r="66" spans="1:5" x14ac:dyDescent="0.4">
      <c r="A66" t="s">
        <v>307</v>
      </c>
      <c r="B66" t="s">
        <v>308</v>
      </c>
      <c r="C66" s="13">
        <v>18</v>
      </c>
      <c r="D66" s="13">
        <v>4176000</v>
      </c>
      <c r="E66" s="15">
        <v>0.35</v>
      </c>
    </row>
    <row r="67" spans="1:5" x14ac:dyDescent="0.4">
      <c r="A67" t="s">
        <v>106</v>
      </c>
      <c r="B67" t="s">
        <v>107</v>
      </c>
      <c r="C67" s="13">
        <v>37</v>
      </c>
      <c r="D67" s="13">
        <v>4029300</v>
      </c>
      <c r="E67" s="15">
        <v>0.33</v>
      </c>
    </row>
    <row r="68" spans="1:5" x14ac:dyDescent="0.4">
      <c r="A68" t="s">
        <v>639</v>
      </c>
      <c r="B68" t="s">
        <v>640</v>
      </c>
      <c r="C68">
        <v>98</v>
      </c>
      <c r="D68" s="13">
        <v>3826900</v>
      </c>
      <c r="E68" s="15">
        <v>0.32</v>
      </c>
    </row>
    <row r="69" spans="1:5" x14ac:dyDescent="0.4">
      <c r="A69" t="s">
        <v>123</v>
      </c>
      <c r="B69" t="s">
        <v>124</v>
      </c>
      <c r="C69">
        <v>145</v>
      </c>
      <c r="D69" s="13">
        <v>3632250</v>
      </c>
      <c r="E69" s="15">
        <v>0.3</v>
      </c>
    </row>
    <row r="70" spans="1:5" x14ac:dyDescent="0.4">
      <c r="A70" t="s">
        <v>291</v>
      </c>
      <c r="B70" t="s">
        <v>292</v>
      </c>
      <c r="C70">
        <v>83</v>
      </c>
      <c r="D70" s="13">
        <v>3369800</v>
      </c>
      <c r="E70" s="15">
        <v>0.28000000000000003</v>
      </c>
    </row>
    <row r="71" spans="1:5" x14ac:dyDescent="0.4">
      <c r="A71" t="s">
        <v>539</v>
      </c>
      <c r="B71" t="s">
        <v>540</v>
      </c>
      <c r="C71">
        <v>41</v>
      </c>
      <c r="D71" s="13">
        <v>3329200</v>
      </c>
      <c r="E71" s="15">
        <v>0.28000000000000003</v>
      </c>
    </row>
    <row r="72" spans="1:5" x14ac:dyDescent="0.4">
      <c r="A72" t="s">
        <v>23</v>
      </c>
      <c r="B72" t="s">
        <v>24</v>
      </c>
      <c r="C72">
        <v>58</v>
      </c>
      <c r="D72" s="13">
        <v>3137800</v>
      </c>
      <c r="E72" s="15">
        <v>0.26</v>
      </c>
    </row>
    <row r="73" spans="1:5" x14ac:dyDescent="0.4">
      <c r="A73" t="s">
        <v>595</v>
      </c>
      <c r="B73" t="s">
        <v>596</v>
      </c>
      <c r="C73">
        <v>37</v>
      </c>
      <c r="D73" s="13">
        <v>3133900</v>
      </c>
      <c r="E73" s="15">
        <v>0.26</v>
      </c>
    </row>
    <row r="74" spans="1:5" x14ac:dyDescent="0.4">
      <c r="A74" t="s">
        <v>324</v>
      </c>
      <c r="B74" t="s">
        <v>325</v>
      </c>
      <c r="C74">
        <v>11</v>
      </c>
      <c r="D74" s="13">
        <v>3085500</v>
      </c>
      <c r="E74" s="15">
        <v>0.26</v>
      </c>
    </row>
    <row r="75" spans="1:5" x14ac:dyDescent="0.4">
      <c r="A75" t="s">
        <v>154</v>
      </c>
      <c r="B75" t="s">
        <v>155</v>
      </c>
      <c r="C75">
        <v>39</v>
      </c>
      <c r="D75" s="13">
        <v>3018600</v>
      </c>
      <c r="E75" s="15">
        <v>0.25</v>
      </c>
    </row>
    <row r="76" spans="1:5" x14ac:dyDescent="0.4">
      <c r="A76" t="s">
        <v>21</v>
      </c>
      <c r="B76" t="s">
        <v>22</v>
      </c>
      <c r="C76">
        <v>20</v>
      </c>
      <c r="D76" s="13">
        <v>2942000</v>
      </c>
      <c r="E76" s="15">
        <v>0.24</v>
      </c>
    </row>
    <row r="77" spans="1:5" x14ac:dyDescent="0.4">
      <c r="A77" t="s">
        <v>100</v>
      </c>
      <c r="B77" t="s">
        <v>101</v>
      </c>
      <c r="C77">
        <v>90</v>
      </c>
      <c r="D77" s="13">
        <v>2871000</v>
      </c>
      <c r="E77" s="15">
        <v>0.24</v>
      </c>
    </row>
    <row r="78" spans="1:5" x14ac:dyDescent="0.4">
      <c r="A78" t="s">
        <v>553</v>
      </c>
      <c r="B78" t="s">
        <v>554</v>
      </c>
      <c r="C78" s="13">
        <v>17</v>
      </c>
      <c r="D78" s="13">
        <v>2796500</v>
      </c>
      <c r="E78" s="15">
        <v>0.23</v>
      </c>
    </row>
    <row r="79" spans="1:5" x14ac:dyDescent="0.4">
      <c r="A79" t="s">
        <v>3301</v>
      </c>
      <c r="B79" t="s">
        <v>3302</v>
      </c>
      <c r="C79" s="13">
        <v>49</v>
      </c>
      <c r="D79" s="13">
        <v>2744000</v>
      </c>
      <c r="E79" s="15">
        <v>0.23</v>
      </c>
    </row>
    <row r="80" spans="1:5" x14ac:dyDescent="0.4">
      <c r="A80" t="s">
        <v>641</v>
      </c>
      <c r="B80" t="s">
        <v>642</v>
      </c>
      <c r="C80" s="13">
        <v>109</v>
      </c>
      <c r="D80" s="13">
        <v>2692300</v>
      </c>
      <c r="E80" s="15">
        <v>0.22</v>
      </c>
    </row>
    <row r="81" spans="1:5" x14ac:dyDescent="0.4">
      <c r="A81" t="s">
        <v>727</v>
      </c>
      <c r="B81" t="s">
        <v>728</v>
      </c>
      <c r="C81">
        <v>86</v>
      </c>
      <c r="D81" s="13">
        <v>2485400</v>
      </c>
      <c r="E81" s="15">
        <v>0.21</v>
      </c>
    </row>
    <row r="82" spans="1:5" x14ac:dyDescent="0.4">
      <c r="A82" t="s">
        <v>279</v>
      </c>
      <c r="B82" t="s">
        <v>280</v>
      </c>
      <c r="C82" s="13">
        <v>206</v>
      </c>
      <c r="D82" s="13">
        <v>2445220</v>
      </c>
      <c r="E82" s="15">
        <v>0.2</v>
      </c>
    </row>
    <row r="83" spans="1:5" x14ac:dyDescent="0.4">
      <c r="A83" t="s">
        <v>2588</v>
      </c>
      <c r="B83" t="s">
        <v>2589</v>
      </c>
      <c r="C83" s="13">
        <v>47</v>
      </c>
      <c r="D83" s="13">
        <v>2136150</v>
      </c>
      <c r="E83" s="15">
        <v>0.18</v>
      </c>
    </row>
    <row r="84" spans="1:5" x14ac:dyDescent="0.4">
      <c r="A84" t="s">
        <v>611</v>
      </c>
      <c r="B84" t="s">
        <v>612</v>
      </c>
      <c r="C84" s="13">
        <v>80</v>
      </c>
      <c r="D84" s="13">
        <v>2116000</v>
      </c>
      <c r="E84" s="15">
        <v>0.18</v>
      </c>
    </row>
    <row r="85" spans="1:5" x14ac:dyDescent="0.4">
      <c r="A85" t="s">
        <v>347</v>
      </c>
      <c r="B85" t="s">
        <v>348</v>
      </c>
      <c r="C85" s="13">
        <v>12</v>
      </c>
      <c r="D85" s="13">
        <v>1533600</v>
      </c>
      <c r="E85" s="15">
        <v>0.13</v>
      </c>
    </row>
    <row r="86" spans="1:5" x14ac:dyDescent="0.4">
      <c r="A86" t="s">
        <v>617</v>
      </c>
      <c r="B86" t="s">
        <v>618</v>
      </c>
      <c r="C86" s="13">
        <v>22</v>
      </c>
      <c r="D86" s="13">
        <v>1474000</v>
      </c>
      <c r="E86" s="15">
        <v>0.12</v>
      </c>
    </row>
    <row r="87" spans="1:5" x14ac:dyDescent="0.4">
      <c r="A87" t="s">
        <v>544</v>
      </c>
      <c r="B87" t="s">
        <v>668</v>
      </c>
      <c r="C87" s="13">
        <v>9</v>
      </c>
      <c r="D87" s="13">
        <v>1433700</v>
      </c>
      <c r="E87" s="15">
        <v>0.12</v>
      </c>
    </row>
    <row r="88" spans="1:5" x14ac:dyDescent="0.4">
      <c r="A88" t="s">
        <v>701</v>
      </c>
      <c r="B88" t="s">
        <v>702</v>
      </c>
      <c r="C88" s="13">
        <v>22</v>
      </c>
      <c r="D88" s="13">
        <v>1203400</v>
      </c>
      <c r="E88" s="15">
        <v>0.1</v>
      </c>
    </row>
    <row r="89" spans="1:5" x14ac:dyDescent="0.4">
      <c r="B89" t="s">
        <v>10</v>
      </c>
      <c r="C89" s="13">
        <v>10178268</v>
      </c>
      <c r="D89" s="13">
        <v>10178268</v>
      </c>
      <c r="E89" s="15">
        <v>0.84</v>
      </c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000-000000000000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464</v>
      </c>
      <c r="B8" s="6"/>
      <c r="C8" s="6"/>
      <c r="D8" s="6"/>
      <c r="E8" s="14"/>
    </row>
    <row r="9" spans="1:5" x14ac:dyDescent="0.4">
      <c r="A9" s="69" t="s">
        <v>524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458</v>
      </c>
      <c r="B11" t="s">
        <v>459</v>
      </c>
      <c r="C11" s="13">
        <v>1521</v>
      </c>
      <c r="D11" s="13">
        <v>272867400</v>
      </c>
      <c r="E11" s="15">
        <v>23.11</v>
      </c>
    </row>
    <row r="12" spans="1:5" x14ac:dyDescent="0.4">
      <c r="A12" t="s">
        <v>13</v>
      </c>
      <c r="B12" t="s">
        <v>14</v>
      </c>
      <c r="C12" s="31">
        <v>139</v>
      </c>
      <c r="D12" s="13">
        <v>252841000</v>
      </c>
      <c r="E12" s="15">
        <v>21.41</v>
      </c>
    </row>
    <row r="13" spans="1:5" x14ac:dyDescent="0.4">
      <c r="A13" t="s">
        <v>217</v>
      </c>
      <c r="B13" t="s">
        <v>218</v>
      </c>
      <c r="C13" s="13">
        <v>57</v>
      </c>
      <c r="D13" s="13">
        <v>36480000</v>
      </c>
      <c r="E13" s="15">
        <v>3.09</v>
      </c>
    </row>
    <row r="14" spans="1:5" x14ac:dyDescent="0.4">
      <c r="A14" t="s">
        <v>516</v>
      </c>
      <c r="B14" t="s">
        <v>517</v>
      </c>
      <c r="C14" s="13">
        <v>357</v>
      </c>
      <c r="D14" s="13">
        <v>24990000</v>
      </c>
      <c r="E14" s="15">
        <v>2.12</v>
      </c>
    </row>
    <row r="15" spans="1:5" x14ac:dyDescent="0.4">
      <c r="A15" t="s">
        <v>289</v>
      </c>
      <c r="B15" t="s">
        <v>290</v>
      </c>
      <c r="C15" s="31">
        <v>57</v>
      </c>
      <c r="D15" s="13">
        <v>23712000</v>
      </c>
      <c r="E15" s="15">
        <v>2.0099999999999998</v>
      </c>
    </row>
    <row r="16" spans="1:5" x14ac:dyDescent="0.4">
      <c r="A16" t="s">
        <v>140</v>
      </c>
      <c r="B16" t="s">
        <v>141</v>
      </c>
      <c r="C16" s="31">
        <v>32</v>
      </c>
      <c r="D16" s="13">
        <v>22400000</v>
      </c>
      <c r="E16" s="15">
        <v>1.9</v>
      </c>
    </row>
    <row r="17" spans="1:5" x14ac:dyDescent="0.4">
      <c r="A17" t="s">
        <v>118</v>
      </c>
      <c r="B17" t="s">
        <v>119</v>
      </c>
      <c r="C17" s="31">
        <v>81</v>
      </c>
      <c r="D17" s="13">
        <v>20898000</v>
      </c>
      <c r="E17" s="15">
        <v>1.77</v>
      </c>
    </row>
    <row r="18" spans="1:5" x14ac:dyDescent="0.4">
      <c r="A18" t="s">
        <v>1918</v>
      </c>
      <c r="B18" t="s">
        <v>1919</v>
      </c>
      <c r="C18" s="13">
        <v>1418</v>
      </c>
      <c r="D18" s="13">
        <v>20277400</v>
      </c>
      <c r="E18" s="15">
        <v>1.72</v>
      </c>
    </row>
    <row r="19" spans="1:5" x14ac:dyDescent="0.4">
      <c r="A19" t="s">
        <v>759</v>
      </c>
      <c r="B19" t="s">
        <v>760</v>
      </c>
      <c r="C19" s="13">
        <v>825</v>
      </c>
      <c r="D19" s="13">
        <v>18067500</v>
      </c>
      <c r="E19" s="15">
        <v>1.53</v>
      </c>
    </row>
    <row r="20" spans="1:5" x14ac:dyDescent="0.4">
      <c r="A20" t="s">
        <v>82</v>
      </c>
      <c r="B20" t="s">
        <v>83</v>
      </c>
      <c r="C20" s="13">
        <v>44</v>
      </c>
      <c r="D20" s="13">
        <v>17424000</v>
      </c>
      <c r="E20" s="15">
        <v>1.48</v>
      </c>
    </row>
    <row r="21" spans="1:5" x14ac:dyDescent="0.4">
      <c r="A21" t="s">
        <v>102</v>
      </c>
      <c r="B21" t="s">
        <v>103</v>
      </c>
      <c r="C21" s="13">
        <v>111</v>
      </c>
      <c r="D21" s="13">
        <v>17271600</v>
      </c>
      <c r="E21" s="15">
        <v>1.46</v>
      </c>
    </row>
    <row r="22" spans="1:5" x14ac:dyDescent="0.4">
      <c r="A22" t="s">
        <v>188</v>
      </c>
      <c r="B22" t="s">
        <v>189</v>
      </c>
      <c r="C22" s="13">
        <v>15</v>
      </c>
      <c r="D22" s="13">
        <v>16470000</v>
      </c>
      <c r="E22" s="15">
        <v>1.39</v>
      </c>
    </row>
    <row r="23" spans="1:5" x14ac:dyDescent="0.4">
      <c r="A23" t="s">
        <v>133</v>
      </c>
      <c r="B23" t="s">
        <v>134</v>
      </c>
      <c r="C23" s="31">
        <v>89</v>
      </c>
      <c r="D23" s="13">
        <v>16002200</v>
      </c>
      <c r="E23" s="15">
        <v>1.36</v>
      </c>
    </row>
    <row r="24" spans="1:5" x14ac:dyDescent="0.4">
      <c r="A24" t="s">
        <v>3743</v>
      </c>
      <c r="B24" t="s">
        <v>3744</v>
      </c>
      <c r="C24" s="31">
        <v>257</v>
      </c>
      <c r="D24" s="13">
        <v>15188700</v>
      </c>
      <c r="E24" s="15">
        <v>1.29</v>
      </c>
    </row>
    <row r="25" spans="1:5" x14ac:dyDescent="0.4">
      <c r="A25" t="s">
        <v>11</v>
      </c>
      <c r="B25" t="s">
        <v>12</v>
      </c>
      <c r="C25" s="13">
        <v>4</v>
      </c>
      <c r="D25" s="13">
        <v>14980000</v>
      </c>
      <c r="E25" s="15">
        <v>1.27</v>
      </c>
    </row>
    <row r="26" spans="1:5" x14ac:dyDescent="0.4">
      <c r="A26" t="s">
        <v>166</v>
      </c>
      <c r="B26" t="s">
        <v>167</v>
      </c>
      <c r="C26" s="13">
        <v>54</v>
      </c>
      <c r="D26" s="13">
        <v>14553000</v>
      </c>
      <c r="E26" s="15">
        <v>1.23</v>
      </c>
    </row>
    <row r="27" spans="1:5" x14ac:dyDescent="0.4">
      <c r="A27" t="s">
        <v>453</v>
      </c>
      <c r="B27" t="s">
        <v>454</v>
      </c>
      <c r="C27" s="13">
        <v>14</v>
      </c>
      <c r="D27" s="13">
        <v>14140000</v>
      </c>
      <c r="E27" s="15">
        <v>1.2</v>
      </c>
    </row>
    <row r="28" spans="1:5" x14ac:dyDescent="0.4">
      <c r="A28" t="s">
        <v>135</v>
      </c>
      <c r="B28" t="s">
        <v>136</v>
      </c>
      <c r="C28" s="13">
        <v>33</v>
      </c>
      <c r="D28" s="13">
        <v>13084500</v>
      </c>
      <c r="E28" s="15">
        <v>1.1100000000000001</v>
      </c>
    </row>
    <row r="29" spans="1:5" x14ac:dyDescent="0.4">
      <c r="A29" t="s">
        <v>1350</v>
      </c>
      <c r="B29" t="s">
        <v>1351</v>
      </c>
      <c r="C29" s="13">
        <v>663</v>
      </c>
      <c r="D29" s="13">
        <v>12444510</v>
      </c>
      <c r="E29" s="15">
        <v>1.05</v>
      </c>
    </row>
    <row r="30" spans="1:5" x14ac:dyDescent="0.4">
      <c r="A30" t="s">
        <v>757</v>
      </c>
      <c r="B30" t="s">
        <v>758</v>
      </c>
      <c r="C30" s="13">
        <v>101</v>
      </c>
      <c r="D30" s="13">
        <v>11928100</v>
      </c>
      <c r="E30" s="15">
        <v>1.01</v>
      </c>
    </row>
    <row r="31" spans="1:5" x14ac:dyDescent="0.4">
      <c r="A31" t="s">
        <v>303</v>
      </c>
      <c r="B31" t="s">
        <v>304</v>
      </c>
      <c r="C31" s="13">
        <v>23</v>
      </c>
      <c r="D31" s="13">
        <v>11569000</v>
      </c>
      <c r="E31" s="15">
        <v>0.98</v>
      </c>
    </row>
    <row r="32" spans="1:5" x14ac:dyDescent="0.4">
      <c r="A32" t="s">
        <v>78</v>
      </c>
      <c r="B32" t="s">
        <v>79</v>
      </c>
      <c r="C32" s="13">
        <v>8</v>
      </c>
      <c r="D32" s="13">
        <v>11552000</v>
      </c>
      <c r="E32" s="15">
        <v>0.98</v>
      </c>
    </row>
    <row r="33" spans="1:5" x14ac:dyDescent="0.4">
      <c r="A33" t="s">
        <v>1892</v>
      </c>
      <c r="B33" t="s">
        <v>1893</v>
      </c>
      <c r="C33">
        <v>275</v>
      </c>
      <c r="D33" s="13">
        <v>10285000</v>
      </c>
      <c r="E33" s="15">
        <v>0.87</v>
      </c>
    </row>
    <row r="34" spans="1:5" x14ac:dyDescent="0.4">
      <c r="A34" t="s">
        <v>142</v>
      </c>
      <c r="B34" t="s">
        <v>143</v>
      </c>
      <c r="C34" s="13">
        <v>45</v>
      </c>
      <c r="D34" s="13">
        <v>9765000</v>
      </c>
      <c r="E34" s="15">
        <v>0.83</v>
      </c>
    </row>
    <row r="35" spans="1:5" x14ac:dyDescent="0.4">
      <c r="A35" t="s">
        <v>73</v>
      </c>
      <c r="B35" t="s">
        <v>74</v>
      </c>
      <c r="C35" s="13">
        <v>8</v>
      </c>
      <c r="D35" s="13">
        <v>9728000</v>
      </c>
      <c r="E35" s="15">
        <v>0.82</v>
      </c>
    </row>
    <row r="36" spans="1:5" x14ac:dyDescent="0.4">
      <c r="A36" t="s">
        <v>108</v>
      </c>
      <c r="B36" t="s">
        <v>109</v>
      </c>
      <c r="C36" s="13">
        <v>31</v>
      </c>
      <c r="D36" s="13">
        <v>9610000</v>
      </c>
      <c r="E36" s="15">
        <v>0.81</v>
      </c>
    </row>
    <row r="37" spans="1:5" x14ac:dyDescent="0.4">
      <c r="A37" t="s">
        <v>17</v>
      </c>
      <c r="B37" t="s">
        <v>18</v>
      </c>
      <c r="C37" s="13">
        <v>76</v>
      </c>
      <c r="D37" s="13">
        <v>8420800</v>
      </c>
      <c r="E37" s="15">
        <v>0.71</v>
      </c>
    </row>
    <row r="38" spans="1:5" x14ac:dyDescent="0.4">
      <c r="A38" t="s">
        <v>15</v>
      </c>
      <c r="B38" t="s">
        <v>16</v>
      </c>
      <c r="C38" s="13">
        <v>7</v>
      </c>
      <c r="D38" s="13">
        <v>8253000</v>
      </c>
      <c r="E38" s="15">
        <v>0.7</v>
      </c>
    </row>
    <row r="39" spans="1:5" x14ac:dyDescent="0.4">
      <c r="A39" t="s">
        <v>611</v>
      </c>
      <c r="B39" t="s">
        <v>612</v>
      </c>
      <c r="C39" s="13">
        <v>316</v>
      </c>
      <c r="D39" s="13">
        <v>8231800</v>
      </c>
      <c r="E39" s="15">
        <v>0.7</v>
      </c>
    </row>
    <row r="40" spans="1:5" x14ac:dyDescent="0.4">
      <c r="A40" t="s">
        <v>168</v>
      </c>
      <c r="B40" t="s">
        <v>169</v>
      </c>
      <c r="C40" s="13">
        <v>498</v>
      </c>
      <c r="D40" s="13">
        <v>8117400</v>
      </c>
      <c r="E40" s="15">
        <v>0.69</v>
      </c>
    </row>
    <row r="41" spans="1:5" x14ac:dyDescent="0.4">
      <c r="A41" t="s">
        <v>148</v>
      </c>
      <c r="B41" t="s">
        <v>149</v>
      </c>
      <c r="C41" s="13">
        <v>17</v>
      </c>
      <c r="D41" s="13">
        <v>8032500</v>
      </c>
      <c r="E41" s="15">
        <v>0.68</v>
      </c>
    </row>
    <row r="42" spans="1:5" x14ac:dyDescent="0.4">
      <c r="A42" t="s">
        <v>653</v>
      </c>
      <c r="B42" t="s">
        <v>654</v>
      </c>
      <c r="C42" s="13">
        <v>79</v>
      </c>
      <c r="D42" s="13">
        <v>8002700</v>
      </c>
      <c r="E42" s="15">
        <v>0.68</v>
      </c>
    </row>
    <row r="43" spans="1:5" x14ac:dyDescent="0.4">
      <c r="A43" t="s">
        <v>112</v>
      </c>
      <c r="B43" t="s">
        <v>113</v>
      </c>
      <c r="C43" s="13">
        <v>67</v>
      </c>
      <c r="D43" s="13">
        <v>7973000</v>
      </c>
      <c r="E43" s="15">
        <v>0.68</v>
      </c>
    </row>
    <row r="44" spans="1:5" x14ac:dyDescent="0.4">
      <c r="A44" t="s">
        <v>146</v>
      </c>
      <c r="B44" t="s">
        <v>147</v>
      </c>
      <c r="C44" s="13">
        <v>27</v>
      </c>
      <c r="D44" s="13">
        <v>7533000</v>
      </c>
      <c r="E44" s="15">
        <v>0.64</v>
      </c>
    </row>
    <row r="45" spans="1:5" x14ac:dyDescent="0.4">
      <c r="A45" t="s">
        <v>328</v>
      </c>
      <c r="B45" t="s">
        <v>329</v>
      </c>
      <c r="C45">
        <v>44</v>
      </c>
      <c r="D45" s="13">
        <v>7471200</v>
      </c>
      <c r="E45" s="15">
        <v>0.63</v>
      </c>
    </row>
    <row r="46" spans="1:5" x14ac:dyDescent="0.4">
      <c r="A46" t="s">
        <v>729</v>
      </c>
      <c r="B46" t="s">
        <v>730</v>
      </c>
      <c r="C46" s="13">
        <v>4720</v>
      </c>
      <c r="D46" s="13">
        <v>7245200</v>
      </c>
      <c r="E46" s="15">
        <v>0.61</v>
      </c>
    </row>
    <row r="47" spans="1:5" x14ac:dyDescent="0.4">
      <c r="A47" t="s">
        <v>174</v>
      </c>
      <c r="B47" t="s">
        <v>175</v>
      </c>
      <c r="C47" s="13">
        <v>42</v>
      </c>
      <c r="D47" s="13">
        <v>6909000</v>
      </c>
      <c r="E47" s="15">
        <v>0.59</v>
      </c>
    </row>
    <row r="48" spans="1:5" x14ac:dyDescent="0.4">
      <c r="A48" t="s">
        <v>309</v>
      </c>
      <c r="B48" t="s">
        <v>310</v>
      </c>
      <c r="C48" s="13">
        <v>66</v>
      </c>
      <c r="D48" s="13">
        <v>6883800</v>
      </c>
      <c r="E48" s="15">
        <v>0.57999999999999996</v>
      </c>
    </row>
    <row r="49" spans="1:5" x14ac:dyDescent="0.4">
      <c r="A49" t="s">
        <v>316</v>
      </c>
      <c r="B49" t="s">
        <v>317</v>
      </c>
      <c r="C49">
        <v>89</v>
      </c>
      <c r="D49" s="13">
        <v>6879700</v>
      </c>
      <c r="E49" s="15">
        <v>0.57999999999999996</v>
      </c>
    </row>
    <row r="50" spans="1:5" x14ac:dyDescent="0.4">
      <c r="A50" t="s">
        <v>182</v>
      </c>
      <c r="B50" t="s">
        <v>183</v>
      </c>
      <c r="C50" s="13">
        <v>94</v>
      </c>
      <c r="D50" s="13">
        <v>6758600</v>
      </c>
      <c r="E50" s="15">
        <v>0.56999999999999995</v>
      </c>
    </row>
    <row r="51" spans="1:5" x14ac:dyDescent="0.4">
      <c r="A51" t="s">
        <v>1699</v>
      </c>
      <c r="B51" t="s">
        <v>1700</v>
      </c>
      <c r="C51" s="13">
        <v>23</v>
      </c>
      <c r="D51" s="13">
        <v>6670000</v>
      </c>
      <c r="E51" s="15">
        <v>0.56000000000000005</v>
      </c>
    </row>
    <row r="52" spans="1:5" x14ac:dyDescent="0.4">
      <c r="A52" t="s">
        <v>1317</v>
      </c>
      <c r="B52" t="s">
        <v>1318</v>
      </c>
      <c r="C52" s="13">
        <v>131</v>
      </c>
      <c r="D52" s="13">
        <v>6667900</v>
      </c>
      <c r="E52" s="15">
        <v>0.56000000000000005</v>
      </c>
    </row>
    <row r="53" spans="1:5" x14ac:dyDescent="0.4">
      <c r="A53" t="s">
        <v>455</v>
      </c>
      <c r="B53" t="s">
        <v>456</v>
      </c>
      <c r="C53">
        <v>55</v>
      </c>
      <c r="D53" s="13">
        <v>6528500</v>
      </c>
      <c r="E53" s="15">
        <v>0.55000000000000004</v>
      </c>
    </row>
    <row r="54" spans="1:5" x14ac:dyDescent="0.4">
      <c r="A54" t="s">
        <v>92</v>
      </c>
      <c r="B54" t="s">
        <v>93</v>
      </c>
      <c r="C54" s="13">
        <v>4</v>
      </c>
      <c r="D54" s="13">
        <v>6456000</v>
      </c>
      <c r="E54" s="15">
        <v>0.55000000000000004</v>
      </c>
    </row>
    <row r="55" spans="1:5" x14ac:dyDescent="0.4">
      <c r="A55" t="s">
        <v>466</v>
      </c>
      <c r="B55" t="s">
        <v>467</v>
      </c>
      <c r="C55" s="13">
        <v>190</v>
      </c>
      <c r="D55" s="13">
        <v>6441000</v>
      </c>
      <c r="E55" s="15">
        <v>0.55000000000000004</v>
      </c>
    </row>
    <row r="56" spans="1:5" x14ac:dyDescent="0.4">
      <c r="A56" t="s">
        <v>150</v>
      </c>
      <c r="B56" t="s">
        <v>151</v>
      </c>
      <c r="C56">
        <v>69</v>
      </c>
      <c r="D56" s="13">
        <v>6216900</v>
      </c>
      <c r="E56" s="15">
        <v>0.53</v>
      </c>
    </row>
    <row r="57" spans="1:5" x14ac:dyDescent="0.4">
      <c r="A57" t="s">
        <v>539</v>
      </c>
      <c r="B57" t="s">
        <v>540</v>
      </c>
      <c r="C57">
        <v>68</v>
      </c>
      <c r="D57" s="13">
        <v>5956800</v>
      </c>
      <c r="E57" s="15">
        <v>0.5</v>
      </c>
    </row>
    <row r="58" spans="1:5" x14ac:dyDescent="0.4">
      <c r="A58" t="s">
        <v>559</v>
      </c>
      <c r="B58" t="s">
        <v>560</v>
      </c>
      <c r="C58">
        <v>4</v>
      </c>
      <c r="D58" s="13">
        <v>5676000</v>
      </c>
      <c r="E58" s="15">
        <v>0.48</v>
      </c>
    </row>
    <row r="59" spans="1:5" x14ac:dyDescent="0.4">
      <c r="A59" t="s">
        <v>3301</v>
      </c>
      <c r="B59" t="s">
        <v>3302</v>
      </c>
      <c r="C59" s="13">
        <v>88</v>
      </c>
      <c r="D59" s="13">
        <v>5280000</v>
      </c>
      <c r="E59" s="15">
        <v>0.45</v>
      </c>
    </row>
    <row r="60" spans="1:5" x14ac:dyDescent="0.4">
      <c r="A60" t="s">
        <v>727</v>
      </c>
      <c r="B60" t="s">
        <v>728</v>
      </c>
      <c r="C60">
        <v>167</v>
      </c>
      <c r="D60" s="13">
        <v>5043400</v>
      </c>
      <c r="E60" s="15">
        <v>0.43</v>
      </c>
    </row>
    <row r="61" spans="1:5" x14ac:dyDescent="0.4">
      <c r="A61" t="s">
        <v>655</v>
      </c>
      <c r="B61" t="s">
        <v>656</v>
      </c>
      <c r="C61" s="13">
        <v>200</v>
      </c>
      <c r="D61" s="13">
        <v>4920000</v>
      </c>
      <c r="E61" s="15">
        <v>0.42</v>
      </c>
    </row>
    <row r="62" spans="1:5" x14ac:dyDescent="0.4">
      <c r="A62" t="s">
        <v>63</v>
      </c>
      <c r="B62" t="s">
        <v>64</v>
      </c>
      <c r="C62" s="13">
        <v>12</v>
      </c>
      <c r="D62" s="13">
        <v>4848000</v>
      </c>
      <c r="E62" s="15">
        <v>0.41</v>
      </c>
    </row>
    <row r="63" spans="1:5" x14ac:dyDescent="0.4">
      <c r="A63" t="s">
        <v>701</v>
      </c>
      <c r="B63" t="s">
        <v>702</v>
      </c>
      <c r="C63">
        <v>84</v>
      </c>
      <c r="D63" s="13">
        <v>4771200</v>
      </c>
      <c r="E63" s="15">
        <v>0.4</v>
      </c>
    </row>
    <row r="64" spans="1:5" x14ac:dyDescent="0.4">
      <c r="A64" t="s">
        <v>473</v>
      </c>
      <c r="B64" t="s">
        <v>474</v>
      </c>
      <c r="C64" s="13">
        <v>351</v>
      </c>
      <c r="D64" s="13">
        <v>4738500</v>
      </c>
      <c r="E64" s="15">
        <v>0.4</v>
      </c>
    </row>
    <row r="65" spans="1:5" x14ac:dyDescent="0.4">
      <c r="A65" t="s">
        <v>53</v>
      </c>
      <c r="B65" t="s">
        <v>54</v>
      </c>
      <c r="C65" s="13">
        <v>10</v>
      </c>
      <c r="D65" s="13">
        <v>4725000</v>
      </c>
      <c r="E65" s="15">
        <v>0.4</v>
      </c>
    </row>
    <row r="66" spans="1:5" x14ac:dyDescent="0.4">
      <c r="A66" t="s">
        <v>307</v>
      </c>
      <c r="B66" t="s">
        <v>308</v>
      </c>
      <c r="C66">
        <v>18</v>
      </c>
      <c r="D66" s="13">
        <v>4239000</v>
      </c>
      <c r="E66" s="15">
        <v>0.36</v>
      </c>
    </row>
    <row r="67" spans="1:5" x14ac:dyDescent="0.4">
      <c r="A67" t="s">
        <v>2043</v>
      </c>
      <c r="B67" t="s">
        <v>2044</v>
      </c>
      <c r="C67" s="13">
        <v>778</v>
      </c>
      <c r="D67" s="13">
        <v>4014480</v>
      </c>
      <c r="E67" s="15">
        <v>0.34</v>
      </c>
    </row>
    <row r="68" spans="1:5" x14ac:dyDescent="0.4">
      <c r="A68" t="s">
        <v>106</v>
      </c>
      <c r="B68" t="s">
        <v>107</v>
      </c>
      <c r="C68" s="13">
        <v>37</v>
      </c>
      <c r="D68" s="13">
        <v>3914600</v>
      </c>
      <c r="E68" s="15">
        <v>0.33</v>
      </c>
    </row>
    <row r="69" spans="1:5" x14ac:dyDescent="0.4">
      <c r="A69" t="s">
        <v>104</v>
      </c>
      <c r="B69" t="s">
        <v>105</v>
      </c>
      <c r="C69">
        <v>7</v>
      </c>
      <c r="D69" s="13">
        <v>3878000</v>
      </c>
      <c r="E69" s="15">
        <v>0.33</v>
      </c>
    </row>
    <row r="70" spans="1:5" x14ac:dyDescent="0.4">
      <c r="A70" t="s">
        <v>639</v>
      </c>
      <c r="B70" t="s">
        <v>640</v>
      </c>
      <c r="C70">
        <v>98</v>
      </c>
      <c r="D70" s="13">
        <v>3841600</v>
      </c>
      <c r="E70" s="15">
        <v>0.33</v>
      </c>
    </row>
    <row r="71" spans="1:5" x14ac:dyDescent="0.4">
      <c r="A71" t="s">
        <v>123</v>
      </c>
      <c r="B71" t="s">
        <v>124</v>
      </c>
      <c r="C71">
        <v>145</v>
      </c>
      <c r="D71" s="13">
        <v>3617750</v>
      </c>
      <c r="E71" s="15">
        <v>0.31</v>
      </c>
    </row>
    <row r="72" spans="1:5" x14ac:dyDescent="0.4">
      <c r="A72" t="s">
        <v>291</v>
      </c>
      <c r="B72" t="s">
        <v>292</v>
      </c>
      <c r="C72">
        <v>83</v>
      </c>
      <c r="D72" s="13">
        <v>3369800</v>
      </c>
      <c r="E72" s="15">
        <v>0.28999999999999998</v>
      </c>
    </row>
    <row r="73" spans="1:5" x14ac:dyDescent="0.4">
      <c r="A73" t="s">
        <v>595</v>
      </c>
      <c r="B73" t="s">
        <v>596</v>
      </c>
      <c r="C73">
        <v>37</v>
      </c>
      <c r="D73" s="13">
        <v>3315200</v>
      </c>
      <c r="E73" s="15">
        <v>0.28000000000000003</v>
      </c>
    </row>
    <row r="74" spans="1:5" x14ac:dyDescent="0.4">
      <c r="A74" t="s">
        <v>154</v>
      </c>
      <c r="B74" t="s">
        <v>155</v>
      </c>
      <c r="C74">
        <v>39</v>
      </c>
      <c r="D74" s="13">
        <v>3283800</v>
      </c>
      <c r="E74" s="15">
        <v>0.28000000000000003</v>
      </c>
    </row>
    <row r="75" spans="1:5" x14ac:dyDescent="0.4">
      <c r="A75" t="s">
        <v>23</v>
      </c>
      <c r="B75" t="s">
        <v>24</v>
      </c>
      <c r="C75">
        <v>58</v>
      </c>
      <c r="D75" s="13">
        <v>3271200</v>
      </c>
      <c r="E75" s="15">
        <v>0.28000000000000003</v>
      </c>
    </row>
    <row r="76" spans="1:5" x14ac:dyDescent="0.4">
      <c r="A76" t="s">
        <v>324</v>
      </c>
      <c r="B76" t="s">
        <v>325</v>
      </c>
      <c r="C76">
        <v>11</v>
      </c>
      <c r="D76" s="13">
        <v>3201000</v>
      </c>
      <c r="E76" s="15">
        <v>0.27</v>
      </c>
    </row>
    <row r="77" spans="1:5" x14ac:dyDescent="0.4">
      <c r="A77" t="s">
        <v>21</v>
      </c>
      <c r="B77" t="s">
        <v>22</v>
      </c>
      <c r="C77">
        <v>20</v>
      </c>
      <c r="D77" s="13">
        <v>3100000</v>
      </c>
      <c r="E77" s="15">
        <v>0.26</v>
      </c>
    </row>
    <row r="78" spans="1:5" x14ac:dyDescent="0.4">
      <c r="A78" t="s">
        <v>641</v>
      </c>
      <c r="B78" t="s">
        <v>642</v>
      </c>
      <c r="C78" s="13">
        <v>109</v>
      </c>
      <c r="D78" s="13">
        <v>3084700</v>
      </c>
      <c r="E78" s="15">
        <v>0.26</v>
      </c>
    </row>
    <row r="79" spans="1:5" x14ac:dyDescent="0.4">
      <c r="A79" t="s">
        <v>100</v>
      </c>
      <c r="B79" t="s">
        <v>101</v>
      </c>
      <c r="C79" s="13">
        <v>90</v>
      </c>
      <c r="D79" s="13">
        <v>2929500</v>
      </c>
      <c r="E79" s="15">
        <v>0.25</v>
      </c>
    </row>
    <row r="80" spans="1:5" x14ac:dyDescent="0.4">
      <c r="A80" t="s">
        <v>279</v>
      </c>
      <c r="B80" t="s">
        <v>280</v>
      </c>
      <c r="C80" s="13">
        <v>206</v>
      </c>
      <c r="D80" s="13">
        <v>2739800</v>
      </c>
      <c r="E80" s="15">
        <v>0.23</v>
      </c>
    </row>
    <row r="81" spans="1:5" x14ac:dyDescent="0.4">
      <c r="A81" t="s">
        <v>553</v>
      </c>
      <c r="B81" t="s">
        <v>554</v>
      </c>
      <c r="C81">
        <v>17</v>
      </c>
      <c r="D81" s="13">
        <v>2738700</v>
      </c>
      <c r="E81" s="15">
        <v>0.23</v>
      </c>
    </row>
    <row r="82" spans="1:5" x14ac:dyDescent="0.4">
      <c r="A82" t="s">
        <v>122</v>
      </c>
      <c r="B82" t="s">
        <v>5175</v>
      </c>
      <c r="C82" s="13">
        <v>3</v>
      </c>
      <c r="D82" s="13">
        <v>2502000</v>
      </c>
      <c r="E82" s="15">
        <v>0.21</v>
      </c>
    </row>
    <row r="83" spans="1:5" x14ac:dyDescent="0.4">
      <c r="A83" t="s">
        <v>2588</v>
      </c>
      <c r="B83" t="s">
        <v>2589</v>
      </c>
      <c r="C83" s="13">
        <v>47</v>
      </c>
      <c r="D83" s="13">
        <v>2209000</v>
      </c>
      <c r="E83" s="15">
        <v>0.19</v>
      </c>
    </row>
    <row r="84" spans="1:5" x14ac:dyDescent="0.4">
      <c r="A84" t="s">
        <v>347</v>
      </c>
      <c r="B84" t="s">
        <v>348</v>
      </c>
      <c r="C84" s="13">
        <v>12</v>
      </c>
      <c r="D84" s="13">
        <v>1536000</v>
      </c>
      <c r="E84" s="15">
        <v>0.13</v>
      </c>
    </row>
    <row r="85" spans="1:5" x14ac:dyDescent="0.4">
      <c r="A85" t="s">
        <v>617</v>
      </c>
      <c r="B85" t="s">
        <v>618</v>
      </c>
      <c r="C85" s="13">
        <v>22</v>
      </c>
      <c r="D85" s="13">
        <v>1533400</v>
      </c>
      <c r="E85" s="15">
        <v>0.13</v>
      </c>
    </row>
    <row r="86" spans="1:5" x14ac:dyDescent="0.4">
      <c r="A86" t="s">
        <v>544</v>
      </c>
      <c r="B86" t="s">
        <v>668</v>
      </c>
      <c r="C86">
        <v>9</v>
      </c>
      <c r="D86" s="13">
        <v>1461600</v>
      </c>
      <c r="E86" s="15">
        <v>0.12</v>
      </c>
    </row>
    <row r="87" spans="1:5" x14ac:dyDescent="0.4">
      <c r="B87" t="s">
        <v>10</v>
      </c>
      <c r="C87" s="13">
        <v>6782523</v>
      </c>
      <c r="D87" s="13">
        <v>6782523</v>
      </c>
      <c r="E87" s="15">
        <v>0.56999999999999995</v>
      </c>
    </row>
    <row r="88" spans="1:5" x14ac:dyDescent="0.4">
      <c r="C88" s="13"/>
      <c r="D88" s="13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100-000000000000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4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465</v>
      </c>
      <c r="B8" s="6"/>
      <c r="C8" s="6"/>
      <c r="D8" s="6"/>
      <c r="E8" s="14"/>
    </row>
    <row r="9" spans="1:7" x14ac:dyDescent="0.4">
      <c r="A9" s="69" t="s">
        <v>657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104</v>
      </c>
      <c r="D11" s="18">
        <v>201760000</v>
      </c>
      <c r="E11" s="19">
        <v>28.71</v>
      </c>
      <c r="F11" s="17"/>
      <c r="G11" s="17"/>
    </row>
    <row r="12" spans="1:7" x14ac:dyDescent="0.4">
      <c r="A12" t="s">
        <v>80</v>
      </c>
      <c r="B12" s="17" t="s">
        <v>81</v>
      </c>
      <c r="C12" s="18">
        <v>273</v>
      </c>
      <c r="D12" s="18">
        <v>81763500</v>
      </c>
      <c r="E12" s="19">
        <v>11.64</v>
      </c>
      <c r="F12" s="17"/>
      <c r="G12" s="17"/>
    </row>
    <row r="13" spans="1:7" x14ac:dyDescent="0.4">
      <c r="A13" t="s">
        <v>140</v>
      </c>
      <c r="B13" s="17" t="s">
        <v>141</v>
      </c>
      <c r="C13" s="18">
        <v>65</v>
      </c>
      <c r="D13" s="18">
        <v>43290000</v>
      </c>
      <c r="E13" s="19">
        <v>6.16</v>
      </c>
      <c r="F13" s="17"/>
      <c r="G13" s="17"/>
    </row>
    <row r="14" spans="1:7" x14ac:dyDescent="0.4">
      <c r="A14" t="s">
        <v>148</v>
      </c>
      <c r="B14" s="17" t="s">
        <v>149</v>
      </c>
      <c r="C14" s="18">
        <v>55</v>
      </c>
      <c r="D14" s="18">
        <v>28655000</v>
      </c>
      <c r="E14" s="19">
        <v>4.08</v>
      </c>
      <c r="F14" s="17"/>
      <c r="G14" s="17"/>
    </row>
    <row r="15" spans="1:7" x14ac:dyDescent="0.4">
      <c r="A15" t="s">
        <v>84</v>
      </c>
      <c r="B15" s="17" t="s">
        <v>85</v>
      </c>
      <c r="C15" s="18">
        <v>400</v>
      </c>
      <c r="D15" s="18">
        <v>26600000</v>
      </c>
      <c r="E15" s="19">
        <v>3.79</v>
      </c>
      <c r="F15" s="17"/>
      <c r="G15" s="17"/>
    </row>
    <row r="16" spans="1:7" x14ac:dyDescent="0.4">
      <c r="A16" t="s">
        <v>96</v>
      </c>
      <c r="B16" s="17" t="s">
        <v>97</v>
      </c>
      <c r="C16" s="18">
        <v>202</v>
      </c>
      <c r="D16" s="18">
        <v>24724800</v>
      </c>
      <c r="E16" s="19">
        <v>3.52</v>
      </c>
      <c r="F16" s="17"/>
      <c r="G16" s="17"/>
    </row>
    <row r="17" spans="1:7" x14ac:dyDescent="0.4">
      <c r="A17" t="s">
        <v>135</v>
      </c>
      <c r="B17" t="s">
        <v>136</v>
      </c>
      <c r="C17" s="13">
        <v>59</v>
      </c>
      <c r="D17" s="13">
        <v>24691500</v>
      </c>
      <c r="E17" s="15">
        <v>3.51</v>
      </c>
    </row>
    <row r="18" spans="1:7" x14ac:dyDescent="0.4">
      <c r="A18" t="s">
        <v>82</v>
      </c>
      <c r="B18" s="17" t="s">
        <v>83</v>
      </c>
      <c r="C18" s="18">
        <v>55</v>
      </c>
      <c r="D18" s="18">
        <v>22550000</v>
      </c>
      <c r="E18" s="19">
        <v>3.21</v>
      </c>
      <c r="F18" s="17"/>
      <c r="G18" s="17"/>
    </row>
    <row r="19" spans="1:7" x14ac:dyDescent="0.4">
      <c r="A19" t="s">
        <v>108</v>
      </c>
      <c r="B19" t="s">
        <v>109</v>
      </c>
      <c r="C19" s="31">
        <v>49</v>
      </c>
      <c r="D19" s="13">
        <v>17395000</v>
      </c>
      <c r="E19" s="15">
        <v>2.48</v>
      </c>
    </row>
    <row r="20" spans="1:7" x14ac:dyDescent="0.4">
      <c r="A20" t="s">
        <v>303</v>
      </c>
      <c r="B20" t="s">
        <v>304</v>
      </c>
      <c r="C20" s="31">
        <v>30</v>
      </c>
      <c r="D20" s="13">
        <v>17280000</v>
      </c>
      <c r="E20" s="15">
        <v>2.46</v>
      </c>
    </row>
    <row r="21" spans="1:7" x14ac:dyDescent="0.4">
      <c r="A21" t="s">
        <v>78</v>
      </c>
      <c r="B21" t="s">
        <v>79</v>
      </c>
      <c r="C21" s="13">
        <v>13</v>
      </c>
      <c r="D21" s="13">
        <v>17147000</v>
      </c>
      <c r="E21" s="15">
        <v>2.44</v>
      </c>
    </row>
    <row r="22" spans="1:7" x14ac:dyDescent="0.4">
      <c r="A22" t="s">
        <v>102</v>
      </c>
      <c r="B22" t="s">
        <v>103</v>
      </c>
      <c r="C22" s="31">
        <v>110</v>
      </c>
      <c r="D22" s="13">
        <v>17138000</v>
      </c>
      <c r="E22" s="15">
        <v>2.44</v>
      </c>
    </row>
    <row r="23" spans="1:7" x14ac:dyDescent="0.4">
      <c r="A23" t="s">
        <v>86</v>
      </c>
      <c r="B23" t="s">
        <v>87</v>
      </c>
      <c r="C23" s="31">
        <v>2409</v>
      </c>
      <c r="D23" s="13">
        <v>16212570</v>
      </c>
      <c r="E23" s="15">
        <v>2.31</v>
      </c>
    </row>
    <row r="24" spans="1:7" x14ac:dyDescent="0.4">
      <c r="A24" t="s">
        <v>92</v>
      </c>
      <c r="B24" t="s">
        <v>93</v>
      </c>
      <c r="C24" s="31">
        <v>10</v>
      </c>
      <c r="D24" s="13">
        <v>16000000</v>
      </c>
      <c r="E24" s="15">
        <v>2.2799999999999998</v>
      </c>
    </row>
    <row r="25" spans="1:7" x14ac:dyDescent="0.4">
      <c r="A25" t="s">
        <v>1092</v>
      </c>
      <c r="B25" t="s">
        <v>1093</v>
      </c>
      <c r="C25" s="13">
        <v>2541</v>
      </c>
      <c r="D25" s="13">
        <v>14661570</v>
      </c>
      <c r="E25" s="15">
        <v>2.09</v>
      </c>
    </row>
    <row r="26" spans="1:7" x14ac:dyDescent="0.4">
      <c r="A26" t="s">
        <v>106</v>
      </c>
      <c r="B26" t="s">
        <v>107</v>
      </c>
      <c r="C26" s="13">
        <v>110</v>
      </c>
      <c r="D26" s="13">
        <v>11979000</v>
      </c>
      <c r="E26" s="15">
        <v>1.7</v>
      </c>
    </row>
    <row r="27" spans="1:7" x14ac:dyDescent="0.4">
      <c r="A27" t="s">
        <v>125</v>
      </c>
      <c r="B27" t="s">
        <v>126</v>
      </c>
      <c r="C27" s="13">
        <v>651</v>
      </c>
      <c r="D27" s="13">
        <v>11184180</v>
      </c>
      <c r="E27" s="15">
        <v>1.59</v>
      </c>
    </row>
    <row r="28" spans="1:7" x14ac:dyDescent="0.4">
      <c r="A28" t="s">
        <v>311</v>
      </c>
      <c r="B28" t="s">
        <v>312</v>
      </c>
      <c r="C28" s="13">
        <v>80</v>
      </c>
      <c r="D28" s="13">
        <v>10768000</v>
      </c>
      <c r="E28" s="15">
        <v>1.53</v>
      </c>
    </row>
    <row r="29" spans="1:7" x14ac:dyDescent="0.4">
      <c r="A29" t="s">
        <v>120</v>
      </c>
      <c r="B29" t="s">
        <v>121</v>
      </c>
      <c r="C29" s="13">
        <v>21</v>
      </c>
      <c r="D29" s="13">
        <v>9313500</v>
      </c>
      <c r="E29" s="15">
        <v>1.33</v>
      </c>
    </row>
    <row r="30" spans="1:7" x14ac:dyDescent="0.4">
      <c r="A30" t="s">
        <v>133</v>
      </c>
      <c r="B30" t="s">
        <v>134</v>
      </c>
      <c r="C30" s="31">
        <v>50</v>
      </c>
      <c r="D30" s="13">
        <v>9050000</v>
      </c>
      <c r="E30" s="15">
        <v>1.29</v>
      </c>
    </row>
    <row r="31" spans="1:7" x14ac:dyDescent="0.4">
      <c r="A31" t="s">
        <v>100</v>
      </c>
      <c r="B31" t="s">
        <v>101</v>
      </c>
      <c r="C31" s="13">
        <v>250</v>
      </c>
      <c r="D31" s="13">
        <v>7975000</v>
      </c>
      <c r="E31" s="15">
        <v>1.1299999999999999</v>
      </c>
    </row>
    <row r="32" spans="1:7" x14ac:dyDescent="0.4">
      <c r="A32" t="s">
        <v>129</v>
      </c>
      <c r="B32" t="s">
        <v>130</v>
      </c>
      <c r="C32" s="13">
        <v>249</v>
      </c>
      <c r="D32" s="13">
        <v>7569600</v>
      </c>
      <c r="E32" s="15">
        <v>1.08</v>
      </c>
    </row>
    <row r="33" spans="1:5" x14ac:dyDescent="0.4">
      <c r="A33" t="s">
        <v>118</v>
      </c>
      <c r="B33" t="s">
        <v>119</v>
      </c>
      <c r="C33" s="13">
        <v>29</v>
      </c>
      <c r="D33" s="13">
        <v>7235500</v>
      </c>
      <c r="E33" s="15">
        <v>1.03</v>
      </c>
    </row>
    <row r="34" spans="1:5" x14ac:dyDescent="0.4">
      <c r="A34" t="s">
        <v>112</v>
      </c>
      <c r="B34" t="s">
        <v>113</v>
      </c>
      <c r="C34" s="13">
        <v>60</v>
      </c>
      <c r="D34" s="13">
        <v>7164000</v>
      </c>
      <c r="E34" s="15">
        <v>1.02</v>
      </c>
    </row>
    <row r="35" spans="1:5" x14ac:dyDescent="0.4">
      <c r="A35" t="s">
        <v>131</v>
      </c>
      <c r="B35" t="s">
        <v>132</v>
      </c>
      <c r="C35" s="13">
        <v>343</v>
      </c>
      <c r="D35" s="13">
        <v>6997200</v>
      </c>
      <c r="E35" s="15">
        <v>1</v>
      </c>
    </row>
    <row r="36" spans="1:5" x14ac:dyDescent="0.4">
      <c r="A36" t="s">
        <v>110</v>
      </c>
      <c r="B36" t="s">
        <v>111</v>
      </c>
      <c r="C36" s="13">
        <v>25</v>
      </c>
      <c r="D36" s="13">
        <v>6650000</v>
      </c>
      <c r="E36" s="15">
        <v>0.95</v>
      </c>
    </row>
    <row r="37" spans="1:5" x14ac:dyDescent="0.4">
      <c r="A37" t="s">
        <v>114</v>
      </c>
      <c r="B37" t="s">
        <v>115</v>
      </c>
      <c r="C37" s="13">
        <v>60</v>
      </c>
      <c r="D37" s="13">
        <v>5688000</v>
      </c>
      <c r="E37" s="15">
        <v>0.81</v>
      </c>
    </row>
    <row r="38" spans="1:5" x14ac:dyDescent="0.4">
      <c r="A38" t="s">
        <v>90</v>
      </c>
      <c r="B38" t="s">
        <v>91</v>
      </c>
      <c r="C38" s="13">
        <v>99</v>
      </c>
      <c r="D38" s="13">
        <v>5514300</v>
      </c>
      <c r="E38" s="15">
        <v>0.78</v>
      </c>
    </row>
    <row r="39" spans="1:5" x14ac:dyDescent="0.4">
      <c r="A39" t="s">
        <v>653</v>
      </c>
      <c r="B39" t="s">
        <v>654</v>
      </c>
      <c r="C39" s="13">
        <v>50</v>
      </c>
      <c r="D39" s="13">
        <v>5140000</v>
      </c>
      <c r="E39" s="15">
        <v>0.73</v>
      </c>
    </row>
    <row r="40" spans="1:5" x14ac:dyDescent="0.4">
      <c r="A40" t="s">
        <v>142</v>
      </c>
      <c r="B40" t="s">
        <v>143</v>
      </c>
      <c r="C40" s="13">
        <v>30</v>
      </c>
      <c r="D40" s="13">
        <v>5106000</v>
      </c>
      <c r="E40" s="15">
        <v>0.73</v>
      </c>
    </row>
    <row r="41" spans="1:5" x14ac:dyDescent="0.4">
      <c r="A41" t="s">
        <v>3176</v>
      </c>
      <c r="B41" t="s">
        <v>3177</v>
      </c>
      <c r="C41" s="13">
        <v>24</v>
      </c>
      <c r="D41" s="13">
        <v>5100000</v>
      </c>
      <c r="E41" s="15">
        <v>0.73</v>
      </c>
    </row>
    <row r="42" spans="1:5" x14ac:dyDescent="0.4">
      <c r="A42" t="s">
        <v>123</v>
      </c>
      <c r="B42" t="s">
        <v>124</v>
      </c>
      <c r="C42" s="13">
        <v>201</v>
      </c>
      <c r="D42" s="13">
        <v>5035050</v>
      </c>
      <c r="E42" s="15">
        <v>0.72</v>
      </c>
    </row>
    <row r="43" spans="1:5" x14ac:dyDescent="0.4">
      <c r="B43" t="s">
        <v>10</v>
      </c>
      <c r="C43" s="13">
        <v>5361996</v>
      </c>
      <c r="D43" s="13">
        <v>5361996</v>
      </c>
      <c r="E43" s="15">
        <v>0.76</v>
      </c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200-000000000000}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465</v>
      </c>
      <c r="B8" s="6"/>
      <c r="C8" s="6"/>
      <c r="D8" s="6"/>
      <c r="E8" s="14"/>
    </row>
    <row r="9" spans="1:5" x14ac:dyDescent="0.4">
      <c r="A9" s="69" t="s">
        <v>657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104</v>
      </c>
      <c r="D11" s="13">
        <v>189176000</v>
      </c>
      <c r="E11" s="15">
        <v>27.59</v>
      </c>
    </row>
    <row r="12" spans="1:5" x14ac:dyDescent="0.4">
      <c r="A12" t="s">
        <v>80</v>
      </c>
      <c r="B12" t="s">
        <v>81</v>
      </c>
      <c r="C12" s="31">
        <v>273</v>
      </c>
      <c r="D12" s="13">
        <v>73846500</v>
      </c>
      <c r="E12" s="15">
        <v>10.77</v>
      </c>
    </row>
    <row r="13" spans="1:5" x14ac:dyDescent="0.4">
      <c r="A13" t="s">
        <v>140</v>
      </c>
      <c r="B13" t="s">
        <v>141</v>
      </c>
      <c r="C13">
        <v>65</v>
      </c>
      <c r="D13" s="13">
        <v>45500000</v>
      </c>
      <c r="E13" s="15">
        <v>6.64</v>
      </c>
    </row>
    <row r="14" spans="1:5" x14ac:dyDescent="0.4">
      <c r="A14" t="s">
        <v>84</v>
      </c>
      <c r="B14" t="s">
        <v>85</v>
      </c>
      <c r="C14">
        <v>400</v>
      </c>
      <c r="D14" s="13">
        <v>27960000</v>
      </c>
      <c r="E14" s="15">
        <v>4.08</v>
      </c>
    </row>
    <row r="15" spans="1:5" x14ac:dyDescent="0.4">
      <c r="A15" t="s">
        <v>148</v>
      </c>
      <c r="B15" t="s">
        <v>149</v>
      </c>
      <c r="C15" s="31">
        <v>55</v>
      </c>
      <c r="D15" s="13">
        <v>25987500</v>
      </c>
      <c r="E15" s="15">
        <v>3.79</v>
      </c>
    </row>
    <row r="16" spans="1:5" x14ac:dyDescent="0.4">
      <c r="A16" t="s">
        <v>96</v>
      </c>
      <c r="B16" t="s">
        <v>97</v>
      </c>
      <c r="C16" s="31">
        <v>202</v>
      </c>
      <c r="D16" s="13">
        <v>24886400</v>
      </c>
      <c r="E16" s="15">
        <v>3.63</v>
      </c>
    </row>
    <row r="17" spans="1:5" x14ac:dyDescent="0.4">
      <c r="A17" t="s">
        <v>135</v>
      </c>
      <c r="B17" t="s">
        <v>136</v>
      </c>
      <c r="C17" s="31">
        <v>59</v>
      </c>
      <c r="D17" s="13">
        <v>23393500</v>
      </c>
      <c r="E17" s="15">
        <v>3.41</v>
      </c>
    </row>
    <row r="18" spans="1:5" x14ac:dyDescent="0.4">
      <c r="A18" t="s">
        <v>82</v>
      </c>
      <c r="B18" t="s">
        <v>83</v>
      </c>
      <c r="C18" s="13">
        <v>55</v>
      </c>
      <c r="D18" s="13">
        <v>21780000</v>
      </c>
      <c r="E18" s="15">
        <v>3.18</v>
      </c>
    </row>
    <row r="19" spans="1:5" x14ac:dyDescent="0.4">
      <c r="A19" t="s">
        <v>78</v>
      </c>
      <c r="B19" t="s">
        <v>79</v>
      </c>
      <c r="C19" s="13">
        <v>13</v>
      </c>
      <c r="D19" s="13">
        <v>18772000</v>
      </c>
      <c r="E19" s="15">
        <v>2.74</v>
      </c>
    </row>
    <row r="20" spans="1:5" x14ac:dyDescent="0.4">
      <c r="A20" t="s">
        <v>102</v>
      </c>
      <c r="B20" t="s">
        <v>103</v>
      </c>
      <c r="C20" s="13">
        <v>110</v>
      </c>
      <c r="D20" s="13">
        <v>17116000</v>
      </c>
      <c r="E20" s="15">
        <v>2.5</v>
      </c>
    </row>
    <row r="21" spans="1:5" x14ac:dyDescent="0.4">
      <c r="A21" t="s">
        <v>86</v>
      </c>
      <c r="B21" t="s">
        <v>87</v>
      </c>
      <c r="C21" s="13">
        <v>2409</v>
      </c>
      <c r="D21" s="13">
        <v>16646190</v>
      </c>
      <c r="E21" s="15">
        <v>2.4300000000000002</v>
      </c>
    </row>
    <row r="22" spans="1:5" x14ac:dyDescent="0.4">
      <c r="A22" t="s">
        <v>92</v>
      </c>
      <c r="B22" t="s">
        <v>93</v>
      </c>
      <c r="C22" s="13">
        <v>10</v>
      </c>
      <c r="D22" s="13">
        <v>16140000</v>
      </c>
      <c r="E22" s="15">
        <v>2.35</v>
      </c>
    </row>
    <row r="23" spans="1:5" x14ac:dyDescent="0.4">
      <c r="A23" t="s">
        <v>1092</v>
      </c>
      <c r="B23" t="s">
        <v>1093</v>
      </c>
      <c r="C23" s="31">
        <v>2541</v>
      </c>
      <c r="D23" s="13">
        <v>16135350</v>
      </c>
      <c r="E23" s="15">
        <v>2.35</v>
      </c>
    </row>
    <row r="24" spans="1:5" x14ac:dyDescent="0.4">
      <c r="A24" t="s">
        <v>108</v>
      </c>
      <c r="B24" t="s">
        <v>109</v>
      </c>
      <c r="C24" s="31">
        <v>49</v>
      </c>
      <c r="D24" s="13">
        <v>15190000</v>
      </c>
      <c r="E24" s="15">
        <v>2.2200000000000002</v>
      </c>
    </row>
    <row r="25" spans="1:5" x14ac:dyDescent="0.4">
      <c r="A25" t="s">
        <v>303</v>
      </c>
      <c r="B25" t="s">
        <v>304</v>
      </c>
      <c r="C25" s="13">
        <v>30</v>
      </c>
      <c r="D25" s="13">
        <v>15090000</v>
      </c>
      <c r="E25" s="15">
        <v>2.2000000000000002</v>
      </c>
    </row>
    <row r="26" spans="1:5" x14ac:dyDescent="0.4">
      <c r="A26" t="s">
        <v>106</v>
      </c>
      <c r="B26" t="s">
        <v>107</v>
      </c>
      <c r="C26" s="13">
        <v>110</v>
      </c>
      <c r="D26" s="13">
        <v>11638000</v>
      </c>
      <c r="E26" s="15">
        <v>1.7</v>
      </c>
    </row>
    <row r="27" spans="1:5" x14ac:dyDescent="0.4">
      <c r="A27" t="s">
        <v>311</v>
      </c>
      <c r="B27" t="s">
        <v>312</v>
      </c>
      <c r="C27" s="13">
        <v>80</v>
      </c>
      <c r="D27" s="13">
        <v>11312000</v>
      </c>
      <c r="E27" s="15">
        <v>1.65</v>
      </c>
    </row>
    <row r="28" spans="1:5" x14ac:dyDescent="0.4">
      <c r="A28" t="s">
        <v>125</v>
      </c>
      <c r="B28" t="s">
        <v>126</v>
      </c>
      <c r="C28" s="13">
        <v>651</v>
      </c>
      <c r="D28" s="13">
        <v>11275320</v>
      </c>
      <c r="E28" s="15">
        <v>1.64</v>
      </c>
    </row>
    <row r="29" spans="1:5" x14ac:dyDescent="0.4">
      <c r="A29" t="s">
        <v>120</v>
      </c>
      <c r="B29" t="s">
        <v>121</v>
      </c>
      <c r="C29" s="13">
        <v>21</v>
      </c>
      <c r="D29" s="13">
        <v>9817500</v>
      </c>
      <c r="E29" s="15">
        <v>1.43</v>
      </c>
    </row>
    <row r="30" spans="1:5" x14ac:dyDescent="0.4">
      <c r="A30" t="s">
        <v>133</v>
      </c>
      <c r="B30" t="s">
        <v>134</v>
      </c>
      <c r="C30" s="13">
        <v>50</v>
      </c>
      <c r="D30" s="13">
        <v>8990000</v>
      </c>
      <c r="E30" s="15">
        <v>1.31</v>
      </c>
    </row>
    <row r="31" spans="1:5" x14ac:dyDescent="0.4">
      <c r="A31" t="s">
        <v>100</v>
      </c>
      <c r="B31" t="s">
        <v>101</v>
      </c>
      <c r="C31" s="13">
        <v>250</v>
      </c>
      <c r="D31" s="13">
        <v>8137500</v>
      </c>
      <c r="E31" s="15">
        <v>1.19</v>
      </c>
    </row>
    <row r="32" spans="1:5" x14ac:dyDescent="0.4">
      <c r="A32" t="s">
        <v>129</v>
      </c>
      <c r="B32" t="s">
        <v>130</v>
      </c>
      <c r="C32" s="13">
        <v>249</v>
      </c>
      <c r="D32" s="13">
        <v>7781250</v>
      </c>
      <c r="E32" s="15">
        <v>1.1299999999999999</v>
      </c>
    </row>
    <row r="33" spans="1:5" x14ac:dyDescent="0.4">
      <c r="A33" t="s">
        <v>118</v>
      </c>
      <c r="B33" t="s">
        <v>119</v>
      </c>
      <c r="C33" s="13">
        <v>29</v>
      </c>
      <c r="D33" s="13">
        <v>7482000</v>
      </c>
      <c r="E33" s="15">
        <v>1.0900000000000001</v>
      </c>
    </row>
    <row r="34" spans="1:5" x14ac:dyDescent="0.4">
      <c r="A34" t="s">
        <v>131</v>
      </c>
      <c r="B34" t="s">
        <v>132</v>
      </c>
      <c r="C34" s="13">
        <v>343</v>
      </c>
      <c r="D34" s="13">
        <v>7168700</v>
      </c>
      <c r="E34" s="15">
        <v>1.05</v>
      </c>
    </row>
    <row r="35" spans="1:5" x14ac:dyDescent="0.4">
      <c r="A35" t="s">
        <v>112</v>
      </c>
      <c r="B35" t="s">
        <v>113</v>
      </c>
      <c r="C35" s="13">
        <v>60</v>
      </c>
      <c r="D35" s="13">
        <v>7140000</v>
      </c>
      <c r="E35" s="15">
        <v>1.04</v>
      </c>
    </row>
    <row r="36" spans="1:5" x14ac:dyDescent="0.4">
      <c r="A36" t="s">
        <v>110</v>
      </c>
      <c r="B36" t="s">
        <v>111</v>
      </c>
      <c r="C36" s="13">
        <v>25</v>
      </c>
      <c r="D36" s="13">
        <v>6987500</v>
      </c>
      <c r="E36" s="15">
        <v>1.02</v>
      </c>
    </row>
    <row r="37" spans="1:5" x14ac:dyDescent="0.4">
      <c r="A37" t="s">
        <v>142</v>
      </c>
      <c r="B37" t="s">
        <v>143</v>
      </c>
      <c r="C37" s="13">
        <v>30</v>
      </c>
      <c r="D37" s="13">
        <v>6510000</v>
      </c>
      <c r="E37" s="15">
        <v>0.95</v>
      </c>
    </row>
    <row r="38" spans="1:5" x14ac:dyDescent="0.4">
      <c r="A38" t="s">
        <v>90</v>
      </c>
      <c r="B38" t="s">
        <v>91</v>
      </c>
      <c r="C38" s="13">
        <v>99</v>
      </c>
      <c r="D38" s="13">
        <v>5811300</v>
      </c>
      <c r="E38" s="15">
        <v>0.85</v>
      </c>
    </row>
    <row r="39" spans="1:5" x14ac:dyDescent="0.4">
      <c r="A39" t="s">
        <v>114</v>
      </c>
      <c r="B39" t="s">
        <v>115</v>
      </c>
      <c r="C39" s="13">
        <v>60</v>
      </c>
      <c r="D39" s="13">
        <v>5706000</v>
      </c>
      <c r="E39" s="15">
        <v>0.83</v>
      </c>
    </row>
    <row r="40" spans="1:5" x14ac:dyDescent="0.4">
      <c r="A40" t="s">
        <v>3176</v>
      </c>
      <c r="B40" t="s">
        <v>3177</v>
      </c>
      <c r="C40" s="13">
        <v>24</v>
      </c>
      <c r="D40" s="13">
        <v>5484000</v>
      </c>
      <c r="E40" s="15">
        <v>0.8</v>
      </c>
    </row>
    <row r="41" spans="1:5" x14ac:dyDescent="0.4">
      <c r="A41" t="s">
        <v>653</v>
      </c>
      <c r="B41" t="s">
        <v>654</v>
      </c>
      <c r="C41" s="13">
        <v>50</v>
      </c>
      <c r="D41" s="13">
        <v>5065000</v>
      </c>
      <c r="E41" s="15">
        <v>0.74</v>
      </c>
    </row>
    <row r="42" spans="1:5" x14ac:dyDescent="0.4">
      <c r="A42" t="s">
        <v>123</v>
      </c>
      <c r="B42" t="s">
        <v>124</v>
      </c>
      <c r="C42" s="13">
        <v>201</v>
      </c>
      <c r="D42" s="13">
        <v>5014950</v>
      </c>
      <c r="E42" s="15">
        <v>0.73</v>
      </c>
    </row>
    <row r="43" spans="1:5" x14ac:dyDescent="0.4">
      <c r="B43" t="s">
        <v>10</v>
      </c>
      <c r="C43" s="13">
        <v>6684304</v>
      </c>
      <c r="D43" s="13">
        <v>6684304</v>
      </c>
      <c r="E43" s="15">
        <v>0.97</v>
      </c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1300-000000000000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89"/>
  <sheetViews>
    <sheetView showGridLines="0" topLeftCell="F35" zoomScale="115" zoomScaleNormal="115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407</v>
      </c>
      <c r="B8" s="6"/>
      <c r="C8" s="6"/>
      <c r="D8" s="6"/>
      <c r="E8" s="14"/>
    </row>
    <row r="9" spans="1:7" x14ac:dyDescent="0.4">
      <c r="A9" s="69" t="s">
        <v>525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324</v>
      </c>
      <c r="B11" s="17" t="s">
        <v>325</v>
      </c>
      <c r="C11" s="18">
        <v>774</v>
      </c>
      <c r="D11" s="18">
        <v>217107000</v>
      </c>
      <c r="E11" s="19">
        <v>8.4499999999999993</v>
      </c>
      <c r="F11" s="17"/>
      <c r="G11" s="17"/>
    </row>
    <row r="12" spans="1:7" x14ac:dyDescent="0.4">
      <c r="A12" t="s">
        <v>410</v>
      </c>
      <c r="B12" s="17" t="s">
        <v>411</v>
      </c>
      <c r="C12" s="31">
        <v>949</v>
      </c>
      <c r="D12" s="13">
        <v>176893600</v>
      </c>
      <c r="E12" s="15">
        <v>6.88</v>
      </c>
    </row>
    <row r="13" spans="1:7" x14ac:dyDescent="0.4">
      <c r="A13" t="s">
        <v>299</v>
      </c>
      <c r="B13" t="s">
        <v>300</v>
      </c>
      <c r="C13" s="13">
        <v>280</v>
      </c>
      <c r="D13" s="13">
        <v>172480000</v>
      </c>
      <c r="E13" s="15">
        <v>6.71</v>
      </c>
    </row>
    <row r="14" spans="1:7" x14ac:dyDescent="0.4">
      <c r="A14" t="s">
        <v>434</v>
      </c>
      <c r="B14" s="17" t="s">
        <v>435</v>
      </c>
      <c r="C14" s="18">
        <v>2168</v>
      </c>
      <c r="D14" s="18">
        <v>156529600</v>
      </c>
      <c r="E14" s="19">
        <v>6.09</v>
      </c>
      <c r="F14" s="17"/>
      <c r="G14" s="17"/>
    </row>
    <row r="15" spans="1:7" x14ac:dyDescent="0.4">
      <c r="A15" t="s">
        <v>392</v>
      </c>
      <c r="B15" s="17" t="s">
        <v>393</v>
      </c>
      <c r="C15" s="31">
        <v>546</v>
      </c>
      <c r="D15" s="13">
        <v>150696000</v>
      </c>
      <c r="E15" s="15">
        <v>5.86</v>
      </c>
    </row>
    <row r="16" spans="1:7" x14ac:dyDescent="0.4">
      <c r="A16" t="s">
        <v>19</v>
      </c>
      <c r="B16" t="s">
        <v>20</v>
      </c>
      <c r="C16" s="31">
        <v>536</v>
      </c>
      <c r="D16" s="13">
        <v>145524000</v>
      </c>
      <c r="E16" s="15">
        <v>5.66</v>
      </c>
    </row>
    <row r="17" spans="1:7" x14ac:dyDescent="0.4">
      <c r="A17" t="s">
        <v>422</v>
      </c>
      <c r="B17" s="17" t="s">
        <v>423</v>
      </c>
      <c r="C17" s="31">
        <v>898</v>
      </c>
      <c r="D17" s="13">
        <v>127426200</v>
      </c>
      <c r="E17" s="15">
        <v>4.96</v>
      </c>
    </row>
    <row r="18" spans="1:7" x14ac:dyDescent="0.4">
      <c r="A18" t="s">
        <v>11</v>
      </c>
      <c r="B18" t="s">
        <v>12</v>
      </c>
      <c r="C18" s="13">
        <v>32</v>
      </c>
      <c r="D18" s="13">
        <v>125728000</v>
      </c>
      <c r="E18" s="15">
        <v>4.8899999999999997</v>
      </c>
    </row>
    <row r="19" spans="1:7" x14ac:dyDescent="0.4">
      <c r="A19" t="s">
        <v>322</v>
      </c>
      <c r="B19" s="17" t="s">
        <v>323</v>
      </c>
      <c r="C19" s="18">
        <v>2034</v>
      </c>
      <c r="D19" s="18">
        <v>103734000</v>
      </c>
      <c r="E19" s="19">
        <v>4.04</v>
      </c>
      <c r="F19" s="17"/>
      <c r="G19" s="17"/>
    </row>
    <row r="20" spans="1:7" x14ac:dyDescent="0.4">
      <c r="A20" t="s">
        <v>376</v>
      </c>
      <c r="B20" t="s">
        <v>377</v>
      </c>
      <c r="C20" s="13">
        <v>5027</v>
      </c>
      <c r="D20" s="13">
        <v>92245450</v>
      </c>
      <c r="E20" s="15">
        <v>3.59</v>
      </c>
    </row>
    <row r="21" spans="1:7" x14ac:dyDescent="0.4">
      <c r="A21" t="s">
        <v>15</v>
      </c>
      <c r="B21" t="s">
        <v>16</v>
      </c>
      <c r="C21" s="13">
        <v>69</v>
      </c>
      <c r="D21" s="13">
        <v>78384000</v>
      </c>
      <c r="E21" s="15">
        <v>3.05</v>
      </c>
    </row>
    <row r="22" spans="1:7" x14ac:dyDescent="0.4">
      <c r="A22" t="s">
        <v>408</v>
      </c>
      <c r="B22" t="s">
        <v>409</v>
      </c>
      <c r="C22" s="13">
        <v>709</v>
      </c>
      <c r="D22" s="13">
        <v>78273600</v>
      </c>
      <c r="E22" s="15">
        <v>3.05</v>
      </c>
    </row>
    <row r="23" spans="1:7" x14ac:dyDescent="0.4">
      <c r="A23" t="s">
        <v>307</v>
      </c>
      <c r="B23" t="s">
        <v>308</v>
      </c>
      <c r="C23" s="31">
        <v>275</v>
      </c>
      <c r="D23" s="13">
        <v>63800000</v>
      </c>
      <c r="E23" s="15">
        <v>2.48</v>
      </c>
    </row>
    <row r="24" spans="1:7" x14ac:dyDescent="0.4">
      <c r="A24" t="s">
        <v>27</v>
      </c>
      <c r="B24" t="s">
        <v>28</v>
      </c>
      <c r="C24" s="31">
        <v>808</v>
      </c>
      <c r="D24" s="13">
        <v>63428000</v>
      </c>
      <c r="E24" s="15">
        <v>2.4700000000000002</v>
      </c>
    </row>
    <row r="25" spans="1:7" x14ac:dyDescent="0.4">
      <c r="A25" t="s">
        <v>390</v>
      </c>
      <c r="B25" t="s">
        <v>391</v>
      </c>
      <c r="C25" s="13">
        <v>1171</v>
      </c>
      <c r="D25" s="13">
        <v>50821400</v>
      </c>
      <c r="E25" s="15">
        <v>1.98</v>
      </c>
    </row>
    <row r="26" spans="1:7" x14ac:dyDescent="0.4">
      <c r="A26" t="s">
        <v>326</v>
      </c>
      <c r="B26" t="s">
        <v>327</v>
      </c>
      <c r="C26" s="13">
        <v>315</v>
      </c>
      <c r="D26" s="13">
        <v>48856500</v>
      </c>
      <c r="E26" s="15">
        <v>1.9</v>
      </c>
    </row>
    <row r="27" spans="1:7" x14ac:dyDescent="0.4">
      <c r="A27" t="s">
        <v>394</v>
      </c>
      <c r="B27" t="s">
        <v>395</v>
      </c>
      <c r="C27" s="13">
        <v>1123</v>
      </c>
      <c r="D27" s="13">
        <v>47446750</v>
      </c>
      <c r="E27" s="15">
        <v>1.85</v>
      </c>
    </row>
    <row r="28" spans="1:7" x14ac:dyDescent="0.4">
      <c r="A28" t="s">
        <v>148</v>
      </c>
      <c r="B28" s="17" t="s">
        <v>149</v>
      </c>
      <c r="C28" s="18">
        <v>86</v>
      </c>
      <c r="D28" s="18">
        <v>44806000</v>
      </c>
      <c r="E28" s="19">
        <v>1.74</v>
      </c>
      <c r="F28" s="17"/>
      <c r="G28" s="17"/>
    </row>
    <row r="29" spans="1:7" x14ac:dyDescent="0.4">
      <c r="A29" t="s">
        <v>291</v>
      </c>
      <c r="B29" t="s">
        <v>292</v>
      </c>
      <c r="C29" s="13">
        <v>1010</v>
      </c>
      <c r="D29" s="13">
        <v>41006000</v>
      </c>
      <c r="E29" s="15">
        <v>1.6</v>
      </c>
    </row>
    <row r="30" spans="1:7" x14ac:dyDescent="0.4">
      <c r="A30" t="s">
        <v>1265</v>
      </c>
      <c r="B30" t="s">
        <v>1266</v>
      </c>
      <c r="C30" s="13">
        <v>440</v>
      </c>
      <c r="D30" s="13">
        <v>36564000</v>
      </c>
      <c r="E30" s="15">
        <v>1.42</v>
      </c>
    </row>
    <row r="31" spans="1:7" x14ac:dyDescent="0.4">
      <c r="A31" t="s">
        <v>414</v>
      </c>
      <c r="B31" t="s">
        <v>415</v>
      </c>
      <c r="C31" s="13">
        <v>2381</v>
      </c>
      <c r="D31" s="13">
        <v>36238820</v>
      </c>
      <c r="E31" s="15">
        <v>1.41</v>
      </c>
    </row>
    <row r="32" spans="1:7" x14ac:dyDescent="0.4">
      <c r="A32" t="s">
        <v>2919</v>
      </c>
      <c r="B32" t="s">
        <v>2920</v>
      </c>
      <c r="C32" s="13">
        <v>620</v>
      </c>
      <c r="D32" s="13">
        <v>32240000</v>
      </c>
      <c r="E32" s="15">
        <v>1.25</v>
      </c>
    </row>
    <row r="33" spans="1:7" x14ac:dyDescent="0.4">
      <c r="A33" t="s">
        <v>353</v>
      </c>
      <c r="B33" t="s">
        <v>354</v>
      </c>
      <c r="C33" s="13">
        <v>149</v>
      </c>
      <c r="D33" s="13">
        <v>29055000</v>
      </c>
      <c r="E33" s="15">
        <v>1.1299999999999999</v>
      </c>
    </row>
    <row r="34" spans="1:7" x14ac:dyDescent="0.4">
      <c r="A34" t="s">
        <v>416</v>
      </c>
      <c r="B34" t="s">
        <v>417</v>
      </c>
      <c r="C34" s="13">
        <v>690</v>
      </c>
      <c r="D34" s="13">
        <v>24598500</v>
      </c>
      <c r="E34" s="15">
        <v>0.96</v>
      </c>
    </row>
    <row r="35" spans="1:7" x14ac:dyDescent="0.4">
      <c r="A35" t="s">
        <v>412</v>
      </c>
      <c r="B35" s="17" t="s">
        <v>413</v>
      </c>
      <c r="C35" s="18">
        <v>1231</v>
      </c>
      <c r="D35" s="18">
        <v>24583070</v>
      </c>
      <c r="E35" s="19">
        <v>0.96</v>
      </c>
      <c r="F35" s="17"/>
      <c r="G35" s="17"/>
    </row>
    <row r="36" spans="1:7" x14ac:dyDescent="0.4">
      <c r="A36" t="s">
        <v>591</v>
      </c>
      <c r="B36" t="s">
        <v>592</v>
      </c>
      <c r="C36" s="13">
        <v>366</v>
      </c>
      <c r="D36" s="13">
        <v>23643600</v>
      </c>
      <c r="E36" s="15">
        <v>0.92</v>
      </c>
    </row>
    <row r="37" spans="1:7" x14ac:dyDescent="0.4">
      <c r="A37" t="s">
        <v>223</v>
      </c>
      <c r="B37" t="s">
        <v>224</v>
      </c>
      <c r="C37" s="13">
        <v>588</v>
      </c>
      <c r="D37" s="13">
        <v>23020200</v>
      </c>
      <c r="E37" s="15">
        <v>0.9</v>
      </c>
    </row>
    <row r="38" spans="1:7" x14ac:dyDescent="0.4">
      <c r="A38" t="s">
        <v>545</v>
      </c>
      <c r="B38" t="s">
        <v>546</v>
      </c>
      <c r="C38" s="13">
        <v>568</v>
      </c>
      <c r="D38" s="13">
        <v>21981600</v>
      </c>
      <c r="E38" s="15">
        <v>0.86</v>
      </c>
    </row>
    <row r="39" spans="1:7" x14ac:dyDescent="0.4">
      <c r="A39" t="s">
        <v>320</v>
      </c>
      <c r="B39" t="s">
        <v>321</v>
      </c>
      <c r="C39" s="13">
        <v>360</v>
      </c>
      <c r="D39" s="13">
        <v>20160000</v>
      </c>
      <c r="E39" s="15">
        <v>0.78</v>
      </c>
    </row>
    <row r="40" spans="1:7" x14ac:dyDescent="0.4">
      <c r="A40" t="s">
        <v>3062</v>
      </c>
      <c r="B40" t="s">
        <v>3063</v>
      </c>
      <c r="C40" s="13">
        <v>840</v>
      </c>
      <c r="D40" s="13">
        <v>19488000</v>
      </c>
      <c r="E40" s="15">
        <v>0.76</v>
      </c>
    </row>
    <row r="41" spans="1:7" x14ac:dyDescent="0.4">
      <c r="A41" t="s">
        <v>671</v>
      </c>
      <c r="B41" t="s">
        <v>672</v>
      </c>
      <c r="C41" s="13">
        <v>1033</v>
      </c>
      <c r="D41" s="13">
        <v>19461720</v>
      </c>
      <c r="E41" s="15">
        <v>0.76</v>
      </c>
    </row>
    <row r="42" spans="1:7" x14ac:dyDescent="0.4">
      <c r="A42" t="s">
        <v>3341</v>
      </c>
      <c r="B42" s="17" t="s">
        <v>3342</v>
      </c>
      <c r="C42" s="18">
        <v>1498</v>
      </c>
      <c r="D42" s="18">
        <v>18020940</v>
      </c>
      <c r="E42" s="19">
        <v>0.7</v>
      </c>
      <c r="F42" s="17"/>
      <c r="G42" s="17"/>
    </row>
    <row r="43" spans="1:7" x14ac:dyDescent="0.4">
      <c r="A43" t="s">
        <v>4782</v>
      </c>
      <c r="B43" s="17" t="s">
        <v>4783</v>
      </c>
      <c r="C43" s="18">
        <v>990</v>
      </c>
      <c r="D43" s="18">
        <v>17077500</v>
      </c>
      <c r="E43" s="19">
        <v>0.66</v>
      </c>
      <c r="F43" s="17"/>
      <c r="G43" s="17"/>
    </row>
    <row r="44" spans="1:7" x14ac:dyDescent="0.4">
      <c r="A44" t="s">
        <v>4669</v>
      </c>
      <c r="B44" t="s">
        <v>4670</v>
      </c>
      <c r="C44" s="13">
        <v>249</v>
      </c>
      <c r="D44" s="13">
        <v>15985800</v>
      </c>
      <c r="E44" s="15">
        <v>0.62</v>
      </c>
    </row>
    <row r="45" spans="1:7" x14ac:dyDescent="0.4">
      <c r="A45" t="s">
        <v>332</v>
      </c>
      <c r="B45" t="s">
        <v>333</v>
      </c>
      <c r="C45" s="13">
        <v>224</v>
      </c>
      <c r="D45" s="13">
        <v>14470400</v>
      </c>
      <c r="E45" s="15">
        <v>0.56000000000000005</v>
      </c>
    </row>
    <row r="46" spans="1:7" x14ac:dyDescent="0.4">
      <c r="A46" t="s">
        <v>4968</v>
      </c>
      <c r="B46" t="s">
        <v>4969</v>
      </c>
      <c r="C46" s="13">
        <v>429</v>
      </c>
      <c r="D46" s="13">
        <v>14092650</v>
      </c>
      <c r="E46" s="15">
        <v>0.55000000000000004</v>
      </c>
    </row>
    <row r="47" spans="1:7" x14ac:dyDescent="0.4">
      <c r="A47" t="s">
        <v>3105</v>
      </c>
      <c r="B47" t="s">
        <v>3106</v>
      </c>
      <c r="C47" s="13">
        <v>1138</v>
      </c>
      <c r="D47" s="13">
        <v>14088440</v>
      </c>
      <c r="E47" s="15">
        <v>0.55000000000000004</v>
      </c>
    </row>
    <row r="48" spans="1:7" x14ac:dyDescent="0.4">
      <c r="A48" t="s">
        <v>287</v>
      </c>
      <c r="B48" t="s">
        <v>288</v>
      </c>
      <c r="C48" s="13">
        <v>31</v>
      </c>
      <c r="D48" s="13">
        <v>12431000</v>
      </c>
      <c r="E48" s="15">
        <v>0.48</v>
      </c>
    </row>
    <row r="49" spans="1:5" x14ac:dyDescent="0.4">
      <c r="A49" t="s">
        <v>733</v>
      </c>
      <c r="B49" t="s">
        <v>734</v>
      </c>
      <c r="C49" s="13">
        <v>148</v>
      </c>
      <c r="D49" s="13">
        <v>11988000</v>
      </c>
      <c r="E49" s="15">
        <v>0.47</v>
      </c>
    </row>
    <row r="50" spans="1:5" x14ac:dyDescent="0.4">
      <c r="A50" t="s">
        <v>589</v>
      </c>
      <c r="B50" t="s">
        <v>590</v>
      </c>
      <c r="C50" s="13">
        <v>1721</v>
      </c>
      <c r="D50" s="13">
        <v>11616750</v>
      </c>
      <c r="E50" s="15">
        <v>0.45</v>
      </c>
    </row>
    <row r="51" spans="1:5" x14ac:dyDescent="0.4">
      <c r="A51" t="s">
        <v>401</v>
      </c>
      <c r="B51" t="s">
        <v>402</v>
      </c>
      <c r="C51" s="13">
        <v>229</v>
      </c>
      <c r="D51" s="13">
        <v>11564500</v>
      </c>
      <c r="E51" s="15">
        <v>0.45</v>
      </c>
    </row>
    <row r="52" spans="1:5" x14ac:dyDescent="0.4">
      <c r="A52" t="s">
        <v>340</v>
      </c>
      <c r="B52" t="s">
        <v>341</v>
      </c>
      <c r="C52" s="13">
        <v>402</v>
      </c>
      <c r="D52" s="13">
        <v>11396700</v>
      </c>
      <c r="E52" s="15">
        <v>0.44</v>
      </c>
    </row>
    <row r="53" spans="1:5" x14ac:dyDescent="0.4">
      <c r="A53" t="s">
        <v>4260</v>
      </c>
      <c r="B53" t="s">
        <v>4261</v>
      </c>
      <c r="C53" s="13">
        <v>218</v>
      </c>
      <c r="D53" s="13">
        <v>10616600</v>
      </c>
      <c r="E53" s="15">
        <v>0.41</v>
      </c>
    </row>
    <row r="54" spans="1:5" x14ac:dyDescent="0.4">
      <c r="A54" t="s">
        <v>477</v>
      </c>
      <c r="B54" t="s">
        <v>478</v>
      </c>
      <c r="C54" s="13">
        <v>629</v>
      </c>
      <c r="D54" s="13">
        <v>8629880</v>
      </c>
      <c r="E54" s="15">
        <v>0.34</v>
      </c>
    </row>
    <row r="55" spans="1:5" x14ac:dyDescent="0.4">
      <c r="A55" t="s">
        <v>384</v>
      </c>
      <c r="B55" t="s">
        <v>385</v>
      </c>
      <c r="C55" s="13">
        <v>316</v>
      </c>
      <c r="D55" s="13">
        <v>8532000</v>
      </c>
      <c r="E55" s="15">
        <v>0.33</v>
      </c>
    </row>
    <row r="56" spans="1:5" x14ac:dyDescent="0.4">
      <c r="A56" t="s">
        <v>426</v>
      </c>
      <c r="B56" t="s">
        <v>427</v>
      </c>
      <c r="C56" s="13">
        <v>1471</v>
      </c>
      <c r="D56" s="13">
        <v>8414120</v>
      </c>
      <c r="E56" s="15">
        <v>0.33</v>
      </c>
    </row>
    <row r="57" spans="1:5" x14ac:dyDescent="0.4">
      <c r="A57" t="s">
        <v>936</v>
      </c>
      <c r="B57" t="s">
        <v>937</v>
      </c>
      <c r="C57" s="13">
        <v>282</v>
      </c>
      <c r="D57" s="13">
        <v>8065200</v>
      </c>
      <c r="E57" s="15">
        <v>0.31</v>
      </c>
    </row>
    <row r="58" spans="1:5" x14ac:dyDescent="0.4">
      <c r="A58" t="s">
        <v>386</v>
      </c>
      <c r="B58" t="s">
        <v>387</v>
      </c>
      <c r="C58" s="13">
        <v>62</v>
      </c>
      <c r="D58" s="13">
        <v>5177000</v>
      </c>
      <c r="E58" s="15">
        <v>0.2</v>
      </c>
    </row>
    <row r="59" spans="1:5" x14ac:dyDescent="0.4">
      <c r="A59" t="s">
        <v>430</v>
      </c>
      <c r="B59" t="s">
        <v>431</v>
      </c>
      <c r="C59" s="13">
        <v>373</v>
      </c>
      <c r="D59" s="13">
        <v>4423780</v>
      </c>
      <c r="E59" s="15">
        <v>0.17</v>
      </c>
    </row>
    <row r="60" spans="1:5" x14ac:dyDescent="0.4">
      <c r="A60" t="s">
        <v>428</v>
      </c>
      <c r="B60" t="s">
        <v>429</v>
      </c>
      <c r="C60" s="13">
        <v>3881</v>
      </c>
      <c r="D60" s="13">
        <v>3760689</v>
      </c>
      <c r="E60" s="15">
        <v>0.15</v>
      </c>
    </row>
    <row r="61" spans="1:5" x14ac:dyDescent="0.4">
      <c r="A61" t="s">
        <v>493</v>
      </c>
      <c r="B61" t="s">
        <v>494</v>
      </c>
      <c r="C61" s="13">
        <v>20</v>
      </c>
      <c r="D61" s="13">
        <v>3704000</v>
      </c>
      <c r="E61" s="15">
        <v>0.14000000000000001</v>
      </c>
    </row>
    <row r="62" spans="1:5" x14ac:dyDescent="0.4">
      <c r="A62" t="s">
        <v>17</v>
      </c>
      <c r="B62" t="s">
        <v>18</v>
      </c>
      <c r="C62">
        <v>32</v>
      </c>
      <c r="D62" s="13">
        <v>3468800</v>
      </c>
      <c r="E62" s="15">
        <v>0.13</v>
      </c>
    </row>
    <row r="63" spans="1:5" x14ac:dyDescent="0.4">
      <c r="A63" t="s">
        <v>140</v>
      </c>
      <c r="B63" t="s">
        <v>141</v>
      </c>
      <c r="C63" s="13">
        <v>5</v>
      </c>
      <c r="D63" s="13">
        <v>3330000</v>
      </c>
      <c r="E63" s="15">
        <v>0.13</v>
      </c>
    </row>
    <row r="64" spans="1:5" x14ac:dyDescent="0.4">
      <c r="A64" t="s">
        <v>436</v>
      </c>
      <c r="B64" t="s">
        <v>437</v>
      </c>
      <c r="C64" s="13">
        <v>34</v>
      </c>
      <c r="D64" s="13">
        <v>3039600</v>
      </c>
      <c r="E64" s="15">
        <v>0.12</v>
      </c>
    </row>
    <row r="65" spans="1:5" x14ac:dyDescent="0.4">
      <c r="A65" t="s">
        <v>172</v>
      </c>
      <c r="B65" t="s">
        <v>173</v>
      </c>
      <c r="C65">
        <v>4</v>
      </c>
      <c r="D65" s="13">
        <v>2680000</v>
      </c>
      <c r="E65" s="15">
        <v>0.1</v>
      </c>
    </row>
    <row r="66" spans="1:5" x14ac:dyDescent="0.4">
      <c r="A66" t="s">
        <v>420</v>
      </c>
      <c r="B66" t="s">
        <v>421</v>
      </c>
      <c r="C66" s="13">
        <v>60</v>
      </c>
      <c r="D66" s="13">
        <v>2667000</v>
      </c>
      <c r="E66" s="15">
        <v>0.1</v>
      </c>
    </row>
    <row r="67" spans="1:5" x14ac:dyDescent="0.4">
      <c r="A67" t="s">
        <v>120</v>
      </c>
      <c r="B67" t="s">
        <v>121</v>
      </c>
      <c r="C67" s="13">
        <v>6</v>
      </c>
      <c r="D67" s="13">
        <v>2661000</v>
      </c>
      <c r="E67" s="15">
        <v>0.1</v>
      </c>
    </row>
    <row r="68" spans="1:5" x14ac:dyDescent="0.4">
      <c r="A68" t="s">
        <v>297</v>
      </c>
      <c r="B68" t="s">
        <v>298</v>
      </c>
      <c r="C68">
        <v>21</v>
      </c>
      <c r="D68" s="13">
        <v>2494800</v>
      </c>
      <c r="E68" s="15">
        <v>0.1</v>
      </c>
    </row>
    <row r="69" spans="1:5" x14ac:dyDescent="0.4">
      <c r="A69" t="s">
        <v>242</v>
      </c>
      <c r="B69" t="s">
        <v>243</v>
      </c>
      <c r="C69">
        <v>10</v>
      </c>
      <c r="D69" s="13">
        <v>2350000</v>
      </c>
      <c r="E69" s="15">
        <v>0.09</v>
      </c>
    </row>
    <row r="70" spans="1:5" x14ac:dyDescent="0.4">
      <c r="A70" t="s">
        <v>432</v>
      </c>
      <c r="B70" t="s">
        <v>433</v>
      </c>
      <c r="C70">
        <v>436</v>
      </c>
      <c r="D70" s="13">
        <v>2158200</v>
      </c>
      <c r="E70" s="15">
        <v>0.08</v>
      </c>
    </row>
    <row r="71" spans="1:5" x14ac:dyDescent="0.4">
      <c r="A71" t="s">
        <v>418</v>
      </c>
      <c r="B71" t="s">
        <v>419</v>
      </c>
      <c r="C71">
        <v>149</v>
      </c>
      <c r="D71" s="13">
        <v>2093450</v>
      </c>
      <c r="E71" s="15">
        <v>0.08</v>
      </c>
    </row>
    <row r="72" spans="1:5" x14ac:dyDescent="0.4">
      <c r="A72" t="s">
        <v>314</v>
      </c>
      <c r="B72" t="s">
        <v>315</v>
      </c>
      <c r="C72">
        <v>36</v>
      </c>
      <c r="D72" s="13">
        <v>1846800</v>
      </c>
      <c r="E72" s="15">
        <v>7.0000000000000007E-2</v>
      </c>
    </row>
    <row r="73" spans="1:5" x14ac:dyDescent="0.4">
      <c r="A73" t="s">
        <v>152</v>
      </c>
      <c r="B73" t="s">
        <v>153</v>
      </c>
      <c r="C73">
        <v>6</v>
      </c>
      <c r="D73" s="13">
        <v>1719000</v>
      </c>
      <c r="E73" s="15">
        <v>7.0000000000000007E-2</v>
      </c>
    </row>
    <row r="74" spans="1:5" x14ac:dyDescent="0.4">
      <c r="A74" t="s">
        <v>116</v>
      </c>
      <c r="B74" t="s">
        <v>117</v>
      </c>
      <c r="C74">
        <v>16</v>
      </c>
      <c r="D74" s="13">
        <v>1716800</v>
      </c>
      <c r="E74" s="15">
        <v>7.0000000000000007E-2</v>
      </c>
    </row>
    <row r="75" spans="1:5" x14ac:dyDescent="0.4">
      <c r="A75" t="s">
        <v>127</v>
      </c>
      <c r="B75" t="s">
        <v>128</v>
      </c>
      <c r="C75">
        <v>10</v>
      </c>
      <c r="D75" s="13">
        <v>1679000</v>
      </c>
      <c r="E75" s="15">
        <v>7.0000000000000007E-2</v>
      </c>
    </row>
    <row r="76" spans="1:5" x14ac:dyDescent="0.4">
      <c r="A76" t="s">
        <v>305</v>
      </c>
      <c r="B76" t="s">
        <v>306</v>
      </c>
      <c r="C76" s="13">
        <v>1</v>
      </c>
      <c r="D76" s="13">
        <v>1405000</v>
      </c>
      <c r="E76" s="15">
        <v>0.05</v>
      </c>
    </row>
    <row r="77" spans="1:5" x14ac:dyDescent="0.4">
      <c r="A77" t="s">
        <v>344</v>
      </c>
      <c r="B77" t="s">
        <v>345</v>
      </c>
      <c r="C77" s="13">
        <v>7</v>
      </c>
      <c r="D77" s="13">
        <v>1196300</v>
      </c>
      <c r="E77" s="15">
        <v>0.05</v>
      </c>
    </row>
    <row r="78" spans="1:5" x14ac:dyDescent="0.4">
      <c r="A78" t="s">
        <v>186</v>
      </c>
      <c r="B78" t="s">
        <v>187</v>
      </c>
      <c r="C78" s="13">
        <v>3</v>
      </c>
      <c r="D78" s="13">
        <v>1044000</v>
      </c>
      <c r="E78" s="15">
        <v>0.04</v>
      </c>
    </row>
    <row r="79" spans="1:5" x14ac:dyDescent="0.4">
      <c r="A79" t="s">
        <v>438</v>
      </c>
      <c r="B79" t="s">
        <v>439</v>
      </c>
      <c r="C79" s="13">
        <v>6</v>
      </c>
      <c r="D79" s="13">
        <v>910800</v>
      </c>
      <c r="E79" s="15">
        <v>0.04</v>
      </c>
    </row>
    <row r="80" spans="1:5" x14ac:dyDescent="0.4">
      <c r="A80" t="s">
        <v>424</v>
      </c>
      <c r="B80" t="s">
        <v>425</v>
      </c>
      <c r="C80" s="13">
        <v>57</v>
      </c>
      <c r="D80" s="13">
        <v>897180</v>
      </c>
      <c r="E80" s="15">
        <v>0.03</v>
      </c>
    </row>
    <row r="81" spans="1:5" x14ac:dyDescent="0.4">
      <c r="A81" t="s">
        <v>21</v>
      </c>
      <c r="B81" t="s">
        <v>22</v>
      </c>
      <c r="C81" s="13">
        <v>6</v>
      </c>
      <c r="D81" s="13">
        <v>882600</v>
      </c>
      <c r="E81" s="15">
        <v>0.03</v>
      </c>
    </row>
    <row r="82" spans="1:5" x14ac:dyDescent="0.4">
      <c r="A82" t="s">
        <v>25</v>
      </c>
      <c r="B82" t="s">
        <v>26</v>
      </c>
      <c r="C82" s="13">
        <v>6</v>
      </c>
      <c r="D82" s="13">
        <v>855000</v>
      </c>
      <c r="E82" s="15">
        <v>0.03</v>
      </c>
    </row>
    <row r="83" spans="1:5" x14ac:dyDescent="0.4">
      <c r="A83" t="s">
        <v>23</v>
      </c>
      <c r="B83" t="s">
        <v>24</v>
      </c>
      <c r="C83">
        <v>15</v>
      </c>
      <c r="D83" s="13">
        <v>811500</v>
      </c>
      <c r="E83" s="15">
        <v>0.03</v>
      </c>
    </row>
    <row r="84" spans="1:5" x14ac:dyDescent="0.4">
      <c r="A84" t="s">
        <v>440</v>
      </c>
      <c r="B84" t="s">
        <v>441</v>
      </c>
      <c r="C84" s="13">
        <v>145</v>
      </c>
      <c r="D84" s="13">
        <v>797500</v>
      </c>
      <c r="E84" s="15">
        <v>0.03</v>
      </c>
    </row>
    <row r="85" spans="1:5" x14ac:dyDescent="0.4">
      <c r="A85" t="s">
        <v>338</v>
      </c>
      <c r="B85" t="s">
        <v>339</v>
      </c>
      <c r="C85" s="13">
        <v>156</v>
      </c>
      <c r="D85" s="13">
        <v>754260</v>
      </c>
      <c r="E85" s="15">
        <v>0.03</v>
      </c>
    </row>
    <row r="86" spans="1:5" x14ac:dyDescent="0.4">
      <c r="A86" t="s">
        <v>442</v>
      </c>
      <c r="B86" t="s">
        <v>443</v>
      </c>
      <c r="C86">
        <v>37</v>
      </c>
      <c r="D86" s="13">
        <v>645650</v>
      </c>
      <c r="E86" s="15">
        <v>0.03</v>
      </c>
    </row>
    <row r="87" spans="1:5" x14ac:dyDescent="0.4">
      <c r="A87" t="s">
        <v>399</v>
      </c>
      <c r="B87" t="s">
        <v>400</v>
      </c>
      <c r="C87" s="13">
        <v>11</v>
      </c>
      <c r="D87" s="13">
        <v>553300</v>
      </c>
      <c r="E87" s="15">
        <v>0.02</v>
      </c>
    </row>
    <row r="88" spans="1:5" x14ac:dyDescent="0.4">
      <c r="A88" t="s">
        <v>94</v>
      </c>
      <c r="B88" t="s">
        <v>95</v>
      </c>
      <c r="C88" s="13">
        <v>13</v>
      </c>
      <c r="D88" s="13">
        <v>512200</v>
      </c>
      <c r="E88" s="15">
        <v>0.02</v>
      </c>
    </row>
    <row r="89" spans="1:5" x14ac:dyDescent="0.4">
      <c r="B89" t="s">
        <v>10</v>
      </c>
      <c r="C89" s="13">
        <v>14817108</v>
      </c>
      <c r="D89" s="13">
        <v>14817108</v>
      </c>
      <c r="E89" s="15">
        <v>0.57999999999999996</v>
      </c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400-000000000000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89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407</v>
      </c>
      <c r="B8" s="6"/>
      <c r="C8" s="6"/>
      <c r="D8" s="6"/>
      <c r="E8" s="14"/>
    </row>
    <row r="9" spans="1:5" x14ac:dyDescent="0.4">
      <c r="A9" s="69" t="s">
        <v>525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324</v>
      </c>
      <c r="B11" t="s">
        <v>325</v>
      </c>
      <c r="C11" s="13">
        <v>748</v>
      </c>
      <c r="D11" s="13">
        <v>217668000</v>
      </c>
      <c r="E11" s="15">
        <v>8.32</v>
      </c>
    </row>
    <row r="12" spans="1:5" x14ac:dyDescent="0.4">
      <c r="A12" t="s">
        <v>410</v>
      </c>
      <c r="B12" t="s">
        <v>411</v>
      </c>
      <c r="C12" s="31">
        <v>879</v>
      </c>
      <c r="D12" s="13">
        <v>172987200</v>
      </c>
      <c r="E12" s="15">
        <v>6.62</v>
      </c>
    </row>
    <row r="13" spans="1:5" x14ac:dyDescent="0.4">
      <c r="A13" t="s">
        <v>299</v>
      </c>
      <c r="B13" t="s">
        <v>300</v>
      </c>
      <c r="C13" s="13">
        <v>280</v>
      </c>
      <c r="D13" s="13">
        <v>171920000</v>
      </c>
      <c r="E13" s="15">
        <v>6.57</v>
      </c>
    </row>
    <row r="14" spans="1:5" x14ac:dyDescent="0.4">
      <c r="A14" t="s">
        <v>392</v>
      </c>
      <c r="B14" t="s">
        <v>393</v>
      </c>
      <c r="C14" s="13">
        <v>546</v>
      </c>
      <c r="D14" s="13">
        <v>146601000</v>
      </c>
      <c r="E14" s="15">
        <v>5.61</v>
      </c>
    </row>
    <row r="15" spans="1:5" x14ac:dyDescent="0.4">
      <c r="A15" t="s">
        <v>19</v>
      </c>
      <c r="B15" t="s">
        <v>20</v>
      </c>
      <c r="C15" s="31">
        <v>557</v>
      </c>
      <c r="D15" s="13">
        <v>144263000</v>
      </c>
      <c r="E15" s="15">
        <v>5.52</v>
      </c>
    </row>
    <row r="16" spans="1:5" x14ac:dyDescent="0.4">
      <c r="A16" t="s">
        <v>422</v>
      </c>
      <c r="B16" t="s">
        <v>423</v>
      </c>
      <c r="C16" s="31">
        <v>898</v>
      </c>
      <c r="D16" s="13">
        <v>139279800</v>
      </c>
      <c r="E16" s="15">
        <v>5.33</v>
      </c>
    </row>
    <row r="17" spans="1:5" x14ac:dyDescent="0.4">
      <c r="A17" t="s">
        <v>434</v>
      </c>
      <c r="B17" t="s">
        <v>435</v>
      </c>
      <c r="C17" s="31">
        <v>1970</v>
      </c>
      <c r="D17" s="13">
        <v>131990000</v>
      </c>
      <c r="E17" s="15">
        <v>5.05</v>
      </c>
    </row>
    <row r="18" spans="1:5" x14ac:dyDescent="0.4">
      <c r="A18" t="s">
        <v>11</v>
      </c>
      <c r="B18" t="s">
        <v>12</v>
      </c>
      <c r="C18" s="13">
        <v>32</v>
      </c>
      <c r="D18" s="13">
        <v>119840000</v>
      </c>
      <c r="E18" s="15">
        <v>4.58</v>
      </c>
    </row>
    <row r="19" spans="1:5" x14ac:dyDescent="0.4">
      <c r="A19" t="s">
        <v>322</v>
      </c>
      <c r="B19" t="s">
        <v>323</v>
      </c>
      <c r="C19" s="13">
        <v>2085</v>
      </c>
      <c r="D19" s="13">
        <v>110088000</v>
      </c>
      <c r="E19" s="15">
        <v>4.21</v>
      </c>
    </row>
    <row r="20" spans="1:5" x14ac:dyDescent="0.4">
      <c r="A20" t="s">
        <v>376</v>
      </c>
      <c r="B20" t="s">
        <v>377</v>
      </c>
      <c r="C20" s="13">
        <v>5027</v>
      </c>
      <c r="D20" s="13">
        <v>97071370</v>
      </c>
      <c r="E20" s="15">
        <v>3.71</v>
      </c>
    </row>
    <row r="21" spans="1:5" x14ac:dyDescent="0.4">
      <c r="A21" t="s">
        <v>408</v>
      </c>
      <c r="B21" t="s">
        <v>409</v>
      </c>
      <c r="C21" s="13">
        <v>709</v>
      </c>
      <c r="D21" s="13">
        <v>84441900</v>
      </c>
      <c r="E21" s="15">
        <v>3.23</v>
      </c>
    </row>
    <row r="22" spans="1:5" x14ac:dyDescent="0.4">
      <c r="A22" t="s">
        <v>15</v>
      </c>
      <c r="B22" t="s">
        <v>16</v>
      </c>
      <c r="C22" s="13">
        <v>69</v>
      </c>
      <c r="D22" s="13">
        <v>81351000</v>
      </c>
      <c r="E22" s="15">
        <v>3.11</v>
      </c>
    </row>
    <row r="23" spans="1:5" x14ac:dyDescent="0.4">
      <c r="A23" t="s">
        <v>27</v>
      </c>
      <c r="B23" t="s">
        <v>28</v>
      </c>
      <c r="C23" s="31">
        <v>877</v>
      </c>
      <c r="D23" s="13">
        <v>72703300</v>
      </c>
      <c r="E23" s="15">
        <v>2.78</v>
      </c>
    </row>
    <row r="24" spans="1:5" x14ac:dyDescent="0.4">
      <c r="A24" t="s">
        <v>307</v>
      </c>
      <c r="B24" t="s">
        <v>308</v>
      </c>
      <c r="C24" s="31">
        <v>275</v>
      </c>
      <c r="D24" s="13">
        <v>64762500</v>
      </c>
      <c r="E24" s="15">
        <v>2.48</v>
      </c>
    </row>
    <row r="25" spans="1:5" x14ac:dyDescent="0.4">
      <c r="A25" t="s">
        <v>390</v>
      </c>
      <c r="B25" t="s">
        <v>391</v>
      </c>
      <c r="C25" s="13">
        <v>1232</v>
      </c>
      <c r="D25" s="13">
        <v>56795200</v>
      </c>
      <c r="E25" s="15">
        <v>2.17</v>
      </c>
    </row>
    <row r="26" spans="1:5" x14ac:dyDescent="0.4">
      <c r="A26" t="s">
        <v>326</v>
      </c>
      <c r="B26" t="s">
        <v>327</v>
      </c>
      <c r="C26" s="13">
        <v>315</v>
      </c>
      <c r="D26" s="13">
        <v>50463000</v>
      </c>
      <c r="E26" s="15">
        <v>1.93</v>
      </c>
    </row>
    <row r="27" spans="1:5" x14ac:dyDescent="0.4">
      <c r="A27" t="s">
        <v>394</v>
      </c>
      <c r="B27" t="s">
        <v>395</v>
      </c>
      <c r="C27" s="13">
        <v>1123</v>
      </c>
      <c r="D27" s="13">
        <v>49917350</v>
      </c>
      <c r="E27" s="15">
        <v>1.91</v>
      </c>
    </row>
    <row r="28" spans="1:5" x14ac:dyDescent="0.4">
      <c r="A28" t="s">
        <v>414</v>
      </c>
      <c r="B28" t="s">
        <v>415</v>
      </c>
      <c r="C28" s="13">
        <v>3149</v>
      </c>
      <c r="D28" s="13">
        <v>44652820</v>
      </c>
      <c r="E28" s="15">
        <v>1.71</v>
      </c>
    </row>
    <row r="29" spans="1:5" x14ac:dyDescent="0.4">
      <c r="A29" t="s">
        <v>291</v>
      </c>
      <c r="B29" t="s">
        <v>292</v>
      </c>
      <c r="C29" s="13">
        <v>1010</v>
      </c>
      <c r="D29" s="13">
        <v>41006000</v>
      </c>
      <c r="E29" s="15">
        <v>1.57</v>
      </c>
    </row>
    <row r="30" spans="1:5" x14ac:dyDescent="0.4">
      <c r="A30" t="s">
        <v>148</v>
      </c>
      <c r="B30" t="s">
        <v>149</v>
      </c>
      <c r="C30" s="13">
        <v>86</v>
      </c>
      <c r="D30" s="13">
        <v>40635000</v>
      </c>
      <c r="E30" s="15">
        <v>1.55</v>
      </c>
    </row>
    <row r="31" spans="1:5" x14ac:dyDescent="0.4">
      <c r="A31" t="s">
        <v>1265</v>
      </c>
      <c r="B31" t="s">
        <v>1266</v>
      </c>
      <c r="C31" s="13">
        <v>440</v>
      </c>
      <c r="D31" s="13">
        <v>37092000</v>
      </c>
      <c r="E31" s="15">
        <v>1.42</v>
      </c>
    </row>
    <row r="32" spans="1:5" x14ac:dyDescent="0.4">
      <c r="A32" t="s">
        <v>2919</v>
      </c>
      <c r="B32" t="s">
        <v>2920</v>
      </c>
      <c r="C32" s="13">
        <v>620</v>
      </c>
      <c r="D32" s="13">
        <v>32860000</v>
      </c>
      <c r="E32" s="15">
        <v>1.26</v>
      </c>
    </row>
    <row r="33" spans="1:5" x14ac:dyDescent="0.4">
      <c r="A33" t="s">
        <v>353</v>
      </c>
      <c r="B33" t="s">
        <v>354</v>
      </c>
      <c r="C33" s="13">
        <v>149</v>
      </c>
      <c r="D33" s="13">
        <v>28384500</v>
      </c>
      <c r="E33" s="15">
        <v>1.0900000000000001</v>
      </c>
    </row>
    <row r="34" spans="1:5" x14ac:dyDescent="0.4">
      <c r="A34" t="s">
        <v>412</v>
      </c>
      <c r="B34" t="s">
        <v>413</v>
      </c>
      <c r="C34" s="13">
        <v>1231</v>
      </c>
      <c r="D34" s="13">
        <v>27389750</v>
      </c>
      <c r="E34" s="15">
        <v>1.05</v>
      </c>
    </row>
    <row r="35" spans="1:5" x14ac:dyDescent="0.4">
      <c r="A35" t="s">
        <v>591</v>
      </c>
      <c r="B35" t="s">
        <v>592</v>
      </c>
      <c r="C35" s="13">
        <v>366</v>
      </c>
      <c r="D35" s="13">
        <v>25656600</v>
      </c>
      <c r="E35" s="15">
        <v>0.98</v>
      </c>
    </row>
    <row r="36" spans="1:5" x14ac:dyDescent="0.4">
      <c r="A36" t="s">
        <v>416</v>
      </c>
      <c r="B36" t="s">
        <v>417</v>
      </c>
      <c r="C36" s="13">
        <v>690</v>
      </c>
      <c r="D36" s="13">
        <v>25012500</v>
      </c>
      <c r="E36" s="15">
        <v>0.96</v>
      </c>
    </row>
    <row r="37" spans="1:5" x14ac:dyDescent="0.4">
      <c r="A37" t="s">
        <v>223</v>
      </c>
      <c r="B37" t="s">
        <v>224</v>
      </c>
      <c r="C37" s="13">
        <v>588</v>
      </c>
      <c r="D37" s="13">
        <v>24431400</v>
      </c>
      <c r="E37" s="15">
        <v>0.93</v>
      </c>
    </row>
    <row r="38" spans="1:5" x14ac:dyDescent="0.4">
      <c r="A38" t="s">
        <v>545</v>
      </c>
      <c r="B38" t="s">
        <v>546</v>
      </c>
      <c r="C38" s="13">
        <v>568</v>
      </c>
      <c r="D38" s="13">
        <v>23032400</v>
      </c>
      <c r="E38" s="15">
        <v>0.88</v>
      </c>
    </row>
    <row r="39" spans="1:5" x14ac:dyDescent="0.4">
      <c r="A39" t="s">
        <v>320</v>
      </c>
      <c r="B39" t="s">
        <v>321</v>
      </c>
      <c r="C39" s="13">
        <v>360</v>
      </c>
      <c r="D39" s="13">
        <v>21600000</v>
      </c>
      <c r="E39" s="15">
        <v>0.83</v>
      </c>
    </row>
    <row r="40" spans="1:5" x14ac:dyDescent="0.4">
      <c r="A40" t="s">
        <v>671</v>
      </c>
      <c r="B40" t="s">
        <v>672</v>
      </c>
      <c r="C40" s="13">
        <v>1033</v>
      </c>
      <c r="D40" s="13">
        <v>20195150</v>
      </c>
      <c r="E40" s="15">
        <v>0.77</v>
      </c>
    </row>
    <row r="41" spans="1:5" x14ac:dyDescent="0.4">
      <c r="A41" t="s">
        <v>4782</v>
      </c>
      <c r="B41" t="s">
        <v>4783</v>
      </c>
      <c r="C41" s="13">
        <v>990</v>
      </c>
      <c r="D41" s="13">
        <v>19948500</v>
      </c>
      <c r="E41" s="15">
        <v>0.76</v>
      </c>
    </row>
    <row r="42" spans="1:5" x14ac:dyDescent="0.4">
      <c r="A42" t="s">
        <v>3062</v>
      </c>
      <c r="B42" t="s">
        <v>3063</v>
      </c>
      <c r="C42" s="13">
        <v>840</v>
      </c>
      <c r="D42" s="13">
        <v>19362000</v>
      </c>
      <c r="E42" s="15">
        <v>0.74</v>
      </c>
    </row>
    <row r="43" spans="1:5" x14ac:dyDescent="0.4">
      <c r="A43" t="s">
        <v>3341</v>
      </c>
      <c r="B43" t="s">
        <v>3342</v>
      </c>
      <c r="C43" s="13">
        <v>1498</v>
      </c>
      <c r="D43" s="13">
        <v>18949700</v>
      </c>
      <c r="E43" s="15">
        <v>0.72</v>
      </c>
    </row>
    <row r="44" spans="1:5" x14ac:dyDescent="0.4">
      <c r="A44" t="s">
        <v>4669</v>
      </c>
      <c r="B44" t="s">
        <v>4670</v>
      </c>
      <c r="C44" s="13">
        <v>249</v>
      </c>
      <c r="D44" s="13">
        <v>16683000</v>
      </c>
      <c r="E44" s="15">
        <v>0.64</v>
      </c>
    </row>
    <row r="45" spans="1:5" x14ac:dyDescent="0.4">
      <c r="A45" t="s">
        <v>332</v>
      </c>
      <c r="B45" t="s">
        <v>333</v>
      </c>
      <c r="C45" s="13">
        <v>224</v>
      </c>
      <c r="D45" s="13">
        <v>14448000</v>
      </c>
      <c r="E45" s="15">
        <v>0.55000000000000004</v>
      </c>
    </row>
    <row r="46" spans="1:5" x14ac:dyDescent="0.4">
      <c r="A46" t="s">
        <v>3105</v>
      </c>
      <c r="B46" t="s">
        <v>3106</v>
      </c>
      <c r="C46" s="13">
        <v>1138</v>
      </c>
      <c r="D46" s="13">
        <v>13451160</v>
      </c>
      <c r="E46" s="15">
        <v>0.51</v>
      </c>
    </row>
    <row r="47" spans="1:5" x14ac:dyDescent="0.4">
      <c r="A47" t="s">
        <v>287</v>
      </c>
      <c r="B47" t="s">
        <v>288</v>
      </c>
      <c r="C47" s="13">
        <v>31</v>
      </c>
      <c r="D47" s="13">
        <v>12927000</v>
      </c>
      <c r="E47" s="15">
        <v>0.49</v>
      </c>
    </row>
    <row r="48" spans="1:5" x14ac:dyDescent="0.4">
      <c r="A48" t="s">
        <v>733</v>
      </c>
      <c r="B48" t="s">
        <v>734</v>
      </c>
      <c r="C48" s="13">
        <v>148</v>
      </c>
      <c r="D48" s="13">
        <v>12757600</v>
      </c>
      <c r="E48" s="15">
        <v>0.49</v>
      </c>
    </row>
    <row r="49" spans="1:5" x14ac:dyDescent="0.4">
      <c r="A49" t="s">
        <v>401</v>
      </c>
      <c r="B49" t="s">
        <v>402</v>
      </c>
      <c r="C49" s="13">
        <v>229</v>
      </c>
      <c r="D49" s="13">
        <v>12434700</v>
      </c>
      <c r="E49" s="15">
        <v>0.48</v>
      </c>
    </row>
    <row r="50" spans="1:5" x14ac:dyDescent="0.4">
      <c r="A50" t="s">
        <v>4968</v>
      </c>
      <c r="B50" t="s">
        <v>4969</v>
      </c>
      <c r="C50" s="13">
        <v>429</v>
      </c>
      <c r="D50" s="13">
        <v>12398100</v>
      </c>
      <c r="E50" s="15">
        <v>0.47</v>
      </c>
    </row>
    <row r="51" spans="1:5" x14ac:dyDescent="0.4">
      <c r="A51" t="s">
        <v>340</v>
      </c>
      <c r="B51" t="s">
        <v>341</v>
      </c>
      <c r="C51" s="13">
        <v>402</v>
      </c>
      <c r="D51" s="13">
        <v>11457000</v>
      </c>
      <c r="E51" s="15">
        <v>0.44</v>
      </c>
    </row>
    <row r="52" spans="1:5" x14ac:dyDescent="0.4">
      <c r="A52" t="s">
        <v>4260</v>
      </c>
      <c r="B52" t="s">
        <v>4261</v>
      </c>
      <c r="C52" s="13">
        <v>218</v>
      </c>
      <c r="D52" s="13">
        <v>11270600</v>
      </c>
      <c r="E52" s="15">
        <v>0.43</v>
      </c>
    </row>
    <row r="53" spans="1:5" x14ac:dyDescent="0.4">
      <c r="A53" t="s">
        <v>589</v>
      </c>
      <c r="B53" t="s">
        <v>590</v>
      </c>
      <c r="C53" s="13">
        <v>1721</v>
      </c>
      <c r="D53" s="13">
        <v>10153900</v>
      </c>
      <c r="E53" s="15">
        <v>0.39</v>
      </c>
    </row>
    <row r="54" spans="1:5" x14ac:dyDescent="0.4">
      <c r="A54" t="s">
        <v>384</v>
      </c>
      <c r="B54" t="s">
        <v>385</v>
      </c>
      <c r="C54" s="13">
        <v>316</v>
      </c>
      <c r="D54" s="13">
        <v>10112000</v>
      </c>
      <c r="E54" s="15">
        <v>0.39</v>
      </c>
    </row>
    <row r="55" spans="1:5" x14ac:dyDescent="0.4">
      <c r="A55" t="s">
        <v>477</v>
      </c>
      <c r="B55" t="s">
        <v>478</v>
      </c>
      <c r="C55" s="13">
        <v>629</v>
      </c>
      <c r="D55" s="13">
        <v>9686600</v>
      </c>
      <c r="E55" s="15">
        <v>0.37</v>
      </c>
    </row>
    <row r="56" spans="1:5" x14ac:dyDescent="0.4">
      <c r="A56" t="s">
        <v>426</v>
      </c>
      <c r="B56" t="s">
        <v>427</v>
      </c>
      <c r="C56" s="13">
        <v>1471</v>
      </c>
      <c r="D56" s="13">
        <v>9326140</v>
      </c>
      <c r="E56" s="15">
        <v>0.36</v>
      </c>
    </row>
    <row r="57" spans="1:5" x14ac:dyDescent="0.4">
      <c r="A57" t="s">
        <v>936</v>
      </c>
      <c r="B57" t="s">
        <v>937</v>
      </c>
      <c r="C57" s="13">
        <v>282</v>
      </c>
      <c r="D57" s="13">
        <v>7966500</v>
      </c>
      <c r="E57" s="15">
        <v>0.3</v>
      </c>
    </row>
    <row r="58" spans="1:5" x14ac:dyDescent="0.4">
      <c r="A58" t="s">
        <v>386</v>
      </c>
      <c r="B58" t="s">
        <v>387</v>
      </c>
      <c r="C58" s="13">
        <v>62</v>
      </c>
      <c r="D58" s="13">
        <v>5239000</v>
      </c>
      <c r="E58" s="15">
        <v>0.2</v>
      </c>
    </row>
    <row r="59" spans="1:5" x14ac:dyDescent="0.4">
      <c r="A59" t="s">
        <v>430</v>
      </c>
      <c r="B59" t="s">
        <v>431</v>
      </c>
      <c r="C59" s="13">
        <v>373</v>
      </c>
      <c r="D59" s="13">
        <v>4748290</v>
      </c>
      <c r="E59" s="15">
        <v>0.18</v>
      </c>
    </row>
    <row r="60" spans="1:5" x14ac:dyDescent="0.4">
      <c r="A60" t="s">
        <v>428</v>
      </c>
      <c r="B60" t="s">
        <v>429</v>
      </c>
      <c r="C60" s="13">
        <v>3881</v>
      </c>
      <c r="D60" s="13">
        <v>3978025</v>
      </c>
      <c r="E60" s="15">
        <v>0.15</v>
      </c>
    </row>
    <row r="61" spans="1:5" x14ac:dyDescent="0.4">
      <c r="A61" t="s">
        <v>17</v>
      </c>
      <c r="B61" t="s">
        <v>18</v>
      </c>
      <c r="C61" s="13">
        <v>32</v>
      </c>
      <c r="D61" s="13">
        <v>3545600</v>
      </c>
      <c r="E61" s="15">
        <v>0.14000000000000001</v>
      </c>
    </row>
    <row r="62" spans="1:5" x14ac:dyDescent="0.4">
      <c r="A62" t="s">
        <v>140</v>
      </c>
      <c r="B62" t="s">
        <v>141</v>
      </c>
      <c r="C62" s="13">
        <v>5</v>
      </c>
      <c r="D62" s="13">
        <v>3500000</v>
      </c>
      <c r="E62" s="15">
        <v>0.13</v>
      </c>
    </row>
    <row r="63" spans="1:5" x14ac:dyDescent="0.4">
      <c r="A63" t="s">
        <v>420</v>
      </c>
      <c r="B63" t="s">
        <v>421</v>
      </c>
      <c r="C63">
        <v>60</v>
      </c>
      <c r="D63" s="13">
        <v>2820000</v>
      </c>
      <c r="E63" s="15">
        <v>0.11</v>
      </c>
    </row>
    <row r="64" spans="1:5" x14ac:dyDescent="0.4">
      <c r="A64" t="s">
        <v>120</v>
      </c>
      <c r="B64" t="s">
        <v>121</v>
      </c>
      <c r="C64" s="13">
        <v>6</v>
      </c>
      <c r="D64" s="13">
        <v>2805000</v>
      </c>
      <c r="E64" s="15">
        <v>0.11</v>
      </c>
    </row>
    <row r="65" spans="1:5" x14ac:dyDescent="0.4">
      <c r="A65" t="s">
        <v>493</v>
      </c>
      <c r="B65" t="s">
        <v>494</v>
      </c>
      <c r="C65" s="13">
        <v>20</v>
      </c>
      <c r="D65" s="13">
        <v>2804000</v>
      </c>
      <c r="E65" s="15">
        <v>0.11</v>
      </c>
    </row>
    <row r="66" spans="1:5" x14ac:dyDescent="0.4">
      <c r="A66" t="s">
        <v>436</v>
      </c>
      <c r="B66" t="s">
        <v>437</v>
      </c>
      <c r="C66">
        <v>34</v>
      </c>
      <c r="D66" s="13">
        <v>2760800</v>
      </c>
      <c r="E66" s="15">
        <v>0.11</v>
      </c>
    </row>
    <row r="67" spans="1:5" x14ac:dyDescent="0.4">
      <c r="A67" t="s">
        <v>297</v>
      </c>
      <c r="B67" t="s">
        <v>298</v>
      </c>
      <c r="C67" s="13">
        <v>21</v>
      </c>
      <c r="D67" s="13">
        <v>2593500</v>
      </c>
      <c r="E67" s="15">
        <v>0.1</v>
      </c>
    </row>
    <row r="68" spans="1:5" x14ac:dyDescent="0.4">
      <c r="A68" t="s">
        <v>172</v>
      </c>
      <c r="B68" t="s">
        <v>173</v>
      </c>
      <c r="C68" s="13">
        <v>4</v>
      </c>
      <c r="D68" s="13">
        <v>2516000</v>
      </c>
      <c r="E68" s="15">
        <v>0.1</v>
      </c>
    </row>
    <row r="69" spans="1:5" x14ac:dyDescent="0.4">
      <c r="A69" t="s">
        <v>242</v>
      </c>
      <c r="B69" t="s">
        <v>243</v>
      </c>
      <c r="C69">
        <v>10</v>
      </c>
      <c r="D69" s="13">
        <v>2405000</v>
      </c>
      <c r="E69" s="15">
        <v>0.09</v>
      </c>
    </row>
    <row r="70" spans="1:5" x14ac:dyDescent="0.4">
      <c r="A70" t="s">
        <v>432</v>
      </c>
      <c r="B70" t="s">
        <v>433</v>
      </c>
      <c r="C70">
        <v>436</v>
      </c>
      <c r="D70" s="13">
        <v>2389280</v>
      </c>
      <c r="E70" s="15">
        <v>0.09</v>
      </c>
    </row>
    <row r="71" spans="1:5" x14ac:dyDescent="0.4">
      <c r="A71" t="s">
        <v>418</v>
      </c>
      <c r="B71" t="s">
        <v>419</v>
      </c>
      <c r="C71">
        <v>149</v>
      </c>
      <c r="D71" s="13">
        <v>2145600</v>
      </c>
      <c r="E71" s="15">
        <v>0.08</v>
      </c>
    </row>
    <row r="72" spans="1:5" x14ac:dyDescent="0.4">
      <c r="A72" t="s">
        <v>152</v>
      </c>
      <c r="B72" t="s">
        <v>153</v>
      </c>
      <c r="C72">
        <v>6</v>
      </c>
      <c r="D72" s="13">
        <v>1956000</v>
      </c>
      <c r="E72" s="15">
        <v>7.0000000000000007E-2</v>
      </c>
    </row>
    <row r="73" spans="1:5" x14ac:dyDescent="0.4">
      <c r="A73" t="s">
        <v>314</v>
      </c>
      <c r="B73" t="s">
        <v>315</v>
      </c>
      <c r="C73">
        <v>36</v>
      </c>
      <c r="D73" s="13">
        <v>1821600</v>
      </c>
      <c r="E73" s="15">
        <v>7.0000000000000007E-2</v>
      </c>
    </row>
    <row r="74" spans="1:5" x14ac:dyDescent="0.4">
      <c r="A74" t="s">
        <v>116</v>
      </c>
      <c r="B74" t="s">
        <v>117</v>
      </c>
      <c r="C74">
        <v>16</v>
      </c>
      <c r="D74" s="13">
        <v>1793600</v>
      </c>
      <c r="E74" s="15">
        <v>7.0000000000000007E-2</v>
      </c>
    </row>
    <row r="75" spans="1:5" x14ac:dyDescent="0.4">
      <c r="A75" t="s">
        <v>127</v>
      </c>
      <c r="B75" t="s">
        <v>128</v>
      </c>
      <c r="C75">
        <v>10</v>
      </c>
      <c r="D75" s="13">
        <v>1680000</v>
      </c>
      <c r="E75" s="15">
        <v>0.06</v>
      </c>
    </row>
    <row r="76" spans="1:5" x14ac:dyDescent="0.4">
      <c r="A76" t="s">
        <v>305</v>
      </c>
      <c r="B76" t="s">
        <v>306</v>
      </c>
      <c r="C76" s="13">
        <v>1</v>
      </c>
      <c r="D76" s="13">
        <v>1426000</v>
      </c>
      <c r="E76" s="15">
        <v>0.05</v>
      </c>
    </row>
    <row r="77" spans="1:5" x14ac:dyDescent="0.4">
      <c r="A77" t="s">
        <v>344</v>
      </c>
      <c r="B77" t="s">
        <v>345</v>
      </c>
      <c r="C77" s="13">
        <v>7</v>
      </c>
      <c r="D77" s="13">
        <v>1353800</v>
      </c>
      <c r="E77" s="15">
        <v>0.05</v>
      </c>
    </row>
    <row r="78" spans="1:5" x14ac:dyDescent="0.4">
      <c r="A78" t="s">
        <v>186</v>
      </c>
      <c r="B78" t="s">
        <v>187</v>
      </c>
      <c r="C78" s="13">
        <v>3</v>
      </c>
      <c r="D78" s="13">
        <v>1122000</v>
      </c>
      <c r="E78" s="15">
        <v>0.04</v>
      </c>
    </row>
    <row r="79" spans="1:5" x14ac:dyDescent="0.4">
      <c r="A79" t="s">
        <v>438</v>
      </c>
      <c r="B79" t="s">
        <v>439</v>
      </c>
      <c r="C79">
        <v>6</v>
      </c>
      <c r="D79" s="13">
        <v>956400</v>
      </c>
      <c r="E79" s="15">
        <v>0.04</v>
      </c>
    </row>
    <row r="80" spans="1:5" x14ac:dyDescent="0.4">
      <c r="A80" t="s">
        <v>424</v>
      </c>
      <c r="B80" t="s">
        <v>425</v>
      </c>
      <c r="C80" s="13">
        <v>57</v>
      </c>
      <c r="D80" s="13">
        <v>946200</v>
      </c>
      <c r="E80" s="15">
        <v>0.04</v>
      </c>
    </row>
    <row r="81" spans="1:5" x14ac:dyDescent="0.4">
      <c r="A81" t="s">
        <v>21</v>
      </c>
      <c r="B81" t="s">
        <v>22</v>
      </c>
      <c r="C81" s="13">
        <v>6</v>
      </c>
      <c r="D81" s="13">
        <v>930000</v>
      </c>
      <c r="E81" s="15">
        <v>0.04</v>
      </c>
    </row>
    <row r="82" spans="1:5" x14ac:dyDescent="0.4">
      <c r="A82" t="s">
        <v>440</v>
      </c>
      <c r="B82" t="s">
        <v>441</v>
      </c>
      <c r="C82">
        <v>145</v>
      </c>
      <c r="D82" s="13">
        <v>883050</v>
      </c>
      <c r="E82" s="15">
        <v>0.03</v>
      </c>
    </row>
    <row r="83" spans="1:5" x14ac:dyDescent="0.4">
      <c r="A83" t="s">
        <v>25</v>
      </c>
      <c r="B83" t="s">
        <v>26</v>
      </c>
      <c r="C83">
        <v>6</v>
      </c>
      <c r="D83" s="13">
        <v>881400</v>
      </c>
      <c r="E83" s="15">
        <v>0.03</v>
      </c>
    </row>
    <row r="84" spans="1:5" x14ac:dyDescent="0.4">
      <c r="A84" t="s">
        <v>23</v>
      </c>
      <c r="B84" t="s">
        <v>24</v>
      </c>
      <c r="C84" s="13">
        <v>15</v>
      </c>
      <c r="D84" s="13">
        <v>846000</v>
      </c>
      <c r="E84" s="15">
        <v>0.03</v>
      </c>
    </row>
    <row r="85" spans="1:5" x14ac:dyDescent="0.4">
      <c r="A85" t="s">
        <v>338</v>
      </c>
      <c r="B85" t="s">
        <v>339</v>
      </c>
      <c r="C85">
        <v>156</v>
      </c>
      <c r="D85" s="13">
        <v>787800</v>
      </c>
      <c r="E85" s="15">
        <v>0.03</v>
      </c>
    </row>
    <row r="86" spans="1:5" x14ac:dyDescent="0.4">
      <c r="A86" t="s">
        <v>442</v>
      </c>
      <c r="B86" t="s">
        <v>443</v>
      </c>
      <c r="C86">
        <v>37</v>
      </c>
      <c r="D86" s="13">
        <v>765900</v>
      </c>
      <c r="E86" s="15">
        <v>0.03</v>
      </c>
    </row>
    <row r="87" spans="1:5" x14ac:dyDescent="0.4">
      <c r="A87" t="s">
        <v>399</v>
      </c>
      <c r="B87" t="s">
        <v>400</v>
      </c>
      <c r="C87">
        <v>11</v>
      </c>
      <c r="D87" s="13">
        <v>572000</v>
      </c>
      <c r="E87" s="15">
        <v>0.02</v>
      </c>
    </row>
    <row r="88" spans="1:5" x14ac:dyDescent="0.4">
      <c r="A88" t="s">
        <v>94</v>
      </c>
      <c r="B88" t="s">
        <v>95</v>
      </c>
      <c r="C88" s="13">
        <v>13</v>
      </c>
      <c r="D88" s="13">
        <v>503750</v>
      </c>
      <c r="E88" s="15">
        <v>0.02</v>
      </c>
    </row>
    <row r="89" spans="1:5" x14ac:dyDescent="0.4">
      <c r="B89" t="s">
        <v>10</v>
      </c>
      <c r="C89" s="13">
        <v>23999693</v>
      </c>
      <c r="D89" s="13">
        <v>23999693</v>
      </c>
      <c r="E89" s="15">
        <v>0.92</v>
      </c>
    </row>
  </sheetData>
  <phoneticPr fontId="2" type="noConversion"/>
  <hyperlinks>
    <hyperlink ref="A1" tooltip="Quantiwise7G" display="     Refresh     " xr:uid="{00000000-0004-0000-1500-00000000000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4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444</v>
      </c>
      <c r="B8" s="6"/>
      <c r="C8" s="6"/>
      <c r="D8" s="6"/>
      <c r="E8" s="14"/>
    </row>
    <row r="9" spans="1:7" x14ac:dyDescent="0.4">
      <c r="A9" s="69" t="s">
        <v>658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228</v>
      </c>
      <c r="D11" s="18">
        <v>442320000</v>
      </c>
      <c r="E11" s="19">
        <v>14.72</v>
      </c>
      <c r="F11" s="17"/>
      <c r="G11" s="17"/>
    </row>
    <row r="12" spans="1:7" x14ac:dyDescent="0.4">
      <c r="A12" t="s">
        <v>80</v>
      </c>
      <c r="B12" s="17" t="s">
        <v>81</v>
      </c>
      <c r="C12" s="70">
        <v>1187</v>
      </c>
      <c r="D12" s="18">
        <v>355506500</v>
      </c>
      <c r="E12" s="19">
        <v>11.83</v>
      </c>
      <c r="F12" s="17"/>
      <c r="G12" s="17"/>
    </row>
    <row r="13" spans="1:7" x14ac:dyDescent="0.4">
      <c r="A13" t="s">
        <v>299</v>
      </c>
      <c r="B13" t="s">
        <v>300</v>
      </c>
      <c r="C13" s="13">
        <v>420</v>
      </c>
      <c r="D13" s="13">
        <v>258720000</v>
      </c>
      <c r="E13" s="15">
        <v>8.61</v>
      </c>
    </row>
    <row r="14" spans="1:7" x14ac:dyDescent="0.4">
      <c r="A14" t="s">
        <v>140</v>
      </c>
      <c r="B14" t="s">
        <v>141</v>
      </c>
      <c r="C14" s="13">
        <v>380</v>
      </c>
      <c r="D14" s="13">
        <v>253080000</v>
      </c>
      <c r="E14" s="15">
        <v>8.42</v>
      </c>
    </row>
    <row r="15" spans="1:7" x14ac:dyDescent="0.4">
      <c r="A15" t="s">
        <v>291</v>
      </c>
      <c r="B15" t="s">
        <v>292</v>
      </c>
      <c r="C15" s="31">
        <v>5213</v>
      </c>
      <c r="D15" s="13">
        <v>211647800</v>
      </c>
      <c r="E15" s="15">
        <v>7.04</v>
      </c>
    </row>
    <row r="16" spans="1:7" x14ac:dyDescent="0.4">
      <c r="A16" t="s">
        <v>311</v>
      </c>
      <c r="B16" t="s">
        <v>312</v>
      </c>
      <c r="C16" s="31">
        <v>1199</v>
      </c>
      <c r="D16" s="13">
        <v>161385400</v>
      </c>
      <c r="E16" s="15">
        <v>5.37</v>
      </c>
    </row>
    <row r="17" spans="1:7" x14ac:dyDescent="0.4">
      <c r="A17" t="s">
        <v>453</v>
      </c>
      <c r="B17" s="17" t="s">
        <v>454</v>
      </c>
      <c r="C17" s="70">
        <v>130</v>
      </c>
      <c r="D17" s="18">
        <v>156520000</v>
      </c>
      <c r="E17" s="19">
        <v>5.21</v>
      </c>
      <c r="F17" s="17"/>
      <c r="G17" s="17"/>
    </row>
    <row r="18" spans="1:7" x14ac:dyDescent="0.4">
      <c r="A18" t="s">
        <v>422</v>
      </c>
      <c r="B18" t="s">
        <v>423</v>
      </c>
      <c r="C18" s="13">
        <v>850</v>
      </c>
      <c r="D18" s="13">
        <v>120615000</v>
      </c>
      <c r="E18" s="15">
        <v>4.01</v>
      </c>
    </row>
    <row r="19" spans="1:7" x14ac:dyDescent="0.4">
      <c r="A19" t="s">
        <v>172</v>
      </c>
      <c r="B19" t="s">
        <v>173</v>
      </c>
      <c r="C19" s="13">
        <v>170</v>
      </c>
      <c r="D19" s="13">
        <v>113900000</v>
      </c>
      <c r="E19" s="15">
        <v>3.79</v>
      </c>
    </row>
    <row r="20" spans="1:7" x14ac:dyDescent="0.4">
      <c r="A20" t="s">
        <v>127</v>
      </c>
      <c r="B20" t="s">
        <v>128</v>
      </c>
      <c r="C20" s="13">
        <v>600</v>
      </c>
      <c r="D20" s="13">
        <v>100740000</v>
      </c>
      <c r="E20" s="15">
        <v>3.35</v>
      </c>
    </row>
    <row r="21" spans="1:7" x14ac:dyDescent="0.4">
      <c r="A21" t="s">
        <v>162</v>
      </c>
      <c r="B21" t="s">
        <v>163</v>
      </c>
      <c r="C21" s="13">
        <v>1500</v>
      </c>
      <c r="D21" s="13">
        <v>93000000</v>
      </c>
      <c r="E21" s="15">
        <v>3.09</v>
      </c>
    </row>
    <row r="22" spans="1:7" x14ac:dyDescent="0.4">
      <c r="A22" t="s">
        <v>326</v>
      </c>
      <c r="B22" s="17" t="s">
        <v>327</v>
      </c>
      <c r="C22" s="18">
        <v>599</v>
      </c>
      <c r="D22" s="18">
        <v>92904900</v>
      </c>
      <c r="E22" s="19">
        <v>3.09</v>
      </c>
      <c r="F22" s="17"/>
      <c r="G22" s="17"/>
    </row>
    <row r="23" spans="1:7" x14ac:dyDescent="0.4">
      <c r="A23" t="s">
        <v>19</v>
      </c>
      <c r="B23" s="17" t="s">
        <v>20</v>
      </c>
      <c r="C23" s="70">
        <v>340</v>
      </c>
      <c r="D23" s="18">
        <v>92310000</v>
      </c>
      <c r="E23" s="19">
        <v>3.07</v>
      </c>
      <c r="F23" s="17"/>
      <c r="G23" s="17"/>
    </row>
    <row r="24" spans="1:7" x14ac:dyDescent="0.4">
      <c r="A24" t="s">
        <v>217</v>
      </c>
      <c r="B24" t="s">
        <v>218</v>
      </c>
      <c r="C24" s="31">
        <v>137</v>
      </c>
      <c r="D24" s="13">
        <v>92064000</v>
      </c>
      <c r="E24" s="15">
        <v>3.06</v>
      </c>
    </row>
    <row r="25" spans="1:7" x14ac:dyDescent="0.4">
      <c r="A25" t="s">
        <v>289</v>
      </c>
      <c r="B25" t="s">
        <v>290</v>
      </c>
      <c r="C25" s="13">
        <v>193</v>
      </c>
      <c r="D25" s="13">
        <v>80095000</v>
      </c>
      <c r="E25" s="15">
        <v>2.67</v>
      </c>
    </row>
    <row r="26" spans="1:7" x14ac:dyDescent="0.4">
      <c r="A26" t="s">
        <v>316</v>
      </c>
      <c r="B26" t="s">
        <v>317</v>
      </c>
      <c r="C26" s="13">
        <v>900</v>
      </c>
      <c r="D26" s="13">
        <v>67860000</v>
      </c>
      <c r="E26" s="15">
        <v>2.2599999999999998</v>
      </c>
    </row>
    <row r="27" spans="1:7" x14ac:dyDescent="0.4">
      <c r="A27" t="s">
        <v>148</v>
      </c>
      <c r="B27" t="s">
        <v>149</v>
      </c>
      <c r="C27" s="13">
        <v>130</v>
      </c>
      <c r="D27" s="13">
        <v>67730000</v>
      </c>
      <c r="E27" s="15">
        <v>2.25</v>
      </c>
    </row>
    <row r="28" spans="1:7" x14ac:dyDescent="0.4">
      <c r="A28" t="s">
        <v>303</v>
      </c>
      <c r="B28" t="s">
        <v>304</v>
      </c>
      <c r="C28" s="13">
        <v>95</v>
      </c>
      <c r="D28" s="13">
        <v>54720000</v>
      </c>
      <c r="E28" s="15">
        <v>1.82</v>
      </c>
    </row>
    <row r="29" spans="1:7" x14ac:dyDescent="0.4">
      <c r="A29" t="s">
        <v>737</v>
      </c>
      <c r="B29" t="s">
        <v>738</v>
      </c>
      <c r="C29" s="13">
        <v>401</v>
      </c>
      <c r="D29" s="13">
        <v>53132500</v>
      </c>
      <c r="E29" s="15">
        <v>1.77</v>
      </c>
    </row>
    <row r="30" spans="1:7" x14ac:dyDescent="0.4">
      <c r="A30" t="s">
        <v>135</v>
      </c>
      <c r="B30" t="s">
        <v>136</v>
      </c>
      <c r="C30" s="13">
        <v>120</v>
      </c>
      <c r="D30" s="13">
        <v>50220000</v>
      </c>
      <c r="E30" s="15">
        <v>1.67</v>
      </c>
    </row>
    <row r="31" spans="1:7" x14ac:dyDescent="0.4">
      <c r="A31" t="s">
        <v>120</v>
      </c>
      <c r="B31" t="s">
        <v>121</v>
      </c>
      <c r="C31" s="13">
        <v>92</v>
      </c>
      <c r="D31" s="13">
        <v>40802000</v>
      </c>
      <c r="E31" s="15">
        <v>1.36</v>
      </c>
    </row>
    <row r="32" spans="1:7" x14ac:dyDescent="0.4">
      <c r="A32" t="s">
        <v>322</v>
      </c>
      <c r="B32" t="s">
        <v>323</v>
      </c>
      <c r="C32" s="13">
        <v>779</v>
      </c>
      <c r="D32" s="13">
        <v>39729000</v>
      </c>
      <c r="E32" s="15">
        <v>1.32</v>
      </c>
    </row>
    <row r="33" spans="2:5" x14ac:dyDescent="0.4">
      <c r="B33" t="s">
        <v>10</v>
      </c>
      <c r="C33" s="13">
        <v>6172634</v>
      </c>
      <c r="D33" s="13">
        <v>6172634</v>
      </c>
      <c r="E33" s="15">
        <v>0.21</v>
      </c>
    </row>
    <row r="34" spans="2:5" x14ac:dyDescent="0.4">
      <c r="C34" s="13"/>
      <c r="D34" s="13"/>
    </row>
    <row r="35" spans="2:5" x14ac:dyDescent="0.4">
      <c r="C35" s="13"/>
      <c r="D35" s="13"/>
    </row>
    <row r="36" spans="2:5" x14ac:dyDescent="0.4">
      <c r="C36" s="13"/>
      <c r="D36" s="13"/>
    </row>
    <row r="37" spans="2:5" x14ac:dyDescent="0.4">
      <c r="C37" s="13"/>
      <c r="D37" s="13"/>
    </row>
    <row r="38" spans="2:5" x14ac:dyDescent="0.4">
      <c r="C38" s="13"/>
      <c r="D38" s="13"/>
      <c r="E38" s="15"/>
    </row>
    <row r="39" spans="2:5" x14ac:dyDescent="0.4">
      <c r="D39" s="13"/>
      <c r="E39" s="15"/>
    </row>
    <row r="40" spans="2:5" x14ac:dyDescent="0.4">
      <c r="D40" s="13"/>
      <c r="E40" s="15"/>
    </row>
    <row r="41" spans="2:5" x14ac:dyDescent="0.4">
      <c r="D41" s="13"/>
      <c r="E41" s="15"/>
    </row>
    <row r="42" spans="2:5" x14ac:dyDescent="0.4">
      <c r="C42" s="13"/>
      <c r="D42" s="13"/>
      <c r="E42" s="15"/>
    </row>
    <row r="43" spans="2:5" x14ac:dyDescent="0.4">
      <c r="D43" s="13"/>
      <c r="E43" s="15"/>
    </row>
    <row r="44" spans="2:5" x14ac:dyDescent="0.4">
      <c r="D44" s="13"/>
      <c r="E44" s="15"/>
    </row>
    <row r="45" spans="2:5" x14ac:dyDescent="0.4">
      <c r="C45" s="13"/>
      <c r="D45" s="13"/>
      <c r="E45" s="15"/>
    </row>
    <row r="46" spans="2:5" x14ac:dyDescent="0.4">
      <c r="C46" s="13"/>
      <c r="D46" s="13"/>
      <c r="E46" s="15"/>
    </row>
    <row r="47" spans="2:5" x14ac:dyDescent="0.4">
      <c r="D47" s="13"/>
      <c r="E47" s="15"/>
    </row>
    <row r="48" spans="2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600-000000000000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444</v>
      </c>
      <c r="B8" s="6"/>
      <c r="C8" s="6"/>
      <c r="D8" s="6"/>
      <c r="E8" s="14"/>
    </row>
    <row r="9" spans="1:5" x14ac:dyDescent="0.4">
      <c r="A9" s="69" t="s">
        <v>658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228</v>
      </c>
      <c r="D11" s="13">
        <v>414732000</v>
      </c>
      <c r="E11" s="15">
        <v>14.19</v>
      </c>
    </row>
    <row r="12" spans="1:5" x14ac:dyDescent="0.4">
      <c r="A12" t="s">
        <v>80</v>
      </c>
      <c r="B12" t="s">
        <v>81</v>
      </c>
      <c r="C12" s="31">
        <v>1187</v>
      </c>
      <c r="D12" s="13">
        <v>321083500</v>
      </c>
      <c r="E12" s="15">
        <v>10.98</v>
      </c>
    </row>
    <row r="13" spans="1:5" x14ac:dyDescent="0.4">
      <c r="A13" t="s">
        <v>140</v>
      </c>
      <c r="B13" t="s">
        <v>141</v>
      </c>
      <c r="C13" s="13">
        <v>380</v>
      </c>
      <c r="D13" s="13">
        <v>266000000</v>
      </c>
      <c r="E13" s="15">
        <v>9.1</v>
      </c>
    </row>
    <row r="14" spans="1:5" x14ac:dyDescent="0.4">
      <c r="A14" t="s">
        <v>299</v>
      </c>
      <c r="B14" t="s">
        <v>300</v>
      </c>
      <c r="C14" s="13">
        <v>420</v>
      </c>
      <c r="D14" s="13">
        <v>257880000</v>
      </c>
      <c r="E14" s="15">
        <v>8.82</v>
      </c>
    </row>
    <row r="15" spans="1:5" x14ac:dyDescent="0.4">
      <c r="A15" t="s">
        <v>291</v>
      </c>
      <c r="B15" t="s">
        <v>292</v>
      </c>
      <c r="C15" s="31">
        <v>5213</v>
      </c>
      <c r="D15" s="13">
        <v>211647800</v>
      </c>
      <c r="E15" s="15">
        <v>7.24</v>
      </c>
    </row>
    <row r="16" spans="1:5" x14ac:dyDescent="0.4">
      <c r="A16" t="s">
        <v>311</v>
      </c>
      <c r="B16" t="s">
        <v>312</v>
      </c>
      <c r="C16" s="31">
        <v>1199</v>
      </c>
      <c r="D16" s="13">
        <v>169538600</v>
      </c>
      <c r="E16" s="15">
        <v>5.8</v>
      </c>
    </row>
    <row r="17" spans="1:5" x14ac:dyDescent="0.4">
      <c r="A17" t="s">
        <v>422</v>
      </c>
      <c r="B17" t="s">
        <v>423</v>
      </c>
      <c r="C17" s="31">
        <v>850</v>
      </c>
      <c r="D17" s="13">
        <v>131835000</v>
      </c>
      <c r="E17" s="15">
        <v>4.51</v>
      </c>
    </row>
    <row r="18" spans="1:5" x14ac:dyDescent="0.4">
      <c r="A18" t="s">
        <v>453</v>
      </c>
      <c r="B18" t="s">
        <v>454</v>
      </c>
      <c r="C18" s="13">
        <v>130</v>
      </c>
      <c r="D18" s="13">
        <v>131300000</v>
      </c>
      <c r="E18" s="15">
        <v>4.49</v>
      </c>
    </row>
    <row r="19" spans="1:5" x14ac:dyDescent="0.4">
      <c r="A19" t="s">
        <v>172</v>
      </c>
      <c r="B19" t="s">
        <v>173</v>
      </c>
      <c r="C19" s="13">
        <v>170</v>
      </c>
      <c r="D19" s="13">
        <v>106930000</v>
      </c>
      <c r="E19" s="15">
        <v>3.66</v>
      </c>
    </row>
    <row r="20" spans="1:5" x14ac:dyDescent="0.4">
      <c r="A20" t="s">
        <v>127</v>
      </c>
      <c r="B20" t="s">
        <v>128</v>
      </c>
      <c r="C20" s="13">
        <v>600</v>
      </c>
      <c r="D20" s="13">
        <v>100800000</v>
      </c>
      <c r="E20" s="15">
        <v>3.45</v>
      </c>
    </row>
    <row r="21" spans="1:5" x14ac:dyDescent="0.4">
      <c r="A21" t="s">
        <v>326</v>
      </c>
      <c r="B21" t="s">
        <v>327</v>
      </c>
      <c r="C21" s="13">
        <v>599</v>
      </c>
      <c r="D21" s="13">
        <v>95959800</v>
      </c>
      <c r="E21" s="15">
        <v>3.28</v>
      </c>
    </row>
    <row r="22" spans="1:5" x14ac:dyDescent="0.4">
      <c r="A22" t="s">
        <v>19</v>
      </c>
      <c r="B22" t="s">
        <v>20</v>
      </c>
      <c r="C22" s="13">
        <v>340</v>
      </c>
      <c r="D22" s="13">
        <v>88060000</v>
      </c>
      <c r="E22" s="15">
        <v>3.01</v>
      </c>
    </row>
    <row r="23" spans="1:5" x14ac:dyDescent="0.4">
      <c r="A23" t="s">
        <v>217</v>
      </c>
      <c r="B23" t="s">
        <v>218</v>
      </c>
      <c r="C23" s="31">
        <v>137</v>
      </c>
      <c r="D23" s="13">
        <v>87680000</v>
      </c>
      <c r="E23" s="15">
        <v>3</v>
      </c>
    </row>
    <row r="24" spans="1:5" x14ac:dyDescent="0.4">
      <c r="A24" t="s">
        <v>289</v>
      </c>
      <c r="B24" t="s">
        <v>290</v>
      </c>
      <c r="C24" s="31">
        <v>193</v>
      </c>
      <c r="D24" s="13">
        <v>80288000</v>
      </c>
      <c r="E24" s="15">
        <v>2.75</v>
      </c>
    </row>
    <row r="25" spans="1:5" x14ac:dyDescent="0.4">
      <c r="A25" t="s">
        <v>162</v>
      </c>
      <c r="B25" t="s">
        <v>163</v>
      </c>
      <c r="C25" s="13">
        <v>1500</v>
      </c>
      <c r="D25" s="13">
        <v>79350000</v>
      </c>
      <c r="E25" s="15">
        <v>2.71</v>
      </c>
    </row>
    <row r="26" spans="1:5" x14ac:dyDescent="0.4">
      <c r="A26" t="s">
        <v>316</v>
      </c>
      <c r="B26" t="s">
        <v>317</v>
      </c>
      <c r="C26" s="13">
        <v>900</v>
      </c>
      <c r="D26" s="13">
        <v>69570000</v>
      </c>
      <c r="E26" s="15">
        <v>2.38</v>
      </c>
    </row>
    <row r="27" spans="1:5" x14ac:dyDescent="0.4">
      <c r="A27" t="s">
        <v>148</v>
      </c>
      <c r="B27" t="s">
        <v>149</v>
      </c>
      <c r="C27" s="13">
        <v>130</v>
      </c>
      <c r="D27" s="13">
        <v>61425000</v>
      </c>
      <c r="E27" s="15">
        <v>2.1</v>
      </c>
    </row>
    <row r="28" spans="1:5" x14ac:dyDescent="0.4">
      <c r="A28" t="s">
        <v>737</v>
      </c>
      <c r="B28" t="s">
        <v>738</v>
      </c>
      <c r="C28" s="13">
        <v>401</v>
      </c>
      <c r="D28" s="13">
        <v>59949500</v>
      </c>
      <c r="E28" s="15">
        <v>2.0499999999999998</v>
      </c>
    </row>
    <row r="29" spans="1:5" x14ac:dyDescent="0.4">
      <c r="A29" t="s">
        <v>303</v>
      </c>
      <c r="B29" t="s">
        <v>304</v>
      </c>
      <c r="C29" s="13">
        <v>95</v>
      </c>
      <c r="D29" s="13">
        <v>47785000</v>
      </c>
      <c r="E29" s="15">
        <v>1.63</v>
      </c>
    </row>
    <row r="30" spans="1:5" x14ac:dyDescent="0.4">
      <c r="A30" t="s">
        <v>135</v>
      </c>
      <c r="B30" t="s">
        <v>136</v>
      </c>
      <c r="C30" s="13">
        <v>120</v>
      </c>
      <c r="D30" s="13">
        <v>47580000</v>
      </c>
      <c r="E30" s="15">
        <v>1.63</v>
      </c>
    </row>
    <row r="31" spans="1:5" x14ac:dyDescent="0.4">
      <c r="A31" t="s">
        <v>120</v>
      </c>
      <c r="B31" t="s">
        <v>121</v>
      </c>
      <c r="C31" s="13">
        <v>92</v>
      </c>
      <c r="D31" s="13">
        <v>43010000</v>
      </c>
      <c r="E31" s="15">
        <v>1.47</v>
      </c>
    </row>
    <row r="32" spans="1:5" x14ac:dyDescent="0.4">
      <c r="A32" t="s">
        <v>322</v>
      </c>
      <c r="B32" t="s">
        <v>323</v>
      </c>
      <c r="C32" s="13">
        <v>779</v>
      </c>
      <c r="D32" s="13">
        <v>41131200</v>
      </c>
      <c r="E32" s="15">
        <v>1.41</v>
      </c>
    </row>
    <row r="33" spans="2:5" x14ac:dyDescent="0.4">
      <c r="B33" t="s">
        <v>10</v>
      </c>
      <c r="C33" s="13">
        <v>9965874</v>
      </c>
      <c r="D33" s="13">
        <v>9965874</v>
      </c>
      <c r="E33" s="15">
        <v>0.34</v>
      </c>
    </row>
    <row r="34" spans="2:5" x14ac:dyDescent="0.4">
      <c r="C34" s="13"/>
      <c r="D34" s="13"/>
    </row>
    <row r="35" spans="2:5" x14ac:dyDescent="0.4">
      <c r="C35" s="13"/>
      <c r="D35" s="13"/>
    </row>
    <row r="36" spans="2:5" x14ac:dyDescent="0.4">
      <c r="C36" s="13"/>
      <c r="D36" s="13"/>
    </row>
    <row r="37" spans="2:5" x14ac:dyDescent="0.4">
      <c r="C37" s="13"/>
      <c r="D37" s="13"/>
    </row>
    <row r="38" spans="2:5" x14ac:dyDescent="0.4">
      <c r="C38" s="13"/>
      <c r="D38" s="13"/>
      <c r="E38" s="15"/>
    </row>
    <row r="39" spans="2:5" x14ac:dyDescent="0.4">
      <c r="D39" s="13"/>
      <c r="E39" s="15"/>
    </row>
    <row r="40" spans="2:5" x14ac:dyDescent="0.4">
      <c r="D40" s="13"/>
      <c r="E40" s="15"/>
    </row>
    <row r="41" spans="2:5" x14ac:dyDescent="0.4">
      <c r="D41" s="13"/>
      <c r="E41" s="15"/>
    </row>
    <row r="42" spans="2:5" x14ac:dyDescent="0.4">
      <c r="D42" s="13"/>
      <c r="E42" s="15"/>
    </row>
    <row r="43" spans="2:5" x14ac:dyDescent="0.4">
      <c r="C43" s="13"/>
      <c r="D43" s="13"/>
      <c r="E43" s="15"/>
    </row>
    <row r="44" spans="2:5" x14ac:dyDescent="0.4">
      <c r="D44" s="13"/>
      <c r="E44" s="15"/>
    </row>
    <row r="45" spans="2:5" x14ac:dyDescent="0.4">
      <c r="D45" s="13"/>
      <c r="E45" s="15"/>
    </row>
    <row r="46" spans="2:5" x14ac:dyDescent="0.4">
      <c r="C46" s="13"/>
      <c r="D46" s="13"/>
      <c r="E46" s="15"/>
    </row>
    <row r="47" spans="2:5" x14ac:dyDescent="0.4">
      <c r="C47" s="13"/>
      <c r="D47" s="13"/>
      <c r="E47" s="15"/>
    </row>
    <row r="48" spans="2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700-000000000000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3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396</v>
      </c>
      <c r="B8" s="6"/>
      <c r="C8" s="6"/>
      <c r="D8" s="6"/>
      <c r="E8" s="14"/>
    </row>
    <row r="9" spans="1:7" x14ac:dyDescent="0.4">
      <c r="A9" s="69" t="s">
        <v>526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299</v>
      </c>
      <c r="B11" s="17" t="s">
        <v>300</v>
      </c>
      <c r="C11" s="18">
        <v>41</v>
      </c>
      <c r="D11" s="18">
        <v>25256000</v>
      </c>
      <c r="E11" s="19">
        <v>13.29</v>
      </c>
      <c r="F11" s="17"/>
      <c r="G11" s="17"/>
    </row>
    <row r="12" spans="1:7" x14ac:dyDescent="0.4">
      <c r="A12" t="s">
        <v>120</v>
      </c>
      <c r="B12" s="17" t="s">
        <v>121</v>
      </c>
      <c r="C12" s="18">
        <v>44</v>
      </c>
      <c r="D12" s="18">
        <v>19514000</v>
      </c>
      <c r="E12" s="19">
        <v>10.27</v>
      </c>
      <c r="F12" s="17"/>
      <c r="G12" s="17"/>
    </row>
    <row r="13" spans="1:7" x14ac:dyDescent="0.4">
      <c r="A13" t="s">
        <v>353</v>
      </c>
      <c r="B13" s="17" t="s">
        <v>354</v>
      </c>
      <c r="C13" s="18">
        <v>88</v>
      </c>
      <c r="D13" s="18">
        <v>17160000</v>
      </c>
      <c r="E13" s="19">
        <v>9.0299999999999994</v>
      </c>
      <c r="F13" s="17"/>
      <c r="G13" s="17"/>
    </row>
    <row r="14" spans="1:7" x14ac:dyDescent="0.4">
      <c r="A14" t="s">
        <v>326</v>
      </c>
      <c r="B14" s="17" t="s">
        <v>327</v>
      </c>
      <c r="C14" s="18">
        <v>107</v>
      </c>
      <c r="D14" s="18">
        <v>16595700</v>
      </c>
      <c r="E14" s="19">
        <v>8.74</v>
      </c>
      <c r="F14" s="17"/>
      <c r="G14" s="17"/>
    </row>
    <row r="15" spans="1:7" x14ac:dyDescent="0.4">
      <c r="A15" t="s">
        <v>287</v>
      </c>
      <c r="B15" s="17" t="s">
        <v>288</v>
      </c>
      <c r="C15" s="17">
        <v>40</v>
      </c>
      <c r="D15" s="18">
        <v>16040000</v>
      </c>
      <c r="E15" s="19">
        <v>8.44</v>
      </c>
      <c r="F15" s="17"/>
      <c r="G15" s="17"/>
    </row>
    <row r="16" spans="1:7" x14ac:dyDescent="0.4">
      <c r="A16" t="s">
        <v>397</v>
      </c>
      <c r="B16" s="17" t="s">
        <v>398</v>
      </c>
      <c r="C16" s="18">
        <v>119</v>
      </c>
      <c r="D16" s="18">
        <v>15446200</v>
      </c>
      <c r="E16" s="19">
        <v>8.1300000000000008</v>
      </c>
      <c r="F16" s="17"/>
      <c r="G16" s="17"/>
    </row>
    <row r="17" spans="1:7" x14ac:dyDescent="0.4">
      <c r="A17" t="s">
        <v>307</v>
      </c>
      <c r="B17" t="s">
        <v>308</v>
      </c>
      <c r="C17" s="13">
        <v>66</v>
      </c>
      <c r="D17" s="13">
        <v>15312000</v>
      </c>
      <c r="E17" s="15">
        <v>8.06</v>
      </c>
    </row>
    <row r="18" spans="1:7" x14ac:dyDescent="0.4">
      <c r="A18" t="s">
        <v>297</v>
      </c>
      <c r="B18" s="17" t="s">
        <v>298</v>
      </c>
      <c r="C18" s="18">
        <v>127</v>
      </c>
      <c r="D18" s="18">
        <v>15087600</v>
      </c>
      <c r="E18" s="19">
        <v>7.94</v>
      </c>
      <c r="F18" s="17"/>
      <c r="G18" s="17"/>
    </row>
    <row r="19" spans="1:7" x14ac:dyDescent="0.4">
      <c r="A19" t="s">
        <v>737</v>
      </c>
      <c r="B19" t="s">
        <v>738</v>
      </c>
      <c r="C19" s="31">
        <v>86</v>
      </c>
      <c r="D19" s="13">
        <v>11395000</v>
      </c>
      <c r="E19" s="15">
        <v>6</v>
      </c>
    </row>
    <row r="20" spans="1:7" x14ac:dyDescent="0.4">
      <c r="A20" t="s">
        <v>388</v>
      </c>
      <c r="B20" t="s">
        <v>389</v>
      </c>
      <c r="C20" s="31">
        <v>146</v>
      </c>
      <c r="D20" s="13">
        <v>8424200</v>
      </c>
      <c r="E20" s="15">
        <v>4.43</v>
      </c>
    </row>
    <row r="21" spans="1:7" x14ac:dyDescent="0.4">
      <c r="A21" t="s">
        <v>332</v>
      </c>
      <c r="B21" t="s">
        <v>333</v>
      </c>
      <c r="C21" s="13">
        <v>123</v>
      </c>
      <c r="D21" s="13">
        <v>7945800</v>
      </c>
      <c r="E21" s="15">
        <v>4.18</v>
      </c>
    </row>
    <row r="22" spans="1:7" x14ac:dyDescent="0.4">
      <c r="A22" t="s">
        <v>671</v>
      </c>
      <c r="B22" t="s">
        <v>672</v>
      </c>
      <c r="C22" s="31">
        <v>319</v>
      </c>
      <c r="D22" s="13">
        <v>6009960</v>
      </c>
      <c r="E22" s="15">
        <v>3.16</v>
      </c>
    </row>
    <row r="23" spans="1:7" x14ac:dyDescent="0.4">
      <c r="A23" t="s">
        <v>359</v>
      </c>
      <c r="B23" t="s">
        <v>360</v>
      </c>
      <c r="C23" s="31">
        <v>13</v>
      </c>
      <c r="D23" s="13">
        <v>5577000</v>
      </c>
      <c r="E23" s="15">
        <v>2.94</v>
      </c>
    </row>
    <row r="24" spans="1:7" x14ac:dyDescent="0.4">
      <c r="A24" t="s">
        <v>148</v>
      </c>
      <c r="B24" t="s">
        <v>149</v>
      </c>
      <c r="C24" s="31">
        <v>8</v>
      </c>
      <c r="D24" s="13">
        <v>4168000</v>
      </c>
      <c r="E24" s="15">
        <v>2.19</v>
      </c>
    </row>
    <row r="25" spans="1:7" x14ac:dyDescent="0.4">
      <c r="A25" t="s">
        <v>4669</v>
      </c>
      <c r="B25" t="s">
        <v>4670</v>
      </c>
      <c r="C25" s="13">
        <v>43</v>
      </c>
      <c r="D25" s="13">
        <v>2760600</v>
      </c>
      <c r="E25" s="15">
        <v>1.45</v>
      </c>
    </row>
    <row r="26" spans="1:7" x14ac:dyDescent="0.4">
      <c r="A26" t="s">
        <v>152</v>
      </c>
      <c r="B26" t="s">
        <v>153</v>
      </c>
      <c r="C26" s="13">
        <v>6</v>
      </c>
      <c r="D26" s="13">
        <v>1719000</v>
      </c>
      <c r="E26" s="15">
        <v>0.9</v>
      </c>
    </row>
    <row r="27" spans="1:7" x14ac:dyDescent="0.4">
      <c r="A27" t="s">
        <v>401</v>
      </c>
      <c r="B27" t="s">
        <v>402</v>
      </c>
      <c r="C27" s="13">
        <v>31</v>
      </c>
      <c r="D27" s="13">
        <v>1565500</v>
      </c>
      <c r="E27" s="15">
        <v>0.82</v>
      </c>
    </row>
    <row r="28" spans="1:7" x14ac:dyDescent="0.4">
      <c r="B28" t="s">
        <v>10</v>
      </c>
      <c r="C28" s="13">
        <v>-181980</v>
      </c>
      <c r="D28" s="13">
        <v>-181980</v>
      </c>
      <c r="E28" s="15"/>
    </row>
    <row r="29" spans="1:7" x14ac:dyDescent="0.4">
      <c r="C29" s="13"/>
      <c r="D29" s="13"/>
    </row>
    <row r="30" spans="1:7" x14ac:dyDescent="0.4">
      <c r="C30" s="31"/>
      <c r="D30" s="13"/>
      <c r="E30" s="15"/>
    </row>
    <row r="31" spans="1:7" x14ac:dyDescent="0.4">
      <c r="D31" s="13"/>
      <c r="E31" s="15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800-000000000000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396</v>
      </c>
      <c r="B8" s="6"/>
      <c r="C8" s="6"/>
      <c r="D8" s="6"/>
      <c r="E8" s="14"/>
    </row>
    <row r="9" spans="1:5" x14ac:dyDescent="0.4">
      <c r="A9" s="69" t="s">
        <v>526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299</v>
      </c>
      <c r="B11" t="s">
        <v>300</v>
      </c>
      <c r="C11" s="13">
        <v>41</v>
      </c>
      <c r="D11" s="13">
        <v>25174000</v>
      </c>
      <c r="E11" s="15">
        <v>12.94</v>
      </c>
    </row>
    <row r="12" spans="1:5" x14ac:dyDescent="0.4">
      <c r="A12" t="s">
        <v>120</v>
      </c>
      <c r="B12" t="s">
        <v>121</v>
      </c>
      <c r="C12" s="31">
        <v>44</v>
      </c>
      <c r="D12" s="13">
        <v>20570000</v>
      </c>
      <c r="E12" s="15">
        <v>10.57</v>
      </c>
    </row>
    <row r="13" spans="1:5" x14ac:dyDescent="0.4">
      <c r="A13" t="s">
        <v>326</v>
      </c>
      <c r="B13" t="s">
        <v>327</v>
      </c>
      <c r="C13">
        <v>107</v>
      </c>
      <c r="D13" s="13">
        <v>17141400</v>
      </c>
      <c r="E13" s="15">
        <v>8.81</v>
      </c>
    </row>
    <row r="14" spans="1:5" x14ac:dyDescent="0.4">
      <c r="A14" t="s">
        <v>353</v>
      </c>
      <c r="B14" t="s">
        <v>354</v>
      </c>
      <c r="C14">
        <v>88</v>
      </c>
      <c r="D14" s="13">
        <v>16764000</v>
      </c>
      <c r="E14" s="15">
        <v>8.6199999999999992</v>
      </c>
    </row>
    <row r="15" spans="1:5" x14ac:dyDescent="0.4">
      <c r="A15" t="s">
        <v>287</v>
      </c>
      <c r="B15" t="s">
        <v>288</v>
      </c>
      <c r="C15" s="31">
        <v>40</v>
      </c>
      <c r="D15" s="13">
        <v>16680000</v>
      </c>
      <c r="E15" s="15">
        <v>8.57</v>
      </c>
    </row>
    <row r="16" spans="1:5" x14ac:dyDescent="0.4">
      <c r="A16" t="s">
        <v>297</v>
      </c>
      <c r="B16" t="s">
        <v>298</v>
      </c>
      <c r="C16" s="31">
        <v>127</v>
      </c>
      <c r="D16" s="13">
        <v>15684500</v>
      </c>
      <c r="E16" s="15">
        <v>8.06</v>
      </c>
    </row>
    <row r="17" spans="1:5" x14ac:dyDescent="0.4">
      <c r="A17" t="s">
        <v>307</v>
      </c>
      <c r="B17" t="s">
        <v>308</v>
      </c>
      <c r="C17" s="31">
        <v>66</v>
      </c>
      <c r="D17" s="13">
        <v>15543000</v>
      </c>
      <c r="E17" s="15">
        <v>7.99</v>
      </c>
    </row>
    <row r="18" spans="1:5" x14ac:dyDescent="0.4">
      <c r="A18" t="s">
        <v>397</v>
      </c>
      <c r="B18" t="s">
        <v>398</v>
      </c>
      <c r="C18" s="13">
        <v>119</v>
      </c>
      <c r="D18" s="13">
        <v>15374800</v>
      </c>
      <c r="E18" s="15">
        <v>7.9</v>
      </c>
    </row>
    <row r="19" spans="1:5" x14ac:dyDescent="0.4">
      <c r="A19" t="s">
        <v>737</v>
      </c>
      <c r="B19" t="s">
        <v>738</v>
      </c>
      <c r="C19" s="13">
        <v>86</v>
      </c>
      <c r="D19" s="13">
        <v>12857000</v>
      </c>
      <c r="E19" s="15">
        <v>6.61</v>
      </c>
    </row>
    <row r="20" spans="1:5" x14ac:dyDescent="0.4">
      <c r="A20" t="s">
        <v>388</v>
      </c>
      <c r="B20" t="s">
        <v>389</v>
      </c>
      <c r="C20">
        <v>146</v>
      </c>
      <c r="D20" s="13">
        <v>8935200</v>
      </c>
      <c r="E20" s="15">
        <v>4.59</v>
      </c>
    </row>
    <row r="21" spans="1:5" x14ac:dyDescent="0.4">
      <c r="A21" t="s">
        <v>332</v>
      </c>
      <c r="B21" t="s">
        <v>333</v>
      </c>
      <c r="C21" s="13">
        <v>123</v>
      </c>
      <c r="D21" s="13">
        <v>7933500</v>
      </c>
      <c r="E21" s="15">
        <v>4.08</v>
      </c>
    </row>
    <row r="22" spans="1:5" x14ac:dyDescent="0.4">
      <c r="A22" t="s">
        <v>671</v>
      </c>
      <c r="B22" t="s">
        <v>672</v>
      </c>
      <c r="C22" s="13">
        <v>319</v>
      </c>
      <c r="D22" s="13">
        <v>6236450</v>
      </c>
      <c r="E22" s="15">
        <v>3.21</v>
      </c>
    </row>
    <row r="23" spans="1:5" x14ac:dyDescent="0.4">
      <c r="A23" t="s">
        <v>359</v>
      </c>
      <c r="B23" t="s">
        <v>360</v>
      </c>
      <c r="C23" s="31">
        <v>13</v>
      </c>
      <c r="D23" s="13">
        <v>5330000</v>
      </c>
      <c r="E23" s="15">
        <v>2.74</v>
      </c>
    </row>
    <row r="24" spans="1:5" x14ac:dyDescent="0.4">
      <c r="A24" t="s">
        <v>148</v>
      </c>
      <c r="B24" t="s">
        <v>149</v>
      </c>
      <c r="C24" s="31">
        <v>8</v>
      </c>
      <c r="D24" s="13">
        <v>3780000</v>
      </c>
      <c r="E24" s="15">
        <v>1.94</v>
      </c>
    </row>
    <row r="25" spans="1:5" x14ac:dyDescent="0.4">
      <c r="A25" t="s">
        <v>4669</v>
      </c>
      <c r="B25" t="s">
        <v>4670</v>
      </c>
      <c r="C25" s="13">
        <v>43</v>
      </c>
      <c r="D25" s="13">
        <v>2881000</v>
      </c>
      <c r="E25" s="15">
        <v>1.48</v>
      </c>
    </row>
    <row r="26" spans="1:5" x14ac:dyDescent="0.4">
      <c r="A26" t="s">
        <v>152</v>
      </c>
      <c r="B26" t="s">
        <v>153</v>
      </c>
      <c r="C26" s="13">
        <v>6</v>
      </c>
      <c r="D26" s="13">
        <v>1956000</v>
      </c>
      <c r="E26" s="15">
        <v>1.01</v>
      </c>
    </row>
    <row r="27" spans="1:5" x14ac:dyDescent="0.4">
      <c r="A27" t="s">
        <v>401</v>
      </c>
      <c r="B27" t="s">
        <v>402</v>
      </c>
      <c r="C27" s="13">
        <v>31</v>
      </c>
      <c r="D27" s="13">
        <v>1683300</v>
      </c>
      <c r="E27" s="15">
        <v>0.87</v>
      </c>
    </row>
    <row r="28" spans="1:5" x14ac:dyDescent="0.4">
      <c r="B28" t="s">
        <v>10</v>
      </c>
      <c r="C28" s="13">
        <v>-76967</v>
      </c>
      <c r="D28" s="13">
        <v>-76967</v>
      </c>
      <c r="E28" s="15"/>
    </row>
    <row r="29" spans="1:5" x14ac:dyDescent="0.4">
      <c r="C29" s="13"/>
      <c r="D29" s="13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900-00000000000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3"/>
  <sheetViews>
    <sheetView showGridLines="0" topLeftCell="F35" zoomScale="115" zoomScaleNormal="115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380</v>
      </c>
      <c r="B8" s="6"/>
      <c r="C8" s="6"/>
      <c r="D8" s="6"/>
      <c r="E8" s="14"/>
    </row>
    <row r="9" spans="1:7" x14ac:dyDescent="0.4">
      <c r="A9" s="69" t="s">
        <v>659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299</v>
      </c>
      <c r="B11" s="17" t="s">
        <v>300</v>
      </c>
      <c r="C11" s="18">
        <v>200</v>
      </c>
      <c r="D11" s="18">
        <v>123200000</v>
      </c>
      <c r="E11" s="19">
        <v>8.3000000000000007</v>
      </c>
      <c r="F11" s="17"/>
      <c r="G11" s="17"/>
    </row>
    <row r="12" spans="1:7" x14ac:dyDescent="0.4">
      <c r="A12" t="s">
        <v>120</v>
      </c>
      <c r="B12" s="17" t="s">
        <v>121</v>
      </c>
      <c r="C12" s="31">
        <v>270</v>
      </c>
      <c r="D12" s="13">
        <v>119745000</v>
      </c>
      <c r="E12" s="15">
        <v>8.07</v>
      </c>
    </row>
    <row r="13" spans="1:7" x14ac:dyDescent="0.4">
      <c r="A13" t="s">
        <v>434</v>
      </c>
      <c r="B13" t="s">
        <v>435</v>
      </c>
      <c r="C13" s="13">
        <v>1374</v>
      </c>
      <c r="D13" s="13">
        <v>99202800</v>
      </c>
      <c r="E13" s="15">
        <v>6.68</v>
      </c>
    </row>
    <row r="14" spans="1:7" x14ac:dyDescent="0.4">
      <c r="A14" t="s">
        <v>603</v>
      </c>
      <c r="B14" s="17" t="s">
        <v>604</v>
      </c>
      <c r="C14" s="18">
        <v>1746</v>
      </c>
      <c r="D14" s="18">
        <v>98299800</v>
      </c>
      <c r="E14" s="19">
        <v>6.62</v>
      </c>
      <c r="F14" s="17"/>
      <c r="G14" s="17"/>
    </row>
    <row r="15" spans="1:7" x14ac:dyDescent="0.4">
      <c r="A15" t="s">
        <v>721</v>
      </c>
      <c r="B15" s="17" t="s">
        <v>722</v>
      </c>
      <c r="C15" s="31">
        <v>822</v>
      </c>
      <c r="D15" s="13">
        <v>95927400</v>
      </c>
      <c r="E15" s="15">
        <v>6.46</v>
      </c>
    </row>
    <row r="16" spans="1:7" x14ac:dyDescent="0.4">
      <c r="A16" t="s">
        <v>31</v>
      </c>
      <c r="B16" t="s">
        <v>32</v>
      </c>
      <c r="C16" s="31">
        <v>250</v>
      </c>
      <c r="D16" s="13">
        <v>87875000</v>
      </c>
      <c r="E16" s="15">
        <v>5.92</v>
      </c>
    </row>
    <row r="17" spans="1:7" x14ac:dyDescent="0.4">
      <c r="A17" t="s">
        <v>13</v>
      </c>
      <c r="B17" s="17" t="s">
        <v>14</v>
      </c>
      <c r="C17" s="31">
        <v>45</v>
      </c>
      <c r="D17" s="13">
        <v>87300000</v>
      </c>
      <c r="E17" s="15">
        <v>5.88</v>
      </c>
    </row>
    <row r="18" spans="1:7" x14ac:dyDescent="0.4">
      <c r="A18" t="s">
        <v>287</v>
      </c>
      <c r="B18" t="s">
        <v>288</v>
      </c>
      <c r="C18" s="13">
        <v>200</v>
      </c>
      <c r="D18" s="13">
        <v>80200000</v>
      </c>
      <c r="E18" s="15">
        <v>5.4</v>
      </c>
    </row>
    <row r="19" spans="1:7" x14ac:dyDescent="0.4">
      <c r="A19" t="s">
        <v>493</v>
      </c>
      <c r="B19" s="17" t="s">
        <v>494</v>
      </c>
      <c r="C19" s="18">
        <v>387</v>
      </c>
      <c r="D19" s="18">
        <v>71672400</v>
      </c>
      <c r="E19" s="19">
        <v>4.83</v>
      </c>
      <c r="F19" s="17"/>
      <c r="G19" s="17"/>
    </row>
    <row r="20" spans="1:7" x14ac:dyDescent="0.4">
      <c r="A20" t="s">
        <v>232</v>
      </c>
      <c r="B20" t="s">
        <v>233</v>
      </c>
      <c r="C20" s="13">
        <v>219</v>
      </c>
      <c r="D20" s="13">
        <v>66466500</v>
      </c>
      <c r="E20" s="15">
        <v>4.4800000000000004</v>
      </c>
    </row>
    <row r="21" spans="1:7" x14ac:dyDescent="0.4">
      <c r="A21" t="s">
        <v>313</v>
      </c>
      <c r="B21" t="s">
        <v>5177</v>
      </c>
      <c r="C21" s="13">
        <v>230</v>
      </c>
      <c r="D21" s="13">
        <v>60490000</v>
      </c>
      <c r="E21" s="15">
        <v>4.08</v>
      </c>
    </row>
    <row r="22" spans="1:7" x14ac:dyDescent="0.4">
      <c r="A22" t="s">
        <v>631</v>
      </c>
      <c r="B22" t="s">
        <v>632</v>
      </c>
      <c r="C22" s="13">
        <v>400</v>
      </c>
      <c r="D22" s="13">
        <v>56400000</v>
      </c>
      <c r="E22" s="15">
        <v>3.8</v>
      </c>
    </row>
    <row r="23" spans="1:7" x14ac:dyDescent="0.4">
      <c r="A23" t="s">
        <v>488</v>
      </c>
      <c r="B23" t="s">
        <v>489</v>
      </c>
      <c r="C23" s="31">
        <v>449</v>
      </c>
      <c r="D23" s="13">
        <v>56349500</v>
      </c>
      <c r="E23" s="15">
        <v>3.8</v>
      </c>
    </row>
    <row r="24" spans="1:7" x14ac:dyDescent="0.4">
      <c r="A24" t="s">
        <v>146</v>
      </c>
      <c r="B24" t="s">
        <v>147</v>
      </c>
      <c r="C24" s="31">
        <v>200</v>
      </c>
      <c r="D24" s="13">
        <v>51600000</v>
      </c>
      <c r="E24" s="15">
        <v>3.48</v>
      </c>
    </row>
    <row r="25" spans="1:7" x14ac:dyDescent="0.4">
      <c r="A25" t="s">
        <v>252</v>
      </c>
      <c r="B25" t="s">
        <v>253</v>
      </c>
      <c r="C25" s="13">
        <v>350</v>
      </c>
      <c r="D25" s="13">
        <v>44065000</v>
      </c>
      <c r="E25" s="15">
        <v>2.97</v>
      </c>
    </row>
    <row r="26" spans="1:7" x14ac:dyDescent="0.4">
      <c r="A26" t="s">
        <v>723</v>
      </c>
      <c r="B26" t="s">
        <v>724</v>
      </c>
      <c r="C26" s="13">
        <v>280</v>
      </c>
      <c r="D26" s="13">
        <v>41440000</v>
      </c>
      <c r="E26" s="15">
        <v>2.79</v>
      </c>
    </row>
    <row r="27" spans="1:7" x14ac:dyDescent="0.4">
      <c r="A27" t="s">
        <v>605</v>
      </c>
      <c r="B27" t="s">
        <v>606</v>
      </c>
      <c r="C27" s="13">
        <v>2610</v>
      </c>
      <c r="D27" s="13">
        <v>40533300</v>
      </c>
      <c r="E27" s="15">
        <v>2.73</v>
      </c>
    </row>
    <row r="28" spans="1:7" x14ac:dyDescent="0.4">
      <c r="A28" t="s">
        <v>593</v>
      </c>
      <c r="B28" s="17" t="s">
        <v>594</v>
      </c>
      <c r="C28" s="18">
        <v>801</v>
      </c>
      <c r="D28" s="18">
        <v>34162650</v>
      </c>
      <c r="E28" s="19">
        <v>2.2999999999999998</v>
      </c>
      <c r="F28" s="17"/>
      <c r="G28" s="17"/>
    </row>
    <row r="29" spans="1:7" x14ac:dyDescent="0.4">
      <c r="A29" t="s">
        <v>737</v>
      </c>
      <c r="B29" t="s">
        <v>738</v>
      </c>
      <c r="C29" s="13">
        <v>250</v>
      </c>
      <c r="D29" s="13">
        <v>33125000</v>
      </c>
      <c r="E29" s="15">
        <v>2.23</v>
      </c>
    </row>
    <row r="30" spans="1:7" x14ac:dyDescent="0.4">
      <c r="A30" t="s">
        <v>643</v>
      </c>
      <c r="B30" t="s">
        <v>644</v>
      </c>
      <c r="C30" s="13">
        <v>199</v>
      </c>
      <c r="D30" s="13">
        <v>24994400</v>
      </c>
      <c r="E30" s="15">
        <v>1.68</v>
      </c>
    </row>
    <row r="31" spans="1:7" x14ac:dyDescent="0.4">
      <c r="A31" t="s">
        <v>761</v>
      </c>
      <c r="B31" t="s">
        <v>762</v>
      </c>
      <c r="C31" s="13">
        <v>192</v>
      </c>
      <c r="D31" s="13">
        <v>22617600</v>
      </c>
      <c r="E31" s="15">
        <v>1.52</v>
      </c>
    </row>
    <row r="32" spans="1:7" x14ac:dyDescent="0.4">
      <c r="A32" t="s">
        <v>769</v>
      </c>
      <c r="B32" t="s">
        <v>770</v>
      </c>
      <c r="C32" s="13">
        <v>200</v>
      </c>
      <c r="D32" s="13">
        <v>19240000</v>
      </c>
      <c r="E32" s="15">
        <v>1.3</v>
      </c>
    </row>
    <row r="33" spans="1:7" x14ac:dyDescent="0.4">
      <c r="A33" t="s">
        <v>607</v>
      </c>
      <c r="B33" t="s">
        <v>608</v>
      </c>
      <c r="C33" s="13">
        <v>139</v>
      </c>
      <c r="D33" s="13">
        <v>18070000</v>
      </c>
      <c r="E33" s="15">
        <v>1.22</v>
      </c>
    </row>
    <row r="34" spans="1:7" x14ac:dyDescent="0.4">
      <c r="A34" t="s">
        <v>4627</v>
      </c>
      <c r="B34" t="s">
        <v>4628</v>
      </c>
      <c r="C34" s="13">
        <v>169</v>
      </c>
      <c r="D34" s="13">
        <v>17914000</v>
      </c>
      <c r="E34" s="15">
        <v>1.21</v>
      </c>
    </row>
    <row r="35" spans="1:7" x14ac:dyDescent="0.4">
      <c r="A35" t="s">
        <v>3049</v>
      </c>
      <c r="B35" s="17" t="s">
        <v>3050</v>
      </c>
      <c r="C35" s="18">
        <v>317</v>
      </c>
      <c r="D35" s="18">
        <v>10682900</v>
      </c>
      <c r="E35" s="19">
        <v>0.72</v>
      </c>
      <c r="F35" s="17"/>
      <c r="G35" s="17"/>
    </row>
    <row r="36" spans="1:7" x14ac:dyDescent="0.4">
      <c r="A36" t="s">
        <v>225</v>
      </c>
      <c r="B36" t="s">
        <v>226</v>
      </c>
      <c r="C36" s="13">
        <v>199</v>
      </c>
      <c r="D36" s="13">
        <v>8338100</v>
      </c>
      <c r="E36" s="15">
        <v>0.56000000000000005</v>
      </c>
    </row>
    <row r="37" spans="1:7" x14ac:dyDescent="0.4">
      <c r="B37" t="s">
        <v>10</v>
      </c>
      <c r="C37" s="13">
        <v>14200533</v>
      </c>
      <c r="D37" s="13">
        <v>14200533</v>
      </c>
      <c r="E37" s="15">
        <v>0.96</v>
      </c>
    </row>
    <row r="38" spans="1:7" x14ac:dyDescent="0.4">
      <c r="C38" s="13"/>
      <c r="D38" s="13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7"/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D48" s="13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A00-000000000000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380</v>
      </c>
      <c r="B8" s="6"/>
      <c r="C8" s="6"/>
      <c r="D8" s="6"/>
      <c r="E8" s="14"/>
    </row>
    <row r="9" spans="1:5" x14ac:dyDescent="0.4">
      <c r="A9" s="69" t="s">
        <v>659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299</v>
      </c>
      <c r="B11" t="s">
        <v>300</v>
      </c>
      <c r="C11" s="13">
        <v>200</v>
      </c>
      <c r="D11" s="13">
        <v>122800000</v>
      </c>
      <c r="E11" s="15">
        <v>8.41</v>
      </c>
    </row>
    <row r="12" spans="1:5" x14ac:dyDescent="0.4">
      <c r="A12" t="s">
        <v>120</v>
      </c>
      <c r="B12" t="s">
        <v>121</v>
      </c>
      <c r="C12" s="31">
        <v>230</v>
      </c>
      <c r="D12" s="13">
        <v>107525000</v>
      </c>
      <c r="E12" s="15">
        <v>7.36</v>
      </c>
    </row>
    <row r="13" spans="1:5" x14ac:dyDescent="0.4">
      <c r="A13" t="s">
        <v>493</v>
      </c>
      <c r="B13" t="s">
        <v>494</v>
      </c>
      <c r="C13" s="13">
        <v>750</v>
      </c>
      <c r="D13" s="13">
        <v>105150000</v>
      </c>
      <c r="E13" s="15">
        <v>7.2</v>
      </c>
    </row>
    <row r="14" spans="1:5" x14ac:dyDescent="0.4">
      <c r="A14" t="s">
        <v>603</v>
      </c>
      <c r="B14" t="s">
        <v>604</v>
      </c>
      <c r="C14" s="13">
        <v>1746</v>
      </c>
      <c r="D14" s="13">
        <v>95855400</v>
      </c>
      <c r="E14" s="15">
        <v>6.56</v>
      </c>
    </row>
    <row r="15" spans="1:5" x14ac:dyDescent="0.4">
      <c r="A15" t="s">
        <v>287</v>
      </c>
      <c r="B15" t="s">
        <v>288</v>
      </c>
      <c r="C15" s="31">
        <v>200</v>
      </c>
      <c r="D15" s="13">
        <v>83400000</v>
      </c>
      <c r="E15" s="15">
        <v>5.71</v>
      </c>
    </row>
    <row r="16" spans="1:5" x14ac:dyDescent="0.4">
      <c r="A16" t="s">
        <v>13</v>
      </c>
      <c r="B16" t="s">
        <v>14</v>
      </c>
      <c r="C16" s="31">
        <v>45</v>
      </c>
      <c r="D16" s="13">
        <v>81855000</v>
      </c>
      <c r="E16" s="15">
        <v>5.6</v>
      </c>
    </row>
    <row r="17" spans="1:5" x14ac:dyDescent="0.4">
      <c r="A17" t="s">
        <v>232</v>
      </c>
      <c r="B17" t="s">
        <v>233</v>
      </c>
      <c r="C17" s="31">
        <v>220</v>
      </c>
      <c r="D17" s="13">
        <v>72270000</v>
      </c>
      <c r="E17" s="15">
        <v>4.95</v>
      </c>
    </row>
    <row r="18" spans="1:5" x14ac:dyDescent="0.4">
      <c r="A18" t="s">
        <v>631</v>
      </c>
      <c r="B18" t="s">
        <v>632</v>
      </c>
      <c r="C18" s="13">
        <v>400</v>
      </c>
      <c r="D18" s="13">
        <v>64800000</v>
      </c>
      <c r="E18" s="15">
        <v>4.4400000000000004</v>
      </c>
    </row>
    <row r="19" spans="1:5" x14ac:dyDescent="0.4">
      <c r="A19" t="s">
        <v>434</v>
      </c>
      <c r="B19" t="s">
        <v>435</v>
      </c>
      <c r="C19" s="13">
        <v>950</v>
      </c>
      <c r="D19" s="13">
        <v>63650000</v>
      </c>
      <c r="E19" s="15">
        <v>4.3600000000000003</v>
      </c>
    </row>
    <row r="20" spans="1:5" x14ac:dyDescent="0.4">
      <c r="A20" t="s">
        <v>313</v>
      </c>
      <c r="B20" t="s">
        <v>5177</v>
      </c>
      <c r="C20" s="13">
        <v>230</v>
      </c>
      <c r="D20" s="13">
        <v>62445000</v>
      </c>
      <c r="E20" s="15">
        <v>4.2699999999999996</v>
      </c>
    </row>
    <row r="21" spans="1:5" x14ac:dyDescent="0.4">
      <c r="A21" t="s">
        <v>488</v>
      </c>
      <c r="B21" t="s">
        <v>489</v>
      </c>
      <c r="C21" s="13">
        <v>449</v>
      </c>
      <c r="D21" s="13">
        <v>45034700</v>
      </c>
      <c r="E21" s="15">
        <v>3.08</v>
      </c>
    </row>
    <row r="22" spans="1:5" x14ac:dyDescent="0.4">
      <c r="A22" t="s">
        <v>721</v>
      </c>
      <c r="B22" t="s">
        <v>722</v>
      </c>
      <c r="C22" s="13">
        <v>449</v>
      </c>
      <c r="D22" s="13">
        <v>44944900</v>
      </c>
      <c r="E22" s="15">
        <v>3.08</v>
      </c>
    </row>
    <row r="23" spans="1:5" x14ac:dyDescent="0.4">
      <c r="A23" t="s">
        <v>252</v>
      </c>
      <c r="B23" t="s">
        <v>253</v>
      </c>
      <c r="C23" s="31">
        <v>350</v>
      </c>
      <c r="D23" s="13">
        <v>44310000</v>
      </c>
      <c r="E23" s="15">
        <v>3.03</v>
      </c>
    </row>
    <row r="24" spans="1:5" x14ac:dyDescent="0.4">
      <c r="A24" t="s">
        <v>723</v>
      </c>
      <c r="B24" t="s">
        <v>724</v>
      </c>
      <c r="C24" s="31">
        <v>280</v>
      </c>
      <c r="D24" s="13">
        <v>44156000</v>
      </c>
      <c r="E24" s="15">
        <v>3.02</v>
      </c>
    </row>
    <row r="25" spans="1:5" x14ac:dyDescent="0.4">
      <c r="A25" t="s">
        <v>605</v>
      </c>
      <c r="B25" t="s">
        <v>606</v>
      </c>
      <c r="C25" s="13">
        <v>2610</v>
      </c>
      <c r="D25" s="13">
        <v>37584000</v>
      </c>
      <c r="E25" s="15">
        <v>2.57</v>
      </c>
    </row>
    <row r="26" spans="1:5" x14ac:dyDescent="0.4">
      <c r="A26" t="s">
        <v>737</v>
      </c>
      <c r="B26" t="s">
        <v>738</v>
      </c>
      <c r="C26" s="13">
        <v>250</v>
      </c>
      <c r="D26" s="13">
        <v>37375000</v>
      </c>
      <c r="E26" s="15">
        <v>2.56</v>
      </c>
    </row>
    <row r="27" spans="1:5" x14ac:dyDescent="0.4">
      <c r="A27" t="s">
        <v>4068</v>
      </c>
      <c r="B27" t="s">
        <v>4069</v>
      </c>
      <c r="C27" s="13">
        <v>2701</v>
      </c>
      <c r="D27" s="13">
        <v>36949680</v>
      </c>
      <c r="E27" s="15">
        <v>2.5299999999999998</v>
      </c>
    </row>
    <row r="28" spans="1:5" x14ac:dyDescent="0.4">
      <c r="A28" t="s">
        <v>422</v>
      </c>
      <c r="B28" t="s">
        <v>423</v>
      </c>
      <c r="C28" s="13">
        <v>229</v>
      </c>
      <c r="D28" s="13">
        <v>35517900</v>
      </c>
      <c r="E28" s="15">
        <v>2.4300000000000002</v>
      </c>
    </row>
    <row r="29" spans="1:5" x14ac:dyDescent="0.4">
      <c r="A29" t="s">
        <v>593</v>
      </c>
      <c r="B29" t="s">
        <v>594</v>
      </c>
      <c r="C29" s="13">
        <v>801</v>
      </c>
      <c r="D29" s="13">
        <v>33642000</v>
      </c>
      <c r="E29" s="15">
        <v>2.2999999999999998</v>
      </c>
    </row>
    <row r="30" spans="1:5" x14ac:dyDescent="0.4">
      <c r="A30" t="s">
        <v>643</v>
      </c>
      <c r="B30" t="s">
        <v>644</v>
      </c>
      <c r="C30" s="13">
        <v>200</v>
      </c>
      <c r="D30" s="13">
        <v>23960000</v>
      </c>
      <c r="E30" s="15">
        <v>1.64</v>
      </c>
    </row>
    <row r="31" spans="1:5" x14ac:dyDescent="0.4">
      <c r="A31" t="s">
        <v>146</v>
      </c>
      <c r="B31" t="s">
        <v>147</v>
      </c>
      <c r="C31" s="13">
        <v>80</v>
      </c>
      <c r="D31" s="13">
        <v>22320000</v>
      </c>
      <c r="E31" s="15">
        <v>1.53</v>
      </c>
    </row>
    <row r="32" spans="1:5" x14ac:dyDescent="0.4">
      <c r="A32" t="s">
        <v>516</v>
      </c>
      <c r="B32" t="s">
        <v>517</v>
      </c>
      <c r="C32" s="13">
        <v>300</v>
      </c>
      <c r="D32" s="13">
        <v>21000000</v>
      </c>
      <c r="E32" s="15">
        <v>1.44</v>
      </c>
    </row>
    <row r="33" spans="1:5" x14ac:dyDescent="0.4">
      <c r="A33" t="s">
        <v>717</v>
      </c>
      <c r="B33" t="s">
        <v>718</v>
      </c>
      <c r="C33" s="13">
        <v>1048</v>
      </c>
      <c r="D33" s="13">
        <v>20928560</v>
      </c>
      <c r="E33" s="15">
        <v>1.43</v>
      </c>
    </row>
    <row r="34" spans="1:5" x14ac:dyDescent="0.4">
      <c r="A34" t="s">
        <v>607</v>
      </c>
      <c r="B34" t="s">
        <v>608</v>
      </c>
      <c r="C34" s="13">
        <v>139</v>
      </c>
      <c r="D34" s="13">
        <v>20530300</v>
      </c>
      <c r="E34" s="15">
        <v>1.41</v>
      </c>
    </row>
    <row r="35" spans="1:5" x14ac:dyDescent="0.4">
      <c r="A35" t="s">
        <v>769</v>
      </c>
      <c r="B35" t="s">
        <v>770</v>
      </c>
      <c r="C35" s="13">
        <v>200</v>
      </c>
      <c r="D35" s="13">
        <v>18200000</v>
      </c>
      <c r="E35" s="15">
        <v>1.25</v>
      </c>
    </row>
    <row r="36" spans="1:5" x14ac:dyDescent="0.4">
      <c r="A36" t="s">
        <v>31</v>
      </c>
      <c r="B36" t="s">
        <v>32</v>
      </c>
      <c r="C36" s="13">
        <v>48</v>
      </c>
      <c r="D36" s="13">
        <v>17712000</v>
      </c>
      <c r="E36" s="15">
        <v>1.21</v>
      </c>
    </row>
    <row r="37" spans="1:5" x14ac:dyDescent="0.4">
      <c r="A37" t="s">
        <v>4627</v>
      </c>
      <c r="B37" t="s">
        <v>4628</v>
      </c>
      <c r="C37" s="13">
        <v>169</v>
      </c>
      <c r="D37" s="13">
        <v>17018300</v>
      </c>
      <c r="E37" s="15">
        <v>1.17</v>
      </c>
    </row>
    <row r="38" spans="1:5" x14ac:dyDescent="0.4">
      <c r="A38" t="s">
        <v>666</v>
      </c>
      <c r="B38" t="s">
        <v>667</v>
      </c>
      <c r="C38" s="13">
        <v>598</v>
      </c>
      <c r="D38" s="13">
        <v>16116100</v>
      </c>
      <c r="E38" s="15">
        <v>1.1000000000000001</v>
      </c>
    </row>
    <row r="39" spans="1:5" x14ac:dyDescent="0.4">
      <c r="A39" t="s">
        <v>35</v>
      </c>
      <c r="B39" t="s">
        <v>36</v>
      </c>
      <c r="C39" s="13">
        <v>70</v>
      </c>
      <c r="D39" s="13">
        <v>13398000</v>
      </c>
      <c r="E39" s="15">
        <v>0.92</v>
      </c>
    </row>
    <row r="40" spans="1:5" x14ac:dyDescent="0.4">
      <c r="A40" t="s">
        <v>19</v>
      </c>
      <c r="B40" t="s">
        <v>20</v>
      </c>
      <c r="C40" s="13">
        <v>40</v>
      </c>
      <c r="D40" s="13">
        <v>10360000</v>
      </c>
      <c r="E40" s="15">
        <v>0.71</v>
      </c>
    </row>
    <row r="41" spans="1:5" x14ac:dyDescent="0.4">
      <c r="A41" t="s">
        <v>535</v>
      </c>
      <c r="B41" t="s">
        <v>536</v>
      </c>
      <c r="C41" s="13">
        <v>149</v>
      </c>
      <c r="D41" s="13">
        <v>9506200</v>
      </c>
      <c r="E41" s="15">
        <v>0.65</v>
      </c>
    </row>
    <row r="42" spans="1:5" x14ac:dyDescent="0.4">
      <c r="A42" t="s">
        <v>225</v>
      </c>
      <c r="B42" t="s">
        <v>226</v>
      </c>
      <c r="C42" s="13">
        <v>199</v>
      </c>
      <c r="D42" s="13">
        <v>8596800</v>
      </c>
      <c r="E42" s="15">
        <v>0.59</v>
      </c>
    </row>
    <row r="43" spans="1:5" x14ac:dyDescent="0.4">
      <c r="A43" t="s">
        <v>37</v>
      </c>
      <c r="B43" t="s">
        <v>38</v>
      </c>
      <c r="C43" s="13">
        <v>99</v>
      </c>
      <c r="D43" s="13">
        <v>6811200</v>
      </c>
      <c r="E43" s="15">
        <v>0.47</v>
      </c>
    </row>
    <row r="44" spans="1:5" x14ac:dyDescent="0.4">
      <c r="B44" t="s">
        <v>10</v>
      </c>
      <c r="C44" s="13">
        <v>15031379</v>
      </c>
      <c r="D44" s="13">
        <v>15031379</v>
      </c>
      <c r="E44" s="15">
        <v>1.03</v>
      </c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B00-000000000000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4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403</v>
      </c>
      <c r="B8" s="6"/>
      <c r="C8" s="6"/>
      <c r="D8" s="6"/>
      <c r="E8" s="14"/>
    </row>
    <row r="9" spans="1:7" x14ac:dyDescent="0.4">
      <c r="A9" s="69" t="s">
        <v>527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78</v>
      </c>
      <c r="B11" s="17" t="s">
        <v>79</v>
      </c>
      <c r="C11" s="18">
        <v>41</v>
      </c>
      <c r="D11" s="18">
        <v>54079000</v>
      </c>
      <c r="E11" s="19">
        <v>10.01</v>
      </c>
      <c r="F11" s="17"/>
      <c r="G11" s="17"/>
    </row>
    <row r="12" spans="1:7" x14ac:dyDescent="0.4">
      <c r="A12" t="s">
        <v>283</v>
      </c>
      <c r="B12" s="17" t="s">
        <v>284</v>
      </c>
      <c r="C12" s="70">
        <v>842</v>
      </c>
      <c r="D12" s="18">
        <v>48330800</v>
      </c>
      <c r="E12" s="19">
        <v>8.9499999999999993</v>
      </c>
      <c r="F12" s="17"/>
      <c r="G12" s="17"/>
    </row>
    <row r="13" spans="1:7" x14ac:dyDescent="0.4">
      <c r="A13" t="s">
        <v>404</v>
      </c>
      <c r="B13" t="s">
        <v>405</v>
      </c>
      <c r="C13" s="13">
        <v>742</v>
      </c>
      <c r="D13" s="13">
        <v>47413800</v>
      </c>
      <c r="E13" s="15">
        <v>8.7799999999999994</v>
      </c>
    </row>
    <row r="14" spans="1:7" x14ac:dyDescent="0.4">
      <c r="A14" t="s">
        <v>279</v>
      </c>
      <c r="B14" t="s">
        <v>280</v>
      </c>
      <c r="C14" s="13">
        <v>3641</v>
      </c>
      <c r="D14" s="13">
        <v>43218670</v>
      </c>
      <c r="E14" s="15">
        <v>8</v>
      </c>
    </row>
    <row r="15" spans="1:7" x14ac:dyDescent="0.4">
      <c r="A15" t="s">
        <v>703</v>
      </c>
      <c r="B15" t="s">
        <v>704</v>
      </c>
      <c r="C15" s="31">
        <v>3455</v>
      </c>
      <c r="D15" s="13">
        <v>41667300</v>
      </c>
      <c r="E15" s="15">
        <v>7.71</v>
      </c>
    </row>
    <row r="16" spans="1:7" x14ac:dyDescent="0.4">
      <c r="A16" t="s">
        <v>63</v>
      </c>
      <c r="B16" t="s">
        <v>64</v>
      </c>
      <c r="C16" s="31">
        <v>104</v>
      </c>
      <c r="D16" s="13">
        <v>41548000</v>
      </c>
      <c r="E16" s="15">
        <v>7.69</v>
      </c>
    </row>
    <row r="17" spans="1:7" x14ac:dyDescent="0.4">
      <c r="A17" t="s">
        <v>271</v>
      </c>
      <c r="B17" s="17" t="s">
        <v>272</v>
      </c>
      <c r="C17" s="70">
        <v>865</v>
      </c>
      <c r="D17" s="18">
        <v>40006250</v>
      </c>
      <c r="E17" s="19">
        <v>7.41</v>
      </c>
      <c r="F17" s="17"/>
      <c r="G17" s="17"/>
    </row>
    <row r="18" spans="1:7" x14ac:dyDescent="0.4">
      <c r="A18" t="s">
        <v>330</v>
      </c>
      <c r="B18" t="s">
        <v>331</v>
      </c>
      <c r="C18" s="13">
        <v>68</v>
      </c>
      <c r="D18" s="13">
        <v>39304000</v>
      </c>
      <c r="E18" s="15">
        <v>7.28</v>
      </c>
    </row>
    <row r="19" spans="1:7" x14ac:dyDescent="0.4">
      <c r="A19" t="s">
        <v>210</v>
      </c>
      <c r="B19" t="s">
        <v>211</v>
      </c>
      <c r="C19" s="13">
        <v>1338</v>
      </c>
      <c r="D19" s="13">
        <v>36661200</v>
      </c>
      <c r="E19" s="15">
        <v>6.79</v>
      </c>
    </row>
    <row r="20" spans="1:7" x14ac:dyDescent="0.4">
      <c r="A20" t="s">
        <v>328</v>
      </c>
      <c r="B20" t="s">
        <v>329</v>
      </c>
      <c r="C20" s="13">
        <v>210</v>
      </c>
      <c r="D20" s="13">
        <v>34251000</v>
      </c>
      <c r="E20" s="15">
        <v>6.34</v>
      </c>
    </row>
    <row r="21" spans="1:7" x14ac:dyDescent="0.4">
      <c r="A21" t="s">
        <v>227</v>
      </c>
      <c r="B21" t="s">
        <v>228</v>
      </c>
      <c r="C21" s="13">
        <v>247</v>
      </c>
      <c r="D21" s="13">
        <v>28973100</v>
      </c>
      <c r="E21" s="15">
        <v>5.36</v>
      </c>
    </row>
    <row r="22" spans="1:7" x14ac:dyDescent="0.4">
      <c r="A22" t="s">
        <v>281</v>
      </c>
      <c r="B22" s="17" t="s">
        <v>282</v>
      </c>
      <c r="C22" s="18">
        <v>1729</v>
      </c>
      <c r="D22" s="18">
        <v>24638250</v>
      </c>
      <c r="E22" s="19">
        <v>4.5599999999999996</v>
      </c>
      <c r="F22" s="17"/>
      <c r="G22" s="17"/>
    </row>
    <row r="23" spans="1:7" x14ac:dyDescent="0.4">
      <c r="A23" t="s">
        <v>595</v>
      </c>
      <c r="B23" s="17" t="s">
        <v>596</v>
      </c>
      <c r="C23" s="70">
        <v>210</v>
      </c>
      <c r="D23" s="18">
        <v>17787000</v>
      </c>
      <c r="E23" s="19">
        <v>3.29</v>
      </c>
      <c r="F23" s="17"/>
      <c r="G23" s="17"/>
    </row>
    <row r="24" spans="1:7" x14ac:dyDescent="0.4">
      <c r="A24" t="s">
        <v>154</v>
      </c>
      <c r="B24" t="s">
        <v>155</v>
      </c>
      <c r="C24" s="31">
        <v>195</v>
      </c>
      <c r="D24" s="13">
        <v>15093000</v>
      </c>
      <c r="E24" s="15">
        <v>2.79</v>
      </c>
    </row>
    <row r="25" spans="1:7" x14ac:dyDescent="0.4">
      <c r="A25" t="s">
        <v>273</v>
      </c>
      <c r="B25" t="s">
        <v>274</v>
      </c>
      <c r="C25" s="13">
        <v>166</v>
      </c>
      <c r="D25" s="13">
        <v>14076800</v>
      </c>
      <c r="E25" s="15">
        <v>2.61</v>
      </c>
    </row>
    <row r="26" spans="1:7" x14ac:dyDescent="0.4">
      <c r="A26" t="s">
        <v>551</v>
      </c>
      <c r="B26" t="s">
        <v>552</v>
      </c>
      <c r="C26" s="13">
        <v>218</v>
      </c>
      <c r="D26" s="13">
        <v>8185900</v>
      </c>
      <c r="E26" s="15">
        <v>1.52</v>
      </c>
    </row>
    <row r="27" spans="1:7" x14ac:dyDescent="0.4">
      <c r="B27" t="s">
        <v>10</v>
      </c>
      <c r="C27" s="13">
        <v>4852906</v>
      </c>
      <c r="D27" s="13">
        <v>4852906</v>
      </c>
      <c r="E27" s="15">
        <v>0.9</v>
      </c>
    </row>
    <row r="28" spans="1:7" x14ac:dyDescent="0.4">
      <c r="C28" s="13"/>
      <c r="D28" s="13"/>
    </row>
    <row r="29" spans="1:7" x14ac:dyDescent="0.4">
      <c r="C29" s="13"/>
      <c r="D29" s="13"/>
    </row>
    <row r="30" spans="1:7" x14ac:dyDescent="0.4">
      <c r="C30" s="13"/>
      <c r="D30" s="13"/>
      <c r="E30" s="15"/>
    </row>
    <row r="31" spans="1:7" x14ac:dyDescent="0.4">
      <c r="C31" s="13"/>
      <c r="D31" s="13"/>
      <c r="E31" s="15"/>
    </row>
    <row r="32" spans="1:7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C00-000000000000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406</v>
      </c>
      <c r="B8" s="6"/>
      <c r="C8" s="6"/>
      <c r="D8" s="6"/>
      <c r="E8" s="14"/>
    </row>
    <row r="9" spans="1:5" x14ac:dyDescent="0.4">
      <c r="A9" s="69" t="s">
        <v>527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78</v>
      </c>
      <c r="B11" t="s">
        <v>79</v>
      </c>
      <c r="C11" s="13">
        <v>41</v>
      </c>
      <c r="D11" s="13">
        <v>59204000</v>
      </c>
      <c r="E11" s="15">
        <v>10.32</v>
      </c>
    </row>
    <row r="12" spans="1:5" x14ac:dyDescent="0.4">
      <c r="A12" t="s">
        <v>283</v>
      </c>
      <c r="B12" t="s">
        <v>284</v>
      </c>
      <c r="C12" s="31">
        <v>842</v>
      </c>
      <c r="D12" s="13">
        <v>52625000</v>
      </c>
      <c r="E12" s="15">
        <v>9.17</v>
      </c>
    </row>
    <row r="13" spans="1:5" x14ac:dyDescent="0.4">
      <c r="A13" t="s">
        <v>404</v>
      </c>
      <c r="B13" t="s">
        <v>405</v>
      </c>
      <c r="C13" s="13">
        <v>742</v>
      </c>
      <c r="D13" s="13">
        <v>49714000</v>
      </c>
      <c r="E13" s="15">
        <v>8.66</v>
      </c>
    </row>
    <row r="14" spans="1:5" x14ac:dyDescent="0.4">
      <c r="A14" t="s">
        <v>279</v>
      </c>
      <c r="B14" t="s">
        <v>280</v>
      </c>
      <c r="C14" s="13">
        <v>3641</v>
      </c>
      <c r="D14" s="13">
        <v>48425300</v>
      </c>
      <c r="E14" s="15">
        <v>8.44</v>
      </c>
    </row>
    <row r="15" spans="1:5" x14ac:dyDescent="0.4">
      <c r="A15" t="s">
        <v>271</v>
      </c>
      <c r="B15" t="s">
        <v>272</v>
      </c>
      <c r="C15" s="31">
        <v>865</v>
      </c>
      <c r="D15" s="13">
        <v>45672000</v>
      </c>
      <c r="E15" s="15">
        <v>7.96</v>
      </c>
    </row>
    <row r="16" spans="1:5" x14ac:dyDescent="0.4">
      <c r="A16" t="s">
        <v>703</v>
      </c>
      <c r="B16" t="s">
        <v>704</v>
      </c>
      <c r="C16" s="31">
        <v>3455</v>
      </c>
      <c r="D16" s="13">
        <v>43774850</v>
      </c>
      <c r="E16" s="15">
        <v>7.63</v>
      </c>
    </row>
    <row r="17" spans="1:5" x14ac:dyDescent="0.4">
      <c r="A17" t="s">
        <v>63</v>
      </c>
      <c r="B17" t="s">
        <v>64</v>
      </c>
      <c r="C17" s="31">
        <v>104</v>
      </c>
      <c r="D17" s="13">
        <v>42016000</v>
      </c>
      <c r="E17" s="15">
        <v>7.32</v>
      </c>
    </row>
    <row r="18" spans="1:5" x14ac:dyDescent="0.4">
      <c r="A18" t="s">
        <v>210</v>
      </c>
      <c r="B18" t="s">
        <v>211</v>
      </c>
      <c r="C18" s="13">
        <v>1338</v>
      </c>
      <c r="D18" s="13">
        <v>39404100</v>
      </c>
      <c r="E18" s="15">
        <v>6.87</v>
      </c>
    </row>
    <row r="19" spans="1:5" x14ac:dyDescent="0.4">
      <c r="A19" t="s">
        <v>330</v>
      </c>
      <c r="B19" t="s">
        <v>331</v>
      </c>
      <c r="C19" s="13">
        <v>68</v>
      </c>
      <c r="D19" s="13">
        <v>36788000</v>
      </c>
      <c r="E19" s="15">
        <v>6.41</v>
      </c>
    </row>
    <row r="20" spans="1:5" x14ac:dyDescent="0.4">
      <c r="A20" t="s">
        <v>328</v>
      </c>
      <c r="B20" t="s">
        <v>329</v>
      </c>
      <c r="C20" s="13">
        <v>210</v>
      </c>
      <c r="D20" s="13">
        <v>35658000</v>
      </c>
      <c r="E20" s="15">
        <v>6.21</v>
      </c>
    </row>
    <row r="21" spans="1:5" x14ac:dyDescent="0.4">
      <c r="A21" t="s">
        <v>227</v>
      </c>
      <c r="B21" t="s">
        <v>228</v>
      </c>
      <c r="C21" s="13">
        <v>247</v>
      </c>
      <c r="D21" s="13">
        <v>30134000</v>
      </c>
      <c r="E21" s="15">
        <v>5.25</v>
      </c>
    </row>
    <row r="22" spans="1:5" x14ac:dyDescent="0.4">
      <c r="A22" t="s">
        <v>281</v>
      </c>
      <c r="B22" t="s">
        <v>282</v>
      </c>
      <c r="C22" s="13">
        <v>1729</v>
      </c>
      <c r="D22" s="13">
        <v>26470990</v>
      </c>
      <c r="E22" s="15">
        <v>4.6100000000000003</v>
      </c>
    </row>
    <row r="23" spans="1:5" x14ac:dyDescent="0.4">
      <c r="A23" t="s">
        <v>595</v>
      </c>
      <c r="B23" t="s">
        <v>596</v>
      </c>
      <c r="C23" s="31">
        <v>210</v>
      </c>
      <c r="D23" s="13">
        <v>18816000</v>
      </c>
      <c r="E23" s="15">
        <v>3.28</v>
      </c>
    </row>
    <row r="24" spans="1:5" x14ac:dyDescent="0.4">
      <c r="A24" t="s">
        <v>154</v>
      </c>
      <c r="B24" t="s">
        <v>155</v>
      </c>
      <c r="C24" s="31">
        <v>195</v>
      </c>
      <c r="D24" s="13">
        <v>16419000</v>
      </c>
      <c r="E24" s="15">
        <v>2.86</v>
      </c>
    </row>
    <row r="25" spans="1:5" x14ac:dyDescent="0.4">
      <c r="A25" t="s">
        <v>273</v>
      </c>
      <c r="B25" t="s">
        <v>274</v>
      </c>
      <c r="C25" s="13">
        <v>166</v>
      </c>
      <c r="D25" s="13">
        <v>15222200</v>
      </c>
      <c r="E25" s="15">
        <v>2.65</v>
      </c>
    </row>
    <row r="26" spans="1:5" x14ac:dyDescent="0.4">
      <c r="A26" t="s">
        <v>551</v>
      </c>
      <c r="B26" t="s">
        <v>552</v>
      </c>
      <c r="C26" s="13">
        <v>218</v>
      </c>
      <c r="D26" s="13">
        <v>8414800</v>
      </c>
      <c r="E26" s="15">
        <v>1.47</v>
      </c>
    </row>
    <row r="27" spans="1:5" x14ac:dyDescent="0.4">
      <c r="B27" t="s">
        <v>10</v>
      </c>
      <c r="C27" s="13">
        <v>5104460</v>
      </c>
      <c r="D27" s="13">
        <v>5104460</v>
      </c>
      <c r="E27" s="15">
        <v>0.89</v>
      </c>
    </row>
    <row r="28" spans="1:5" x14ac:dyDescent="0.4">
      <c r="C28" s="13"/>
      <c r="D28" s="13"/>
    </row>
    <row r="29" spans="1:5" x14ac:dyDescent="0.4">
      <c r="C29" s="13"/>
      <c r="D29" s="13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D00-000000000000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3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381</v>
      </c>
      <c r="B8" s="6"/>
      <c r="C8" s="6"/>
      <c r="D8" s="6"/>
      <c r="E8" s="14"/>
    </row>
    <row r="9" spans="1:7" x14ac:dyDescent="0.4">
      <c r="A9" s="69" t="s">
        <v>528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123</v>
      </c>
      <c r="D11" s="18">
        <v>238620000</v>
      </c>
      <c r="E11" s="19">
        <v>13.36</v>
      </c>
      <c r="F11" s="17"/>
      <c r="G11" s="17"/>
    </row>
    <row r="12" spans="1:7" x14ac:dyDescent="0.4">
      <c r="A12" t="s">
        <v>80</v>
      </c>
      <c r="B12" s="17" t="s">
        <v>81</v>
      </c>
      <c r="C12" s="18">
        <v>370</v>
      </c>
      <c r="D12" s="18">
        <v>110815000</v>
      </c>
      <c r="E12" s="19">
        <v>6.2</v>
      </c>
      <c r="F12" s="17"/>
      <c r="G12" s="17"/>
    </row>
    <row r="13" spans="1:7" x14ac:dyDescent="0.4">
      <c r="A13" t="s">
        <v>757</v>
      </c>
      <c r="B13" s="17" t="s">
        <v>758</v>
      </c>
      <c r="C13" s="18">
        <v>899</v>
      </c>
      <c r="D13" s="18">
        <v>107969900</v>
      </c>
      <c r="E13" s="19">
        <v>6.04</v>
      </c>
      <c r="F13" s="17"/>
      <c r="G13" s="17"/>
    </row>
    <row r="14" spans="1:7" x14ac:dyDescent="0.4">
      <c r="A14" t="s">
        <v>299</v>
      </c>
      <c r="B14" s="17" t="s">
        <v>300</v>
      </c>
      <c r="C14" s="18">
        <v>163</v>
      </c>
      <c r="D14" s="18">
        <v>100408000</v>
      </c>
      <c r="E14" s="19">
        <v>5.62</v>
      </c>
      <c r="F14" s="17"/>
      <c r="G14" s="17"/>
    </row>
    <row r="15" spans="1:7" x14ac:dyDescent="0.4">
      <c r="A15" t="s">
        <v>451</v>
      </c>
      <c r="B15" s="17" t="s">
        <v>452</v>
      </c>
      <c r="C15" s="18">
        <v>112</v>
      </c>
      <c r="D15" s="18">
        <v>93856000</v>
      </c>
      <c r="E15" s="19">
        <v>5.25</v>
      </c>
      <c r="F15" s="17"/>
      <c r="G15" s="17"/>
    </row>
    <row r="16" spans="1:7" x14ac:dyDescent="0.4">
      <c r="A16" t="s">
        <v>679</v>
      </c>
      <c r="B16" s="17" t="s">
        <v>680</v>
      </c>
      <c r="C16" s="18">
        <v>493</v>
      </c>
      <c r="D16" s="18">
        <v>84056500</v>
      </c>
      <c r="E16" s="19">
        <v>4.71</v>
      </c>
      <c r="F16" s="17"/>
      <c r="G16" s="17"/>
    </row>
    <row r="17" spans="1:7" x14ac:dyDescent="0.4">
      <c r="A17" t="s">
        <v>493</v>
      </c>
      <c r="B17" t="s">
        <v>494</v>
      </c>
      <c r="C17" s="13">
        <v>425</v>
      </c>
      <c r="D17" s="13">
        <v>78710000</v>
      </c>
      <c r="E17" s="15">
        <v>4.41</v>
      </c>
    </row>
    <row r="18" spans="1:7" x14ac:dyDescent="0.4">
      <c r="A18" t="s">
        <v>386</v>
      </c>
      <c r="B18" s="17" t="s">
        <v>387</v>
      </c>
      <c r="C18" s="18">
        <v>863</v>
      </c>
      <c r="D18" s="18">
        <v>72060500</v>
      </c>
      <c r="E18" s="19">
        <v>4.03</v>
      </c>
      <c r="F18" s="17"/>
      <c r="G18" s="17"/>
    </row>
    <row r="19" spans="1:7" x14ac:dyDescent="0.4">
      <c r="A19" t="s">
        <v>19</v>
      </c>
      <c r="B19" t="s">
        <v>20</v>
      </c>
      <c r="C19" s="31">
        <v>246</v>
      </c>
      <c r="D19" s="13">
        <v>66789000</v>
      </c>
      <c r="E19" s="15">
        <v>3.74</v>
      </c>
    </row>
    <row r="20" spans="1:7" x14ac:dyDescent="0.4">
      <c r="A20" t="s">
        <v>320</v>
      </c>
      <c r="B20" t="s">
        <v>321</v>
      </c>
      <c r="C20" s="31">
        <v>1144</v>
      </c>
      <c r="D20" s="13">
        <v>64064000</v>
      </c>
      <c r="E20" s="15">
        <v>3.59</v>
      </c>
    </row>
    <row r="21" spans="1:7" x14ac:dyDescent="0.4">
      <c r="A21" t="s">
        <v>471</v>
      </c>
      <c r="B21" t="s">
        <v>472</v>
      </c>
      <c r="C21" s="13">
        <v>530</v>
      </c>
      <c r="D21" s="13">
        <v>58194000</v>
      </c>
      <c r="E21" s="15">
        <v>3.26</v>
      </c>
    </row>
    <row r="22" spans="1:7" x14ac:dyDescent="0.4">
      <c r="A22" t="s">
        <v>769</v>
      </c>
      <c r="B22" t="s">
        <v>770</v>
      </c>
      <c r="C22" s="31">
        <v>594</v>
      </c>
      <c r="D22" s="13">
        <v>57142800</v>
      </c>
      <c r="E22" s="15">
        <v>3.2</v>
      </c>
    </row>
    <row r="23" spans="1:7" x14ac:dyDescent="0.4">
      <c r="A23" t="s">
        <v>15</v>
      </c>
      <c r="B23" t="s">
        <v>16</v>
      </c>
      <c r="C23" s="31">
        <v>49</v>
      </c>
      <c r="D23" s="13">
        <v>55664000</v>
      </c>
      <c r="E23" s="15">
        <v>3.12</v>
      </c>
    </row>
    <row r="24" spans="1:7" x14ac:dyDescent="0.4">
      <c r="A24" t="s">
        <v>4627</v>
      </c>
      <c r="B24" t="s">
        <v>4628</v>
      </c>
      <c r="C24" s="31">
        <v>514</v>
      </c>
      <c r="D24" s="13">
        <v>54484000</v>
      </c>
      <c r="E24" s="15">
        <v>3.05</v>
      </c>
    </row>
    <row r="25" spans="1:7" x14ac:dyDescent="0.4">
      <c r="A25" t="s">
        <v>539</v>
      </c>
      <c r="B25" t="s">
        <v>540</v>
      </c>
      <c r="C25" s="13">
        <v>611</v>
      </c>
      <c r="D25" s="13">
        <v>49613200</v>
      </c>
      <c r="E25" s="15">
        <v>2.78</v>
      </c>
    </row>
    <row r="26" spans="1:7" x14ac:dyDescent="0.4">
      <c r="A26" t="s">
        <v>2001</v>
      </c>
      <c r="B26" t="s">
        <v>2002</v>
      </c>
      <c r="C26" s="13">
        <v>1397</v>
      </c>
      <c r="D26" s="13">
        <v>49523650</v>
      </c>
      <c r="E26" s="15">
        <v>2.77</v>
      </c>
    </row>
    <row r="27" spans="1:7" x14ac:dyDescent="0.4">
      <c r="A27" t="s">
        <v>488</v>
      </c>
      <c r="B27" t="s">
        <v>489</v>
      </c>
      <c r="C27" s="13">
        <v>363</v>
      </c>
      <c r="D27" s="13">
        <v>45556500</v>
      </c>
      <c r="E27" s="15">
        <v>2.5499999999999998</v>
      </c>
    </row>
    <row r="28" spans="1:7" x14ac:dyDescent="0.4">
      <c r="A28" t="s">
        <v>392</v>
      </c>
      <c r="B28" t="s">
        <v>393</v>
      </c>
      <c r="C28" s="13">
        <v>165</v>
      </c>
      <c r="D28" s="13">
        <v>45540000</v>
      </c>
      <c r="E28" s="15">
        <v>2.5499999999999998</v>
      </c>
    </row>
    <row r="29" spans="1:7" x14ac:dyDescent="0.4">
      <c r="A29" t="s">
        <v>468</v>
      </c>
      <c r="B29" t="s">
        <v>469</v>
      </c>
      <c r="C29" s="13">
        <v>789</v>
      </c>
      <c r="D29" s="13">
        <v>42132600</v>
      </c>
      <c r="E29" s="15">
        <v>2.36</v>
      </c>
    </row>
    <row r="30" spans="1:7" x14ac:dyDescent="0.4">
      <c r="A30" t="s">
        <v>21</v>
      </c>
      <c r="B30" t="s">
        <v>22</v>
      </c>
      <c r="C30" s="31">
        <v>248</v>
      </c>
      <c r="D30" s="13">
        <v>36480800</v>
      </c>
      <c r="E30" s="15">
        <v>2.04</v>
      </c>
    </row>
    <row r="31" spans="1:7" x14ac:dyDescent="0.4">
      <c r="A31" t="s">
        <v>217</v>
      </c>
      <c r="B31" t="s">
        <v>218</v>
      </c>
      <c r="C31" s="13">
        <v>53</v>
      </c>
      <c r="D31" s="13">
        <v>35616000</v>
      </c>
      <c r="E31" s="15">
        <v>1.99</v>
      </c>
    </row>
    <row r="32" spans="1:7" x14ac:dyDescent="0.4">
      <c r="A32" t="s">
        <v>475</v>
      </c>
      <c r="B32" t="s">
        <v>476</v>
      </c>
      <c r="C32" s="13">
        <v>637</v>
      </c>
      <c r="D32" s="13">
        <v>34716500</v>
      </c>
      <c r="E32" s="15">
        <v>1.94</v>
      </c>
    </row>
    <row r="33" spans="1:5" x14ac:dyDescent="0.4">
      <c r="A33" t="s">
        <v>287</v>
      </c>
      <c r="B33" t="s">
        <v>288</v>
      </c>
      <c r="C33" s="13">
        <v>85</v>
      </c>
      <c r="D33" s="13">
        <v>34085000</v>
      </c>
      <c r="E33" s="15">
        <v>1.91</v>
      </c>
    </row>
    <row r="34" spans="1:5" x14ac:dyDescent="0.4">
      <c r="A34" t="s">
        <v>347</v>
      </c>
      <c r="B34" t="s">
        <v>348</v>
      </c>
      <c r="C34" s="13">
        <v>265</v>
      </c>
      <c r="D34" s="13">
        <v>33867000</v>
      </c>
      <c r="E34" s="15">
        <v>1.9</v>
      </c>
    </row>
    <row r="35" spans="1:5" x14ac:dyDescent="0.4">
      <c r="A35" t="s">
        <v>557</v>
      </c>
      <c r="B35" t="s">
        <v>558</v>
      </c>
      <c r="C35" s="13">
        <v>757</v>
      </c>
      <c r="D35" s="13">
        <v>28349650</v>
      </c>
      <c r="E35" s="15">
        <v>1.59</v>
      </c>
    </row>
    <row r="36" spans="1:5" x14ac:dyDescent="0.4">
      <c r="A36" t="s">
        <v>238</v>
      </c>
      <c r="B36" t="s">
        <v>239</v>
      </c>
      <c r="C36" s="13">
        <v>130</v>
      </c>
      <c r="D36" s="13">
        <v>24089000</v>
      </c>
      <c r="E36" s="15">
        <v>1.35</v>
      </c>
    </row>
    <row r="37" spans="1:5" x14ac:dyDescent="0.4">
      <c r="A37" t="s">
        <v>589</v>
      </c>
      <c r="B37" t="s">
        <v>590</v>
      </c>
      <c r="C37" s="13">
        <v>3021</v>
      </c>
      <c r="D37" s="13">
        <v>20391750</v>
      </c>
      <c r="E37" s="15">
        <v>1.1399999999999999</v>
      </c>
    </row>
    <row r="38" spans="1:5" x14ac:dyDescent="0.4">
      <c r="A38" t="s">
        <v>349</v>
      </c>
      <c r="B38" t="s">
        <v>350</v>
      </c>
      <c r="C38" s="13">
        <v>26</v>
      </c>
      <c r="D38" s="13">
        <v>14274000</v>
      </c>
      <c r="E38" s="15">
        <v>0.8</v>
      </c>
    </row>
    <row r="39" spans="1:5" x14ac:dyDescent="0.4">
      <c r="A39" t="s">
        <v>17</v>
      </c>
      <c r="B39" t="s">
        <v>18</v>
      </c>
      <c r="C39" s="13">
        <v>110</v>
      </c>
      <c r="D39" s="13">
        <v>11924000</v>
      </c>
      <c r="E39" s="15">
        <v>0.67</v>
      </c>
    </row>
    <row r="40" spans="1:5" x14ac:dyDescent="0.4">
      <c r="A40" t="s">
        <v>4854</v>
      </c>
      <c r="B40" t="s">
        <v>4855</v>
      </c>
      <c r="C40" s="13">
        <v>468</v>
      </c>
      <c r="D40" s="13">
        <v>8475480</v>
      </c>
      <c r="E40" s="15">
        <v>0.47</v>
      </c>
    </row>
    <row r="41" spans="1:5" x14ac:dyDescent="0.4">
      <c r="A41" t="s">
        <v>47</v>
      </c>
      <c r="B41" t="s">
        <v>48</v>
      </c>
      <c r="C41" s="13">
        <v>102</v>
      </c>
      <c r="D41" s="13">
        <v>3825000</v>
      </c>
      <c r="E41" s="15">
        <v>0.21</v>
      </c>
    </row>
    <row r="42" spans="1:5" x14ac:dyDescent="0.4">
      <c r="A42" t="s">
        <v>334</v>
      </c>
      <c r="B42" t="s">
        <v>335</v>
      </c>
      <c r="C42" s="13">
        <v>113</v>
      </c>
      <c r="D42" s="13">
        <v>3610350</v>
      </c>
      <c r="E42" s="15">
        <v>0.2</v>
      </c>
    </row>
    <row r="43" spans="1:5" x14ac:dyDescent="0.4">
      <c r="A43" t="s">
        <v>5102</v>
      </c>
      <c r="B43" t="s">
        <v>5103</v>
      </c>
      <c r="C43" s="13">
        <v>130</v>
      </c>
      <c r="D43" s="13">
        <v>3601000</v>
      </c>
      <c r="E43" s="15">
        <v>0.2</v>
      </c>
    </row>
    <row r="44" spans="1:5" x14ac:dyDescent="0.4">
      <c r="B44" t="s">
        <v>10</v>
      </c>
      <c r="C44" s="13">
        <v>17818524</v>
      </c>
      <c r="D44" s="13">
        <v>17818524</v>
      </c>
      <c r="E44" s="15">
        <v>1</v>
      </c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E00-000000000000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381</v>
      </c>
      <c r="B8" s="6"/>
      <c r="C8" s="6"/>
      <c r="D8" s="6"/>
      <c r="E8" s="14"/>
    </row>
    <row r="9" spans="1:5" x14ac:dyDescent="0.4">
      <c r="A9" s="69" t="s">
        <v>528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123</v>
      </c>
      <c r="D11" s="13">
        <v>223737000</v>
      </c>
      <c r="E11" s="15">
        <v>13.15</v>
      </c>
    </row>
    <row r="12" spans="1:5" x14ac:dyDescent="0.4">
      <c r="A12" t="s">
        <v>757</v>
      </c>
      <c r="B12" t="s">
        <v>758</v>
      </c>
      <c r="C12" s="31">
        <v>899</v>
      </c>
      <c r="D12" s="13">
        <v>106171900</v>
      </c>
      <c r="E12" s="15">
        <v>6.24</v>
      </c>
    </row>
    <row r="13" spans="1:5" x14ac:dyDescent="0.4">
      <c r="A13" t="s">
        <v>80</v>
      </c>
      <c r="B13" t="s">
        <v>81</v>
      </c>
      <c r="C13" s="13">
        <v>370</v>
      </c>
      <c r="D13" s="13">
        <v>100085000</v>
      </c>
      <c r="E13" s="15">
        <v>5.88</v>
      </c>
    </row>
    <row r="14" spans="1:5" x14ac:dyDescent="0.4">
      <c r="A14" t="s">
        <v>299</v>
      </c>
      <c r="B14" t="s">
        <v>300</v>
      </c>
      <c r="C14" s="13">
        <v>163</v>
      </c>
      <c r="D14" s="13">
        <v>100082000</v>
      </c>
      <c r="E14" s="15">
        <v>5.88</v>
      </c>
    </row>
    <row r="15" spans="1:5" x14ac:dyDescent="0.4">
      <c r="A15" t="s">
        <v>19</v>
      </c>
      <c r="B15" t="s">
        <v>20</v>
      </c>
      <c r="C15" s="31">
        <v>377</v>
      </c>
      <c r="D15" s="13">
        <v>97643000</v>
      </c>
      <c r="E15" s="15">
        <v>5.74</v>
      </c>
    </row>
    <row r="16" spans="1:5" x14ac:dyDescent="0.4">
      <c r="A16" t="s">
        <v>679</v>
      </c>
      <c r="B16" t="s">
        <v>680</v>
      </c>
      <c r="C16" s="31">
        <v>493</v>
      </c>
      <c r="D16" s="13">
        <v>87655400</v>
      </c>
      <c r="E16" s="15">
        <v>5.15</v>
      </c>
    </row>
    <row r="17" spans="1:5" x14ac:dyDescent="0.4">
      <c r="A17" t="s">
        <v>451</v>
      </c>
      <c r="B17" t="s">
        <v>452</v>
      </c>
      <c r="C17" s="31">
        <v>112</v>
      </c>
      <c r="D17" s="13">
        <v>81984000</v>
      </c>
      <c r="E17" s="15">
        <v>4.82</v>
      </c>
    </row>
    <row r="18" spans="1:5" x14ac:dyDescent="0.4">
      <c r="A18" t="s">
        <v>386</v>
      </c>
      <c r="B18" t="s">
        <v>387</v>
      </c>
      <c r="C18" s="13">
        <v>863</v>
      </c>
      <c r="D18" s="13">
        <v>72923500</v>
      </c>
      <c r="E18" s="15">
        <v>4.28</v>
      </c>
    </row>
    <row r="19" spans="1:5" x14ac:dyDescent="0.4">
      <c r="A19" t="s">
        <v>320</v>
      </c>
      <c r="B19" t="s">
        <v>321</v>
      </c>
      <c r="C19" s="13">
        <v>1144</v>
      </c>
      <c r="D19" s="13">
        <v>68640000</v>
      </c>
      <c r="E19" s="15">
        <v>4.03</v>
      </c>
    </row>
    <row r="20" spans="1:5" x14ac:dyDescent="0.4">
      <c r="A20" t="s">
        <v>493</v>
      </c>
      <c r="B20" t="s">
        <v>494</v>
      </c>
      <c r="C20" s="13">
        <v>471</v>
      </c>
      <c r="D20" s="13">
        <v>66034200</v>
      </c>
      <c r="E20" s="15">
        <v>3.88</v>
      </c>
    </row>
    <row r="21" spans="1:5" x14ac:dyDescent="0.4">
      <c r="A21" t="s">
        <v>15</v>
      </c>
      <c r="B21" t="s">
        <v>16</v>
      </c>
      <c r="C21" s="13">
        <v>49</v>
      </c>
      <c r="D21" s="13">
        <v>57771000</v>
      </c>
      <c r="E21" s="15">
        <v>3.39</v>
      </c>
    </row>
    <row r="22" spans="1:5" x14ac:dyDescent="0.4">
      <c r="A22" t="s">
        <v>769</v>
      </c>
      <c r="B22" t="s">
        <v>770</v>
      </c>
      <c r="C22" s="13">
        <v>594</v>
      </c>
      <c r="D22" s="13">
        <v>54054000</v>
      </c>
      <c r="E22" s="15">
        <v>3.18</v>
      </c>
    </row>
    <row r="23" spans="1:5" x14ac:dyDescent="0.4">
      <c r="A23" t="s">
        <v>471</v>
      </c>
      <c r="B23" t="s">
        <v>472</v>
      </c>
      <c r="C23" s="31">
        <v>530</v>
      </c>
      <c r="D23" s="13">
        <v>53742000</v>
      </c>
      <c r="E23" s="15">
        <v>3.16</v>
      </c>
    </row>
    <row r="24" spans="1:5" x14ac:dyDescent="0.4">
      <c r="A24" t="s">
        <v>539</v>
      </c>
      <c r="B24" t="s">
        <v>540</v>
      </c>
      <c r="C24" s="31">
        <v>611</v>
      </c>
      <c r="D24" s="13">
        <v>53523600</v>
      </c>
      <c r="E24" s="15">
        <v>3.14</v>
      </c>
    </row>
    <row r="25" spans="1:5" x14ac:dyDescent="0.4">
      <c r="A25" t="s">
        <v>4627</v>
      </c>
      <c r="B25" t="s">
        <v>4628</v>
      </c>
      <c r="C25" s="13">
        <v>514</v>
      </c>
      <c r="D25" s="13">
        <v>51759800</v>
      </c>
      <c r="E25" s="15">
        <v>3.04</v>
      </c>
    </row>
    <row r="26" spans="1:5" x14ac:dyDescent="0.4">
      <c r="A26" t="s">
        <v>392</v>
      </c>
      <c r="B26" t="s">
        <v>393</v>
      </c>
      <c r="C26" s="13">
        <v>165</v>
      </c>
      <c r="D26" s="13">
        <v>44302500</v>
      </c>
      <c r="E26" s="15">
        <v>2.6</v>
      </c>
    </row>
    <row r="27" spans="1:5" x14ac:dyDescent="0.4">
      <c r="A27" t="s">
        <v>475</v>
      </c>
      <c r="B27" t="s">
        <v>476</v>
      </c>
      <c r="C27" s="13">
        <v>765</v>
      </c>
      <c r="D27" s="13">
        <v>40468500</v>
      </c>
      <c r="E27" s="15">
        <v>2.38</v>
      </c>
    </row>
    <row r="28" spans="1:5" x14ac:dyDescent="0.4">
      <c r="A28" t="s">
        <v>468</v>
      </c>
      <c r="B28" t="s">
        <v>469</v>
      </c>
      <c r="C28">
        <v>789</v>
      </c>
      <c r="D28" s="13">
        <v>39055500</v>
      </c>
      <c r="E28" s="15">
        <v>2.29</v>
      </c>
    </row>
    <row r="29" spans="1:5" x14ac:dyDescent="0.4">
      <c r="A29" t="s">
        <v>21</v>
      </c>
      <c r="B29" t="s">
        <v>22</v>
      </c>
      <c r="C29" s="13">
        <v>248</v>
      </c>
      <c r="D29" s="13">
        <v>38440000</v>
      </c>
      <c r="E29" s="15">
        <v>2.2599999999999998</v>
      </c>
    </row>
    <row r="30" spans="1:5" x14ac:dyDescent="0.4">
      <c r="A30" t="s">
        <v>488</v>
      </c>
      <c r="B30" t="s">
        <v>489</v>
      </c>
      <c r="C30" s="13">
        <v>363</v>
      </c>
      <c r="D30" s="13">
        <v>36408900</v>
      </c>
      <c r="E30" s="15">
        <v>2.14</v>
      </c>
    </row>
    <row r="31" spans="1:5" x14ac:dyDescent="0.4">
      <c r="A31" t="s">
        <v>287</v>
      </c>
      <c r="B31" t="s">
        <v>288</v>
      </c>
      <c r="C31" s="13">
        <v>85</v>
      </c>
      <c r="D31" s="13">
        <v>35445000</v>
      </c>
      <c r="E31" s="15">
        <v>2.08</v>
      </c>
    </row>
    <row r="32" spans="1:5" x14ac:dyDescent="0.4">
      <c r="A32" t="s">
        <v>217</v>
      </c>
      <c r="B32" t="s">
        <v>218</v>
      </c>
      <c r="C32" s="13">
        <v>53</v>
      </c>
      <c r="D32" s="13">
        <v>33920000</v>
      </c>
      <c r="E32" s="15">
        <v>1.99</v>
      </c>
    </row>
    <row r="33" spans="1:5" x14ac:dyDescent="0.4">
      <c r="A33" t="s">
        <v>47</v>
      </c>
      <c r="B33" t="s">
        <v>48</v>
      </c>
      <c r="C33" s="13">
        <v>835</v>
      </c>
      <c r="D33" s="13">
        <v>30394000</v>
      </c>
      <c r="E33" s="15">
        <v>1.79</v>
      </c>
    </row>
    <row r="34" spans="1:5" x14ac:dyDescent="0.4">
      <c r="A34" t="s">
        <v>747</v>
      </c>
      <c r="B34" t="s">
        <v>748</v>
      </c>
      <c r="C34" s="13">
        <v>288</v>
      </c>
      <c r="D34" s="13">
        <v>23846400</v>
      </c>
      <c r="E34" s="15">
        <v>1.4</v>
      </c>
    </row>
    <row r="35" spans="1:5" x14ac:dyDescent="0.4">
      <c r="A35" t="s">
        <v>3661</v>
      </c>
      <c r="B35" t="s">
        <v>3662</v>
      </c>
      <c r="C35" s="13">
        <v>514</v>
      </c>
      <c r="D35" s="13">
        <v>19737600</v>
      </c>
      <c r="E35" s="15">
        <v>1.1599999999999999</v>
      </c>
    </row>
    <row r="36" spans="1:5" x14ac:dyDescent="0.4">
      <c r="A36" t="s">
        <v>589</v>
      </c>
      <c r="B36" t="s">
        <v>590</v>
      </c>
      <c r="C36" s="13">
        <v>3021</v>
      </c>
      <c r="D36" s="13">
        <v>17823900</v>
      </c>
      <c r="E36" s="15">
        <v>1.05</v>
      </c>
    </row>
    <row r="37" spans="1:5" x14ac:dyDescent="0.4">
      <c r="A37" t="s">
        <v>569</v>
      </c>
      <c r="B37" t="s">
        <v>570</v>
      </c>
      <c r="C37" s="13">
        <v>95</v>
      </c>
      <c r="D37" s="13">
        <v>17242500</v>
      </c>
      <c r="E37" s="15">
        <v>1.01</v>
      </c>
    </row>
    <row r="38" spans="1:5" x14ac:dyDescent="0.4">
      <c r="A38" t="s">
        <v>17</v>
      </c>
      <c r="B38" t="s">
        <v>18</v>
      </c>
      <c r="C38" s="13">
        <v>110</v>
      </c>
      <c r="D38" s="13">
        <v>12188000</v>
      </c>
      <c r="E38" s="15">
        <v>0.72</v>
      </c>
    </row>
    <row r="39" spans="1:5" x14ac:dyDescent="0.4">
      <c r="A39" t="s">
        <v>349</v>
      </c>
      <c r="B39" t="s">
        <v>350</v>
      </c>
      <c r="C39" s="13">
        <v>26</v>
      </c>
      <c r="D39" s="13">
        <v>11492000</v>
      </c>
      <c r="E39" s="15">
        <v>0.68</v>
      </c>
    </row>
    <row r="40" spans="1:5" x14ac:dyDescent="0.4">
      <c r="A40" t="s">
        <v>238</v>
      </c>
      <c r="B40" t="s">
        <v>239</v>
      </c>
      <c r="C40" s="13">
        <v>40</v>
      </c>
      <c r="D40" s="13">
        <v>7560000</v>
      </c>
      <c r="E40" s="15">
        <v>0.44</v>
      </c>
    </row>
    <row r="41" spans="1:5" x14ac:dyDescent="0.4">
      <c r="A41" t="s">
        <v>5102</v>
      </c>
      <c r="B41" t="s">
        <v>5103</v>
      </c>
      <c r="C41" s="13">
        <v>130</v>
      </c>
      <c r="D41" s="13">
        <v>3887000</v>
      </c>
      <c r="E41" s="15">
        <v>0.23</v>
      </c>
    </row>
    <row r="42" spans="1:5" x14ac:dyDescent="0.4">
      <c r="A42" t="s">
        <v>334</v>
      </c>
      <c r="B42" t="s">
        <v>335</v>
      </c>
      <c r="C42" s="13">
        <v>113</v>
      </c>
      <c r="D42" s="13">
        <v>3808100</v>
      </c>
      <c r="E42" s="15">
        <v>0.22</v>
      </c>
    </row>
    <row r="43" spans="1:5" x14ac:dyDescent="0.4">
      <c r="B43" t="s">
        <v>10</v>
      </c>
      <c r="C43" s="13">
        <v>10065275</v>
      </c>
      <c r="D43" s="13">
        <v>10065275</v>
      </c>
      <c r="E43" s="15">
        <v>0.59</v>
      </c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F00-000000000000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3"/>
  <sheetViews>
    <sheetView showGridLines="0" topLeftCell="F35" zoomScale="115" zoomScaleNormal="115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286</v>
      </c>
      <c r="B8" s="6"/>
      <c r="C8" s="6"/>
      <c r="D8" s="6"/>
      <c r="E8" s="14"/>
    </row>
    <row r="9" spans="1:7" x14ac:dyDescent="0.4">
      <c r="A9" s="69" t="s">
        <v>660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415</v>
      </c>
      <c r="D11" s="18">
        <v>805100000</v>
      </c>
      <c r="E11" s="19">
        <v>27.2</v>
      </c>
      <c r="F11" s="17"/>
      <c r="G11" s="17"/>
    </row>
    <row r="12" spans="1:7" x14ac:dyDescent="0.4">
      <c r="A12" t="s">
        <v>80</v>
      </c>
      <c r="B12" s="17" t="s">
        <v>81</v>
      </c>
      <c r="C12" s="31">
        <v>1992</v>
      </c>
      <c r="D12" s="13">
        <v>596604000</v>
      </c>
      <c r="E12" s="15">
        <v>20.149999999999999</v>
      </c>
    </row>
    <row r="13" spans="1:7" x14ac:dyDescent="0.4">
      <c r="A13" t="s">
        <v>453</v>
      </c>
      <c r="B13" t="s">
        <v>454</v>
      </c>
      <c r="C13" s="13">
        <v>116</v>
      </c>
      <c r="D13" s="13">
        <v>139664000</v>
      </c>
      <c r="E13" s="15">
        <v>4.72</v>
      </c>
    </row>
    <row r="14" spans="1:7" x14ac:dyDescent="0.4">
      <c r="A14" t="s">
        <v>140</v>
      </c>
      <c r="B14" s="17" t="s">
        <v>141</v>
      </c>
      <c r="C14" s="18">
        <v>199</v>
      </c>
      <c r="D14" s="18">
        <v>132534000</v>
      </c>
      <c r="E14" s="19">
        <v>4.4800000000000004</v>
      </c>
      <c r="F14" s="17"/>
      <c r="G14" s="17"/>
    </row>
    <row r="15" spans="1:7" x14ac:dyDescent="0.4">
      <c r="A15" t="s">
        <v>299</v>
      </c>
      <c r="B15" s="17" t="s">
        <v>300</v>
      </c>
      <c r="C15" s="31">
        <v>201</v>
      </c>
      <c r="D15" s="13">
        <v>123816000</v>
      </c>
      <c r="E15" s="15">
        <v>4.18</v>
      </c>
    </row>
    <row r="16" spans="1:7" x14ac:dyDescent="0.4">
      <c r="A16" t="s">
        <v>11</v>
      </c>
      <c r="B16" t="s">
        <v>12</v>
      </c>
      <c r="C16" s="31">
        <v>25</v>
      </c>
      <c r="D16" s="13">
        <v>98225000</v>
      </c>
      <c r="E16" s="15">
        <v>3.32</v>
      </c>
    </row>
    <row r="17" spans="1:7" x14ac:dyDescent="0.4">
      <c r="A17" t="s">
        <v>188</v>
      </c>
      <c r="B17" s="17" t="s">
        <v>189</v>
      </c>
      <c r="C17" s="31">
        <v>83</v>
      </c>
      <c r="D17" s="13">
        <v>97857000</v>
      </c>
      <c r="E17" s="15">
        <v>3.31</v>
      </c>
    </row>
    <row r="18" spans="1:7" x14ac:dyDescent="0.4">
      <c r="A18" t="s">
        <v>148</v>
      </c>
      <c r="B18" t="s">
        <v>149</v>
      </c>
      <c r="C18" s="13">
        <v>180</v>
      </c>
      <c r="D18" s="13">
        <v>93780000</v>
      </c>
      <c r="E18" s="15">
        <v>3.17</v>
      </c>
    </row>
    <row r="19" spans="1:7" x14ac:dyDescent="0.4">
      <c r="A19" t="s">
        <v>63</v>
      </c>
      <c r="B19" s="17" t="s">
        <v>64</v>
      </c>
      <c r="C19" s="18">
        <v>220</v>
      </c>
      <c r="D19" s="18">
        <v>87890000</v>
      </c>
      <c r="E19" s="19">
        <v>2.97</v>
      </c>
      <c r="F19" s="17"/>
      <c r="G19" s="17"/>
    </row>
    <row r="20" spans="1:7" x14ac:dyDescent="0.4">
      <c r="A20" t="s">
        <v>172</v>
      </c>
      <c r="B20" t="s">
        <v>173</v>
      </c>
      <c r="C20" s="13">
        <v>102</v>
      </c>
      <c r="D20" s="13">
        <v>68340000</v>
      </c>
      <c r="E20" s="15">
        <v>2.31</v>
      </c>
    </row>
    <row r="21" spans="1:7" x14ac:dyDescent="0.4">
      <c r="A21" t="s">
        <v>287</v>
      </c>
      <c r="B21" t="s">
        <v>288</v>
      </c>
      <c r="C21" s="13">
        <v>160</v>
      </c>
      <c r="D21" s="13">
        <v>64160000</v>
      </c>
      <c r="E21" s="15">
        <v>2.17</v>
      </c>
    </row>
    <row r="22" spans="1:7" x14ac:dyDescent="0.4">
      <c r="A22" t="s">
        <v>135</v>
      </c>
      <c r="B22" t="s">
        <v>136</v>
      </c>
      <c r="C22" s="13">
        <v>151</v>
      </c>
      <c r="D22" s="13">
        <v>63193500</v>
      </c>
      <c r="E22" s="15">
        <v>2.13</v>
      </c>
    </row>
    <row r="23" spans="1:7" x14ac:dyDescent="0.4">
      <c r="A23" t="s">
        <v>19</v>
      </c>
      <c r="B23" t="s">
        <v>20</v>
      </c>
      <c r="C23" s="31">
        <v>226</v>
      </c>
      <c r="D23" s="13">
        <v>61359000</v>
      </c>
      <c r="E23" s="15">
        <v>2.0699999999999998</v>
      </c>
    </row>
    <row r="24" spans="1:7" x14ac:dyDescent="0.4">
      <c r="A24" t="s">
        <v>104</v>
      </c>
      <c r="B24" t="s">
        <v>105</v>
      </c>
      <c r="C24" s="31">
        <v>100</v>
      </c>
      <c r="D24" s="13">
        <v>56600000</v>
      </c>
      <c r="E24" s="15">
        <v>1.91</v>
      </c>
    </row>
    <row r="25" spans="1:7" x14ac:dyDescent="0.4">
      <c r="A25" t="s">
        <v>303</v>
      </c>
      <c r="B25" t="s">
        <v>304</v>
      </c>
      <c r="C25" s="13">
        <v>91</v>
      </c>
      <c r="D25" s="13">
        <v>52416000</v>
      </c>
      <c r="E25" s="15">
        <v>1.77</v>
      </c>
    </row>
    <row r="26" spans="1:7" x14ac:dyDescent="0.4">
      <c r="A26" t="s">
        <v>92</v>
      </c>
      <c r="B26" t="s">
        <v>93</v>
      </c>
      <c r="C26" s="13">
        <v>30</v>
      </c>
      <c r="D26" s="13">
        <v>48000000</v>
      </c>
      <c r="E26" s="15">
        <v>1.62</v>
      </c>
    </row>
    <row r="27" spans="1:7" x14ac:dyDescent="0.4">
      <c r="A27" t="s">
        <v>73</v>
      </c>
      <c r="B27" t="s">
        <v>74</v>
      </c>
      <c r="C27" s="13">
        <v>38</v>
      </c>
      <c r="D27" s="13">
        <v>47424000</v>
      </c>
      <c r="E27" s="15">
        <v>1.6</v>
      </c>
    </row>
    <row r="28" spans="1:7" x14ac:dyDescent="0.4">
      <c r="A28" t="s">
        <v>120</v>
      </c>
      <c r="B28" s="17" t="s">
        <v>121</v>
      </c>
      <c r="C28" s="18">
        <v>100</v>
      </c>
      <c r="D28" s="18">
        <v>44350000</v>
      </c>
      <c r="E28" s="19">
        <v>1.5</v>
      </c>
      <c r="F28" s="17"/>
      <c r="G28" s="17"/>
    </row>
    <row r="29" spans="1:7" x14ac:dyDescent="0.4">
      <c r="A29" t="s">
        <v>217</v>
      </c>
      <c r="B29" t="s">
        <v>218</v>
      </c>
      <c r="C29" s="13">
        <v>61</v>
      </c>
      <c r="D29" s="13">
        <v>40992000</v>
      </c>
      <c r="E29" s="15">
        <v>1.38</v>
      </c>
    </row>
    <row r="30" spans="1:7" x14ac:dyDescent="0.4">
      <c r="A30" t="s">
        <v>96</v>
      </c>
      <c r="B30" t="s">
        <v>97</v>
      </c>
      <c r="C30" s="13">
        <v>303</v>
      </c>
      <c r="D30" s="13">
        <v>37087200</v>
      </c>
      <c r="E30" s="15">
        <v>1.25</v>
      </c>
    </row>
    <row r="31" spans="1:7" x14ac:dyDescent="0.4">
      <c r="A31" t="s">
        <v>451</v>
      </c>
      <c r="B31" t="s">
        <v>452</v>
      </c>
      <c r="C31" s="13">
        <v>43</v>
      </c>
      <c r="D31" s="13">
        <v>36034000</v>
      </c>
      <c r="E31" s="15">
        <v>1.22</v>
      </c>
    </row>
    <row r="32" spans="1:7" x14ac:dyDescent="0.4">
      <c r="A32" t="s">
        <v>182</v>
      </c>
      <c r="B32" t="s">
        <v>183</v>
      </c>
      <c r="C32" s="13">
        <v>505</v>
      </c>
      <c r="D32" s="13">
        <v>33835000</v>
      </c>
      <c r="E32" s="15">
        <v>1.1399999999999999</v>
      </c>
    </row>
    <row r="33" spans="1:7" x14ac:dyDescent="0.4">
      <c r="A33" t="s">
        <v>78</v>
      </c>
      <c r="B33" t="s">
        <v>79</v>
      </c>
      <c r="C33" s="13">
        <v>25</v>
      </c>
      <c r="D33" s="13">
        <v>32975000</v>
      </c>
      <c r="E33" s="15">
        <v>1.1100000000000001</v>
      </c>
    </row>
    <row r="34" spans="1:7" x14ac:dyDescent="0.4">
      <c r="A34" t="s">
        <v>326</v>
      </c>
      <c r="B34" t="s">
        <v>327</v>
      </c>
      <c r="C34" s="13">
        <v>194</v>
      </c>
      <c r="D34" s="13">
        <v>30089400</v>
      </c>
      <c r="E34" s="15">
        <v>1.02</v>
      </c>
    </row>
    <row r="35" spans="1:7" x14ac:dyDescent="0.4">
      <c r="A35" t="s">
        <v>283</v>
      </c>
      <c r="B35" s="17" t="s">
        <v>284</v>
      </c>
      <c r="C35" s="18">
        <v>499</v>
      </c>
      <c r="D35" s="18">
        <v>28642600</v>
      </c>
      <c r="E35" s="19">
        <v>0.97</v>
      </c>
      <c r="F35" s="17"/>
      <c r="G35" s="17"/>
    </row>
    <row r="36" spans="1:7" x14ac:dyDescent="0.4">
      <c r="A36" t="s">
        <v>653</v>
      </c>
      <c r="B36" t="s">
        <v>654</v>
      </c>
      <c r="C36" s="13">
        <v>252</v>
      </c>
      <c r="D36" s="13">
        <v>25905600</v>
      </c>
      <c r="E36" s="15">
        <v>0.88</v>
      </c>
    </row>
    <row r="37" spans="1:7" x14ac:dyDescent="0.4">
      <c r="B37" t="s">
        <v>10</v>
      </c>
      <c r="C37" s="13">
        <v>13530850</v>
      </c>
      <c r="D37" s="13">
        <v>13530850</v>
      </c>
      <c r="E37" s="15">
        <v>0.46</v>
      </c>
    </row>
    <row r="38" spans="1:7" x14ac:dyDescent="0.4">
      <c r="C38" s="13"/>
      <c r="D38" s="13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000-000000000000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285</v>
      </c>
      <c r="B8" s="6"/>
      <c r="C8" s="6"/>
      <c r="D8" s="6"/>
      <c r="E8" s="14"/>
    </row>
    <row r="9" spans="1:5" x14ac:dyDescent="0.4">
      <c r="A9" s="69" t="s">
        <v>660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415</v>
      </c>
      <c r="D11" s="13">
        <v>754885000</v>
      </c>
      <c r="E11" s="15">
        <v>26.8</v>
      </c>
    </row>
    <row r="12" spans="1:5" x14ac:dyDescent="0.4">
      <c r="A12" t="s">
        <v>80</v>
      </c>
      <c r="B12" t="s">
        <v>81</v>
      </c>
      <c r="C12" s="31">
        <v>1992</v>
      </c>
      <c r="D12" s="13">
        <v>538836000</v>
      </c>
      <c r="E12" s="15">
        <v>19.13</v>
      </c>
    </row>
    <row r="13" spans="1:5" x14ac:dyDescent="0.4">
      <c r="A13" t="s">
        <v>140</v>
      </c>
      <c r="B13" t="s">
        <v>141</v>
      </c>
      <c r="C13" s="13">
        <v>199</v>
      </c>
      <c r="D13" s="13">
        <v>139300000</v>
      </c>
      <c r="E13" s="15">
        <v>4.95</v>
      </c>
    </row>
    <row r="14" spans="1:5" x14ac:dyDescent="0.4">
      <c r="A14" t="s">
        <v>299</v>
      </c>
      <c r="B14" t="s">
        <v>300</v>
      </c>
      <c r="C14" s="13">
        <v>201</v>
      </c>
      <c r="D14" s="13">
        <v>123414000</v>
      </c>
      <c r="E14" s="15">
        <v>4.38</v>
      </c>
    </row>
    <row r="15" spans="1:5" x14ac:dyDescent="0.4">
      <c r="A15" t="s">
        <v>453</v>
      </c>
      <c r="B15" t="s">
        <v>454</v>
      </c>
      <c r="C15" s="31">
        <v>116</v>
      </c>
      <c r="D15" s="13">
        <v>117160000</v>
      </c>
      <c r="E15" s="15">
        <v>4.16</v>
      </c>
    </row>
    <row r="16" spans="1:5" x14ac:dyDescent="0.4">
      <c r="A16" t="s">
        <v>11</v>
      </c>
      <c r="B16" t="s">
        <v>12</v>
      </c>
      <c r="C16" s="31">
        <v>25</v>
      </c>
      <c r="D16" s="13">
        <v>93625000</v>
      </c>
      <c r="E16" s="15">
        <v>3.32</v>
      </c>
    </row>
    <row r="17" spans="1:5" x14ac:dyDescent="0.4">
      <c r="A17" t="s">
        <v>188</v>
      </c>
      <c r="B17" t="s">
        <v>189</v>
      </c>
      <c r="C17" s="31">
        <v>83</v>
      </c>
      <c r="D17" s="13">
        <v>91134000</v>
      </c>
      <c r="E17" s="15">
        <v>3.24</v>
      </c>
    </row>
    <row r="18" spans="1:5" x14ac:dyDescent="0.4">
      <c r="A18" t="s">
        <v>148</v>
      </c>
      <c r="B18" t="s">
        <v>149</v>
      </c>
      <c r="C18" s="13">
        <v>180</v>
      </c>
      <c r="D18" s="13">
        <v>85050000</v>
      </c>
      <c r="E18" s="15">
        <v>3.02</v>
      </c>
    </row>
    <row r="19" spans="1:5" x14ac:dyDescent="0.4">
      <c r="A19" t="s">
        <v>63</v>
      </c>
      <c r="B19" t="s">
        <v>64</v>
      </c>
      <c r="C19" s="13">
        <v>200</v>
      </c>
      <c r="D19" s="13">
        <v>80800000</v>
      </c>
      <c r="E19" s="15">
        <v>2.87</v>
      </c>
    </row>
    <row r="20" spans="1:5" x14ac:dyDescent="0.4">
      <c r="A20" t="s">
        <v>287</v>
      </c>
      <c r="B20" t="s">
        <v>288</v>
      </c>
      <c r="C20" s="13">
        <v>160</v>
      </c>
      <c r="D20" s="13">
        <v>66720000</v>
      </c>
      <c r="E20" s="15">
        <v>2.37</v>
      </c>
    </row>
    <row r="21" spans="1:5" x14ac:dyDescent="0.4">
      <c r="A21" t="s">
        <v>172</v>
      </c>
      <c r="B21" t="s">
        <v>173</v>
      </c>
      <c r="C21" s="13">
        <v>100</v>
      </c>
      <c r="D21" s="13">
        <v>62900000</v>
      </c>
      <c r="E21" s="15">
        <v>2.23</v>
      </c>
    </row>
    <row r="22" spans="1:5" x14ac:dyDescent="0.4">
      <c r="A22" t="s">
        <v>135</v>
      </c>
      <c r="B22" t="s">
        <v>136</v>
      </c>
      <c r="C22" s="13">
        <v>151</v>
      </c>
      <c r="D22" s="13">
        <v>59871500</v>
      </c>
      <c r="E22" s="15">
        <v>2.13</v>
      </c>
    </row>
    <row r="23" spans="1:5" x14ac:dyDescent="0.4">
      <c r="A23" t="s">
        <v>19</v>
      </c>
      <c r="B23" t="s">
        <v>20</v>
      </c>
      <c r="C23" s="31">
        <v>226</v>
      </c>
      <c r="D23" s="13">
        <v>58534000</v>
      </c>
      <c r="E23" s="15">
        <v>2.08</v>
      </c>
    </row>
    <row r="24" spans="1:5" x14ac:dyDescent="0.4">
      <c r="A24" t="s">
        <v>104</v>
      </c>
      <c r="B24" t="s">
        <v>105</v>
      </c>
      <c r="C24" s="31">
        <v>100</v>
      </c>
      <c r="D24" s="13">
        <v>55400000</v>
      </c>
      <c r="E24" s="15">
        <v>1.97</v>
      </c>
    </row>
    <row r="25" spans="1:5" x14ac:dyDescent="0.4">
      <c r="A25" t="s">
        <v>92</v>
      </c>
      <c r="B25" t="s">
        <v>93</v>
      </c>
      <c r="C25" s="13">
        <v>30</v>
      </c>
      <c r="D25" s="13">
        <v>48420000</v>
      </c>
      <c r="E25" s="15">
        <v>1.72</v>
      </c>
    </row>
    <row r="26" spans="1:5" x14ac:dyDescent="0.4">
      <c r="A26" t="s">
        <v>120</v>
      </c>
      <c r="B26" t="s">
        <v>121</v>
      </c>
      <c r="C26" s="13">
        <v>100</v>
      </c>
      <c r="D26" s="13">
        <v>46750000</v>
      </c>
      <c r="E26" s="15">
        <v>1.66</v>
      </c>
    </row>
    <row r="27" spans="1:5" x14ac:dyDescent="0.4">
      <c r="A27" t="s">
        <v>73</v>
      </c>
      <c r="B27" t="s">
        <v>74</v>
      </c>
      <c r="C27" s="13">
        <v>38</v>
      </c>
      <c r="D27" s="13">
        <v>46208000</v>
      </c>
      <c r="E27" s="15">
        <v>1.64</v>
      </c>
    </row>
    <row r="28" spans="1:5" x14ac:dyDescent="0.4">
      <c r="A28" t="s">
        <v>303</v>
      </c>
      <c r="B28" t="s">
        <v>304</v>
      </c>
      <c r="C28" s="13">
        <v>89</v>
      </c>
      <c r="D28" s="13">
        <v>44767000</v>
      </c>
      <c r="E28" s="15">
        <v>1.59</v>
      </c>
    </row>
    <row r="29" spans="1:5" x14ac:dyDescent="0.4">
      <c r="A29" t="s">
        <v>217</v>
      </c>
      <c r="B29" t="s">
        <v>218</v>
      </c>
      <c r="C29" s="13">
        <v>61</v>
      </c>
      <c r="D29" s="13">
        <v>39040000</v>
      </c>
      <c r="E29" s="15">
        <v>1.39</v>
      </c>
    </row>
    <row r="30" spans="1:5" x14ac:dyDescent="0.4">
      <c r="A30" t="s">
        <v>96</v>
      </c>
      <c r="B30" t="s">
        <v>97</v>
      </c>
      <c r="C30" s="13">
        <v>303</v>
      </c>
      <c r="D30" s="13">
        <v>37329600</v>
      </c>
      <c r="E30" s="15">
        <v>1.33</v>
      </c>
    </row>
    <row r="31" spans="1:5" x14ac:dyDescent="0.4">
      <c r="A31" t="s">
        <v>182</v>
      </c>
      <c r="B31" t="s">
        <v>183</v>
      </c>
      <c r="C31" s="13">
        <v>505</v>
      </c>
      <c r="D31" s="13">
        <v>36309500</v>
      </c>
      <c r="E31" s="15">
        <v>1.29</v>
      </c>
    </row>
    <row r="32" spans="1:5" x14ac:dyDescent="0.4">
      <c r="A32" t="s">
        <v>78</v>
      </c>
      <c r="B32" t="s">
        <v>79</v>
      </c>
      <c r="C32" s="13">
        <v>25</v>
      </c>
      <c r="D32" s="13">
        <v>36100000</v>
      </c>
      <c r="E32" s="15">
        <v>1.28</v>
      </c>
    </row>
    <row r="33" spans="1:5" x14ac:dyDescent="0.4">
      <c r="A33" t="s">
        <v>326</v>
      </c>
      <c r="B33" t="s">
        <v>327</v>
      </c>
      <c r="C33" s="13">
        <v>199</v>
      </c>
      <c r="D33" s="13">
        <v>31879800</v>
      </c>
      <c r="E33" s="15">
        <v>1.1299999999999999</v>
      </c>
    </row>
    <row r="34" spans="1:5" x14ac:dyDescent="0.4">
      <c r="A34" t="s">
        <v>283</v>
      </c>
      <c r="B34" t="s">
        <v>284</v>
      </c>
      <c r="C34" s="13">
        <v>499</v>
      </c>
      <c r="D34" s="13">
        <v>31187500</v>
      </c>
      <c r="E34" s="15">
        <v>1.1100000000000001</v>
      </c>
    </row>
    <row r="35" spans="1:5" x14ac:dyDescent="0.4">
      <c r="A35" t="s">
        <v>653</v>
      </c>
      <c r="B35" t="s">
        <v>654</v>
      </c>
      <c r="C35" s="13">
        <v>252</v>
      </c>
      <c r="D35" s="13">
        <v>25527600</v>
      </c>
      <c r="E35" s="15">
        <v>0.91</v>
      </c>
    </row>
    <row r="36" spans="1:5" x14ac:dyDescent="0.4">
      <c r="A36" t="s">
        <v>392</v>
      </c>
      <c r="B36" t="s">
        <v>393</v>
      </c>
      <c r="C36" s="13">
        <v>80</v>
      </c>
      <c r="D36" s="13">
        <v>21480000</v>
      </c>
      <c r="E36" s="15">
        <v>0.76</v>
      </c>
    </row>
    <row r="37" spans="1:5" x14ac:dyDescent="0.4">
      <c r="A37" t="s">
        <v>17</v>
      </c>
      <c r="B37" t="s">
        <v>18</v>
      </c>
      <c r="C37" s="13">
        <v>183</v>
      </c>
      <c r="D37" s="13">
        <v>20276400</v>
      </c>
      <c r="E37" s="15">
        <v>0.72</v>
      </c>
    </row>
    <row r="38" spans="1:5" x14ac:dyDescent="0.4">
      <c r="B38" t="s">
        <v>10</v>
      </c>
      <c r="C38" s="13">
        <v>23669494</v>
      </c>
      <c r="D38" s="13">
        <v>23669494</v>
      </c>
      <c r="E38" s="15">
        <v>0.84</v>
      </c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100-000000000000}"/>
  </hyperlink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4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363</v>
      </c>
      <c r="B8" s="6"/>
      <c r="C8" s="6"/>
      <c r="D8" s="6"/>
      <c r="E8" s="14"/>
    </row>
    <row r="9" spans="1:7" x14ac:dyDescent="0.4">
      <c r="A9" s="69" t="s">
        <v>529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366</v>
      </c>
      <c r="B11" s="17" t="s">
        <v>367</v>
      </c>
      <c r="C11" s="18">
        <v>2329</v>
      </c>
      <c r="D11" s="18">
        <v>169085400</v>
      </c>
      <c r="E11" s="19">
        <v>9.26</v>
      </c>
      <c r="F11" s="17"/>
      <c r="G11" s="17"/>
    </row>
    <row r="12" spans="1:7" x14ac:dyDescent="0.4">
      <c r="A12" t="s">
        <v>217</v>
      </c>
      <c r="B12" s="17" t="s">
        <v>218</v>
      </c>
      <c r="C12" s="70">
        <v>251</v>
      </c>
      <c r="D12" s="18">
        <v>168672000</v>
      </c>
      <c r="E12" s="19">
        <v>9.24</v>
      </c>
      <c r="F12" s="17"/>
      <c r="G12" s="17"/>
    </row>
    <row r="13" spans="1:7" x14ac:dyDescent="0.4">
      <c r="A13" t="s">
        <v>138</v>
      </c>
      <c r="B13" t="s">
        <v>139</v>
      </c>
      <c r="C13" s="13">
        <v>5399</v>
      </c>
      <c r="D13" s="13">
        <v>154681350</v>
      </c>
      <c r="E13" s="15">
        <v>8.4700000000000006</v>
      </c>
    </row>
    <row r="14" spans="1:7" x14ac:dyDescent="0.4">
      <c r="A14" t="s">
        <v>166</v>
      </c>
      <c r="B14" t="s">
        <v>167</v>
      </c>
      <c r="C14" s="13">
        <v>531</v>
      </c>
      <c r="D14" s="13">
        <v>147352500</v>
      </c>
      <c r="E14" s="15">
        <v>8.07</v>
      </c>
    </row>
    <row r="15" spans="1:7" x14ac:dyDescent="0.4">
      <c r="A15" t="s">
        <v>301</v>
      </c>
      <c r="B15" t="s">
        <v>302</v>
      </c>
      <c r="C15" s="31">
        <v>1227</v>
      </c>
      <c r="D15" s="13">
        <v>139387200</v>
      </c>
      <c r="E15" s="15">
        <v>7.64</v>
      </c>
    </row>
    <row r="16" spans="1:7" x14ac:dyDescent="0.4">
      <c r="A16" t="s">
        <v>289</v>
      </c>
      <c r="B16" t="s">
        <v>290</v>
      </c>
      <c r="C16" s="31">
        <v>309</v>
      </c>
      <c r="D16" s="13">
        <v>128235000</v>
      </c>
      <c r="E16" s="15">
        <v>7.02</v>
      </c>
    </row>
    <row r="17" spans="1:7" x14ac:dyDescent="0.4">
      <c r="A17" t="s">
        <v>219</v>
      </c>
      <c r="B17" s="17" t="s">
        <v>220</v>
      </c>
      <c r="C17" s="70">
        <v>3333</v>
      </c>
      <c r="D17" s="18">
        <v>119154750</v>
      </c>
      <c r="E17" s="19">
        <v>6.53</v>
      </c>
      <c r="F17" s="17"/>
      <c r="G17" s="17"/>
    </row>
    <row r="18" spans="1:7" x14ac:dyDescent="0.4">
      <c r="A18" t="s">
        <v>364</v>
      </c>
      <c r="B18" t="s">
        <v>365</v>
      </c>
      <c r="C18" s="13">
        <v>1463</v>
      </c>
      <c r="D18" s="13">
        <v>111919500</v>
      </c>
      <c r="E18" s="15">
        <v>6.13</v>
      </c>
    </row>
    <row r="19" spans="1:7" x14ac:dyDescent="0.4">
      <c r="A19" t="s">
        <v>293</v>
      </c>
      <c r="B19" t="s">
        <v>294</v>
      </c>
      <c r="C19" s="13">
        <v>431</v>
      </c>
      <c r="D19" s="13">
        <v>99130000</v>
      </c>
      <c r="E19" s="15">
        <v>5.43</v>
      </c>
    </row>
    <row r="20" spans="1:7" x14ac:dyDescent="0.4">
      <c r="A20" t="s">
        <v>368</v>
      </c>
      <c r="B20" t="s">
        <v>369</v>
      </c>
      <c r="C20" s="13">
        <v>3562</v>
      </c>
      <c r="D20" s="13">
        <v>78542100</v>
      </c>
      <c r="E20" s="15">
        <v>4.3</v>
      </c>
    </row>
    <row r="21" spans="1:7" x14ac:dyDescent="0.4">
      <c r="A21" t="s">
        <v>336</v>
      </c>
      <c r="B21" t="s">
        <v>337</v>
      </c>
      <c r="C21" s="13">
        <v>12613</v>
      </c>
      <c r="D21" s="13">
        <v>73659920</v>
      </c>
      <c r="E21" s="15">
        <v>4.04</v>
      </c>
    </row>
    <row r="22" spans="1:7" x14ac:dyDescent="0.4">
      <c r="A22" t="s">
        <v>372</v>
      </c>
      <c r="B22" s="17" t="s">
        <v>373</v>
      </c>
      <c r="C22" s="18">
        <v>1511</v>
      </c>
      <c r="D22" s="18">
        <v>68448300</v>
      </c>
      <c r="E22" s="19">
        <v>3.75</v>
      </c>
      <c r="F22" s="17"/>
      <c r="G22" s="17"/>
    </row>
    <row r="23" spans="1:7" x14ac:dyDescent="0.4">
      <c r="A23" t="s">
        <v>303</v>
      </c>
      <c r="B23" s="17" t="s">
        <v>304</v>
      </c>
      <c r="C23" s="70">
        <v>113</v>
      </c>
      <c r="D23" s="18">
        <v>65088000</v>
      </c>
      <c r="E23" s="19">
        <v>3.57</v>
      </c>
      <c r="F23" s="17"/>
      <c r="G23" s="17"/>
    </row>
    <row r="24" spans="1:7" x14ac:dyDescent="0.4">
      <c r="A24" t="s">
        <v>4914</v>
      </c>
      <c r="B24" t="s">
        <v>4915</v>
      </c>
      <c r="C24" s="31">
        <v>952</v>
      </c>
      <c r="D24" s="13">
        <v>64736000</v>
      </c>
      <c r="E24" s="15">
        <v>3.55</v>
      </c>
    </row>
    <row r="25" spans="1:7" x14ac:dyDescent="0.4">
      <c r="A25" t="s">
        <v>309</v>
      </c>
      <c r="B25" t="s">
        <v>310</v>
      </c>
      <c r="C25" s="13">
        <v>514</v>
      </c>
      <c r="D25" s="13">
        <v>53353200</v>
      </c>
      <c r="E25" s="15">
        <v>2.92</v>
      </c>
    </row>
    <row r="26" spans="1:7" x14ac:dyDescent="0.4">
      <c r="A26" t="s">
        <v>160</v>
      </c>
      <c r="B26" t="s">
        <v>161</v>
      </c>
      <c r="C26" s="13">
        <v>2507</v>
      </c>
      <c r="D26" s="13">
        <v>50766750</v>
      </c>
      <c r="E26" s="15">
        <v>2.78</v>
      </c>
    </row>
    <row r="27" spans="1:7" x14ac:dyDescent="0.4">
      <c r="A27" t="s">
        <v>502</v>
      </c>
      <c r="B27" t="s">
        <v>503</v>
      </c>
      <c r="C27" s="13">
        <v>987</v>
      </c>
      <c r="D27" s="13">
        <v>21763350</v>
      </c>
      <c r="E27" s="15">
        <v>1.19</v>
      </c>
    </row>
    <row r="28" spans="1:7" x14ac:dyDescent="0.4">
      <c r="A28" t="s">
        <v>374</v>
      </c>
      <c r="B28" t="s">
        <v>375</v>
      </c>
      <c r="C28" s="13">
        <v>7991</v>
      </c>
      <c r="D28" s="13">
        <v>19617905</v>
      </c>
      <c r="E28" s="15">
        <v>1.07</v>
      </c>
    </row>
    <row r="29" spans="1:7" x14ac:dyDescent="0.4">
      <c r="A29" t="s">
        <v>376</v>
      </c>
      <c r="B29" t="s">
        <v>377</v>
      </c>
      <c r="C29" s="13">
        <v>917</v>
      </c>
      <c r="D29" s="13">
        <v>16826950</v>
      </c>
      <c r="E29" s="15">
        <v>0.92</v>
      </c>
    </row>
    <row r="30" spans="1:7" x14ac:dyDescent="0.4">
      <c r="A30" t="s">
        <v>370</v>
      </c>
      <c r="B30" t="s">
        <v>371</v>
      </c>
      <c r="C30" s="13">
        <v>486</v>
      </c>
      <c r="D30" s="13">
        <v>16621200</v>
      </c>
      <c r="E30" s="15">
        <v>0.91</v>
      </c>
    </row>
    <row r="31" spans="1:7" x14ac:dyDescent="0.4">
      <c r="A31" t="s">
        <v>316</v>
      </c>
      <c r="B31" t="s">
        <v>317</v>
      </c>
      <c r="C31" s="13">
        <v>201</v>
      </c>
      <c r="D31" s="13">
        <v>15155400</v>
      </c>
      <c r="E31" s="15">
        <v>0.83</v>
      </c>
    </row>
    <row r="32" spans="1:7" x14ac:dyDescent="0.4">
      <c r="A32" t="s">
        <v>116</v>
      </c>
      <c r="B32" t="s">
        <v>117</v>
      </c>
      <c r="C32" s="13">
        <v>110</v>
      </c>
      <c r="D32" s="13">
        <v>11803000</v>
      </c>
      <c r="E32" s="15">
        <v>0.65</v>
      </c>
    </row>
    <row r="33" spans="1:5" x14ac:dyDescent="0.4">
      <c r="A33" t="s">
        <v>378</v>
      </c>
      <c r="B33" t="s">
        <v>379</v>
      </c>
      <c r="C33">
        <v>570</v>
      </c>
      <c r="D33" s="13">
        <v>6144600</v>
      </c>
      <c r="E33" s="15">
        <v>0.34</v>
      </c>
    </row>
    <row r="34" spans="1:5" x14ac:dyDescent="0.4">
      <c r="A34" t="s">
        <v>342</v>
      </c>
      <c r="B34" t="s">
        <v>343</v>
      </c>
      <c r="C34" s="13">
        <v>62</v>
      </c>
      <c r="D34" s="13">
        <v>3273600</v>
      </c>
      <c r="E34" s="15">
        <v>0.18</v>
      </c>
    </row>
    <row r="35" spans="1:5" x14ac:dyDescent="0.4">
      <c r="B35" t="s">
        <v>10</v>
      </c>
      <c r="C35" s="13">
        <v>22068051</v>
      </c>
      <c r="D35" s="13">
        <v>22068051</v>
      </c>
      <c r="E35" s="15">
        <v>1.21</v>
      </c>
    </row>
    <row r="36" spans="1:5" x14ac:dyDescent="0.4">
      <c r="C36" s="13"/>
      <c r="D36" s="13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200-000000000000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363</v>
      </c>
      <c r="B8" s="6"/>
      <c r="C8" s="6"/>
      <c r="D8" s="6"/>
      <c r="E8" s="14"/>
    </row>
    <row r="9" spans="1:5" x14ac:dyDescent="0.4">
      <c r="A9" s="69" t="s">
        <v>529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366</v>
      </c>
      <c r="B11" t="s">
        <v>367</v>
      </c>
      <c r="C11" s="13">
        <v>2329</v>
      </c>
      <c r="D11" s="13">
        <v>166756400</v>
      </c>
      <c r="E11" s="15">
        <v>9.1199999999999992</v>
      </c>
    </row>
    <row r="12" spans="1:5" x14ac:dyDescent="0.4">
      <c r="A12" t="s">
        <v>217</v>
      </c>
      <c r="B12" t="s">
        <v>218</v>
      </c>
      <c r="C12" s="31">
        <v>251</v>
      </c>
      <c r="D12" s="13">
        <v>160640000</v>
      </c>
      <c r="E12" s="15">
        <v>8.7799999999999994</v>
      </c>
    </row>
    <row r="13" spans="1:5" x14ac:dyDescent="0.4">
      <c r="A13" t="s">
        <v>138</v>
      </c>
      <c r="B13" t="s">
        <v>139</v>
      </c>
      <c r="C13" s="13">
        <v>5399</v>
      </c>
      <c r="D13" s="13">
        <v>158190700</v>
      </c>
      <c r="E13" s="15">
        <v>8.65</v>
      </c>
    </row>
    <row r="14" spans="1:5" x14ac:dyDescent="0.4">
      <c r="A14" t="s">
        <v>301</v>
      </c>
      <c r="B14" t="s">
        <v>302</v>
      </c>
      <c r="C14" s="13">
        <v>1227</v>
      </c>
      <c r="D14" s="13">
        <v>144908700</v>
      </c>
      <c r="E14" s="15">
        <v>7.92</v>
      </c>
    </row>
    <row r="15" spans="1:5" x14ac:dyDescent="0.4">
      <c r="A15" t="s">
        <v>166</v>
      </c>
      <c r="B15" t="s">
        <v>167</v>
      </c>
      <c r="C15" s="31">
        <v>531</v>
      </c>
      <c r="D15" s="13">
        <v>143104500</v>
      </c>
      <c r="E15" s="15">
        <v>7.82</v>
      </c>
    </row>
    <row r="16" spans="1:5" x14ac:dyDescent="0.4">
      <c r="A16" t="s">
        <v>219</v>
      </c>
      <c r="B16" t="s">
        <v>220</v>
      </c>
      <c r="C16" s="31">
        <v>3333</v>
      </c>
      <c r="D16" s="13">
        <v>129153750</v>
      </c>
      <c r="E16" s="15">
        <v>7.06</v>
      </c>
    </row>
    <row r="17" spans="1:5" x14ac:dyDescent="0.4">
      <c r="A17" t="s">
        <v>289</v>
      </c>
      <c r="B17" t="s">
        <v>290</v>
      </c>
      <c r="C17" s="31">
        <v>309</v>
      </c>
      <c r="D17" s="13">
        <v>128544000</v>
      </c>
      <c r="E17" s="15">
        <v>7.03</v>
      </c>
    </row>
    <row r="18" spans="1:5" x14ac:dyDescent="0.4">
      <c r="A18" t="s">
        <v>364</v>
      </c>
      <c r="B18" t="s">
        <v>365</v>
      </c>
      <c r="C18" s="13">
        <v>1463</v>
      </c>
      <c r="D18" s="13">
        <v>115869600</v>
      </c>
      <c r="E18" s="15">
        <v>6.33</v>
      </c>
    </row>
    <row r="19" spans="1:5" x14ac:dyDescent="0.4">
      <c r="A19" t="s">
        <v>293</v>
      </c>
      <c r="B19" t="s">
        <v>294</v>
      </c>
      <c r="C19" s="13">
        <v>431</v>
      </c>
      <c r="D19" s="13">
        <v>92880500</v>
      </c>
      <c r="E19" s="15">
        <v>5.08</v>
      </c>
    </row>
    <row r="20" spans="1:5" x14ac:dyDescent="0.4">
      <c r="A20" t="s">
        <v>368</v>
      </c>
      <c r="B20" t="s">
        <v>369</v>
      </c>
      <c r="C20" s="13">
        <v>3562</v>
      </c>
      <c r="D20" s="13">
        <v>79610700</v>
      </c>
      <c r="E20" s="15">
        <v>4.3499999999999996</v>
      </c>
    </row>
    <row r="21" spans="1:5" x14ac:dyDescent="0.4">
      <c r="A21" t="s">
        <v>336</v>
      </c>
      <c r="B21" t="s">
        <v>337</v>
      </c>
      <c r="C21" s="13">
        <v>12613</v>
      </c>
      <c r="D21" s="13">
        <v>76056390</v>
      </c>
      <c r="E21" s="15">
        <v>4.16</v>
      </c>
    </row>
    <row r="22" spans="1:5" x14ac:dyDescent="0.4">
      <c r="A22" t="s">
        <v>372</v>
      </c>
      <c r="B22" t="s">
        <v>373</v>
      </c>
      <c r="C22" s="13">
        <v>1511</v>
      </c>
      <c r="D22" s="13">
        <v>69279350</v>
      </c>
      <c r="E22" s="15">
        <v>3.79</v>
      </c>
    </row>
    <row r="23" spans="1:5" x14ac:dyDescent="0.4">
      <c r="A23" t="s">
        <v>4914</v>
      </c>
      <c r="B23" t="s">
        <v>4915</v>
      </c>
      <c r="C23" s="31">
        <v>952</v>
      </c>
      <c r="D23" s="13">
        <v>66068800</v>
      </c>
      <c r="E23" s="15">
        <v>3.61</v>
      </c>
    </row>
    <row r="24" spans="1:5" x14ac:dyDescent="0.4">
      <c r="A24" t="s">
        <v>303</v>
      </c>
      <c r="B24" t="s">
        <v>304</v>
      </c>
      <c r="C24" s="31">
        <v>113</v>
      </c>
      <c r="D24" s="13">
        <v>56839000</v>
      </c>
      <c r="E24" s="15">
        <v>3.11</v>
      </c>
    </row>
    <row r="25" spans="1:5" x14ac:dyDescent="0.4">
      <c r="A25" t="s">
        <v>309</v>
      </c>
      <c r="B25" t="s">
        <v>310</v>
      </c>
      <c r="C25" s="13">
        <v>514</v>
      </c>
      <c r="D25" s="13">
        <v>53610200</v>
      </c>
      <c r="E25" s="15">
        <v>2.93</v>
      </c>
    </row>
    <row r="26" spans="1:5" x14ac:dyDescent="0.4">
      <c r="A26" t="s">
        <v>160</v>
      </c>
      <c r="B26" t="s">
        <v>161</v>
      </c>
      <c r="C26" s="13">
        <v>2507</v>
      </c>
      <c r="D26" s="13">
        <v>49864230</v>
      </c>
      <c r="E26" s="15">
        <v>2.73</v>
      </c>
    </row>
    <row r="27" spans="1:5" x14ac:dyDescent="0.4">
      <c r="A27" t="s">
        <v>502</v>
      </c>
      <c r="B27" t="s">
        <v>503</v>
      </c>
      <c r="C27" s="13">
        <v>987</v>
      </c>
      <c r="D27" s="13">
        <v>23638650</v>
      </c>
      <c r="E27" s="15">
        <v>1.29</v>
      </c>
    </row>
    <row r="28" spans="1:5" x14ac:dyDescent="0.4">
      <c r="A28" t="s">
        <v>374</v>
      </c>
      <c r="B28" t="s">
        <v>375</v>
      </c>
      <c r="C28" s="13">
        <v>7991</v>
      </c>
      <c r="D28" s="13">
        <v>19897590</v>
      </c>
      <c r="E28" s="15">
        <v>1.0900000000000001</v>
      </c>
    </row>
    <row r="29" spans="1:5" x14ac:dyDescent="0.4">
      <c r="A29" t="s">
        <v>376</v>
      </c>
      <c r="B29" t="s">
        <v>377</v>
      </c>
      <c r="C29" s="13">
        <v>917</v>
      </c>
      <c r="D29" s="13">
        <v>17707270</v>
      </c>
      <c r="E29" s="15">
        <v>0.97</v>
      </c>
    </row>
    <row r="30" spans="1:5" x14ac:dyDescent="0.4">
      <c r="A30" t="s">
        <v>370</v>
      </c>
      <c r="B30" t="s">
        <v>371</v>
      </c>
      <c r="C30" s="13">
        <v>486</v>
      </c>
      <c r="D30" s="13">
        <v>16742700</v>
      </c>
      <c r="E30" s="15">
        <v>0.92</v>
      </c>
    </row>
    <row r="31" spans="1:5" x14ac:dyDescent="0.4">
      <c r="A31" t="s">
        <v>316</v>
      </c>
      <c r="B31" t="s">
        <v>317</v>
      </c>
      <c r="C31" s="13">
        <v>201</v>
      </c>
      <c r="D31" s="13">
        <v>15537300</v>
      </c>
      <c r="E31" s="15">
        <v>0.85</v>
      </c>
    </row>
    <row r="32" spans="1:5" x14ac:dyDescent="0.4">
      <c r="A32" t="s">
        <v>116</v>
      </c>
      <c r="B32" t="s">
        <v>117</v>
      </c>
      <c r="C32" s="13">
        <v>110</v>
      </c>
      <c r="D32" s="13">
        <v>12331000</v>
      </c>
      <c r="E32" s="15">
        <v>0.67</v>
      </c>
    </row>
    <row r="33" spans="1:5" x14ac:dyDescent="0.4">
      <c r="A33" t="s">
        <v>378</v>
      </c>
      <c r="B33" t="s">
        <v>379</v>
      </c>
      <c r="C33">
        <v>570</v>
      </c>
      <c r="D33" s="13">
        <v>6406800</v>
      </c>
      <c r="E33" s="15">
        <v>0.35</v>
      </c>
    </row>
    <row r="34" spans="1:5" x14ac:dyDescent="0.4">
      <c r="A34" t="s">
        <v>342</v>
      </c>
      <c r="B34" t="s">
        <v>343</v>
      </c>
      <c r="C34" s="13">
        <v>62</v>
      </c>
      <c r="D34" s="13">
        <v>3422400</v>
      </c>
      <c r="E34" s="15">
        <v>0.19</v>
      </c>
    </row>
    <row r="35" spans="1:5" x14ac:dyDescent="0.4">
      <c r="B35" t="s">
        <v>10</v>
      </c>
      <c r="C35" s="13">
        <v>22227225</v>
      </c>
      <c r="D35" s="13">
        <v>22227225</v>
      </c>
      <c r="E35" s="15">
        <v>1.22</v>
      </c>
    </row>
    <row r="36" spans="1:5" x14ac:dyDescent="0.4">
      <c r="C36" s="13"/>
      <c r="D36" s="13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23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3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346</v>
      </c>
      <c r="B8" s="6"/>
      <c r="C8" s="6"/>
      <c r="D8" s="6"/>
      <c r="E8" s="14"/>
    </row>
    <row r="9" spans="1:7" x14ac:dyDescent="0.4">
      <c r="A9" s="69" t="s">
        <v>530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80</v>
      </c>
      <c r="B11" s="17" t="s">
        <v>81</v>
      </c>
      <c r="C11" s="18">
        <v>338</v>
      </c>
      <c r="D11" s="18">
        <v>101231000</v>
      </c>
      <c r="E11" s="19">
        <v>24.66</v>
      </c>
      <c r="F11" s="17"/>
      <c r="G11" s="17"/>
    </row>
    <row r="12" spans="1:7" x14ac:dyDescent="0.4">
      <c r="A12" t="s">
        <v>13</v>
      </c>
      <c r="B12" s="17" t="s">
        <v>14</v>
      </c>
      <c r="C12" s="18">
        <v>30</v>
      </c>
      <c r="D12" s="18">
        <v>58200000</v>
      </c>
      <c r="E12" s="19">
        <v>14.18</v>
      </c>
      <c r="F12" s="17"/>
      <c r="G12" s="17"/>
    </row>
    <row r="13" spans="1:7" x14ac:dyDescent="0.4">
      <c r="A13" t="s">
        <v>453</v>
      </c>
      <c r="B13" s="17" t="s">
        <v>454</v>
      </c>
      <c r="C13" s="18">
        <v>35</v>
      </c>
      <c r="D13" s="18">
        <v>42140000</v>
      </c>
      <c r="E13" s="19">
        <v>10.27</v>
      </c>
      <c r="F13" s="17"/>
      <c r="G13" s="17"/>
    </row>
    <row r="14" spans="1:7" x14ac:dyDescent="0.4">
      <c r="A14" t="s">
        <v>188</v>
      </c>
      <c r="B14" s="17" t="s">
        <v>189</v>
      </c>
      <c r="C14" s="18">
        <v>29</v>
      </c>
      <c r="D14" s="18">
        <v>34191000</v>
      </c>
      <c r="E14" s="19">
        <v>8.33</v>
      </c>
      <c r="F14" s="17"/>
      <c r="G14" s="17"/>
    </row>
    <row r="15" spans="1:7" x14ac:dyDescent="0.4">
      <c r="A15" t="s">
        <v>355</v>
      </c>
      <c r="B15" s="17" t="s">
        <v>356</v>
      </c>
      <c r="C15" s="17">
        <v>120</v>
      </c>
      <c r="D15" s="18">
        <v>17568000</v>
      </c>
      <c r="E15" s="19">
        <v>4.28</v>
      </c>
      <c r="F15" s="17"/>
      <c r="G15" s="17"/>
    </row>
    <row r="16" spans="1:7" x14ac:dyDescent="0.4">
      <c r="A16" t="s">
        <v>299</v>
      </c>
      <c r="B16" s="17" t="s">
        <v>300</v>
      </c>
      <c r="C16" s="18">
        <v>27</v>
      </c>
      <c r="D16" s="18">
        <v>16632000</v>
      </c>
      <c r="E16" s="19">
        <v>4.05</v>
      </c>
      <c r="F16" s="17"/>
      <c r="G16" s="17"/>
    </row>
    <row r="17" spans="1:7" x14ac:dyDescent="0.4">
      <c r="A17" t="s">
        <v>45</v>
      </c>
      <c r="B17" t="s">
        <v>46</v>
      </c>
      <c r="C17" s="13">
        <v>106</v>
      </c>
      <c r="D17" s="13">
        <v>15497200</v>
      </c>
      <c r="E17" s="15">
        <v>3.78</v>
      </c>
    </row>
    <row r="18" spans="1:7" x14ac:dyDescent="0.4">
      <c r="A18" t="s">
        <v>471</v>
      </c>
      <c r="B18" s="17" t="s">
        <v>472</v>
      </c>
      <c r="C18" s="18">
        <v>107</v>
      </c>
      <c r="D18" s="18">
        <v>11748600</v>
      </c>
      <c r="E18" s="19">
        <v>2.86</v>
      </c>
      <c r="F18" s="17"/>
      <c r="G18" s="17"/>
    </row>
    <row r="19" spans="1:7" x14ac:dyDescent="0.4">
      <c r="A19" t="s">
        <v>721</v>
      </c>
      <c r="B19" t="s">
        <v>722</v>
      </c>
      <c r="C19" s="31">
        <v>100</v>
      </c>
      <c r="D19" s="13">
        <v>11670000</v>
      </c>
      <c r="E19" s="15">
        <v>2.84</v>
      </c>
    </row>
    <row r="20" spans="1:7" x14ac:dyDescent="0.4">
      <c r="A20" t="s">
        <v>679</v>
      </c>
      <c r="B20" t="s">
        <v>680</v>
      </c>
      <c r="C20" s="31">
        <v>68</v>
      </c>
      <c r="D20" s="13">
        <v>11594000</v>
      </c>
      <c r="E20" s="15">
        <v>2.82</v>
      </c>
    </row>
    <row r="21" spans="1:7" x14ac:dyDescent="0.4">
      <c r="A21" t="s">
        <v>643</v>
      </c>
      <c r="B21" t="s">
        <v>644</v>
      </c>
      <c r="C21" s="13">
        <v>77</v>
      </c>
      <c r="D21" s="13">
        <v>9671200</v>
      </c>
      <c r="E21" s="15">
        <v>2.36</v>
      </c>
    </row>
    <row r="22" spans="1:7" x14ac:dyDescent="0.4">
      <c r="A22" t="s">
        <v>569</v>
      </c>
      <c r="B22" t="s">
        <v>570</v>
      </c>
      <c r="C22" s="31">
        <v>36</v>
      </c>
      <c r="D22" s="13">
        <v>8154000</v>
      </c>
      <c r="E22" s="15">
        <v>1.99</v>
      </c>
    </row>
    <row r="23" spans="1:7" x14ac:dyDescent="0.4">
      <c r="A23" t="s">
        <v>1973</v>
      </c>
      <c r="B23" t="s">
        <v>1974</v>
      </c>
      <c r="C23" s="31">
        <v>234</v>
      </c>
      <c r="D23" s="13">
        <v>7956000</v>
      </c>
      <c r="E23" s="15">
        <v>1.94</v>
      </c>
    </row>
    <row r="24" spans="1:7" x14ac:dyDescent="0.4">
      <c r="A24" t="s">
        <v>484</v>
      </c>
      <c r="B24" t="s">
        <v>485</v>
      </c>
      <c r="C24" s="31">
        <v>115</v>
      </c>
      <c r="D24" s="13">
        <v>6888500</v>
      </c>
      <c r="E24" s="15">
        <v>1.68</v>
      </c>
    </row>
    <row r="25" spans="1:7" x14ac:dyDescent="0.4">
      <c r="A25" t="s">
        <v>633</v>
      </c>
      <c r="B25" t="s">
        <v>634</v>
      </c>
      <c r="C25" s="13">
        <v>258</v>
      </c>
      <c r="D25" s="13">
        <v>6824100</v>
      </c>
      <c r="E25" s="15">
        <v>1.66</v>
      </c>
    </row>
    <row r="26" spans="1:7" x14ac:dyDescent="0.4">
      <c r="A26" t="s">
        <v>92</v>
      </c>
      <c r="B26" t="s">
        <v>93</v>
      </c>
      <c r="C26" s="13">
        <v>4</v>
      </c>
      <c r="D26" s="13">
        <v>6400000</v>
      </c>
      <c r="E26" s="15">
        <v>1.56</v>
      </c>
    </row>
    <row r="27" spans="1:7" x14ac:dyDescent="0.4">
      <c r="A27" t="s">
        <v>575</v>
      </c>
      <c r="B27" t="s">
        <v>576</v>
      </c>
      <c r="C27" s="13">
        <v>105</v>
      </c>
      <c r="D27" s="13">
        <v>6037500</v>
      </c>
      <c r="E27" s="15">
        <v>1.47</v>
      </c>
    </row>
    <row r="28" spans="1:7" x14ac:dyDescent="0.4">
      <c r="A28" t="s">
        <v>347</v>
      </c>
      <c r="B28" t="s">
        <v>348</v>
      </c>
      <c r="C28" s="13">
        <v>45</v>
      </c>
      <c r="D28" s="13">
        <v>5751000</v>
      </c>
      <c r="E28" s="15">
        <v>1.4</v>
      </c>
    </row>
    <row r="29" spans="1:7" x14ac:dyDescent="0.4">
      <c r="A29" t="s">
        <v>495</v>
      </c>
      <c r="B29" t="s">
        <v>496</v>
      </c>
      <c r="C29" s="13">
        <v>15</v>
      </c>
      <c r="D29" s="13">
        <v>4530000</v>
      </c>
      <c r="E29" s="15">
        <v>1.1000000000000001</v>
      </c>
    </row>
    <row r="30" spans="1:7" x14ac:dyDescent="0.4">
      <c r="A30" t="s">
        <v>212</v>
      </c>
      <c r="B30" t="s">
        <v>213</v>
      </c>
      <c r="C30" s="31">
        <v>25</v>
      </c>
      <c r="D30" s="13">
        <v>4525000</v>
      </c>
      <c r="E30" s="15">
        <v>1.1000000000000001</v>
      </c>
    </row>
    <row r="31" spans="1:7" x14ac:dyDescent="0.4">
      <c r="A31" t="s">
        <v>2001</v>
      </c>
      <c r="B31" t="s">
        <v>2002</v>
      </c>
      <c r="C31" s="13">
        <v>118</v>
      </c>
      <c r="D31" s="13">
        <v>4183100</v>
      </c>
      <c r="E31" s="15">
        <v>1.02</v>
      </c>
    </row>
    <row r="32" spans="1:7" x14ac:dyDescent="0.4">
      <c r="A32" t="s">
        <v>719</v>
      </c>
      <c r="B32" t="s">
        <v>720</v>
      </c>
      <c r="C32" s="13">
        <v>240</v>
      </c>
      <c r="D32" s="13">
        <v>4080000</v>
      </c>
      <c r="E32" s="15">
        <v>0.99</v>
      </c>
    </row>
    <row r="33" spans="1:5" x14ac:dyDescent="0.4">
      <c r="A33" t="s">
        <v>3395</v>
      </c>
      <c r="B33" t="s">
        <v>3396</v>
      </c>
      <c r="C33" s="13">
        <v>57</v>
      </c>
      <c r="D33" s="13">
        <v>3961500</v>
      </c>
      <c r="E33" s="15">
        <v>0.97</v>
      </c>
    </row>
    <row r="34" spans="1:5" x14ac:dyDescent="0.4">
      <c r="A34" t="s">
        <v>4790</v>
      </c>
      <c r="B34" t="s">
        <v>4791</v>
      </c>
      <c r="C34">
        <v>257</v>
      </c>
      <c r="D34" s="13">
        <v>3950090</v>
      </c>
      <c r="E34" s="15">
        <v>0.96</v>
      </c>
    </row>
    <row r="35" spans="1:5" x14ac:dyDescent="0.4">
      <c r="A35" t="s">
        <v>4132</v>
      </c>
      <c r="B35" t="s">
        <v>4133</v>
      </c>
      <c r="C35" s="13">
        <v>104</v>
      </c>
      <c r="D35" s="13">
        <v>3567200</v>
      </c>
      <c r="E35" s="15">
        <v>0.87</v>
      </c>
    </row>
    <row r="36" spans="1:5" x14ac:dyDescent="0.4">
      <c r="B36" t="s">
        <v>10</v>
      </c>
      <c r="C36" s="13">
        <v>3528662</v>
      </c>
      <c r="D36" s="13">
        <v>3528662</v>
      </c>
      <c r="E36" s="15">
        <v>0.86</v>
      </c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400-00000000000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346</v>
      </c>
      <c r="B8" s="6"/>
      <c r="C8" s="6"/>
      <c r="D8" s="6"/>
      <c r="E8" s="14"/>
    </row>
    <row r="9" spans="1:5" x14ac:dyDescent="0.4">
      <c r="A9" s="69" t="s">
        <v>530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80</v>
      </c>
      <c r="B11" t="s">
        <v>81</v>
      </c>
      <c r="C11" s="13">
        <v>338</v>
      </c>
      <c r="D11" s="13">
        <v>91429000</v>
      </c>
      <c r="E11" s="15">
        <v>23.77</v>
      </c>
    </row>
    <row r="12" spans="1:5" x14ac:dyDescent="0.4">
      <c r="A12" t="s">
        <v>13</v>
      </c>
      <c r="B12" t="s">
        <v>14</v>
      </c>
      <c r="C12" s="31">
        <v>30</v>
      </c>
      <c r="D12" s="13">
        <v>54570000</v>
      </c>
      <c r="E12" s="15">
        <v>14.19</v>
      </c>
    </row>
    <row r="13" spans="1:5" x14ac:dyDescent="0.4">
      <c r="A13" t="s">
        <v>453</v>
      </c>
      <c r="B13" t="s">
        <v>454</v>
      </c>
      <c r="C13">
        <v>36</v>
      </c>
      <c r="D13" s="13">
        <v>36360000</v>
      </c>
      <c r="E13" s="15">
        <v>9.4499999999999993</v>
      </c>
    </row>
    <row r="14" spans="1:5" x14ac:dyDescent="0.4">
      <c r="A14" t="s">
        <v>188</v>
      </c>
      <c r="B14" t="s">
        <v>189</v>
      </c>
      <c r="C14">
        <v>29</v>
      </c>
      <c r="D14" s="13">
        <v>31842000</v>
      </c>
      <c r="E14" s="15">
        <v>8.2799999999999994</v>
      </c>
    </row>
    <row r="15" spans="1:5" x14ac:dyDescent="0.4">
      <c r="A15" t="s">
        <v>299</v>
      </c>
      <c r="B15" t="s">
        <v>300</v>
      </c>
      <c r="C15" s="31">
        <v>32</v>
      </c>
      <c r="D15" s="13">
        <v>19648000</v>
      </c>
      <c r="E15" s="15">
        <v>5.1100000000000003</v>
      </c>
    </row>
    <row r="16" spans="1:5" x14ac:dyDescent="0.4">
      <c r="A16" t="s">
        <v>355</v>
      </c>
      <c r="B16" t="s">
        <v>356</v>
      </c>
      <c r="C16" s="31">
        <v>120</v>
      </c>
      <c r="D16" s="13">
        <v>16296000</v>
      </c>
      <c r="E16" s="15">
        <v>4.24</v>
      </c>
    </row>
    <row r="17" spans="1:5" x14ac:dyDescent="0.4">
      <c r="A17" t="s">
        <v>45</v>
      </c>
      <c r="B17" t="s">
        <v>46</v>
      </c>
      <c r="C17" s="31">
        <v>94</v>
      </c>
      <c r="D17" s="13">
        <v>15679200</v>
      </c>
      <c r="E17" s="15">
        <v>4.08</v>
      </c>
    </row>
    <row r="18" spans="1:5" x14ac:dyDescent="0.4">
      <c r="A18" t="s">
        <v>471</v>
      </c>
      <c r="B18" t="s">
        <v>472</v>
      </c>
      <c r="C18" s="13">
        <v>107</v>
      </c>
      <c r="D18" s="13">
        <v>10849800</v>
      </c>
      <c r="E18" s="15">
        <v>2.82</v>
      </c>
    </row>
    <row r="19" spans="1:5" x14ac:dyDescent="0.4">
      <c r="A19" t="s">
        <v>679</v>
      </c>
      <c r="B19" t="s">
        <v>680</v>
      </c>
      <c r="C19" s="13">
        <v>59</v>
      </c>
      <c r="D19" s="13">
        <v>10490200</v>
      </c>
      <c r="E19" s="15">
        <v>2.73</v>
      </c>
    </row>
    <row r="20" spans="1:5" x14ac:dyDescent="0.4">
      <c r="A20" t="s">
        <v>643</v>
      </c>
      <c r="B20" t="s">
        <v>644</v>
      </c>
      <c r="C20">
        <v>77</v>
      </c>
      <c r="D20" s="13">
        <v>9224600</v>
      </c>
      <c r="E20" s="15">
        <v>2.4</v>
      </c>
    </row>
    <row r="21" spans="1:5" x14ac:dyDescent="0.4">
      <c r="A21" t="s">
        <v>569</v>
      </c>
      <c r="B21" t="s">
        <v>570</v>
      </c>
      <c r="C21" s="13">
        <v>44</v>
      </c>
      <c r="D21" s="13">
        <v>7986000</v>
      </c>
      <c r="E21" s="15">
        <v>2.08</v>
      </c>
    </row>
    <row r="22" spans="1:5" x14ac:dyDescent="0.4">
      <c r="A22" t="s">
        <v>633</v>
      </c>
      <c r="B22" t="s">
        <v>634</v>
      </c>
      <c r="C22" s="13">
        <v>258</v>
      </c>
      <c r="D22" s="13">
        <v>7353000</v>
      </c>
      <c r="E22" s="15">
        <v>1.91</v>
      </c>
    </row>
    <row r="23" spans="1:5" x14ac:dyDescent="0.4">
      <c r="A23" t="s">
        <v>4132</v>
      </c>
      <c r="B23" t="s">
        <v>4133</v>
      </c>
      <c r="C23" s="31">
        <v>167</v>
      </c>
      <c r="D23" s="13">
        <v>6847000</v>
      </c>
      <c r="E23" s="15">
        <v>1.78</v>
      </c>
    </row>
    <row r="24" spans="1:5" x14ac:dyDescent="0.4">
      <c r="A24" t="s">
        <v>1973</v>
      </c>
      <c r="B24" t="s">
        <v>1974</v>
      </c>
      <c r="C24" s="31">
        <v>234</v>
      </c>
      <c r="D24" s="13">
        <v>6657300</v>
      </c>
      <c r="E24" s="15">
        <v>1.73</v>
      </c>
    </row>
    <row r="25" spans="1:5" x14ac:dyDescent="0.4">
      <c r="A25" t="s">
        <v>484</v>
      </c>
      <c r="B25" t="s">
        <v>485</v>
      </c>
      <c r="C25" s="13">
        <v>115</v>
      </c>
      <c r="D25" s="13">
        <v>6233000</v>
      </c>
      <c r="E25" s="15">
        <v>1.62</v>
      </c>
    </row>
    <row r="26" spans="1:5" x14ac:dyDescent="0.4">
      <c r="A26" t="s">
        <v>721</v>
      </c>
      <c r="B26" t="s">
        <v>722</v>
      </c>
      <c r="C26">
        <v>61</v>
      </c>
      <c r="D26" s="13">
        <v>6106100</v>
      </c>
      <c r="E26" s="15">
        <v>1.59</v>
      </c>
    </row>
    <row r="27" spans="1:5" x14ac:dyDescent="0.4">
      <c r="A27" t="s">
        <v>575</v>
      </c>
      <c r="B27" t="s">
        <v>576</v>
      </c>
      <c r="C27" s="13">
        <v>97</v>
      </c>
      <c r="D27" s="13">
        <v>5732700</v>
      </c>
      <c r="E27" s="15">
        <v>1.49</v>
      </c>
    </row>
    <row r="28" spans="1:5" x14ac:dyDescent="0.4">
      <c r="A28" t="s">
        <v>212</v>
      </c>
      <c r="B28" t="s">
        <v>213</v>
      </c>
      <c r="C28">
        <v>25</v>
      </c>
      <c r="D28" s="13">
        <v>4087500</v>
      </c>
      <c r="E28" s="15">
        <v>1.06</v>
      </c>
    </row>
    <row r="29" spans="1:5" x14ac:dyDescent="0.4">
      <c r="A29" t="s">
        <v>3395</v>
      </c>
      <c r="B29" t="s">
        <v>3396</v>
      </c>
      <c r="C29" s="13">
        <v>57</v>
      </c>
      <c r="D29" s="13">
        <v>4035600</v>
      </c>
      <c r="E29" s="15">
        <v>1.05</v>
      </c>
    </row>
    <row r="30" spans="1:5" x14ac:dyDescent="0.4">
      <c r="A30" t="s">
        <v>719</v>
      </c>
      <c r="B30" t="s">
        <v>720</v>
      </c>
      <c r="C30" s="13">
        <v>225</v>
      </c>
      <c r="D30" s="13">
        <v>3989250</v>
      </c>
      <c r="E30" s="15">
        <v>1.04</v>
      </c>
    </row>
    <row r="31" spans="1:5" x14ac:dyDescent="0.4">
      <c r="A31" t="s">
        <v>347</v>
      </c>
      <c r="B31" t="s">
        <v>348</v>
      </c>
      <c r="C31" s="13">
        <v>29</v>
      </c>
      <c r="D31" s="13">
        <v>3712000</v>
      </c>
      <c r="E31" s="15">
        <v>0.97</v>
      </c>
    </row>
    <row r="32" spans="1:5" x14ac:dyDescent="0.4">
      <c r="A32" t="s">
        <v>2001</v>
      </c>
      <c r="B32" t="s">
        <v>2002</v>
      </c>
      <c r="C32" s="13">
        <v>118</v>
      </c>
      <c r="D32" s="13">
        <v>3687500</v>
      </c>
      <c r="E32" s="15">
        <v>0.96</v>
      </c>
    </row>
    <row r="33" spans="1:5" x14ac:dyDescent="0.4">
      <c r="A33" t="s">
        <v>495</v>
      </c>
      <c r="B33" t="s">
        <v>496</v>
      </c>
      <c r="C33" s="13">
        <v>12</v>
      </c>
      <c r="D33" s="13">
        <v>3660000</v>
      </c>
      <c r="E33" s="15">
        <v>0.95</v>
      </c>
    </row>
    <row r="34" spans="1:5" x14ac:dyDescent="0.4">
      <c r="A34" t="s">
        <v>493</v>
      </c>
      <c r="B34" t="s">
        <v>494</v>
      </c>
      <c r="C34" s="13">
        <v>26</v>
      </c>
      <c r="D34" s="13">
        <v>3645200</v>
      </c>
      <c r="E34" s="15">
        <v>0.95</v>
      </c>
    </row>
    <row r="35" spans="1:5" x14ac:dyDescent="0.4">
      <c r="A35" t="s">
        <v>252</v>
      </c>
      <c r="B35" t="s">
        <v>253</v>
      </c>
      <c r="C35" s="13">
        <v>28</v>
      </c>
      <c r="D35" s="13">
        <v>3544800</v>
      </c>
      <c r="E35" s="15">
        <v>0.92</v>
      </c>
    </row>
    <row r="36" spans="1:5" x14ac:dyDescent="0.4">
      <c r="A36" t="s">
        <v>4790</v>
      </c>
      <c r="B36" t="s">
        <v>4791</v>
      </c>
      <c r="C36" s="13">
        <v>237</v>
      </c>
      <c r="D36" s="13">
        <v>3528930</v>
      </c>
      <c r="E36" s="15">
        <v>0.92</v>
      </c>
    </row>
    <row r="37" spans="1:5" x14ac:dyDescent="0.4">
      <c r="A37" t="s">
        <v>92</v>
      </c>
      <c r="B37" t="s">
        <v>93</v>
      </c>
      <c r="C37" s="13">
        <v>2</v>
      </c>
      <c r="D37" s="13">
        <v>3228000</v>
      </c>
      <c r="E37" s="15">
        <v>0.84</v>
      </c>
    </row>
    <row r="38" spans="1:5" x14ac:dyDescent="0.4">
      <c r="B38" t="s">
        <v>10</v>
      </c>
      <c r="C38" s="13">
        <v>4188660</v>
      </c>
      <c r="D38" s="13">
        <v>4188660</v>
      </c>
      <c r="E38" s="15">
        <v>1.0900000000000001</v>
      </c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D42" s="13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500-000000000000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3"/>
  <sheetViews>
    <sheetView showGridLines="0" topLeftCell="F35" zoomScale="115" zoomScaleNormal="115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214</v>
      </c>
      <c r="B8" s="6"/>
      <c r="C8" s="6"/>
      <c r="D8" s="6"/>
      <c r="E8" s="14"/>
    </row>
    <row r="9" spans="1:7" x14ac:dyDescent="0.4">
      <c r="A9" s="69" t="s">
        <v>531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74</v>
      </c>
      <c r="D11" s="18">
        <v>143560000</v>
      </c>
      <c r="E11" s="19">
        <v>13.58</v>
      </c>
      <c r="F11" s="17"/>
      <c r="G11" s="17"/>
    </row>
    <row r="12" spans="1:7" x14ac:dyDescent="0.4">
      <c r="A12" t="s">
        <v>761</v>
      </c>
      <c r="B12" s="17" t="s">
        <v>762</v>
      </c>
      <c r="C12" s="31">
        <v>958</v>
      </c>
      <c r="D12" s="13">
        <v>112852400</v>
      </c>
      <c r="E12" s="15">
        <v>10.68</v>
      </c>
    </row>
    <row r="13" spans="1:7" x14ac:dyDescent="0.4">
      <c r="A13" t="s">
        <v>80</v>
      </c>
      <c r="B13" t="s">
        <v>81</v>
      </c>
      <c r="C13" s="13">
        <v>331</v>
      </c>
      <c r="D13" s="13">
        <v>99134500</v>
      </c>
      <c r="E13" s="15">
        <v>9.3800000000000008</v>
      </c>
    </row>
    <row r="14" spans="1:7" x14ac:dyDescent="0.4">
      <c r="A14" t="s">
        <v>122</v>
      </c>
      <c r="B14" s="17" t="s">
        <v>5175</v>
      </c>
      <c r="C14" s="18">
        <v>63</v>
      </c>
      <c r="D14" s="18">
        <v>54306000</v>
      </c>
      <c r="E14" s="19">
        <v>5.14</v>
      </c>
      <c r="F14" s="17"/>
      <c r="G14" s="17"/>
    </row>
    <row r="15" spans="1:7" x14ac:dyDescent="0.4">
      <c r="A15" t="s">
        <v>453</v>
      </c>
      <c r="B15" s="17" t="s">
        <v>454</v>
      </c>
      <c r="C15" s="31">
        <v>41</v>
      </c>
      <c r="D15" s="13">
        <v>49364000</v>
      </c>
      <c r="E15" s="15">
        <v>4.67</v>
      </c>
    </row>
    <row r="16" spans="1:7" x14ac:dyDescent="0.4">
      <c r="A16" t="s">
        <v>392</v>
      </c>
      <c r="B16" t="s">
        <v>393</v>
      </c>
      <c r="C16" s="31">
        <v>156</v>
      </c>
      <c r="D16" s="13">
        <v>43056000</v>
      </c>
      <c r="E16" s="15">
        <v>4.07</v>
      </c>
    </row>
    <row r="17" spans="1:7" x14ac:dyDescent="0.4">
      <c r="A17" t="s">
        <v>609</v>
      </c>
      <c r="B17" s="17" t="s">
        <v>610</v>
      </c>
      <c r="C17" s="31">
        <v>526</v>
      </c>
      <c r="D17" s="13">
        <v>38240200</v>
      </c>
      <c r="E17" s="15">
        <v>3.62</v>
      </c>
    </row>
    <row r="18" spans="1:7" x14ac:dyDescent="0.4">
      <c r="A18" t="s">
        <v>19</v>
      </c>
      <c r="B18" t="s">
        <v>20</v>
      </c>
      <c r="C18" s="13">
        <v>139</v>
      </c>
      <c r="D18" s="13">
        <v>37738500</v>
      </c>
      <c r="E18" s="15">
        <v>3.57</v>
      </c>
    </row>
    <row r="19" spans="1:7" x14ac:dyDescent="0.4">
      <c r="A19" t="s">
        <v>309</v>
      </c>
      <c r="B19" s="17" t="s">
        <v>310</v>
      </c>
      <c r="C19" s="18">
        <v>359</v>
      </c>
      <c r="D19" s="18">
        <v>37264200</v>
      </c>
      <c r="E19" s="19">
        <v>3.53</v>
      </c>
      <c r="F19" s="17"/>
      <c r="G19" s="17"/>
    </row>
    <row r="20" spans="1:7" x14ac:dyDescent="0.4">
      <c r="A20" t="s">
        <v>217</v>
      </c>
      <c r="B20" t="s">
        <v>218</v>
      </c>
      <c r="C20" s="13">
        <v>55</v>
      </c>
      <c r="D20" s="13">
        <v>36960000</v>
      </c>
      <c r="E20" s="15">
        <v>3.5</v>
      </c>
    </row>
    <row r="21" spans="1:7" x14ac:dyDescent="0.4">
      <c r="A21" t="s">
        <v>140</v>
      </c>
      <c r="B21" t="s">
        <v>141</v>
      </c>
      <c r="C21" s="13">
        <v>54</v>
      </c>
      <c r="D21" s="13">
        <v>35964000</v>
      </c>
      <c r="E21" s="15">
        <v>3.4</v>
      </c>
    </row>
    <row r="22" spans="1:7" x14ac:dyDescent="0.4">
      <c r="A22" t="s">
        <v>242</v>
      </c>
      <c r="B22" t="s">
        <v>243</v>
      </c>
      <c r="C22" s="13">
        <v>129</v>
      </c>
      <c r="D22" s="13">
        <v>30315000</v>
      </c>
      <c r="E22" s="15">
        <v>2.87</v>
      </c>
    </row>
    <row r="23" spans="1:7" x14ac:dyDescent="0.4">
      <c r="A23" t="s">
        <v>63</v>
      </c>
      <c r="B23" t="s">
        <v>64</v>
      </c>
      <c r="C23" s="31">
        <v>69</v>
      </c>
      <c r="D23" s="13">
        <v>27565500</v>
      </c>
      <c r="E23" s="15">
        <v>2.61</v>
      </c>
    </row>
    <row r="24" spans="1:7" x14ac:dyDescent="0.4">
      <c r="A24" t="s">
        <v>11</v>
      </c>
      <c r="B24" t="s">
        <v>12</v>
      </c>
      <c r="C24" s="31">
        <v>7</v>
      </c>
      <c r="D24" s="13">
        <v>27503000</v>
      </c>
      <c r="E24" s="15">
        <v>2.6</v>
      </c>
    </row>
    <row r="25" spans="1:7" x14ac:dyDescent="0.4">
      <c r="A25" t="s">
        <v>289</v>
      </c>
      <c r="B25" t="s">
        <v>290</v>
      </c>
      <c r="C25" s="13">
        <v>65</v>
      </c>
      <c r="D25" s="13">
        <v>26975000</v>
      </c>
      <c r="E25" s="15">
        <v>2.5499999999999998</v>
      </c>
    </row>
    <row r="26" spans="1:7" x14ac:dyDescent="0.4">
      <c r="A26" t="s">
        <v>301</v>
      </c>
      <c r="B26" t="s">
        <v>302</v>
      </c>
      <c r="C26">
        <v>211</v>
      </c>
      <c r="D26" s="13">
        <v>23969600</v>
      </c>
      <c r="E26" s="15">
        <v>2.27</v>
      </c>
    </row>
    <row r="27" spans="1:7" x14ac:dyDescent="0.4">
      <c r="A27" t="s">
        <v>299</v>
      </c>
      <c r="B27" t="s">
        <v>300</v>
      </c>
      <c r="C27" s="13">
        <v>38</v>
      </c>
      <c r="D27" s="13">
        <v>23408000</v>
      </c>
      <c r="E27" s="15">
        <v>2.21</v>
      </c>
    </row>
    <row r="28" spans="1:7" x14ac:dyDescent="0.4">
      <c r="A28" t="s">
        <v>347</v>
      </c>
      <c r="B28" s="17" t="s">
        <v>348</v>
      </c>
      <c r="C28" s="18">
        <v>183</v>
      </c>
      <c r="D28" s="18">
        <v>23387400</v>
      </c>
      <c r="E28" s="19">
        <v>2.21</v>
      </c>
      <c r="F28" s="17"/>
      <c r="G28" s="17"/>
    </row>
    <row r="29" spans="1:7" x14ac:dyDescent="0.4">
      <c r="A29" t="s">
        <v>553</v>
      </c>
      <c r="B29" t="s">
        <v>554</v>
      </c>
      <c r="C29" s="13">
        <v>139</v>
      </c>
      <c r="D29" s="13">
        <v>22865500</v>
      </c>
      <c r="E29" s="15">
        <v>2.16</v>
      </c>
    </row>
    <row r="30" spans="1:7" x14ac:dyDescent="0.4">
      <c r="A30" t="s">
        <v>326</v>
      </c>
      <c r="B30" t="s">
        <v>327</v>
      </c>
      <c r="C30" s="13">
        <v>147</v>
      </c>
      <c r="D30" s="13">
        <v>22799700</v>
      </c>
      <c r="E30" s="15">
        <v>2.16</v>
      </c>
    </row>
    <row r="31" spans="1:7" x14ac:dyDescent="0.4">
      <c r="A31" t="s">
        <v>78</v>
      </c>
      <c r="B31" t="s">
        <v>79</v>
      </c>
      <c r="C31" s="13">
        <v>16</v>
      </c>
      <c r="D31" s="13">
        <v>21104000</v>
      </c>
      <c r="E31" s="15">
        <v>2</v>
      </c>
    </row>
    <row r="32" spans="1:7" x14ac:dyDescent="0.4">
      <c r="A32" t="s">
        <v>351</v>
      </c>
      <c r="B32" t="s">
        <v>352</v>
      </c>
      <c r="C32" s="13">
        <v>85</v>
      </c>
      <c r="D32" s="13">
        <v>18657500</v>
      </c>
      <c r="E32" s="15">
        <v>1.77</v>
      </c>
    </row>
    <row r="33" spans="1:7" x14ac:dyDescent="0.4">
      <c r="A33" t="s">
        <v>15</v>
      </c>
      <c r="B33" t="s">
        <v>16</v>
      </c>
      <c r="C33" s="13">
        <v>16</v>
      </c>
      <c r="D33" s="13">
        <v>18176000</v>
      </c>
      <c r="E33" s="15">
        <v>1.72</v>
      </c>
    </row>
    <row r="34" spans="1:7" x14ac:dyDescent="0.4">
      <c r="A34" t="s">
        <v>229</v>
      </c>
      <c r="B34" t="s">
        <v>230</v>
      </c>
      <c r="C34" s="13">
        <v>67</v>
      </c>
      <c r="D34" s="13">
        <v>15477000</v>
      </c>
      <c r="E34" s="15">
        <v>1.46</v>
      </c>
    </row>
    <row r="35" spans="1:7" x14ac:dyDescent="0.4">
      <c r="A35" t="s">
        <v>172</v>
      </c>
      <c r="B35" s="17" t="s">
        <v>173</v>
      </c>
      <c r="C35" s="18">
        <v>21</v>
      </c>
      <c r="D35" s="18">
        <v>14070000</v>
      </c>
      <c r="E35" s="19">
        <v>1.33</v>
      </c>
      <c r="F35" s="17"/>
      <c r="G35" s="17"/>
    </row>
    <row r="36" spans="1:7" x14ac:dyDescent="0.4">
      <c r="A36" t="s">
        <v>73</v>
      </c>
      <c r="B36" t="s">
        <v>74</v>
      </c>
      <c r="C36" s="13">
        <v>10</v>
      </c>
      <c r="D36" s="13">
        <v>12480000</v>
      </c>
      <c r="E36" s="15">
        <v>1.18</v>
      </c>
    </row>
    <row r="37" spans="1:7" x14ac:dyDescent="0.4">
      <c r="A37" t="s">
        <v>397</v>
      </c>
      <c r="B37" t="s">
        <v>398</v>
      </c>
      <c r="C37" s="13">
        <v>86</v>
      </c>
      <c r="D37" s="13">
        <v>11162800</v>
      </c>
      <c r="E37" s="15">
        <v>1.06</v>
      </c>
    </row>
    <row r="38" spans="1:7" x14ac:dyDescent="0.4">
      <c r="A38" t="s">
        <v>2246</v>
      </c>
      <c r="B38" t="s">
        <v>2247</v>
      </c>
      <c r="C38" s="13">
        <v>254</v>
      </c>
      <c r="D38" s="13">
        <v>9931400</v>
      </c>
      <c r="E38" s="15">
        <v>0.94</v>
      </c>
    </row>
    <row r="39" spans="1:7" x14ac:dyDescent="0.4">
      <c r="A39" t="s">
        <v>158</v>
      </c>
      <c r="B39" t="s">
        <v>159</v>
      </c>
      <c r="C39">
        <v>40</v>
      </c>
      <c r="D39" s="13">
        <v>4160000</v>
      </c>
      <c r="E39" s="15">
        <v>0.39</v>
      </c>
    </row>
    <row r="40" spans="1:7" x14ac:dyDescent="0.4">
      <c r="A40" t="s">
        <v>49</v>
      </c>
      <c r="B40" t="s">
        <v>50</v>
      </c>
      <c r="C40">
        <v>29</v>
      </c>
      <c r="D40" s="13">
        <v>3677200</v>
      </c>
      <c r="E40" s="15">
        <v>0.35</v>
      </c>
    </row>
    <row r="41" spans="1:7" x14ac:dyDescent="0.4">
      <c r="A41" t="s">
        <v>41</v>
      </c>
      <c r="B41" t="s">
        <v>42</v>
      </c>
      <c r="C41" s="13">
        <v>27</v>
      </c>
      <c r="D41" s="13">
        <v>2967300</v>
      </c>
      <c r="E41" s="15">
        <v>0.28000000000000003</v>
      </c>
    </row>
    <row r="42" spans="1:7" x14ac:dyDescent="0.4">
      <c r="A42" t="s">
        <v>559</v>
      </c>
      <c r="B42" s="17" t="s">
        <v>560</v>
      </c>
      <c r="C42" s="18">
        <v>2</v>
      </c>
      <c r="D42" s="18">
        <v>2790000</v>
      </c>
      <c r="E42" s="19">
        <v>0.26</v>
      </c>
      <c r="F42" s="17"/>
      <c r="G42" s="17"/>
    </row>
    <row r="43" spans="1:7" x14ac:dyDescent="0.4">
      <c r="A43" t="s">
        <v>232</v>
      </c>
      <c r="B43" s="17" t="s">
        <v>233</v>
      </c>
      <c r="C43" s="18">
        <v>4</v>
      </c>
      <c r="D43" s="18">
        <v>1214000</v>
      </c>
      <c r="E43" s="19">
        <v>0.11</v>
      </c>
      <c r="F43" s="17"/>
      <c r="G43" s="17"/>
    </row>
    <row r="44" spans="1:7" x14ac:dyDescent="0.4">
      <c r="A44" t="s">
        <v>1619</v>
      </c>
      <c r="B44" t="s">
        <v>1620</v>
      </c>
      <c r="C44" s="13">
        <v>106</v>
      </c>
      <c r="D44" s="13">
        <v>841640</v>
      </c>
      <c r="E44" s="15">
        <v>0.08</v>
      </c>
    </row>
    <row r="45" spans="1:7" x14ac:dyDescent="0.4">
      <c r="B45" t="s">
        <v>10</v>
      </c>
      <c r="C45" s="13">
        <v>2875534</v>
      </c>
      <c r="D45" s="13">
        <v>2875534</v>
      </c>
      <c r="E45" s="15">
        <v>0.27</v>
      </c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600-000000000000}"/>
  </hyperlink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214</v>
      </c>
      <c r="B8" s="6"/>
      <c r="C8" s="6"/>
      <c r="D8" s="6"/>
      <c r="E8" s="14"/>
    </row>
    <row r="9" spans="1:5" x14ac:dyDescent="0.4">
      <c r="A9" s="69" t="s">
        <v>531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74</v>
      </c>
      <c r="D11" s="13">
        <v>134606000</v>
      </c>
      <c r="E11" s="15">
        <v>13.49</v>
      </c>
    </row>
    <row r="12" spans="1:5" x14ac:dyDescent="0.4">
      <c r="A12" t="s">
        <v>80</v>
      </c>
      <c r="B12" t="s">
        <v>81</v>
      </c>
      <c r="C12" s="31">
        <v>328</v>
      </c>
      <c r="D12" s="13">
        <v>88724000</v>
      </c>
      <c r="E12" s="15">
        <v>8.89</v>
      </c>
    </row>
    <row r="13" spans="1:5" x14ac:dyDescent="0.4">
      <c r="A13" t="s">
        <v>761</v>
      </c>
      <c r="B13" t="s">
        <v>762</v>
      </c>
      <c r="C13" s="13">
        <v>958</v>
      </c>
      <c r="D13" s="13">
        <v>78843400</v>
      </c>
      <c r="E13" s="15">
        <v>7.9</v>
      </c>
    </row>
    <row r="14" spans="1:5" x14ac:dyDescent="0.4">
      <c r="A14" t="s">
        <v>122</v>
      </c>
      <c r="B14" t="s">
        <v>5175</v>
      </c>
      <c r="C14" s="13">
        <v>63</v>
      </c>
      <c r="D14" s="13">
        <v>52542000</v>
      </c>
      <c r="E14" s="15">
        <v>5.27</v>
      </c>
    </row>
    <row r="15" spans="1:5" x14ac:dyDescent="0.4">
      <c r="A15" t="s">
        <v>140</v>
      </c>
      <c r="B15" t="s">
        <v>141</v>
      </c>
      <c r="C15" s="31">
        <v>61</v>
      </c>
      <c r="D15" s="13">
        <v>42700000</v>
      </c>
      <c r="E15" s="15">
        <v>4.28</v>
      </c>
    </row>
    <row r="16" spans="1:5" x14ac:dyDescent="0.4">
      <c r="A16" t="s">
        <v>392</v>
      </c>
      <c r="B16" t="s">
        <v>393</v>
      </c>
      <c r="C16" s="31">
        <v>156</v>
      </c>
      <c r="D16" s="13">
        <v>41886000</v>
      </c>
      <c r="E16" s="15">
        <v>4.2</v>
      </c>
    </row>
    <row r="17" spans="1:5" x14ac:dyDescent="0.4">
      <c r="A17" t="s">
        <v>453</v>
      </c>
      <c r="B17" t="s">
        <v>454</v>
      </c>
      <c r="C17" s="31">
        <v>41</v>
      </c>
      <c r="D17" s="13">
        <v>41410000</v>
      </c>
      <c r="E17" s="15">
        <v>4.1500000000000004</v>
      </c>
    </row>
    <row r="18" spans="1:5" x14ac:dyDescent="0.4">
      <c r="A18" t="s">
        <v>19</v>
      </c>
      <c r="B18" t="s">
        <v>20</v>
      </c>
      <c r="C18" s="13">
        <v>151</v>
      </c>
      <c r="D18" s="13">
        <v>39109000</v>
      </c>
      <c r="E18" s="15">
        <v>3.92</v>
      </c>
    </row>
    <row r="19" spans="1:5" x14ac:dyDescent="0.4">
      <c r="A19" t="s">
        <v>309</v>
      </c>
      <c r="B19" t="s">
        <v>310</v>
      </c>
      <c r="C19" s="13">
        <v>359</v>
      </c>
      <c r="D19" s="13">
        <v>37443700</v>
      </c>
      <c r="E19" s="15">
        <v>3.75</v>
      </c>
    </row>
    <row r="20" spans="1:5" x14ac:dyDescent="0.4">
      <c r="A20" t="s">
        <v>609</v>
      </c>
      <c r="B20" t="s">
        <v>610</v>
      </c>
      <c r="C20" s="13">
        <v>526</v>
      </c>
      <c r="D20" s="13">
        <v>37135600</v>
      </c>
      <c r="E20" s="15">
        <v>3.72</v>
      </c>
    </row>
    <row r="21" spans="1:5" x14ac:dyDescent="0.4">
      <c r="A21" t="s">
        <v>242</v>
      </c>
      <c r="B21" t="s">
        <v>243</v>
      </c>
      <c r="C21" s="13">
        <v>142</v>
      </c>
      <c r="D21" s="13">
        <v>34151000</v>
      </c>
      <c r="E21" s="15">
        <v>3.42</v>
      </c>
    </row>
    <row r="22" spans="1:5" x14ac:dyDescent="0.4">
      <c r="A22" t="s">
        <v>217</v>
      </c>
      <c r="B22" t="s">
        <v>218</v>
      </c>
      <c r="C22" s="13">
        <v>52</v>
      </c>
      <c r="D22" s="13">
        <v>33280000</v>
      </c>
      <c r="E22" s="15">
        <v>3.34</v>
      </c>
    </row>
    <row r="23" spans="1:5" x14ac:dyDescent="0.4">
      <c r="A23" t="s">
        <v>63</v>
      </c>
      <c r="B23" t="s">
        <v>64</v>
      </c>
      <c r="C23" s="31">
        <v>69</v>
      </c>
      <c r="D23" s="13">
        <v>27876000</v>
      </c>
      <c r="E23" s="15">
        <v>2.79</v>
      </c>
    </row>
    <row r="24" spans="1:5" x14ac:dyDescent="0.4">
      <c r="A24" t="s">
        <v>289</v>
      </c>
      <c r="B24" t="s">
        <v>290</v>
      </c>
      <c r="C24" s="31">
        <v>65</v>
      </c>
      <c r="D24" s="13">
        <v>27040000</v>
      </c>
      <c r="E24" s="15">
        <v>2.71</v>
      </c>
    </row>
    <row r="25" spans="1:5" x14ac:dyDescent="0.4">
      <c r="A25" t="s">
        <v>11</v>
      </c>
      <c r="B25" t="s">
        <v>12</v>
      </c>
      <c r="C25" s="13">
        <v>7</v>
      </c>
      <c r="D25" s="13">
        <v>26215000</v>
      </c>
      <c r="E25" s="15">
        <v>2.63</v>
      </c>
    </row>
    <row r="26" spans="1:5" x14ac:dyDescent="0.4">
      <c r="A26" t="s">
        <v>301</v>
      </c>
      <c r="B26" t="s">
        <v>302</v>
      </c>
      <c r="C26" s="13">
        <v>211</v>
      </c>
      <c r="D26" s="13">
        <v>24919100</v>
      </c>
      <c r="E26" s="15">
        <v>2.5</v>
      </c>
    </row>
    <row r="27" spans="1:5" x14ac:dyDescent="0.4">
      <c r="A27" t="s">
        <v>326</v>
      </c>
      <c r="B27" t="s">
        <v>327</v>
      </c>
      <c r="C27" s="13">
        <v>147</v>
      </c>
      <c r="D27" s="13">
        <v>23549400</v>
      </c>
      <c r="E27" s="15">
        <v>2.36</v>
      </c>
    </row>
    <row r="28" spans="1:5" x14ac:dyDescent="0.4">
      <c r="A28" t="s">
        <v>299</v>
      </c>
      <c r="B28" t="s">
        <v>300</v>
      </c>
      <c r="C28" s="13">
        <v>38</v>
      </c>
      <c r="D28" s="13">
        <v>23332000</v>
      </c>
      <c r="E28" s="15">
        <v>2.34</v>
      </c>
    </row>
    <row r="29" spans="1:5" x14ac:dyDescent="0.4">
      <c r="A29" t="s">
        <v>553</v>
      </c>
      <c r="B29" t="s">
        <v>554</v>
      </c>
      <c r="C29" s="13">
        <v>139</v>
      </c>
      <c r="D29" s="13">
        <v>22392900</v>
      </c>
      <c r="E29" s="15">
        <v>2.2400000000000002</v>
      </c>
    </row>
    <row r="30" spans="1:5" x14ac:dyDescent="0.4">
      <c r="A30" t="s">
        <v>78</v>
      </c>
      <c r="B30" t="s">
        <v>79</v>
      </c>
      <c r="C30" s="13">
        <v>15</v>
      </c>
      <c r="D30" s="13">
        <v>21660000</v>
      </c>
      <c r="E30" s="15">
        <v>2.17</v>
      </c>
    </row>
    <row r="31" spans="1:5" x14ac:dyDescent="0.4">
      <c r="A31" t="s">
        <v>172</v>
      </c>
      <c r="B31" t="s">
        <v>173</v>
      </c>
      <c r="C31" s="13">
        <v>32</v>
      </c>
      <c r="D31" s="13">
        <v>20128000</v>
      </c>
      <c r="E31" s="15">
        <v>2.02</v>
      </c>
    </row>
    <row r="32" spans="1:5" x14ac:dyDescent="0.4">
      <c r="A32" t="s">
        <v>15</v>
      </c>
      <c r="B32" t="s">
        <v>16</v>
      </c>
      <c r="C32" s="13">
        <v>17</v>
      </c>
      <c r="D32" s="13">
        <v>20043000</v>
      </c>
      <c r="E32" s="15">
        <v>2.0099999999999998</v>
      </c>
    </row>
    <row r="33" spans="1:5" x14ac:dyDescent="0.4">
      <c r="A33" t="s">
        <v>351</v>
      </c>
      <c r="B33" t="s">
        <v>352</v>
      </c>
      <c r="C33" s="13">
        <v>85</v>
      </c>
      <c r="D33" s="13">
        <v>19082500</v>
      </c>
      <c r="E33" s="15">
        <v>1.91</v>
      </c>
    </row>
    <row r="34" spans="1:5" x14ac:dyDescent="0.4">
      <c r="A34" t="s">
        <v>347</v>
      </c>
      <c r="B34" t="s">
        <v>348</v>
      </c>
      <c r="C34" s="13">
        <v>145</v>
      </c>
      <c r="D34" s="13">
        <v>18560000</v>
      </c>
      <c r="E34" s="15">
        <v>1.86</v>
      </c>
    </row>
    <row r="35" spans="1:5" x14ac:dyDescent="0.4">
      <c r="A35" t="s">
        <v>397</v>
      </c>
      <c r="B35" t="s">
        <v>398</v>
      </c>
      <c r="C35" s="13">
        <v>101</v>
      </c>
      <c r="D35" s="13">
        <v>13049200</v>
      </c>
      <c r="E35" s="15">
        <v>1.31</v>
      </c>
    </row>
    <row r="36" spans="1:5" x14ac:dyDescent="0.4">
      <c r="A36" t="s">
        <v>2246</v>
      </c>
      <c r="B36" t="s">
        <v>2247</v>
      </c>
      <c r="C36" s="13">
        <v>254</v>
      </c>
      <c r="D36" s="13">
        <v>10325100</v>
      </c>
      <c r="E36" s="15">
        <v>1.03</v>
      </c>
    </row>
    <row r="37" spans="1:5" x14ac:dyDescent="0.4">
      <c r="A37" t="s">
        <v>355</v>
      </c>
      <c r="B37" t="s">
        <v>356</v>
      </c>
      <c r="C37" s="13">
        <v>41</v>
      </c>
      <c r="D37" s="13">
        <v>5567800</v>
      </c>
      <c r="E37" s="15">
        <v>0.56000000000000005</v>
      </c>
    </row>
    <row r="38" spans="1:5" x14ac:dyDescent="0.4">
      <c r="A38" t="s">
        <v>229</v>
      </c>
      <c r="B38" t="s">
        <v>230</v>
      </c>
      <c r="C38" s="13">
        <v>22</v>
      </c>
      <c r="D38" s="13">
        <v>5368000</v>
      </c>
      <c r="E38" s="15">
        <v>0.54</v>
      </c>
    </row>
    <row r="39" spans="1:5" x14ac:dyDescent="0.4">
      <c r="A39" t="s">
        <v>49</v>
      </c>
      <c r="B39" t="s">
        <v>50</v>
      </c>
      <c r="C39">
        <v>40</v>
      </c>
      <c r="D39" s="13">
        <v>5256000</v>
      </c>
      <c r="E39" s="15">
        <v>0.53</v>
      </c>
    </row>
    <row r="40" spans="1:5" x14ac:dyDescent="0.4">
      <c r="A40" t="s">
        <v>73</v>
      </c>
      <c r="B40" t="s">
        <v>74</v>
      </c>
      <c r="C40">
        <v>4</v>
      </c>
      <c r="D40" s="13">
        <v>4864000</v>
      </c>
      <c r="E40" s="15">
        <v>0.49</v>
      </c>
    </row>
    <row r="41" spans="1:5" x14ac:dyDescent="0.4">
      <c r="A41" t="s">
        <v>158</v>
      </c>
      <c r="B41" t="s">
        <v>159</v>
      </c>
      <c r="C41" s="13">
        <v>40</v>
      </c>
      <c r="D41" s="13">
        <v>4040000</v>
      </c>
      <c r="E41" s="15">
        <v>0.4</v>
      </c>
    </row>
    <row r="42" spans="1:5" x14ac:dyDescent="0.4">
      <c r="A42" t="s">
        <v>41</v>
      </c>
      <c r="B42" t="s">
        <v>42</v>
      </c>
      <c r="C42" s="13">
        <v>27</v>
      </c>
      <c r="D42" s="13">
        <v>3221100</v>
      </c>
      <c r="E42" s="15">
        <v>0.32</v>
      </c>
    </row>
    <row r="43" spans="1:5" x14ac:dyDescent="0.4">
      <c r="A43" t="s">
        <v>559</v>
      </c>
      <c r="B43" t="s">
        <v>560</v>
      </c>
      <c r="C43" s="13">
        <v>2</v>
      </c>
      <c r="D43" s="13">
        <v>2838000</v>
      </c>
      <c r="E43" s="15">
        <v>0.28000000000000003</v>
      </c>
    </row>
    <row r="44" spans="1:5" x14ac:dyDescent="0.4">
      <c r="A44" t="s">
        <v>232</v>
      </c>
      <c r="B44" t="s">
        <v>233</v>
      </c>
      <c r="C44" s="13">
        <v>4</v>
      </c>
      <c r="D44" s="13">
        <v>1314000</v>
      </c>
      <c r="E44" s="15">
        <v>0.13</v>
      </c>
    </row>
    <row r="45" spans="1:5" x14ac:dyDescent="0.4">
      <c r="A45" t="s">
        <v>1619</v>
      </c>
      <c r="B45" t="s">
        <v>1620</v>
      </c>
      <c r="C45" s="13">
        <v>106</v>
      </c>
      <c r="D45" s="13">
        <v>890400</v>
      </c>
      <c r="E45" s="15">
        <v>0.09</v>
      </c>
    </row>
    <row r="46" spans="1:5" x14ac:dyDescent="0.4">
      <c r="B46" t="s">
        <v>10</v>
      </c>
      <c r="C46" s="13">
        <v>4503094</v>
      </c>
      <c r="D46" s="13">
        <v>4503094</v>
      </c>
      <c r="E46" s="15">
        <v>0.45</v>
      </c>
    </row>
    <row r="47" spans="1:5" x14ac:dyDescent="0.4">
      <c r="C47" s="13"/>
      <c r="D47" s="13"/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D53" s="13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700-000000000000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3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231</v>
      </c>
      <c r="B8" s="6"/>
      <c r="C8" s="6"/>
      <c r="D8" s="6"/>
      <c r="E8" s="14"/>
    </row>
    <row r="9" spans="1:7" x14ac:dyDescent="0.4">
      <c r="A9" s="69" t="s">
        <v>532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80</v>
      </c>
      <c r="B11" s="17" t="s">
        <v>81</v>
      </c>
      <c r="C11" s="18">
        <v>852</v>
      </c>
      <c r="D11" s="18">
        <v>255174000</v>
      </c>
      <c r="E11" s="19">
        <v>12.59</v>
      </c>
      <c r="F11" s="17"/>
      <c r="G11" s="17"/>
    </row>
    <row r="12" spans="1:7" x14ac:dyDescent="0.4">
      <c r="A12" t="s">
        <v>172</v>
      </c>
      <c r="B12" s="17" t="s">
        <v>173</v>
      </c>
      <c r="C12" s="70">
        <v>229</v>
      </c>
      <c r="D12" s="18">
        <v>153430000</v>
      </c>
      <c r="E12" s="19">
        <v>7.57</v>
      </c>
      <c r="F12" s="17"/>
      <c r="G12" s="17"/>
    </row>
    <row r="13" spans="1:7" x14ac:dyDescent="0.4">
      <c r="A13" t="s">
        <v>244</v>
      </c>
      <c r="B13" t="s">
        <v>245</v>
      </c>
      <c r="C13" s="13">
        <v>237</v>
      </c>
      <c r="D13" s="13">
        <v>149073000</v>
      </c>
      <c r="E13" s="15">
        <v>7.35</v>
      </c>
    </row>
    <row r="14" spans="1:7" x14ac:dyDescent="0.4">
      <c r="A14" t="s">
        <v>232</v>
      </c>
      <c r="B14" t="s">
        <v>233</v>
      </c>
      <c r="C14" s="13">
        <v>480</v>
      </c>
      <c r="D14" s="13">
        <v>145680000</v>
      </c>
      <c r="E14" s="15">
        <v>7.19</v>
      </c>
    </row>
    <row r="15" spans="1:7" x14ac:dyDescent="0.4">
      <c r="A15" t="s">
        <v>242</v>
      </c>
      <c r="B15" t="s">
        <v>243</v>
      </c>
      <c r="C15" s="31">
        <v>571</v>
      </c>
      <c r="D15" s="13">
        <v>134185000</v>
      </c>
      <c r="E15" s="15">
        <v>6.62</v>
      </c>
    </row>
    <row r="16" spans="1:7" x14ac:dyDescent="0.4">
      <c r="A16" t="s">
        <v>13</v>
      </c>
      <c r="B16" t="s">
        <v>14</v>
      </c>
      <c r="C16" s="31">
        <v>66</v>
      </c>
      <c r="D16" s="13">
        <v>128040000</v>
      </c>
      <c r="E16" s="15">
        <v>6.32</v>
      </c>
    </row>
    <row r="17" spans="1:7" x14ac:dyDescent="0.4">
      <c r="A17" t="s">
        <v>140</v>
      </c>
      <c r="B17" s="17" t="s">
        <v>141</v>
      </c>
      <c r="C17" s="70">
        <v>190</v>
      </c>
      <c r="D17" s="18">
        <v>126540000</v>
      </c>
      <c r="E17" s="19">
        <v>6.24</v>
      </c>
      <c r="F17" s="17"/>
      <c r="G17" s="17"/>
    </row>
    <row r="18" spans="1:7" x14ac:dyDescent="0.4">
      <c r="A18" t="s">
        <v>236</v>
      </c>
      <c r="B18" t="s">
        <v>237</v>
      </c>
      <c r="C18" s="13">
        <v>161</v>
      </c>
      <c r="D18" s="13">
        <v>119623000</v>
      </c>
      <c r="E18" s="15">
        <v>5.9</v>
      </c>
    </row>
    <row r="19" spans="1:7" x14ac:dyDescent="0.4">
      <c r="A19" t="s">
        <v>240</v>
      </c>
      <c r="B19" t="s">
        <v>241</v>
      </c>
      <c r="C19" s="13">
        <v>969</v>
      </c>
      <c r="D19" s="13">
        <v>104264400</v>
      </c>
      <c r="E19" s="15">
        <v>5.14</v>
      </c>
    </row>
    <row r="20" spans="1:7" x14ac:dyDescent="0.4">
      <c r="A20" t="s">
        <v>252</v>
      </c>
      <c r="B20" t="s">
        <v>253</v>
      </c>
      <c r="C20" s="13">
        <v>675</v>
      </c>
      <c r="D20" s="13">
        <v>84982500</v>
      </c>
      <c r="E20" s="15">
        <v>4.1900000000000004</v>
      </c>
    </row>
    <row r="21" spans="1:7" x14ac:dyDescent="0.4">
      <c r="A21" t="s">
        <v>246</v>
      </c>
      <c r="B21" t="s">
        <v>247</v>
      </c>
      <c r="C21" s="13">
        <v>1004</v>
      </c>
      <c r="D21" s="13">
        <v>66565200</v>
      </c>
      <c r="E21" s="15">
        <v>3.28</v>
      </c>
    </row>
    <row r="22" spans="1:7" x14ac:dyDescent="0.4">
      <c r="A22" t="s">
        <v>166</v>
      </c>
      <c r="B22" s="17" t="s">
        <v>167</v>
      </c>
      <c r="C22" s="18">
        <v>192</v>
      </c>
      <c r="D22" s="18">
        <v>53280000</v>
      </c>
      <c r="E22" s="19">
        <v>2.63</v>
      </c>
      <c r="F22" s="17"/>
      <c r="G22" s="17"/>
    </row>
    <row r="23" spans="1:7" x14ac:dyDescent="0.4">
      <c r="A23" t="s">
        <v>98</v>
      </c>
      <c r="B23" s="17" t="s">
        <v>99</v>
      </c>
      <c r="C23" s="70">
        <v>247</v>
      </c>
      <c r="D23" s="18">
        <v>49276500</v>
      </c>
      <c r="E23" s="19">
        <v>2.4300000000000002</v>
      </c>
      <c r="F23" s="17"/>
      <c r="G23" s="17"/>
    </row>
    <row r="24" spans="1:7" x14ac:dyDescent="0.4">
      <c r="A24" t="s">
        <v>254</v>
      </c>
      <c r="B24" t="s">
        <v>255</v>
      </c>
      <c r="C24" s="31">
        <v>1897</v>
      </c>
      <c r="D24" s="13">
        <v>46666200</v>
      </c>
      <c r="E24" s="15">
        <v>2.2999999999999998</v>
      </c>
    </row>
    <row r="25" spans="1:7" x14ac:dyDescent="0.4">
      <c r="A25" t="s">
        <v>451</v>
      </c>
      <c r="B25" t="s">
        <v>452</v>
      </c>
      <c r="C25" s="13">
        <v>45</v>
      </c>
      <c r="D25" s="13">
        <v>37710000</v>
      </c>
      <c r="E25" s="15">
        <v>1.86</v>
      </c>
    </row>
    <row r="26" spans="1:7" x14ac:dyDescent="0.4">
      <c r="A26" t="s">
        <v>238</v>
      </c>
      <c r="B26" t="s">
        <v>239</v>
      </c>
      <c r="C26" s="13">
        <v>196</v>
      </c>
      <c r="D26" s="13">
        <v>36318800</v>
      </c>
      <c r="E26" s="15">
        <v>1.79</v>
      </c>
    </row>
    <row r="27" spans="1:7" x14ac:dyDescent="0.4">
      <c r="A27" t="s">
        <v>248</v>
      </c>
      <c r="B27" t="s">
        <v>249</v>
      </c>
      <c r="C27" s="13">
        <v>340</v>
      </c>
      <c r="D27" s="13">
        <v>33218000</v>
      </c>
      <c r="E27" s="15">
        <v>1.64</v>
      </c>
    </row>
    <row r="28" spans="1:7" x14ac:dyDescent="0.4">
      <c r="A28" t="s">
        <v>256</v>
      </c>
      <c r="B28" t="s">
        <v>257</v>
      </c>
      <c r="C28" s="13">
        <v>741</v>
      </c>
      <c r="D28" s="13">
        <v>31047900</v>
      </c>
      <c r="E28" s="15">
        <v>1.53</v>
      </c>
    </row>
    <row r="29" spans="1:7" x14ac:dyDescent="0.4">
      <c r="A29" t="s">
        <v>90</v>
      </c>
      <c r="B29" t="s">
        <v>91</v>
      </c>
      <c r="C29" s="13">
        <v>539</v>
      </c>
      <c r="D29" s="13">
        <v>30022300</v>
      </c>
      <c r="E29" s="15">
        <v>1.48</v>
      </c>
    </row>
    <row r="30" spans="1:7" x14ac:dyDescent="0.4">
      <c r="A30" t="s">
        <v>629</v>
      </c>
      <c r="B30" t="s">
        <v>630</v>
      </c>
      <c r="C30" s="13">
        <v>325</v>
      </c>
      <c r="D30" s="13">
        <v>27657500</v>
      </c>
      <c r="E30" s="15">
        <v>1.36</v>
      </c>
    </row>
    <row r="31" spans="1:7" x14ac:dyDescent="0.4">
      <c r="A31" t="s">
        <v>613</v>
      </c>
      <c r="B31" t="s">
        <v>614</v>
      </c>
      <c r="C31" s="13">
        <v>467</v>
      </c>
      <c r="D31" s="13">
        <v>25358100</v>
      </c>
      <c r="E31" s="15">
        <v>1.25</v>
      </c>
    </row>
    <row r="32" spans="1:7" x14ac:dyDescent="0.4">
      <c r="A32" t="s">
        <v>260</v>
      </c>
      <c r="B32" t="s">
        <v>261</v>
      </c>
      <c r="C32" s="13">
        <v>902</v>
      </c>
      <c r="D32" s="13">
        <v>24895200</v>
      </c>
      <c r="E32" s="15">
        <v>1.23</v>
      </c>
    </row>
    <row r="33" spans="1:5" x14ac:dyDescent="0.4">
      <c r="A33" t="s">
        <v>250</v>
      </c>
      <c r="B33" t="s">
        <v>251</v>
      </c>
      <c r="C33" s="13">
        <v>1807</v>
      </c>
      <c r="D33" s="13">
        <v>23527140</v>
      </c>
      <c r="E33" s="15">
        <v>1.1599999999999999</v>
      </c>
    </row>
    <row r="34" spans="1:5" x14ac:dyDescent="0.4">
      <c r="A34" t="s">
        <v>47</v>
      </c>
      <c r="B34" t="s">
        <v>48</v>
      </c>
      <c r="C34" s="13">
        <v>513</v>
      </c>
      <c r="D34" s="13">
        <v>19237500</v>
      </c>
      <c r="E34" s="15">
        <v>0.95</v>
      </c>
    </row>
    <row r="35" spans="1:5" x14ac:dyDescent="0.4">
      <c r="A35" t="s">
        <v>88</v>
      </c>
      <c r="B35" t="s">
        <v>89</v>
      </c>
      <c r="C35">
        <v>94</v>
      </c>
      <c r="D35" s="13">
        <v>18377000</v>
      </c>
      <c r="E35" s="15">
        <v>0.91</v>
      </c>
    </row>
    <row r="36" spans="1:5" x14ac:dyDescent="0.4">
      <c r="A36" t="s">
        <v>234</v>
      </c>
      <c r="B36" t="s">
        <v>235</v>
      </c>
      <c r="C36" s="13">
        <v>349</v>
      </c>
      <c r="D36" s="13">
        <v>14588200</v>
      </c>
      <c r="E36" s="15">
        <v>0.72</v>
      </c>
    </row>
    <row r="37" spans="1:5" x14ac:dyDescent="0.4">
      <c r="A37" t="s">
        <v>122</v>
      </c>
      <c r="B37" t="s">
        <v>5175</v>
      </c>
      <c r="C37" s="13">
        <v>16</v>
      </c>
      <c r="D37" s="13">
        <v>13792000</v>
      </c>
      <c r="E37" s="15">
        <v>0.68</v>
      </c>
    </row>
    <row r="38" spans="1:5" x14ac:dyDescent="0.4">
      <c r="A38" t="s">
        <v>258</v>
      </c>
      <c r="B38" t="s">
        <v>259</v>
      </c>
      <c r="C38" s="13">
        <v>524</v>
      </c>
      <c r="D38" s="13">
        <v>12052000</v>
      </c>
      <c r="E38" s="15">
        <v>0.59</v>
      </c>
    </row>
    <row r="39" spans="1:5" x14ac:dyDescent="0.4">
      <c r="A39" t="s">
        <v>266</v>
      </c>
      <c r="B39" t="s">
        <v>267</v>
      </c>
      <c r="C39">
        <v>249</v>
      </c>
      <c r="D39" s="13">
        <v>9026250</v>
      </c>
      <c r="E39" s="15">
        <v>0.45</v>
      </c>
    </row>
    <row r="40" spans="1:5" x14ac:dyDescent="0.4">
      <c r="A40" t="s">
        <v>264</v>
      </c>
      <c r="B40" t="s">
        <v>265</v>
      </c>
      <c r="C40">
        <v>293</v>
      </c>
      <c r="D40" s="13">
        <v>8160050</v>
      </c>
      <c r="E40" s="15">
        <v>0.4</v>
      </c>
    </row>
    <row r="41" spans="1:5" x14ac:dyDescent="0.4">
      <c r="A41" t="s">
        <v>645</v>
      </c>
      <c r="B41" t="s">
        <v>646</v>
      </c>
      <c r="C41">
        <v>257</v>
      </c>
      <c r="D41" s="13">
        <v>6836200</v>
      </c>
      <c r="E41" s="15">
        <v>0.34</v>
      </c>
    </row>
    <row r="42" spans="1:5" x14ac:dyDescent="0.4">
      <c r="A42" t="s">
        <v>268</v>
      </c>
      <c r="B42" t="s">
        <v>269</v>
      </c>
      <c r="C42" s="13">
        <v>412</v>
      </c>
      <c r="D42" s="13">
        <v>5281840</v>
      </c>
      <c r="E42" s="15">
        <v>0.26</v>
      </c>
    </row>
    <row r="43" spans="1:5" x14ac:dyDescent="0.4">
      <c r="A43" t="s">
        <v>262</v>
      </c>
      <c r="B43" t="s">
        <v>263</v>
      </c>
      <c r="C43" s="13">
        <v>158</v>
      </c>
      <c r="D43" s="13">
        <v>2690740</v>
      </c>
      <c r="E43" s="15">
        <v>0.13</v>
      </c>
    </row>
    <row r="44" spans="1:5" x14ac:dyDescent="0.4">
      <c r="B44" t="s">
        <v>10</v>
      </c>
      <c r="C44" s="13">
        <v>30932487</v>
      </c>
      <c r="D44" s="13">
        <v>30932487</v>
      </c>
      <c r="E44" s="15">
        <v>1.53</v>
      </c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800-00000000000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231</v>
      </c>
      <c r="B8" s="6"/>
      <c r="C8" s="6"/>
      <c r="D8" s="6"/>
      <c r="E8" s="14"/>
    </row>
    <row r="9" spans="1:5" x14ac:dyDescent="0.4">
      <c r="A9" s="69" t="s">
        <v>532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80</v>
      </c>
      <c r="B11" t="s">
        <v>81</v>
      </c>
      <c r="C11" s="13">
        <v>852</v>
      </c>
      <c r="D11" s="13">
        <v>230466000</v>
      </c>
      <c r="E11" s="15">
        <v>11.23</v>
      </c>
    </row>
    <row r="12" spans="1:5" x14ac:dyDescent="0.4">
      <c r="A12" t="s">
        <v>232</v>
      </c>
      <c r="B12" t="s">
        <v>233</v>
      </c>
      <c r="C12" s="31">
        <v>480</v>
      </c>
      <c r="D12" s="13">
        <v>157680000</v>
      </c>
      <c r="E12" s="15">
        <v>7.68</v>
      </c>
    </row>
    <row r="13" spans="1:5" x14ac:dyDescent="0.4">
      <c r="A13" t="s">
        <v>244</v>
      </c>
      <c r="B13" t="s">
        <v>245</v>
      </c>
      <c r="C13" s="13">
        <v>237</v>
      </c>
      <c r="D13" s="13">
        <v>153576000</v>
      </c>
      <c r="E13" s="15">
        <v>7.48</v>
      </c>
    </row>
    <row r="14" spans="1:5" x14ac:dyDescent="0.4">
      <c r="A14" t="s">
        <v>172</v>
      </c>
      <c r="B14" t="s">
        <v>173</v>
      </c>
      <c r="C14" s="13">
        <v>229</v>
      </c>
      <c r="D14" s="13">
        <v>144041000</v>
      </c>
      <c r="E14" s="15">
        <v>7.02</v>
      </c>
    </row>
    <row r="15" spans="1:5" x14ac:dyDescent="0.4">
      <c r="A15" t="s">
        <v>242</v>
      </c>
      <c r="B15" t="s">
        <v>243</v>
      </c>
      <c r="C15" s="31">
        <v>571</v>
      </c>
      <c r="D15" s="13">
        <v>137325500</v>
      </c>
      <c r="E15" s="15">
        <v>6.69</v>
      </c>
    </row>
    <row r="16" spans="1:5" x14ac:dyDescent="0.4">
      <c r="A16" t="s">
        <v>140</v>
      </c>
      <c r="B16" t="s">
        <v>141</v>
      </c>
      <c r="C16" s="31">
        <v>190</v>
      </c>
      <c r="D16" s="13">
        <v>133000000</v>
      </c>
      <c r="E16" s="15">
        <v>6.48</v>
      </c>
    </row>
    <row r="17" spans="1:5" x14ac:dyDescent="0.4">
      <c r="A17" t="s">
        <v>236</v>
      </c>
      <c r="B17" t="s">
        <v>237</v>
      </c>
      <c r="C17" s="31">
        <v>161</v>
      </c>
      <c r="D17" s="13">
        <v>130410000</v>
      </c>
      <c r="E17" s="15">
        <v>6.36</v>
      </c>
    </row>
    <row r="18" spans="1:5" x14ac:dyDescent="0.4">
      <c r="A18" t="s">
        <v>240</v>
      </c>
      <c r="B18" t="s">
        <v>241</v>
      </c>
      <c r="C18" s="13">
        <v>969</v>
      </c>
      <c r="D18" s="13">
        <v>123450600</v>
      </c>
      <c r="E18" s="15">
        <v>6.02</v>
      </c>
    </row>
    <row r="19" spans="1:5" x14ac:dyDescent="0.4">
      <c r="A19" t="s">
        <v>13</v>
      </c>
      <c r="B19" t="s">
        <v>14</v>
      </c>
      <c r="C19" s="13">
        <v>66</v>
      </c>
      <c r="D19" s="13">
        <v>120054000</v>
      </c>
      <c r="E19" s="15">
        <v>5.85</v>
      </c>
    </row>
    <row r="20" spans="1:5" x14ac:dyDescent="0.4">
      <c r="A20" t="s">
        <v>252</v>
      </c>
      <c r="B20" t="s">
        <v>253</v>
      </c>
      <c r="C20" s="13">
        <v>675</v>
      </c>
      <c r="D20" s="13">
        <v>85455000</v>
      </c>
      <c r="E20" s="15">
        <v>4.16</v>
      </c>
    </row>
    <row r="21" spans="1:5" x14ac:dyDescent="0.4">
      <c r="A21" t="s">
        <v>246</v>
      </c>
      <c r="B21" t="s">
        <v>247</v>
      </c>
      <c r="C21" s="13">
        <v>1004</v>
      </c>
      <c r="D21" s="13">
        <v>67669600</v>
      </c>
      <c r="E21" s="15">
        <v>3.3</v>
      </c>
    </row>
    <row r="22" spans="1:5" x14ac:dyDescent="0.4">
      <c r="A22" t="s">
        <v>254</v>
      </c>
      <c r="B22" t="s">
        <v>255</v>
      </c>
      <c r="C22" s="13">
        <v>1897</v>
      </c>
      <c r="D22" s="13">
        <v>52072650</v>
      </c>
      <c r="E22" s="15">
        <v>2.54</v>
      </c>
    </row>
    <row r="23" spans="1:5" x14ac:dyDescent="0.4">
      <c r="A23" t="s">
        <v>166</v>
      </c>
      <c r="B23" t="s">
        <v>167</v>
      </c>
      <c r="C23" s="31">
        <v>192</v>
      </c>
      <c r="D23" s="13">
        <v>51744000</v>
      </c>
      <c r="E23" s="15">
        <v>2.52</v>
      </c>
    </row>
    <row r="24" spans="1:5" x14ac:dyDescent="0.4">
      <c r="A24" t="s">
        <v>98</v>
      </c>
      <c r="B24" t="s">
        <v>99</v>
      </c>
      <c r="C24" s="31">
        <v>247</v>
      </c>
      <c r="D24" s="13">
        <v>50264500</v>
      </c>
      <c r="E24" s="15">
        <v>2.4500000000000002</v>
      </c>
    </row>
    <row r="25" spans="1:5" x14ac:dyDescent="0.4">
      <c r="A25" t="s">
        <v>238</v>
      </c>
      <c r="B25" t="s">
        <v>239</v>
      </c>
      <c r="C25" s="13">
        <v>196</v>
      </c>
      <c r="D25" s="13">
        <v>37044000</v>
      </c>
      <c r="E25" s="15">
        <v>1.81</v>
      </c>
    </row>
    <row r="26" spans="1:5" x14ac:dyDescent="0.4">
      <c r="A26" t="s">
        <v>248</v>
      </c>
      <c r="B26" t="s">
        <v>249</v>
      </c>
      <c r="C26" s="13">
        <v>340</v>
      </c>
      <c r="D26" s="13">
        <v>33354000</v>
      </c>
      <c r="E26" s="15">
        <v>1.63</v>
      </c>
    </row>
    <row r="27" spans="1:5" x14ac:dyDescent="0.4">
      <c r="A27" t="s">
        <v>256</v>
      </c>
      <c r="B27" t="s">
        <v>257</v>
      </c>
      <c r="C27" s="13">
        <v>741</v>
      </c>
      <c r="D27" s="13">
        <v>33270900</v>
      </c>
      <c r="E27" s="15">
        <v>1.62</v>
      </c>
    </row>
    <row r="28" spans="1:5" x14ac:dyDescent="0.4">
      <c r="A28" t="s">
        <v>451</v>
      </c>
      <c r="B28" t="s">
        <v>452</v>
      </c>
      <c r="C28" s="13">
        <v>45</v>
      </c>
      <c r="D28" s="13">
        <v>32940000</v>
      </c>
      <c r="E28" s="15">
        <v>1.61</v>
      </c>
    </row>
    <row r="29" spans="1:5" x14ac:dyDescent="0.4">
      <c r="A29" t="s">
        <v>90</v>
      </c>
      <c r="B29" t="s">
        <v>91</v>
      </c>
      <c r="C29" s="13">
        <v>539</v>
      </c>
      <c r="D29" s="13">
        <v>31639300</v>
      </c>
      <c r="E29" s="15">
        <v>1.54</v>
      </c>
    </row>
    <row r="30" spans="1:5" x14ac:dyDescent="0.4">
      <c r="A30" t="s">
        <v>629</v>
      </c>
      <c r="B30" t="s">
        <v>630</v>
      </c>
      <c r="C30" s="13">
        <v>325</v>
      </c>
      <c r="D30" s="13">
        <v>27625000</v>
      </c>
      <c r="E30" s="15">
        <v>1.35</v>
      </c>
    </row>
    <row r="31" spans="1:5" x14ac:dyDescent="0.4">
      <c r="A31" t="s">
        <v>260</v>
      </c>
      <c r="B31" t="s">
        <v>261</v>
      </c>
      <c r="C31" s="13">
        <v>902</v>
      </c>
      <c r="D31" s="13">
        <v>25436400</v>
      </c>
      <c r="E31" s="15">
        <v>1.24</v>
      </c>
    </row>
    <row r="32" spans="1:5" x14ac:dyDescent="0.4">
      <c r="A32" t="s">
        <v>613</v>
      </c>
      <c r="B32" t="s">
        <v>614</v>
      </c>
      <c r="C32" s="13">
        <v>467</v>
      </c>
      <c r="D32" s="13">
        <v>24610900</v>
      </c>
      <c r="E32" s="15">
        <v>1.2</v>
      </c>
    </row>
    <row r="33" spans="1:5" x14ac:dyDescent="0.4">
      <c r="A33" t="s">
        <v>250</v>
      </c>
      <c r="B33" t="s">
        <v>251</v>
      </c>
      <c r="C33" s="13">
        <v>1807</v>
      </c>
      <c r="D33" s="13">
        <v>24394500</v>
      </c>
      <c r="E33" s="15">
        <v>1.19</v>
      </c>
    </row>
    <row r="34" spans="1:5" x14ac:dyDescent="0.4">
      <c r="A34" t="s">
        <v>88</v>
      </c>
      <c r="B34" t="s">
        <v>89</v>
      </c>
      <c r="C34" s="13">
        <v>94</v>
      </c>
      <c r="D34" s="13">
        <v>18941000</v>
      </c>
      <c r="E34" s="15">
        <v>0.92</v>
      </c>
    </row>
    <row r="35" spans="1:5" x14ac:dyDescent="0.4">
      <c r="A35" t="s">
        <v>47</v>
      </c>
      <c r="B35" t="s">
        <v>48</v>
      </c>
      <c r="C35" s="13">
        <v>513</v>
      </c>
      <c r="D35" s="13">
        <v>18673200</v>
      </c>
      <c r="E35" s="15">
        <v>0.91</v>
      </c>
    </row>
    <row r="36" spans="1:5" x14ac:dyDescent="0.4">
      <c r="A36" t="s">
        <v>234</v>
      </c>
      <c r="B36" t="s">
        <v>235</v>
      </c>
      <c r="C36" s="13">
        <v>349</v>
      </c>
      <c r="D36" s="13">
        <v>15356000</v>
      </c>
      <c r="E36" s="15">
        <v>0.75</v>
      </c>
    </row>
    <row r="37" spans="1:5" x14ac:dyDescent="0.4">
      <c r="A37" t="s">
        <v>122</v>
      </c>
      <c r="B37" t="s">
        <v>5175</v>
      </c>
      <c r="C37" s="13">
        <v>16</v>
      </c>
      <c r="D37" s="13">
        <v>13344000</v>
      </c>
      <c r="E37" s="15">
        <v>0.65</v>
      </c>
    </row>
    <row r="38" spans="1:5" x14ac:dyDescent="0.4">
      <c r="A38" t="s">
        <v>258</v>
      </c>
      <c r="B38" t="s">
        <v>259</v>
      </c>
      <c r="C38" s="13">
        <v>524</v>
      </c>
      <c r="D38" s="13">
        <v>12680800</v>
      </c>
      <c r="E38" s="15">
        <v>0.62</v>
      </c>
    </row>
    <row r="39" spans="1:5" x14ac:dyDescent="0.4">
      <c r="A39" t="s">
        <v>266</v>
      </c>
      <c r="B39" t="s">
        <v>267</v>
      </c>
      <c r="C39">
        <v>249</v>
      </c>
      <c r="D39" s="13">
        <v>9574050</v>
      </c>
      <c r="E39" s="15">
        <v>0.47</v>
      </c>
    </row>
    <row r="40" spans="1:5" x14ac:dyDescent="0.4">
      <c r="A40" t="s">
        <v>264</v>
      </c>
      <c r="B40" t="s">
        <v>265</v>
      </c>
      <c r="C40">
        <v>293</v>
      </c>
      <c r="D40" s="13">
        <v>8716750</v>
      </c>
      <c r="E40" s="15">
        <v>0.42</v>
      </c>
    </row>
    <row r="41" spans="1:5" x14ac:dyDescent="0.4">
      <c r="A41" t="s">
        <v>645</v>
      </c>
      <c r="B41" t="s">
        <v>646</v>
      </c>
      <c r="C41">
        <v>257</v>
      </c>
      <c r="D41" s="13">
        <v>7298800</v>
      </c>
      <c r="E41" s="15">
        <v>0.36</v>
      </c>
    </row>
    <row r="42" spans="1:5" x14ac:dyDescent="0.4">
      <c r="A42" t="s">
        <v>268</v>
      </c>
      <c r="B42" t="s">
        <v>269</v>
      </c>
      <c r="C42" s="13">
        <v>412</v>
      </c>
      <c r="D42" s="13">
        <v>6052280</v>
      </c>
      <c r="E42" s="15">
        <v>0.28999999999999998</v>
      </c>
    </row>
    <row r="43" spans="1:5" x14ac:dyDescent="0.4">
      <c r="A43" t="s">
        <v>262</v>
      </c>
      <c r="B43" t="s">
        <v>263</v>
      </c>
      <c r="C43" s="13">
        <v>158</v>
      </c>
      <c r="D43" s="13">
        <v>2828200</v>
      </c>
      <c r="E43" s="15">
        <v>0.14000000000000001</v>
      </c>
    </row>
    <row r="44" spans="1:5" x14ac:dyDescent="0.4">
      <c r="B44" t="s">
        <v>10</v>
      </c>
      <c r="C44" s="13">
        <v>31068313</v>
      </c>
      <c r="D44" s="13">
        <v>31068313</v>
      </c>
      <c r="E44" s="15">
        <v>1.51</v>
      </c>
    </row>
    <row r="45" spans="1:5" x14ac:dyDescent="0.4">
      <c r="D45" s="13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900-000000000000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3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270</v>
      </c>
      <c r="B8" s="6"/>
      <c r="C8" s="6"/>
      <c r="D8" s="6"/>
      <c r="E8" s="14"/>
    </row>
    <row r="9" spans="1:7" x14ac:dyDescent="0.4">
      <c r="A9" s="69" t="s">
        <v>661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330</v>
      </c>
      <c r="B11" s="17" t="s">
        <v>331</v>
      </c>
      <c r="C11" s="18">
        <v>150</v>
      </c>
      <c r="D11" s="18">
        <v>86700000</v>
      </c>
      <c r="E11" s="19">
        <v>7.93</v>
      </c>
      <c r="F11" s="17"/>
      <c r="G11" s="17"/>
    </row>
    <row r="12" spans="1:7" x14ac:dyDescent="0.4">
      <c r="A12" t="s">
        <v>78</v>
      </c>
      <c r="B12" s="17" t="s">
        <v>79</v>
      </c>
      <c r="C12" s="18">
        <v>60</v>
      </c>
      <c r="D12" s="18">
        <v>79140000</v>
      </c>
      <c r="E12" s="19">
        <v>7.24</v>
      </c>
      <c r="F12" s="17"/>
      <c r="G12" s="17"/>
    </row>
    <row r="13" spans="1:7" x14ac:dyDescent="0.4">
      <c r="A13" t="s">
        <v>673</v>
      </c>
      <c r="B13" s="17" t="s">
        <v>674</v>
      </c>
      <c r="C13" s="18">
        <v>1602</v>
      </c>
      <c r="D13" s="18">
        <v>72810900</v>
      </c>
      <c r="E13" s="19">
        <v>6.66</v>
      </c>
      <c r="F13" s="17"/>
      <c r="G13" s="17"/>
    </row>
    <row r="14" spans="1:7" x14ac:dyDescent="0.4">
      <c r="A14" t="s">
        <v>313</v>
      </c>
      <c r="B14" s="17" t="s">
        <v>5177</v>
      </c>
      <c r="C14" s="18">
        <v>250</v>
      </c>
      <c r="D14" s="18">
        <v>65750000</v>
      </c>
      <c r="E14" s="19">
        <v>6.01</v>
      </c>
      <c r="F14" s="17"/>
      <c r="G14" s="17"/>
    </row>
    <row r="15" spans="1:7" x14ac:dyDescent="0.4">
      <c r="A15" t="s">
        <v>328</v>
      </c>
      <c r="B15" s="17" t="s">
        <v>329</v>
      </c>
      <c r="C15" s="18">
        <v>400</v>
      </c>
      <c r="D15" s="18">
        <v>65240000</v>
      </c>
      <c r="E15" s="19">
        <v>5.96</v>
      </c>
      <c r="F15" s="17"/>
      <c r="G15" s="17"/>
    </row>
    <row r="16" spans="1:7" x14ac:dyDescent="0.4">
      <c r="A16" t="s">
        <v>55</v>
      </c>
      <c r="B16" s="17" t="s">
        <v>56</v>
      </c>
      <c r="C16" s="18">
        <v>250</v>
      </c>
      <c r="D16" s="18">
        <v>64750000</v>
      </c>
      <c r="E16" s="19">
        <v>5.92</v>
      </c>
      <c r="F16" s="17"/>
      <c r="G16" s="17"/>
    </row>
    <row r="17" spans="1:7" x14ac:dyDescent="0.4">
      <c r="A17" t="s">
        <v>583</v>
      </c>
      <c r="B17" t="s">
        <v>584</v>
      </c>
      <c r="C17" s="13">
        <v>300</v>
      </c>
      <c r="D17" s="13">
        <v>63750000</v>
      </c>
      <c r="E17" s="15">
        <v>5.83</v>
      </c>
    </row>
    <row r="18" spans="1:7" x14ac:dyDescent="0.4">
      <c r="A18" t="s">
        <v>63</v>
      </c>
      <c r="B18" s="17" t="s">
        <v>64</v>
      </c>
      <c r="C18" s="18">
        <v>150</v>
      </c>
      <c r="D18" s="18">
        <v>59925000</v>
      </c>
      <c r="E18" s="19">
        <v>5.48</v>
      </c>
      <c r="F18" s="17"/>
      <c r="G18" s="17"/>
    </row>
    <row r="19" spans="1:7" x14ac:dyDescent="0.4">
      <c r="A19" t="s">
        <v>142</v>
      </c>
      <c r="B19" t="s">
        <v>143</v>
      </c>
      <c r="C19" s="31">
        <v>300</v>
      </c>
      <c r="D19" s="13">
        <v>51060000</v>
      </c>
      <c r="E19" s="15">
        <v>4.67</v>
      </c>
    </row>
    <row r="20" spans="1:7" x14ac:dyDescent="0.4">
      <c r="A20" t="s">
        <v>215</v>
      </c>
      <c r="B20" t="s">
        <v>216</v>
      </c>
      <c r="C20" s="31">
        <v>802</v>
      </c>
      <c r="D20" s="13">
        <v>48841800</v>
      </c>
      <c r="E20" s="15">
        <v>4.47</v>
      </c>
    </row>
    <row r="21" spans="1:7" x14ac:dyDescent="0.4">
      <c r="A21" t="s">
        <v>229</v>
      </c>
      <c r="B21" t="s">
        <v>230</v>
      </c>
      <c r="C21" s="13">
        <v>200</v>
      </c>
      <c r="D21" s="13">
        <v>46200000</v>
      </c>
      <c r="E21" s="15">
        <v>4.22</v>
      </c>
    </row>
    <row r="22" spans="1:7" x14ac:dyDescent="0.4">
      <c r="A22" t="s">
        <v>45</v>
      </c>
      <c r="B22" t="s">
        <v>46</v>
      </c>
      <c r="C22" s="31">
        <v>300</v>
      </c>
      <c r="D22" s="13">
        <v>43860000</v>
      </c>
      <c r="E22" s="15">
        <v>4.01</v>
      </c>
    </row>
    <row r="23" spans="1:7" x14ac:dyDescent="0.4">
      <c r="A23" t="s">
        <v>221</v>
      </c>
      <c r="B23" t="s">
        <v>222</v>
      </c>
      <c r="C23" s="31">
        <v>899</v>
      </c>
      <c r="D23" s="13">
        <v>42297950</v>
      </c>
      <c r="E23" s="15">
        <v>3.87</v>
      </c>
    </row>
    <row r="24" spans="1:7" x14ac:dyDescent="0.4">
      <c r="A24" t="s">
        <v>551</v>
      </c>
      <c r="B24" t="s">
        <v>552</v>
      </c>
      <c r="C24" s="31">
        <v>1000</v>
      </c>
      <c r="D24" s="13">
        <v>37550000</v>
      </c>
      <c r="E24" s="15">
        <v>3.43</v>
      </c>
    </row>
    <row r="25" spans="1:7" x14ac:dyDescent="0.4">
      <c r="A25" t="s">
        <v>273</v>
      </c>
      <c r="B25" t="s">
        <v>274</v>
      </c>
      <c r="C25" s="13">
        <v>401</v>
      </c>
      <c r="D25" s="13">
        <v>34004800</v>
      </c>
      <c r="E25" s="15">
        <v>3.11</v>
      </c>
    </row>
    <row r="26" spans="1:7" x14ac:dyDescent="0.4">
      <c r="A26" t="s">
        <v>512</v>
      </c>
      <c r="B26" t="s">
        <v>513</v>
      </c>
      <c r="C26" s="13">
        <v>700</v>
      </c>
      <c r="D26" s="13">
        <v>33670000</v>
      </c>
      <c r="E26" s="15">
        <v>3.08</v>
      </c>
    </row>
    <row r="27" spans="1:7" x14ac:dyDescent="0.4">
      <c r="A27" t="s">
        <v>535</v>
      </c>
      <c r="B27" t="s">
        <v>536</v>
      </c>
      <c r="C27" s="13">
        <v>500</v>
      </c>
      <c r="D27" s="13">
        <v>31600000</v>
      </c>
      <c r="E27" s="15">
        <v>2.89</v>
      </c>
    </row>
    <row r="28" spans="1:7" x14ac:dyDescent="0.4">
      <c r="A28" t="s">
        <v>697</v>
      </c>
      <c r="B28" t="s">
        <v>698</v>
      </c>
      <c r="C28" s="13">
        <v>401</v>
      </c>
      <c r="D28" s="13">
        <v>29192800</v>
      </c>
      <c r="E28" s="15">
        <v>2.67</v>
      </c>
    </row>
    <row r="29" spans="1:7" x14ac:dyDescent="0.4">
      <c r="A29" t="s">
        <v>61</v>
      </c>
      <c r="B29" t="s">
        <v>62</v>
      </c>
      <c r="C29" s="13">
        <v>97</v>
      </c>
      <c r="D29" s="13">
        <v>28469500</v>
      </c>
      <c r="E29" s="15">
        <v>2.6</v>
      </c>
    </row>
    <row r="30" spans="1:7" x14ac:dyDescent="0.4">
      <c r="A30" t="s">
        <v>735</v>
      </c>
      <c r="B30" t="s">
        <v>736</v>
      </c>
      <c r="C30" s="31">
        <v>1300</v>
      </c>
      <c r="D30" s="13">
        <v>26325000</v>
      </c>
      <c r="E30" s="15">
        <v>2.41</v>
      </c>
    </row>
    <row r="31" spans="1:7" x14ac:dyDescent="0.4">
      <c r="A31" t="s">
        <v>279</v>
      </c>
      <c r="B31" t="s">
        <v>280</v>
      </c>
      <c r="C31" s="13">
        <v>2002</v>
      </c>
      <c r="D31" s="13">
        <v>23763740</v>
      </c>
      <c r="E31" s="15">
        <v>2.17</v>
      </c>
    </row>
    <row r="32" spans="1:7" x14ac:dyDescent="0.4">
      <c r="A32" t="s">
        <v>277</v>
      </c>
      <c r="B32" t="s">
        <v>278</v>
      </c>
      <c r="C32" s="13">
        <v>501</v>
      </c>
      <c r="D32" s="13">
        <v>20215350</v>
      </c>
      <c r="E32" s="15">
        <v>1.85</v>
      </c>
    </row>
    <row r="33" spans="1:5" x14ac:dyDescent="0.4">
      <c r="A33" t="s">
        <v>275</v>
      </c>
      <c r="B33" t="s">
        <v>276</v>
      </c>
      <c r="C33" s="13">
        <v>504</v>
      </c>
      <c r="D33" s="13">
        <v>13633200</v>
      </c>
      <c r="E33" s="15">
        <v>1.25</v>
      </c>
    </row>
    <row r="34" spans="1:5" x14ac:dyDescent="0.4">
      <c r="A34" t="s">
        <v>627</v>
      </c>
      <c r="B34" t="s">
        <v>628</v>
      </c>
      <c r="C34" s="13">
        <v>997</v>
      </c>
      <c r="D34" s="13">
        <v>12871270</v>
      </c>
      <c r="E34" s="15">
        <v>1.18</v>
      </c>
    </row>
    <row r="35" spans="1:5" x14ac:dyDescent="0.4">
      <c r="B35" t="s">
        <v>10</v>
      </c>
      <c r="C35" s="13">
        <v>12108122</v>
      </c>
      <c r="D35" s="13">
        <v>12108122</v>
      </c>
      <c r="E35" s="15">
        <v>1.1100000000000001</v>
      </c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A00-000000000000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270</v>
      </c>
      <c r="B8" s="6"/>
      <c r="C8" s="6"/>
      <c r="D8" s="6"/>
      <c r="E8" s="14"/>
    </row>
    <row r="9" spans="1:5" x14ac:dyDescent="0.4">
      <c r="A9" s="69" t="s">
        <v>661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78</v>
      </c>
      <c r="B11" t="s">
        <v>79</v>
      </c>
      <c r="C11" s="13">
        <v>60</v>
      </c>
      <c r="D11" s="13">
        <v>86640000</v>
      </c>
      <c r="E11" s="15">
        <v>7.41</v>
      </c>
    </row>
    <row r="12" spans="1:5" x14ac:dyDescent="0.4">
      <c r="A12" t="s">
        <v>330</v>
      </c>
      <c r="B12" t="s">
        <v>331</v>
      </c>
      <c r="C12" s="31">
        <v>150</v>
      </c>
      <c r="D12" s="13">
        <v>81150000</v>
      </c>
      <c r="E12" s="15">
        <v>6.94</v>
      </c>
    </row>
    <row r="13" spans="1:5" x14ac:dyDescent="0.4">
      <c r="A13" t="s">
        <v>673</v>
      </c>
      <c r="B13" t="s">
        <v>674</v>
      </c>
      <c r="C13" s="13">
        <v>1602</v>
      </c>
      <c r="D13" s="13">
        <v>75614400</v>
      </c>
      <c r="E13" s="15">
        <v>6.46</v>
      </c>
    </row>
    <row r="14" spans="1:5" x14ac:dyDescent="0.4">
      <c r="A14" t="s">
        <v>583</v>
      </c>
      <c r="B14" t="s">
        <v>584</v>
      </c>
      <c r="C14" s="13">
        <v>300</v>
      </c>
      <c r="D14" s="13">
        <v>70950000</v>
      </c>
      <c r="E14" s="15">
        <v>6.07</v>
      </c>
    </row>
    <row r="15" spans="1:5" x14ac:dyDescent="0.4">
      <c r="A15" t="s">
        <v>55</v>
      </c>
      <c r="B15" t="s">
        <v>56</v>
      </c>
      <c r="C15" s="31">
        <v>250</v>
      </c>
      <c r="D15" s="13">
        <v>70625000</v>
      </c>
      <c r="E15" s="15">
        <v>6.04</v>
      </c>
    </row>
    <row r="16" spans="1:5" x14ac:dyDescent="0.4">
      <c r="A16" t="s">
        <v>328</v>
      </c>
      <c r="B16" t="s">
        <v>329</v>
      </c>
      <c r="C16" s="31">
        <v>400</v>
      </c>
      <c r="D16" s="13">
        <v>67920000</v>
      </c>
      <c r="E16" s="15">
        <v>5.81</v>
      </c>
    </row>
    <row r="17" spans="1:5" x14ac:dyDescent="0.4">
      <c r="A17" t="s">
        <v>313</v>
      </c>
      <c r="B17" t="s">
        <v>5177</v>
      </c>
      <c r="C17" s="31">
        <v>250</v>
      </c>
      <c r="D17" s="13">
        <v>67875000</v>
      </c>
      <c r="E17" s="15">
        <v>5.8</v>
      </c>
    </row>
    <row r="18" spans="1:5" x14ac:dyDescent="0.4">
      <c r="A18" t="s">
        <v>142</v>
      </c>
      <c r="B18" t="s">
        <v>143</v>
      </c>
      <c r="C18" s="13">
        <v>300</v>
      </c>
      <c r="D18" s="13">
        <v>65100000</v>
      </c>
      <c r="E18" s="15">
        <v>5.57</v>
      </c>
    </row>
    <row r="19" spans="1:5" x14ac:dyDescent="0.4">
      <c r="A19" t="s">
        <v>63</v>
      </c>
      <c r="B19" t="s">
        <v>64</v>
      </c>
      <c r="C19" s="13">
        <v>150</v>
      </c>
      <c r="D19" s="13">
        <v>60600000</v>
      </c>
      <c r="E19" s="15">
        <v>5.18</v>
      </c>
    </row>
    <row r="20" spans="1:5" x14ac:dyDescent="0.4">
      <c r="A20" t="s">
        <v>215</v>
      </c>
      <c r="B20" t="s">
        <v>216</v>
      </c>
      <c r="C20" s="13">
        <v>802</v>
      </c>
      <c r="D20" s="13">
        <v>50927000</v>
      </c>
      <c r="E20" s="15">
        <v>4.3499999999999996</v>
      </c>
    </row>
    <row r="21" spans="1:5" x14ac:dyDescent="0.4">
      <c r="A21" t="s">
        <v>45</v>
      </c>
      <c r="B21" t="s">
        <v>46</v>
      </c>
      <c r="C21" s="13">
        <v>300</v>
      </c>
      <c r="D21" s="13">
        <v>50040000</v>
      </c>
      <c r="E21" s="15">
        <v>4.28</v>
      </c>
    </row>
    <row r="22" spans="1:5" x14ac:dyDescent="0.4">
      <c r="A22" t="s">
        <v>229</v>
      </c>
      <c r="B22" t="s">
        <v>230</v>
      </c>
      <c r="C22" s="13">
        <v>200</v>
      </c>
      <c r="D22" s="13">
        <v>48800000</v>
      </c>
      <c r="E22" s="15">
        <v>4.17</v>
      </c>
    </row>
    <row r="23" spans="1:5" x14ac:dyDescent="0.4">
      <c r="A23" t="s">
        <v>221</v>
      </c>
      <c r="B23" t="s">
        <v>222</v>
      </c>
      <c r="C23" s="31">
        <v>899</v>
      </c>
      <c r="D23" s="13">
        <v>44770200</v>
      </c>
      <c r="E23" s="15">
        <v>3.83</v>
      </c>
    </row>
    <row r="24" spans="1:5" x14ac:dyDescent="0.4">
      <c r="A24" t="s">
        <v>551</v>
      </c>
      <c r="B24" t="s">
        <v>552</v>
      </c>
      <c r="C24" s="31">
        <v>1000</v>
      </c>
      <c r="D24" s="13">
        <v>38600000</v>
      </c>
      <c r="E24" s="15">
        <v>3.3</v>
      </c>
    </row>
    <row r="25" spans="1:5" x14ac:dyDescent="0.4">
      <c r="A25" t="s">
        <v>273</v>
      </c>
      <c r="B25" t="s">
        <v>274</v>
      </c>
      <c r="C25" s="13">
        <v>401</v>
      </c>
      <c r="D25" s="13">
        <v>36771700</v>
      </c>
      <c r="E25" s="15">
        <v>3.14</v>
      </c>
    </row>
    <row r="26" spans="1:5" x14ac:dyDescent="0.4">
      <c r="A26" t="s">
        <v>512</v>
      </c>
      <c r="B26" t="s">
        <v>513</v>
      </c>
      <c r="C26" s="13">
        <v>700</v>
      </c>
      <c r="D26" s="13">
        <v>35840000</v>
      </c>
      <c r="E26" s="15">
        <v>3.06</v>
      </c>
    </row>
    <row r="27" spans="1:5" x14ac:dyDescent="0.4">
      <c r="A27" t="s">
        <v>697</v>
      </c>
      <c r="B27" t="s">
        <v>698</v>
      </c>
      <c r="C27" s="13">
        <v>401</v>
      </c>
      <c r="D27" s="13">
        <v>34205300</v>
      </c>
      <c r="E27" s="15">
        <v>2.92</v>
      </c>
    </row>
    <row r="28" spans="1:5" x14ac:dyDescent="0.4">
      <c r="A28" t="s">
        <v>535</v>
      </c>
      <c r="B28" t="s">
        <v>536</v>
      </c>
      <c r="C28" s="13">
        <v>500</v>
      </c>
      <c r="D28" s="13">
        <v>31900000</v>
      </c>
      <c r="E28" s="15">
        <v>2.73</v>
      </c>
    </row>
    <row r="29" spans="1:5" x14ac:dyDescent="0.4">
      <c r="A29" t="s">
        <v>61</v>
      </c>
      <c r="B29" t="s">
        <v>62</v>
      </c>
      <c r="C29" s="13">
        <v>97</v>
      </c>
      <c r="D29" s="13">
        <v>31816000</v>
      </c>
      <c r="E29" s="15">
        <v>2.72</v>
      </c>
    </row>
    <row r="30" spans="1:5" x14ac:dyDescent="0.4">
      <c r="A30" t="s">
        <v>735</v>
      </c>
      <c r="B30" t="s">
        <v>736</v>
      </c>
      <c r="C30" s="13">
        <v>1300</v>
      </c>
      <c r="D30" s="13">
        <v>28990000</v>
      </c>
      <c r="E30" s="15">
        <v>2.48</v>
      </c>
    </row>
    <row r="31" spans="1:5" x14ac:dyDescent="0.4">
      <c r="A31" t="s">
        <v>279</v>
      </c>
      <c r="B31" t="s">
        <v>280</v>
      </c>
      <c r="C31" s="13">
        <v>2002</v>
      </c>
      <c r="D31" s="13">
        <v>26626600</v>
      </c>
      <c r="E31" s="15">
        <v>2.2799999999999998</v>
      </c>
    </row>
    <row r="32" spans="1:5" x14ac:dyDescent="0.4">
      <c r="A32" t="s">
        <v>277</v>
      </c>
      <c r="B32" t="s">
        <v>278</v>
      </c>
      <c r="C32" s="13">
        <v>501</v>
      </c>
      <c r="D32" s="13">
        <v>21993900</v>
      </c>
      <c r="E32" s="15">
        <v>1.88</v>
      </c>
    </row>
    <row r="33" spans="1:5" x14ac:dyDescent="0.4">
      <c r="A33" t="s">
        <v>275</v>
      </c>
      <c r="B33" t="s">
        <v>276</v>
      </c>
      <c r="C33" s="13">
        <v>504</v>
      </c>
      <c r="D33" s="13">
        <v>15397200</v>
      </c>
      <c r="E33" s="15">
        <v>1.32</v>
      </c>
    </row>
    <row r="34" spans="1:5" x14ac:dyDescent="0.4">
      <c r="A34" t="s">
        <v>627</v>
      </c>
      <c r="B34" t="s">
        <v>628</v>
      </c>
      <c r="C34" s="13">
        <v>997</v>
      </c>
      <c r="D34" s="13">
        <v>14366770</v>
      </c>
      <c r="E34" s="15">
        <v>1.23</v>
      </c>
    </row>
    <row r="35" spans="1:5" x14ac:dyDescent="0.4">
      <c r="B35" t="s">
        <v>10</v>
      </c>
      <c r="C35" s="13">
        <v>12285537</v>
      </c>
      <c r="D35" s="13">
        <v>12285537</v>
      </c>
      <c r="E35" s="15">
        <v>1.05</v>
      </c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B00-000000000000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3"/>
  <sheetViews>
    <sheetView showGridLines="0" topLeftCell="F35" zoomScale="115" zoomScaleNormal="115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445</v>
      </c>
      <c r="B8" s="6"/>
      <c r="C8" s="6"/>
      <c r="D8" s="6"/>
      <c r="E8" s="14"/>
    </row>
    <row r="9" spans="1:7" x14ac:dyDescent="0.4">
      <c r="A9" s="69" t="s">
        <v>662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252</v>
      </c>
      <c r="D11" s="18">
        <v>488880000</v>
      </c>
      <c r="E11" s="19">
        <v>28.34</v>
      </c>
      <c r="F11" s="17"/>
      <c r="G11" s="17"/>
    </row>
    <row r="12" spans="1:7" x14ac:dyDescent="0.4">
      <c r="A12" t="s">
        <v>80</v>
      </c>
      <c r="B12" s="17" t="s">
        <v>81</v>
      </c>
      <c r="C12" s="31">
        <v>1087</v>
      </c>
      <c r="D12" s="13">
        <v>325556500</v>
      </c>
      <c r="E12" s="15">
        <v>18.87</v>
      </c>
    </row>
    <row r="13" spans="1:7" x14ac:dyDescent="0.4">
      <c r="A13" t="s">
        <v>140</v>
      </c>
      <c r="B13" t="s">
        <v>141</v>
      </c>
      <c r="C13" s="13">
        <v>142</v>
      </c>
      <c r="D13" s="13">
        <v>94572000</v>
      </c>
      <c r="E13" s="15">
        <v>5.48</v>
      </c>
    </row>
    <row r="14" spans="1:7" x14ac:dyDescent="0.4">
      <c r="A14" t="s">
        <v>188</v>
      </c>
      <c r="B14" s="17" t="s">
        <v>189</v>
      </c>
      <c r="C14" s="18">
        <v>57</v>
      </c>
      <c r="D14" s="18">
        <v>67203000</v>
      </c>
      <c r="E14" s="19">
        <v>3.9</v>
      </c>
      <c r="F14" s="17"/>
      <c r="G14" s="17"/>
    </row>
    <row r="15" spans="1:7" x14ac:dyDescent="0.4">
      <c r="A15" t="s">
        <v>453</v>
      </c>
      <c r="B15" s="17" t="s">
        <v>454</v>
      </c>
      <c r="C15" s="31">
        <v>46</v>
      </c>
      <c r="D15" s="13">
        <v>55384000</v>
      </c>
      <c r="E15" s="15">
        <v>3.21</v>
      </c>
    </row>
    <row r="16" spans="1:7" x14ac:dyDescent="0.4">
      <c r="A16" t="s">
        <v>172</v>
      </c>
      <c r="B16" t="s">
        <v>173</v>
      </c>
      <c r="C16" s="31">
        <v>78</v>
      </c>
      <c r="D16" s="13">
        <v>52260000</v>
      </c>
      <c r="E16" s="15">
        <v>3.03</v>
      </c>
    </row>
    <row r="17" spans="1:7" x14ac:dyDescent="0.4">
      <c r="A17" t="s">
        <v>451</v>
      </c>
      <c r="B17" s="17" t="s">
        <v>452</v>
      </c>
      <c r="C17" s="31">
        <v>59</v>
      </c>
      <c r="D17" s="13">
        <v>49442000</v>
      </c>
      <c r="E17" s="15">
        <v>2.87</v>
      </c>
    </row>
    <row r="18" spans="1:7" x14ac:dyDescent="0.4">
      <c r="A18" t="s">
        <v>73</v>
      </c>
      <c r="B18" t="s">
        <v>74</v>
      </c>
      <c r="C18" s="13">
        <v>35</v>
      </c>
      <c r="D18" s="13">
        <v>43680000</v>
      </c>
      <c r="E18" s="15">
        <v>2.5299999999999998</v>
      </c>
    </row>
    <row r="19" spans="1:7" x14ac:dyDescent="0.4">
      <c r="A19" t="s">
        <v>84</v>
      </c>
      <c r="B19" s="17" t="s">
        <v>85</v>
      </c>
      <c r="C19" s="18">
        <v>644</v>
      </c>
      <c r="D19" s="18">
        <v>42826000</v>
      </c>
      <c r="E19" s="19">
        <v>2.48</v>
      </c>
      <c r="F19" s="17"/>
      <c r="G19" s="17"/>
    </row>
    <row r="20" spans="1:7" x14ac:dyDescent="0.4">
      <c r="A20" t="s">
        <v>303</v>
      </c>
      <c r="B20" t="s">
        <v>304</v>
      </c>
      <c r="C20" s="13">
        <v>69</v>
      </c>
      <c r="D20" s="13">
        <v>39744000</v>
      </c>
      <c r="E20" s="15">
        <v>2.2999999999999998</v>
      </c>
    </row>
    <row r="21" spans="1:7" x14ac:dyDescent="0.4">
      <c r="A21" t="s">
        <v>108</v>
      </c>
      <c r="B21" t="s">
        <v>109</v>
      </c>
      <c r="C21" s="13">
        <v>106</v>
      </c>
      <c r="D21" s="13">
        <v>37630000</v>
      </c>
      <c r="E21" s="15">
        <v>2.1800000000000002</v>
      </c>
    </row>
    <row r="22" spans="1:7" x14ac:dyDescent="0.4">
      <c r="A22" t="s">
        <v>148</v>
      </c>
      <c r="B22" t="s">
        <v>149</v>
      </c>
      <c r="C22" s="13">
        <v>69</v>
      </c>
      <c r="D22" s="13">
        <v>35949000</v>
      </c>
      <c r="E22" s="15">
        <v>2.08</v>
      </c>
    </row>
    <row r="23" spans="1:7" x14ac:dyDescent="0.4">
      <c r="A23" t="s">
        <v>603</v>
      </c>
      <c r="B23" t="s">
        <v>604</v>
      </c>
      <c r="C23" s="31">
        <v>521</v>
      </c>
      <c r="D23" s="13">
        <v>29332300</v>
      </c>
      <c r="E23" s="15">
        <v>1.7</v>
      </c>
    </row>
    <row r="24" spans="1:7" x14ac:dyDescent="0.4">
      <c r="A24" t="s">
        <v>112</v>
      </c>
      <c r="B24" t="s">
        <v>113</v>
      </c>
      <c r="C24" s="31">
        <v>241</v>
      </c>
      <c r="D24" s="13">
        <v>28775400</v>
      </c>
      <c r="E24" s="15">
        <v>1.67</v>
      </c>
    </row>
    <row r="25" spans="1:7" x14ac:dyDescent="0.4">
      <c r="A25" t="s">
        <v>11</v>
      </c>
      <c r="B25" t="s">
        <v>12</v>
      </c>
      <c r="C25" s="13">
        <v>7</v>
      </c>
      <c r="D25" s="13">
        <v>27503000</v>
      </c>
      <c r="E25" s="15">
        <v>1.59</v>
      </c>
    </row>
    <row r="26" spans="1:7" x14ac:dyDescent="0.4">
      <c r="A26" t="s">
        <v>92</v>
      </c>
      <c r="B26" t="s">
        <v>93</v>
      </c>
      <c r="C26" s="13">
        <v>17</v>
      </c>
      <c r="D26" s="13">
        <v>27200000</v>
      </c>
      <c r="E26" s="15">
        <v>1.58</v>
      </c>
    </row>
    <row r="27" spans="1:7" x14ac:dyDescent="0.4">
      <c r="A27" t="s">
        <v>19</v>
      </c>
      <c r="B27" t="s">
        <v>20</v>
      </c>
      <c r="C27" s="13">
        <v>91</v>
      </c>
      <c r="D27" s="13">
        <v>24706500</v>
      </c>
      <c r="E27" s="15">
        <v>1.43</v>
      </c>
    </row>
    <row r="28" spans="1:7" x14ac:dyDescent="0.4">
      <c r="A28" t="s">
        <v>471</v>
      </c>
      <c r="B28" s="17" t="s">
        <v>472</v>
      </c>
      <c r="C28" s="18">
        <v>221</v>
      </c>
      <c r="D28" s="18">
        <v>24265800</v>
      </c>
      <c r="E28" s="19">
        <v>1.41</v>
      </c>
      <c r="F28" s="17"/>
      <c r="G28" s="17"/>
    </row>
    <row r="29" spans="1:7" x14ac:dyDescent="0.4">
      <c r="A29" t="s">
        <v>493</v>
      </c>
      <c r="B29" t="s">
        <v>494</v>
      </c>
      <c r="C29">
        <v>122</v>
      </c>
      <c r="D29" s="13">
        <v>22594400</v>
      </c>
      <c r="E29" s="15">
        <v>1.31</v>
      </c>
    </row>
    <row r="30" spans="1:7" x14ac:dyDescent="0.4">
      <c r="A30" t="s">
        <v>114</v>
      </c>
      <c r="B30" t="s">
        <v>115</v>
      </c>
      <c r="C30" s="13">
        <v>235</v>
      </c>
      <c r="D30" s="13">
        <v>22278000</v>
      </c>
      <c r="E30" s="15">
        <v>1.29</v>
      </c>
    </row>
    <row r="31" spans="1:7" x14ac:dyDescent="0.4">
      <c r="A31" t="s">
        <v>118</v>
      </c>
      <c r="B31" t="s">
        <v>119</v>
      </c>
      <c r="C31" s="13">
        <v>85</v>
      </c>
      <c r="D31" s="13">
        <v>21207500</v>
      </c>
      <c r="E31" s="15">
        <v>1.23</v>
      </c>
    </row>
    <row r="32" spans="1:7" x14ac:dyDescent="0.4">
      <c r="A32" t="s">
        <v>78</v>
      </c>
      <c r="B32" t="s">
        <v>79</v>
      </c>
      <c r="C32" s="13">
        <v>14</v>
      </c>
      <c r="D32" s="13">
        <v>18466000</v>
      </c>
      <c r="E32" s="15">
        <v>1.07</v>
      </c>
    </row>
    <row r="33" spans="1:7" x14ac:dyDescent="0.4">
      <c r="A33" t="s">
        <v>102</v>
      </c>
      <c r="B33" t="s">
        <v>103</v>
      </c>
      <c r="C33">
        <v>118</v>
      </c>
      <c r="D33" s="13">
        <v>18384400</v>
      </c>
      <c r="E33" s="15">
        <v>1.07</v>
      </c>
    </row>
    <row r="34" spans="1:7" x14ac:dyDescent="0.4">
      <c r="A34" t="s">
        <v>653</v>
      </c>
      <c r="B34" t="s">
        <v>654</v>
      </c>
      <c r="C34" s="13">
        <v>168</v>
      </c>
      <c r="D34" s="13">
        <v>17270400</v>
      </c>
      <c r="E34" s="15">
        <v>1</v>
      </c>
    </row>
    <row r="35" spans="1:7" x14ac:dyDescent="0.4">
      <c r="A35" t="s">
        <v>166</v>
      </c>
      <c r="B35" s="17" t="s">
        <v>167</v>
      </c>
      <c r="C35" s="18">
        <v>54</v>
      </c>
      <c r="D35" s="18">
        <v>14985000</v>
      </c>
      <c r="E35" s="19">
        <v>0.87</v>
      </c>
      <c r="F35" s="17"/>
      <c r="G35" s="17"/>
    </row>
    <row r="36" spans="1:7" x14ac:dyDescent="0.4">
      <c r="A36" t="s">
        <v>122</v>
      </c>
      <c r="B36" t="s">
        <v>5175</v>
      </c>
      <c r="C36" s="13">
        <v>17</v>
      </c>
      <c r="D36" s="13">
        <v>14654000</v>
      </c>
      <c r="E36" s="15">
        <v>0.85</v>
      </c>
    </row>
    <row r="37" spans="1:7" x14ac:dyDescent="0.4">
      <c r="A37" t="s">
        <v>88</v>
      </c>
      <c r="B37" t="s">
        <v>89</v>
      </c>
      <c r="C37" s="13">
        <v>71</v>
      </c>
      <c r="D37" s="13">
        <v>13880500</v>
      </c>
      <c r="E37" s="15">
        <v>0.8</v>
      </c>
    </row>
    <row r="38" spans="1:7" x14ac:dyDescent="0.4">
      <c r="A38" t="s">
        <v>82</v>
      </c>
      <c r="B38" t="s">
        <v>83</v>
      </c>
      <c r="C38" s="13">
        <v>33</v>
      </c>
      <c r="D38" s="13">
        <v>13530000</v>
      </c>
      <c r="E38" s="15">
        <v>0.78</v>
      </c>
    </row>
    <row r="39" spans="1:7" x14ac:dyDescent="0.4">
      <c r="A39" t="s">
        <v>96</v>
      </c>
      <c r="B39" t="s">
        <v>97</v>
      </c>
      <c r="C39" s="13">
        <v>81</v>
      </c>
      <c r="D39" s="13">
        <v>9914400</v>
      </c>
      <c r="E39" s="15">
        <v>0.56999999999999995</v>
      </c>
    </row>
    <row r="40" spans="1:7" x14ac:dyDescent="0.4">
      <c r="A40" t="s">
        <v>135</v>
      </c>
      <c r="B40" t="s">
        <v>136</v>
      </c>
      <c r="C40" s="13">
        <v>22</v>
      </c>
      <c r="D40" s="13">
        <v>9207000</v>
      </c>
      <c r="E40" s="15">
        <v>0.53</v>
      </c>
    </row>
    <row r="41" spans="1:7" x14ac:dyDescent="0.4">
      <c r="A41" t="s">
        <v>15</v>
      </c>
      <c r="B41" t="s">
        <v>16</v>
      </c>
      <c r="C41" s="13">
        <v>8</v>
      </c>
      <c r="D41" s="13">
        <v>9088000</v>
      </c>
      <c r="E41" s="15">
        <v>0.53</v>
      </c>
    </row>
    <row r="42" spans="1:7" x14ac:dyDescent="0.4">
      <c r="A42" t="s">
        <v>86</v>
      </c>
      <c r="B42" s="17" t="s">
        <v>87</v>
      </c>
      <c r="C42" s="18">
        <v>629</v>
      </c>
      <c r="D42" s="18">
        <v>4233170</v>
      </c>
      <c r="E42" s="19">
        <v>0.25</v>
      </c>
      <c r="F42" s="17"/>
      <c r="G42" s="17"/>
    </row>
    <row r="43" spans="1:7" x14ac:dyDescent="0.4">
      <c r="B43" s="17" t="s">
        <v>10</v>
      </c>
      <c r="C43" s="18">
        <v>20654631</v>
      </c>
      <c r="D43" s="18">
        <v>20654631</v>
      </c>
      <c r="E43" s="19">
        <v>1.2</v>
      </c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D47" s="13"/>
    </row>
    <row r="48" spans="1:7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C00-000000000000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137</v>
      </c>
      <c r="B8" s="6"/>
      <c r="C8" s="6"/>
      <c r="D8" s="6"/>
      <c r="E8" s="14"/>
    </row>
    <row r="9" spans="1:5" x14ac:dyDescent="0.4">
      <c r="A9" s="69" t="s">
        <v>657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104</v>
      </c>
      <c r="D11" s="13">
        <v>189176000</v>
      </c>
      <c r="E11" s="15">
        <v>27.59</v>
      </c>
    </row>
    <row r="12" spans="1:5" x14ac:dyDescent="0.4">
      <c r="A12" t="s">
        <v>80</v>
      </c>
      <c r="B12" t="s">
        <v>81</v>
      </c>
      <c r="C12" s="31">
        <v>273</v>
      </c>
      <c r="D12" s="13">
        <v>73846500</v>
      </c>
      <c r="E12" s="15">
        <v>10.77</v>
      </c>
    </row>
    <row r="13" spans="1:5" x14ac:dyDescent="0.4">
      <c r="A13" t="s">
        <v>140</v>
      </c>
      <c r="B13" t="s">
        <v>141</v>
      </c>
      <c r="C13">
        <v>65</v>
      </c>
      <c r="D13" s="13">
        <v>45500000</v>
      </c>
      <c r="E13" s="15">
        <v>6.64</v>
      </c>
    </row>
    <row r="14" spans="1:5" x14ac:dyDescent="0.4">
      <c r="A14" t="s">
        <v>84</v>
      </c>
      <c r="B14" t="s">
        <v>85</v>
      </c>
      <c r="C14">
        <v>400</v>
      </c>
      <c r="D14" s="13">
        <v>27960000</v>
      </c>
      <c r="E14" s="15">
        <v>4.08</v>
      </c>
    </row>
    <row r="15" spans="1:5" x14ac:dyDescent="0.4">
      <c r="A15" t="s">
        <v>148</v>
      </c>
      <c r="B15" t="s">
        <v>149</v>
      </c>
      <c r="C15" s="31">
        <v>55</v>
      </c>
      <c r="D15" s="13">
        <v>25987500</v>
      </c>
      <c r="E15" s="15">
        <v>3.79</v>
      </c>
    </row>
    <row r="16" spans="1:5" x14ac:dyDescent="0.4">
      <c r="A16" t="s">
        <v>96</v>
      </c>
      <c r="B16" t="s">
        <v>97</v>
      </c>
      <c r="C16" s="31">
        <v>202</v>
      </c>
      <c r="D16" s="13">
        <v>24886400</v>
      </c>
      <c r="E16" s="15">
        <v>3.63</v>
      </c>
    </row>
    <row r="17" spans="1:5" x14ac:dyDescent="0.4">
      <c r="A17" t="s">
        <v>135</v>
      </c>
      <c r="B17" t="s">
        <v>136</v>
      </c>
      <c r="C17" s="31">
        <v>59</v>
      </c>
      <c r="D17" s="13">
        <v>23393500</v>
      </c>
      <c r="E17" s="15">
        <v>3.41</v>
      </c>
    </row>
    <row r="18" spans="1:5" x14ac:dyDescent="0.4">
      <c r="A18" t="s">
        <v>82</v>
      </c>
      <c r="B18" t="s">
        <v>83</v>
      </c>
      <c r="C18" s="13">
        <v>55</v>
      </c>
      <c r="D18" s="13">
        <v>21780000</v>
      </c>
      <c r="E18" s="15">
        <v>3.18</v>
      </c>
    </row>
    <row r="19" spans="1:5" x14ac:dyDescent="0.4">
      <c r="A19" t="s">
        <v>78</v>
      </c>
      <c r="B19" t="s">
        <v>79</v>
      </c>
      <c r="C19" s="13">
        <v>13</v>
      </c>
      <c r="D19" s="13">
        <v>18772000</v>
      </c>
      <c r="E19" s="15">
        <v>2.74</v>
      </c>
    </row>
    <row r="20" spans="1:5" x14ac:dyDescent="0.4">
      <c r="A20" t="s">
        <v>102</v>
      </c>
      <c r="B20" t="s">
        <v>103</v>
      </c>
      <c r="C20" s="13">
        <v>110</v>
      </c>
      <c r="D20" s="13">
        <v>17116000</v>
      </c>
      <c r="E20" s="15">
        <v>2.5</v>
      </c>
    </row>
    <row r="21" spans="1:5" x14ac:dyDescent="0.4">
      <c r="A21" t="s">
        <v>86</v>
      </c>
      <c r="B21" t="s">
        <v>87</v>
      </c>
      <c r="C21" s="13">
        <v>2409</v>
      </c>
      <c r="D21" s="13">
        <v>16646190</v>
      </c>
      <c r="E21" s="15">
        <v>2.4300000000000002</v>
      </c>
    </row>
    <row r="22" spans="1:5" x14ac:dyDescent="0.4">
      <c r="A22" t="s">
        <v>92</v>
      </c>
      <c r="B22" t="s">
        <v>93</v>
      </c>
      <c r="C22" s="13">
        <v>10</v>
      </c>
      <c r="D22" s="13">
        <v>16140000</v>
      </c>
      <c r="E22" s="15">
        <v>2.35</v>
      </c>
    </row>
    <row r="23" spans="1:5" x14ac:dyDescent="0.4">
      <c r="A23" t="s">
        <v>1092</v>
      </c>
      <c r="B23" t="s">
        <v>1093</v>
      </c>
      <c r="C23" s="31">
        <v>2541</v>
      </c>
      <c r="D23" s="13">
        <v>16135350</v>
      </c>
      <c r="E23" s="15">
        <v>2.35</v>
      </c>
    </row>
    <row r="24" spans="1:5" x14ac:dyDescent="0.4">
      <c r="A24" t="s">
        <v>108</v>
      </c>
      <c r="B24" t="s">
        <v>109</v>
      </c>
      <c r="C24" s="31">
        <v>49</v>
      </c>
      <c r="D24" s="13">
        <v>15190000</v>
      </c>
      <c r="E24" s="15">
        <v>2.2200000000000002</v>
      </c>
    </row>
    <row r="25" spans="1:5" x14ac:dyDescent="0.4">
      <c r="A25" t="s">
        <v>303</v>
      </c>
      <c r="B25" t="s">
        <v>304</v>
      </c>
      <c r="C25" s="13">
        <v>30</v>
      </c>
      <c r="D25" s="13">
        <v>15090000</v>
      </c>
      <c r="E25" s="15">
        <v>2.2000000000000002</v>
      </c>
    </row>
    <row r="26" spans="1:5" x14ac:dyDescent="0.4">
      <c r="A26" t="s">
        <v>106</v>
      </c>
      <c r="B26" t="s">
        <v>107</v>
      </c>
      <c r="C26" s="13">
        <v>110</v>
      </c>
      <c r="D26" s="13">
        <v>11638000</v>
      </c>
      <c r="E26" s="15">
        <v>1.7</v>
      </c>
    </row>
    <row r="27" spans="1:5" x14ac:dyDescent="0.4">
      <c r="A27" t="s">
        <v>311</v>
      </c>
      <c r="B27" t="s">
        <v>312</v>
      </c>
      <c r="C27" s="13">
        <v>80</v>
      </c>
      <c r="D27" s="13">
        <v>11312000</v>
      </c>
      <c r="E27" s="15">
        <v>1.65</v>
      </c>
    </row>
    <row r="28" spans="1:5" x14ac:dyDescent="0.4">
      <c r="A28" t="s">
        <v>125</v>
      </c>
      <c r="B28" t="s">
        <v>126</v>
      </c>
      <c r="C28" s="13">
        <v>651</v>
      </c>
      <c r="D28" s="13">
        <v>11275320</v>
      </c>
      <c r="E28" s="15">
        <v>1.64</v>
      </c>
    </row>
    <row r="29" spans="1:5" x14ac:dyDescent="0.4">
      <c r="A29" t="s">
        <v>120</v>
      </c>
      <c r="B29" t="s">
        <v>121</v>
      </c>
      <c r="C29" s="13">
        <v>21</v>
      </c>
      <c r="D29" s="13">
        <v>9817500</v>
      </c>
      <c r="E29" s="15">
        <v>1.43</v>
      </c>
    </row>
    <row r="30" spans="1:5" x14ac:dyDescent="0.4">
      <c r="A30" t="s">
        <v>133</v>
      </c>
      <c r="B30" t="s">
        <v>134</v>
      </c>
      <c r="C30" s="13">
        <v>50</v>
      </c>
      <c r="D30" s="13">
        <v>8990000</v>
      </c>
      <c r="E30" s="15">
        <v>1.31</v>
      </c>
    </row>
    <row r="31" spans="1:5" x14ac:dyDescent="0.4">
      <c r="A31" t="s">
        <v>100</v>
      </c>
      <c r="B31" t="s">
        <v>101</v>
      </c>
      <c r="C31" s="13">
        <v>250</v>
      </c>
      <c r="D31" s="13">
        <v>8137500</v>
      </c>
      <c r="E31" s="15">
        <v>1.19</v>
      </c>
    </row>
    <row r="32" spans="1:5" x14ac:dyDescent="0.4">
      <c r="A32" t="s">
        <v>129</v>
      </c>
      <c r="B32" t="s">
        <v>130</v>
      </c>
      <c r="C32" s="13">
        <v>249</v>
      </c>
      <c r="D32" s="13">
        <v>7781250</v>
      </c>
      <c r="E32" s="15">
        <v>1.1299999999999999</v>
      </c>
    </row>
    <row r="33" spans="1:5" x14ac:dyDescent="0.4">
      <c r="A33" t="s">
        <v>118</v>
      </c>
      <c r="B33" t="s">
        <v>119</v>
      </c>
      <c r="C33" s="13">
        <v>29</v>
      </c>
      <c r="D33" s="13">
        <v>7482000</v>
      </c>
      <c r="E33" s="15">
        <v>1.0900000000000001</v>
      </c>
    </row>
    <row r="34" spans="1:5" x14ac:dyDescent="0.4">
      <c r="A34" t="s">
        <v>131</v>
      </c>
      <c r="B34" t="s">
        <v>132</v>
      </c>
      <c r="C34" s="13">
        <v>343</v>
      </c>
      <c r="D34" s="13">
        <v>7168700</v>
      </c>
      <c r="E34" s="15">
        <v>1.05</v>
      </c>
    </row>
    <row r="35" spans="1:5" x14ac:dyDescent="0.4">
      <c r="A35" t="s">
        <v>112</v>
      </c>
      <c r="B35" t="s">
        <v>113</v>
      </c>
      <c r="C35" s="13">
        <v>60</v>
      </c>
      <c r="D35" s="13">
        <v>7140000</v>
      </c>
      <c r="E35" s="15">
        <v>1.04</v>
      </c>
    </row>
    <row r="36" spans="1:5" x14ac:dyDescent="0.4">
      <c r="A36" t="s">
        <v>110</v>
      </c>
      <c r="B36" t="s">
        <v>111</v>
      </c>
      <c r="C36" s="13">
        <v>25</v>
      </c>
      <c r="D36" s="13">
        <v>6987500</v>
      </c>
      <c r="E36" s="15">
        <v>1.02</v>
      </c>
    </row>
    <row r="37" spans="1:5" x14ac:dyDescent="0.4">
      <c r="A37" t="s">
        <v>142</v>
      </c>
      <c r="B37" t="s">
        <v>143</v>
      </c>
      <c r="C37" s="13">
        <v>30</v>
      </c>
      <c r="D37" s="13">
        <v>6510000</v>
      </c>
      <c r="E37" s="15">
        <v>0.95</v>
      </c>
    </row>
    <row r="38" spans="1:5" x14ac:dyDescent="0.4">
      <c r="A38" t="s">
        <v>90</v>
      </c>
      <c r="B38" t="s">
        <v>91</v>
      </c>
      <c r="C38" s="13">
        <v>99</v>
      </c>
      <c r="D38" s="13">
        <v>5811300</v>
      </c>
      <c r="E38" s="15">
        <v>0.85</v>
      </c>
    </row>
    <row r="39" spans="1:5" x14ac:dyDescent="0.4">
      <c r="A39" t="s">
        <v>114</v>
      </c>
      <c r="B39" t="s">
        <v>115</v>
      </c>
      <c r="C39" s="13">
        <v>60</v>
      </c>
      <c r="D39" s="13">
        <v>5706000</v>
      </c>
      <c r="E39" s="15">
        <v>0.83</v>
      </c>
    </row>
    <row r="40" spans="1:5" x14ac:dyDescent="0.4">
      <c r="A40" t="s">
        <v>3176</v>
      </c>
      <c r="B40" t="s">
        <v>3177</v>
      </c>
      <c r="C40" s="13">
        <v>24</v>
      </c>
      <c r="D40" s="13">
        <v>5484000</v>
      </c>
      <c r="E40" s="15">
        <v>0.8</v>
      </c>
    </row>
    <row r="41" spans="1:5" x14ac:dyDescent="0.4">
      <c r="A41" t="s">
        <v>653</v>
      </c>
      <c r="B41" t="s">
        <v>654</v>
      </c>
      <c r="C41" s="13">
        <v>50</v>
      </c>
      <c r="D41" s="13">
        <v>5065000</v>
      </c>
      <c r="E41" s="15">
        <v>0.74</v>
      </c>
    </row>
    <row r="42" spans="1:5" x14ac:dyDescent="0.4">
      <c r="A42" t="s">
        <v>123</v>
      </c>
      <c r="B42" t="s">
        <v>124</v>
      </c>
      <c r="C42" s="13">
        <v>201</v>
      </c>
      <c r="D42" s="13">
        <v>5014950</v>
      </c>
      <c r="E42" s="15">
        <v>0.73</v>
      </c>
    </row>
    <row r="43" spans="1:5" x14ac:dyDescent="0.4">
      <c r="B43" t="s">
        <v>10</v>
      </c>
      <c r="C43" s="13">
        <v>6684304</v>
      </c>
      <c r="D43" s="13">
        <v>6684304</v>
      </c>
      <c r="E43" s="15">
        <v>0.97</v>
      </c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D00-000000000000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8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5164</v>
      </c>
      <c r="B8" s="6"/>
      <c r="C8" s="6"/>
      <c r="D8" s="6"/>
      <c r="E8" s="14"/>
    </row>
    <row r="9" spans="1:7" x14ac:dyDescent="0.4">
      <c r="A9" s="69" t="s">
        <v>5166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13</v>
      </c>
      <c r="B11" s="17" t="s">
        <v>14</v>
      </c>
      <c r="C11" s="18">
        <v>87</v>
      </c>
      <c r="D11" s="18">
        <v>168780000</v>
      </c>
      <c r="E11" s="19">
        <v>24.57</v>
      </c>
      <c r="F11" s="17"/>
      <c r="G11" s="17"/>
    </row>
    <row r="12" spans="1:7" x14ac:dyDescent="0.4">
      <c r="A12" t="s">
        <v>80</v>
      </c>
      <c r="B12" s="17" t="s">
        <v>81</v>
      </c>
      <c r="C12" s="70">
        <v>481</v>
      </c>
      <c r="D12" s="18">
        <v>144059500</v>
      </c>
      <c r="E12" s="19">
        <v>20.97</v>
      </c>
      <c r="F12" s="17"/>
      <c r="G12" s="17"/>
    </row>
    <row r="13" spans="1:7" x14ac:dyDescent="0.4">
      <c r="A13" t="s">
        <v>92</v>
      </c>
      <c r="B13" t="s">
        <v>93</v>
      </c>
      <c r="C13" s="13">
        <v>17</v>
      </c>
      <c r="D13" s="13">
        <v>27200000</v>
      </c>
      <c r="E13" s="15">
        <v>3.96</v>
      </c>
    </row>
    <row r="14" spans="1:7" x14ac:dyDescent="0.4">
      <c r="A14" t="s">
        <v>127</v>
      </c>
      <c r="B14" t="s">
        <v>128</v>
      </c>
      <c r="C14" s="13">
        <v>125</v>
      </c>
      <c r="D14" s="13">
        <v>20987500</v>
      </c>
      <c r="E14" s="15">
        <v>3.05</v>
      </c>
    </row>
    <row r="15" spans="1:7" x14ac:dyDescent="0.4">
      <c r="A15" t="s">
        <v>188</v>
      </c>
      <c r="B15" t="s">
        <v>189</v>
      </c>
      <c r="C15" s="31">
        <v>16</v>
      </c>
      <c r="D15" s="13">
        <v>18864000</v>
      </c>
      <c r="E15" s="15">
        <v>2.75</v>
      </c>
    </row>
    <row r="16" spans="1:7" x14ac:dyDescent="0.4">
      <c r="A16" t="s">
        <v>172</v>
      </c>
      <c r="B16" t="s">
        <v>173</v>
      </c>
      <c r="C16" s="31">
        <v>28</v>
      </c>
      <c r="D16" s="13">
        <v>18760000</v>
      </c>
      <c r="E16" s="15">
        <v>2.73</v>
      </c>
    </row>
    <row r="17" spans="1:7" x14ac:dyDescent="0.4">
      <c r="A17" t="s">
        <v>301</v>
      </c>
      <c r="B17" s="17" t="s">
        <v>302</v>
      </c>
      <c r="C17" s="70">
        <v>153</v>
      </c>
      <c r="D17" s="18">
        <v>17380800</v>
      </c>
      <c r="E17" s="19">
        <v>2.5299999999999998</v>
      </c>
      <c r="F17" s="17"/>
      <c r="G17" s="17"/>
    </row>
    <row r="18" spans="1:7" x14ac:dyDescent="0.4">
      <c r="A18" t="s">
        <v>299</v>
      </c>
      <c r="B18" t="s">
        <v>300</v>
      </c>
      <c r="C18" s="13">
        <v>25</v>
      </c>
      <c r="D18" s="13">
        <v>15400000</v>
      </c>
      <c r="E18" s="15">
        <v>2.2400000000000002</v>
      </c>
    </row>
    <row r="19" spans="1:7" x14ac:dyDescent="0.4">
      <c r="A19" t="s">
        <v>609</v>
      </c>
      <c r="B19" t="s">
        <v>610</v>
      </c>
      <c r="C19" s="13">
        <v>209</v>
      </c>
      <c r="D19" s="13">
        <v>15194300</v>
      </c>
      <c r="E19" s="15">
        <v>2.21</v>
      </c>
    </row>
    <row r="20" spans="1:7" x14ac:dyDescent="0.4">
      <c r="A20" t="s">
        <v>451</v>
      </c>
      <c r="B20" t="s">
        <v>452</v>
      </c>
      <c r="C20">
        <v>18</v>
      </c>
      <c r="D20" s="13">
        <v>15084000</v>
      </c>
      <c r="E20" s="15">
        <v>2.2000000000000002</v>
      </c>
    </row>
    <row r="21" spans="1:7" x14ac:dyDescent="0.4">
      <c r="A21" t="s">
        <v>140</v>
      </c>
      <c r="B21" t="s">
        <v>141</v>
      </c>
      <c r="C21" s="13">
        <v>21</v>
      </c>
      <c r="D21" s="13">
        <v>13986000</v>
      </c>
      <c r="E21" s="15">
        <v>2.04</v>
      </c>
    </row>
    <row r="22" spans="1:7" x14ac:dyDescent="0.4">
      <c r="A22" t="s">
        <v>138</v>
      </c>
      <c r="B22" s="17" t="s">
        <v>139</v>
      </c>
      <c r="C22" s="17">
        <v>441</v>
      </c>
      <c r="D22" s="18">
        <v>12634650</v>
      </c>
      <c r="E22" s="19">
        <v>1.84</v>
      </c>
      <c r="F22" s="17"/>
      <c r="G22" s="17"/>
    </row>
    <row r="23" spans="1:7" x14ac:dyDescent="0.4">
      <c r="A23" t="s">
        <v>217</v>
      </c>
      <c r="B23" s="17" t="s">
        <v>218</v>
      </c>
      <c r="C23" s="70">
        <v>18</v>
      </c>
      <c r="D23" s="18">
        <v>12096000</v>
      </c>
      <c r="E23" s="19">
        <v>1.76</v>
      </c>
      <c r="F23" s="17"/>
      <c r="G23" s="17"/>
    </row>
    <row r="24" spans="1:7" x14ac:dyDescent="0.4">
      <c r="A24" t="s">
        <v>4707</v>
      </c>
      <c r="B24" t="s">
        <v>4708</v>
      </c>
      <c r="C24" s="31">
        <v>135</v>
      </c>
      <c r="D24" s="13">
        <v>10894500</v>
      </c>
      <c r="E24" s="15">
        <v>1.59</v>
      </c>
    </row>
    <row r="25" spans="1:7" x14ac:dyDescent="0.4">
      <c r="A25" t="s">
        <v>287</v>
      </c>
      <c r="B25" t="s">
        <v>288</v>
      </c>
      <c r="C25" s="13">
        <v>26</v>
      </c>
      <c r="D25" s="13">
        <v>10426000</v>
      </c>
      <c r="E25" s="15">
        <v>1.52</v>
      </c>
    </row>
    <row r="26" spans="1:7" x14ac:dyDescent="0.4">
      <c r="A26" t="s">
        <v>324</v>
      </c>
      <c r="B26" t="s">
        <v>325</v>
      </c>
      <c r="C26">
        <v>36</v>
      </c>
      <c r="D26" s="13">
        <v>10098000</v>
      </c>
      <c r="E26" s="15">
        <v>1.47</v>
      </c>
    </row>
    <row r="27" spans="1:7" x14ac:dyDescent="0.4">
      <c r="A27" t="s">
        <v>936</v>
      </c>
      <c r="B27" t="s">
        <v>937</v>
      </c>
      <c r="C27" s="13">
        <v>353</v>
      </c>
      <c r="D27" s="13">
        <v>10095800</v>
      </c>
      <c r="E27" s="15">
        <v>1.47</v>
      </c>
    </row>
    <row r="28" spans="1:7" x14ac:dyDescent="0.4">
      <c r="A28" t="s">
        <v>355</v>
      </c>
      <c r="B28" t="s">
        <v>356</v>
      </c>
      <c r="C28" s="13">
        <v>67</v>
      </c>
      <c r="D28" s="13">
        <v>9808800</v>
      </c>
      <c r="E28" s="15">
        <v>1.43</v>
      </c>
    </row>
    <row r="29" spans="1:7" x14ac:dyDescent="0.4">
      <c r="A29" t="s">
        <v>182</v>
      </c>
      <c r="B29" t="s">
        <v>183</v>
      </c>
      <c r="C29">
        <v>141</v>
      </c>
      <c r="D29" s="13">
        <v>9447000</v>
      </c>
      <c r="E29" s="15">
        <v>1.38</v>
      </c>
    </row>
    <row r="30" spans="1:7" x14ac:dyDescent="0.4">
      <c r="A30" t="s">
        <v>737</v>
      </c>
      <c r="B30" t="s">
        <v>738</v>
      </c>
      <c r="C30" s="13">
        <v>60</v>
      </c>
      <c r="D30" s="13">
        <v>7950000</v>
      </c>
      <c r="E30" s="15">
        <v>1.1599999999999999</v>
      </c>
    </row>
    <row r="31" spans="1:7" x14ac:dyDescent="0.4">
      <c r="A31" t="s">
        <v>17</v>
      </c>
      <c r="B31" t="s">
        <v>18</v>
      </c>
      <c r="C31" s="13">
        <v>70</v>
      </c>
      <c r="D31" s="13">
        <v>7588000</v>
      </c>
      <c r="E31" s="15">
        <v>1.1000000000000001</v>
      </c>
    </row>
    <row r="32" spans="1:7" x14ac:dyDescent="0.4">
      <c r="A32" t="s">
        <v>366</v>
      </c>
      <c r="B32" t="s">
        <v>367</v>
      </c>
      <c r="C32" s="13">
        <v>101</v>
      </c>
      <c r="D32" s="13">
        <v>7332600</v>
      </c>
      <c r="E32" s="15">
        <v>1.07</v>
      </c>
    </row>
    <row r="33" spans="1:5" x14ac:dyDescent="0.4">
      <c r="A33" t="s">
        <v>148</v>
      </c>
      <c r="B33" t="s">
        <v>149</v>
      </c>
      <c r="C33">
        <v>14</v>
      </c>
      <c r="D33" s="13">
        <v>7294000</v>
      </c>
      <c r="E33" s="15">
        <v>1.06</v>
      </c>
    </row>
    <row r="34" spans="1:5" x14ac:dyDescent="0.4">
      <c r="A34" t="s">
        <v>291</v>
      </c>
      <c r="B34" t="s">
        <v>292</v>
      </c>
      <c r="C34" s="13">
        <v>178</v>
      </c>
      <c r="D34" s="13">
        <v>7226800</v>
      </c>
      <c r="E34" s="15">
        <v>1.05</v>
      </c>
    </row>
    <row r="35" spans="1:5" x14ac:dyDescent="0.4">
      <c r="A35" t="s">
        <v>305</v>
      </c>
      <c r="B35" t="s">
        <v>306</v>
      </c>
      <c r="C35">
        <v>5</v>
      </c>
      <c r="D35" s="13">
        <v>7025000</v>
      </c>
      <c r="E35" s="15">
        <v>1.02</v>
      </c>
    </row>
    <row r="36" spans="1:5" x14ac:dyDescent="0.4">
      <c r="A36" t="s">
        <v>392</v>
      </c>
      <c r="B36" t="s">
        <v>393</v>
      </c>
      <c r="C36" s="13">
        <v>25</v>
      </c>
      <c r="D36" s="13">
        <v>6900000</v>
      </c>
      <c r="E36" s="15">
        <v>1</v>
      </c>
    </row>
    <row r="37" spans="1:5" x14ac:dyDescent="0.4">
      <c r="A37" t="s">
        <v>135</v>
      </c>
      <c r="B37" t="s">
        <v>136</v>
      </c>
      <c r="C37" s="13">
        <v>16</v>
      </c>
      <c r="D37" s="13">
        <v>6696000</v>
      </c>
      <c r="E37" s="15">
        <v>0.97</v>
      </c>
    </row>
    <row r="38" spans="1:5" x14ac:dyDescent="0.4">
      <c r="A38" t="s">
        <v>757</v>
      </c>
      <c r="B38" t="s">
        <v>758</v>
      </c>
      <c r="C38" s="13">
        <v>55</v>
      </c>
      <c r="D38" s="13">
        <v>6605500</v>
      </c>
      <c r="E38" s="15">
        <v>0.96</v>
      </c>
    </row>
    <row r="39" spans="1:5" x14ac:dyDescent="0.4">
      <c r="A39" t="s">
        <v>19</v>
      </c>
      <c r="B39" t="s">
        <v>20</v>
      </c>
      <c r="C39">
        <v>23</v>
      </c>
      <c r="D39" s="13">
        <v>6244500</v>
      </c>
      <c r="E39" s="15">
        <v>0.91</v>
      </c>
    </row>
    <row r="40" spans="1:5" x14ac:dyDescent="0.4">
      <c r="A40" t="s">
        <v>120</v>
      </c>
      <c r="B40" t="s">
        <v>121</v>
      </c>
      <c r="C40">
        <v>14</v>
      </c>
      <c r="D40" s="13">
        <v>6209000</v>
      </c>
      <c r="E40" s="15">
        <v>0.9</v>
      </c>
    </row>
    <row r="41" spans="1:5" x14ac:dyDescent="0.4">
      <c r="A41" t="s">
        <v>557</v>
      </c>
      <c r="B41" t="s">
        <v>558</v>
      </c>
      <c r="C41">
        <v>153</v>
      </c>
      <c r="D41" s="13">
        <v>5729850</v>
      </c>
      <c r="E41" s="15">
        <v>0.83</v>
      </c>
    </row>
    <row r="42" spans="1:5" x14ac:dyDescent="0.4">
      <c r="A42" t="s">
        <v>631</v>
      </c>
      <c r="B42" t="s">
        <v>632</v>
      </c>
      <c r="C42" s="13">
        <v>39</v>
      </c>
      <c r="D42" s="13">
        <v>5499000</v>
      </c>
      <c r="E42" s="15">
        <v>0.8</v>
      </c>
    </row>
    <row r="43" spans="1:5" x14ac:dyDescent="0.4">
      <c r="A43" t="s">
        <v>236</v>
      </c>
      <c r="B43" t="s">
        <v>237</v>
      </c>
      <c r="C43">
        <v>7</v>
      </c>
      <c r="D43" s="13">
        <v>5201000</v>
      </c>
      <c r="E43" s="15">
        <v>0.76</v>
      </c>
    </row>
    <row r="44" spans="1:5" x14ac:dyDescent="0.4">
      <c r="A44" t="s">
        <v>4946</v>
      </c>
      <c r="B44" t="s">
        <v>4947</v>
      </c>
      <c r="C44">
        <v>53</v>
      </c>
      <c r="D44" s="13">
        <v>5194000</v>
      </c>
      <c r="E44" s="15">
        <v>0.76</v>
      </c>
    </row>
    <row r="45" spans="1:5" x14ac:dyDescent="0.4">
      <c r="A45" t="s">
        <v>326</v>
      </c>
      <c r="B45" t="s">
        <v>327</v>
      </c>
      <c r="C45" s="13">
        <v>31</v>
      </c>
      <c r="D45" s="13">
        <v>4808100</v>
      </c>
      <c r="E45" s="15">
        <v>0.7</v>
      </c>
    </row>
    <row r="46" spans="1:5" x14ac:dyDescent="0.4">
      <c r="A46" t="s">
        <v>3395</v>
      </c>
      <c r="B46" t="s">
        <v>3396</v>
      </c>
      <c r="C46" s="13">
        <v>69</v>
      </c>
      <c r="D46" s="13">
        <v>4795500</v>
      </c>
      <c r="E46" s="15">
        <v>0.7</v>
      </c>
    </row>
    <row r="47" spans="1:5" x14ac:dyDescent="0.4">
      <c r="A47" t="s">
        <v>21</v>
      </c>
      <c r="B47" t="s">
        <v>22</v>
      </c>
      <c r="C47" s="13">
        <v>29</v>
      </c>
      <c r="D47" s="13">
        <v>4265900</v>
      </c>
      <c r="E47" s="15">
        <v>0.62</v>
      </c>
    </row>
    <row r="48" spans="1:5" x14ac:dyDescent="0.4">
      <c r="A48" t="s">
        <v>232</v>
      </c>
      <c r="B48" t="s">
        <v>233</v>
      </c>
      <c r="C48" s="13">
        <v>14</v>
      </c>
      <c r="D48" s="13">
        <v>4249000</v>
      </c>
      <c r="E48" s="15">
        <v>0.62</v>
      </c>
    </row>
    <row r="49" spans="1:5" x14ac:dyDescent="0.4">
      <c r="A49" t="s">
        <v>11</v>
      </c>
      <c r="B49" t="s">
        <v>12</v>
      </c>
      <c r="C49">
        <v>1</v>
      </c>
      <c r="D49" s="13">
        <v>3929000</v>
      </c>
      <c r="E49" s="15">
        <v>0.56999999999999995</v>
      </c>
    </row>
    <row r="50" spans="1:5" x14ac:dyDescent="0.4">
      <c r="A50" t="s">
        <v>593</v>
      </c>
      <c r="B50" t="s">
        <v>594</v>
      </c>
      <c r="C50" s="13">
        <v>51</v>
      </c>
      <c r="D50" s="13">
        <v>2175150</v>
      </c>
      <c r="E50" s="15">
        <v>0.32</v>
      </c>
    </row>
    <row r="51" spans="1:5" x14ac:dyDescent="0.4">
      <c r="A51" t="s">
        <v>1265</v>
      </c>
      <c r="B51" t="s">
        <v>1266</v>
      </c>
      <c r="C51" s="13">
        <v>17</v>
      </c>
      <c r="D51" s="13">
        <v>1412700</v>
      </c>
      <c r="E51" s="15">
        <v>0.21</v>
      </c>
    </row>
    <row r="52" spans="1:5" x14ac:dyDescent="0.4">
      <c r="A52" t="s">
        <v>347</v>
      </c>
      <c r="B52" t="s">
        <v>348</v>
      </c>
      <c r="C52" s="13">
        <v>10</v>
      </c>
      <c r="D52" s="13">
        <v>1278000</v>
      </c>
      <c r="E52" s="15">
        <v>0.19</v>
      </c>
    </row>
    <row r="53" spans="1:5" x14ac:dyDescent="0.4">
      <c r="B53" t="s">
        <v>10</v>
      </c>
      <c r="C53" s="13">
        <v>211006</v>
      </c>
      <c r="D53" s="13">
        <v>211006</v>
      </c>
      <c r="E53" s="15">
        <v>0.03</v>
      </c>
    </row>
    <row r="54" spans="1:5" x14ac:dyDescent="0.4"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C78" s="13"/>
      <c r="D78" s="13"/>
    </row>
    <row r="79" spans="3:4" x14ac:dyDescent="0.4">
      <c r="C79" s="13"/>
      <c r="D79" s="13"/>
    </row>
    <row r="80" spans="3:4" x14ac:dyDescent="0.4">
      <c r="D80" s="13"/>
    </row>
    <row r="81" spans="3:4" x14ac:dyDescent="0.4">
      <c r="C81" s="13"/>
      <c r="D81" s="13"/>
    </row>
    <row r="82" spans="3:4" x14ac:dyDescent="0.4">
      <c r="C82" s="13"/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  <row r="88" spans="3:4" x14ac:dyDescent="0.4">
      <c r="C88" s="13"/>
      <c r="D88" s="1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E00-000000000000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87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5164</v>
      </c>
      <c r="B8" s="6"/>
      <c r="C8" s="6"/>
      <c r="D8" s="6"/>
      <c r="E8" s="14"/>
    </row>
    <row r="9" spans="1:5" x14ac:dyDescent="0.4">
      <c r="A9" s="69" t="s">
        <v>5166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13</v>
      </c>
      <c r="B11" t="s">
        <v>14</v>
      </c>
      <c r="C11" s="13">
        <v>88</v>
      </c>
      <c r="D11" s="13">
        <v>160072000</v>
      </c>
      <c r="E11" s="15">
        <v>24.12</v>
      </c>
    </row>
    <row r="12" spans="1:5" x14ac:dyDescent="0.4">
      <c r="A12" t="s">
        <v>80</v>
      </c>
      <c r="B12" t="s">
        <v>81</v>
      </c>
      <c r="C12" s="31">
        <v>518</v>
      </c>
      <c r="D12" s="13">
        <v>140119000</v>
      </c>
      <c r="E12" s="15">
        <v>21.11</v>
      </c>
    </row>
    <row r="13" spans="1:5" x14ac:dyDescent="0.4">
      <c r="A13" t="s">
        <v>92</v>
      </c>
      <c r="B13" t="s">
        <v>93</v>
      </c>
      <c r="C13">
        <v>17</v>
      </c>
      <c r="D13" s="13">
        <v>27438000</v>
      </c>
      <c r="E13" s="15">
        <v>4.13</v>
      </c>
    </row>
    <row r="14" spans="1:5" x14ac:dyDescent="0.4">
      <c r="A14" t="s">
        <v>127</v>
      </c>
      <c r="B14" t="s">
        <v>128</v>
      </c>
      <c r="C14">
        <v>125</v>
      </c>
      <c r="D14" s="13">
        <v>21000000</v>
      </c>
      <c r="E14" s="15">
        <v>3.16</v>
      </c>
    </row>
    <row r="15" spans="1:5" x14ac:dyDescent="0.4">
      <c r="A15" t="s">
        <v>301</v>
      </c>
      <c r="B15" t="s">
        <v>302</v>
      </c>
      <c r="C15" s="31">
        <v>153</v>
      </c>
      <c r="D15" s="13">
        <v>18069300</v>
      </c>
      <c r="E15" s="15">
        <v>2.72</v>
      </c>
    </row>
    <row r="16" spans="1:5" x14ac:dyDescent="0.4">
      <c r="A16" t="s">
        <v>148</v>
      </c>
      <c r="B16" t="s">
        <v>149</v>
      </c>
      <c r="C16" s="31">
        <v>35</v>
      </c>
      <c r="D16" s="13">
        <v>16537500</v>
      </c>
      <c r="E16" s="15">
        <v>2.4900000000000002</v>
      </c>
    </row>
    <row r="17" spans="1:5" x14ac:dyDescent="0.4">
      <c r="A17" t="s">
        <v>188</v>
      </c>
      <c r="B17" t="s">
        <v>189</v>
      </c>
      <c r="C17" s="31">
        <v>15</v>
      </c>
      <c r="D17" s="13">
        <v>16470000</v>
      </c>
      <c r="E17" s="15">
        <v>2.48</v>
      </c>
    </row>
    <row r="18" spans="1:5" x14ac:dyDescent="0.4">
      <c r="A18" t="s">
        <v>299</v>
      </c>
      <c r="B18" t="s">
        <v>300</v>
      </c>
      <c r="C18" s="13">
        <v>25</v>
      </c>
      <c r="D18" s="13">
        <v>15350000</v>
      </c>
      <c r="E18" s="15">
        <v>2.31</v>
      </c>
    </row>
    <row r="19" spans="1:5" x14ac:dyDescent="0.4">
      <c r="A19" t="s">
        <v>609</v>
      </c>
      <c r="B19" t="s">
        <v>610</v>
      </c>
      <c r="C19" s="13">
        <v>209</v>
      </c>
      <c r="D19" s="13">
        <v>14755400</v>
      </c>
      <c r="E19" s="15">
        <v>2.2200000000000002</v>
      </c>
    </row>
    <row r="20" spans="1:5" x14ac:dyDescent="0.4">
      <c r="A20" t="s">
        <v>140</v>
      </c>
      <c r="B20" t="s">
        <v>141</v>
      </c>
      <c r="C20">
        <v>21</v>
      </c>
      <c r="D20" s="13">
        <v>14700000</v>
      </c>
      <c r="E20" s="15">
        <v>2.2200000000000002</v>
      </c>
    </row>
    <row r="21" spans="1:5" x14ac:dyDescent="0.4">
      <c r="A21" t="s">
        <v>178</v>
      </c>
      <c r="B21" t="s">
        <v>179</v>
      </c>
      <c r="C21" s="13">
        <v>58</v>
      </c>
      <c r="D21" s="13">
        <v>14036000</v>
      </c>
      <c r="E21" s="15">
        <v>2.12</v>
      </c>
    </row>
    <row r="22" spans="1:5" x14ac:dyDescent="0.4">
      <c r="A22" t="s">
        <v>316</v>
      </c>
      <c r="B22" t="s">
        <v>317</v>
      </c>
      <c r="C22">
        <v>171</v>
      </c>
      <c r="D22" s="13">
        <v>13218300</v>
      </c>
      <c r="E22" s="15">
        <v>1.99</v>
      </c>
    </row>
    <row r="23" spans="1:5" x14ac:dyDescent="0.4">
      <c r="A23" t="s">
        <v>138</v>
      </c>
      <c r="B23" t="s">
        <v>139</v>
      </c>
      <c r="C23" s="31">
        <v>441</v>
      </c>
      <c r="D23" s="13">
        <v>12921300</v>
      </c>
      <c r="E23" s="15">
        <v>1.95</v>
      </c>
    </row>
    <row r="24" spans="1:5" x14ac:dyDescent="0.4">
      <c r="A24" t="s">
        <v>217</v>
      </c>
      <c r="B24" t="s">
        <v>218</v>
      </c>
      <c r="C24" s="31">
        <v>18</v>
      </c>
      <c r="D24" s="13">
        <v>11520000</v>
      </c>
      <c r="E24" s="15">
        <v>1.74</v>
      </c>
    </row>
    <row r="25" spans="1:5" x14ac:dyDescent="0.4">
      <c r="A25" t="s">
        <v>453</v>
      </c>
      <c r="B25" t="s">
        <v>454</v>
      </c>
      <c r="C25" s="13">
        <v>11</v>
      </c>
      <c r="D25" s="13">
        <v>11110000</v>
      </c>
      <c r="E25" s="15">
        <v>1.67</v>
      </c>
    </row>
    <row r="26" spans="1:5" x14ac:dyDescent="0.4">
      <c r="A26" t="s">
        <v>287</v>
      </c>
      <c r="B26" t="s">
        <v>288</v>
      </c>
      <c r="C26">
        <v>26</v>
      </c>
      <c r="D26" s="13">
        <v>10842000</v>
      </c>
      <c r="E26" s="15">
        <v>1.63</v>
      </c>
    </row>
    <row r="27" spans="1:5" x14ac:dyDescent="0.4">
      <c r="A27" t="s">
        <v>4707</v>
      </c>
      <c r="B27" t="s">
        <v>4708</v>
      </c>
      <c r="C27" s="13">
        <v>135</v>
      </c>
      <c r="D27" s="13">
        <v>10840500</v>
      </c>
      <c r="E27" s="15">
        <v>1.63</v>
      </c>
    </row>
    <row r="28" spans="1:5" x14ac:dyDescent="0.4">
      <c r="A28" t="s">
        <v>172</v>
      </c>
      <c r="B28" t="s">
        <v>173</v>
      </c>
      <c r="C28" s="13">
        <v>17</v>
      </c>
      <c r="D28" s="13">
        <v>10693000</v>
      </c>
      <c r="E28" s="15">
        <v>1.61</v>
      </c>
    </row>
    <row r="29" spans="1:5" x14ac:dyDescent="0.4">
      <c r="A29" t="s">
        <v>355</v>
      </c>
      <c r="B29" t="s">
        <v>356</v>
      </c>
      <c r="C29">
        <v>67</v>
      </c>
      <c r="D29" s="13">
        <v>9098600</v>
      </c>
      <c r="E29" s="15">
        <v>1.37</v>
      </c>
    </row>
    <row r="30" spans="1:5" x14ac:dyDescent="0.4">
      <c r="A30" t="s">
        <v>737</v>
      </c>
      <c r="B30" t="s">
        <v>738</v>
      </c>
      <c r="C30" s="13">
        <v>60</v>
      </c>
      <c r="D30" s="13">
        <v>8970000</v>
      </c>
      <c r="E30" s="15">
        <v>1.35</v>
      </c>
    </row>
    <row r="31" spans="1:5" x14ac:dyDescent="0.4">
      <c r="A31" t="s">
        <v>17</v>
      </c>
      <c r="B31" t="s">
        <v>18</v>
      </c>
      <c r="C31" s="13">
        <v>70</v>
      </c>
      <c r="D31" s="13">
        <v>7756000</v>
      </c>
      <c r="E31" s="15">
        <v>1.17</v>
      </c>
    </row>
    <row r="32" spans="1:5" x14ac:dyDescent="0.4">
      <c r="A32" t="s">
        <v>366</v>
      </c>
      <c r="B32" t="s">
        <v>367</v>
      </c>
      <c r="C32" s="13">
        <v>101</v>
      </c>
      <c r="D32" s="13">
        <v>7231600</v>
      </c>
      <c r="E32" s="15">
        <v>1.0900000000000001</v>
      </c>
    </row>
    <row r="33" spans="1:5" x14ac:dyDescent="0.4">
      <c r="A33" t="s">
        <v>291</v>
      </c>
      <c r="B33" t="s">
        <v>292</v>
      </c>
      <c r="C33">
        <v>178</v>
      </c>
      <c r="D33" s="13">
        <v>7226800</v>
      </c>
      <c r="E33" s="15">
        <v>1.0900000000000001</v>
      </c>
    </row>
    <row r="34" spans="1:5" x14ac:dyDescent="0.4">
      <c r="A34" t="s">
        <v>305</v>
      </c>
      <c r="B34" t="s">
        <v>306</v>
      </c>
      <c r="C34" s="13">
        <v>5</v>
      </c>
      <c r="D34" s="13">
        <v>7130000</v>
      </c>
      <c r="E34" s="15">
        <v>1.07</v>
      </c>
    </row>
    <row r="35" spans="1:5" x14ac:dyDescent="0.4">
      <c r="A35" t="s">
        <v>120</v>
      </c>
      <c r="B35" t="s">
        <v>121</v>
      </c>
      <c r="C35">
        <v>14</v>
      </c>
      <c r="D35" s="13">
        <v>6545000</v>
      </c>
      <c r="E35" s="15">
        <v>0.99</v>
      </c>
    </row>
    <row r="36" spans="1:5" x14ac:dyDescent="0.4">
      <c r="A36" t="s">
        <v>135</v>
      </c>
      <c r="B36" t="s">
        <v>136</v>
      </c>
      <c r="C36" s="13">
        <v>16</v>
      </c>
      <c r="D36" s="13">
        <v>6344000</v>
      </c>
      <c r="E36" s="15">
        <v>0.96</v>
      </c>
    </row>
    <row r="37" spans="1:5" x14ac:dyDescent="0.4">
      <c r="A37" t="s">
        <v>631</v>
      </c>
      <c r="B37" t="s">
        <v>632</v>
      </c>
      <c r="C37" s="13">
        <v>39</v>
      </c>
      <c r="D37" s="13">
        <v>6318000</v>
      </c>
      <c r="E37" s="15">
        <v>0.95</v>
      </c>
    </row>
    <row r="38" spans="1:5" x14ac:dyDescent="0.4">
      <c r="A38" t="s">
        <v>19</v>
      </c>
      <c r="B38" t="s">
        <v>20</v>
      </c>
      <c r="C38" s="13">
        <v>23</v>
      </c>
      <c r="D38" s="13">
        <v>5957000</v>
      </c>
      <c r="E38" s="15">
        <v>0.9</v>
      </c>
    </row>
    <row r="39" spans="1:5" x14ac:dyDescent="0.4">
      <c r="A39" t="s">
        <v>4946</v>
      </c>
      <c r="B39" t="s">
        <v>4947</v>
      </c>
      <c r="C39">
        <v>53</v>
      </c>
      <c r="D39" s="13">
        <v>5671000</v>
      </c>
      <c r="E39" s="15">
        <v>0.85</v>
      </c>
    </row>
    <row r="40" spans="1:5" x14ac:dyDescent="0.4">
      <c r="A40" t="s">
        <v>236</v>
      </c>
      <c r="B40" t="s">
        <v>237</v>
      </c>
      <c r="C40">
        <v>7</v>
      </c>
      <c r="D40" s="13">
        <v>5670000</v>
      </c>
      <c r="E40" s="15">
        <v>0.85</v>
      </c>
    </row>
    <row r="41" spans="1:5" x14ac:dyDescent="0.4">
      <c r="A41" t="s">
        <v>557</v>
      </c>
      <c r="B41" t="s">
        <v>558</v>
      </c>
      <c r="C41">
        <v>153</v>
      </c>
      <c r="D41" s="13">
        <v>5156100</v>
      </c>
      <c r="E41" s="15">
        <v>0.78</v>
      </c>
    </row>
    <row r="42" spans="1:5" x14ac:dyDescent="0.4">
      <c r="A42" t="s">
        <v>486</v>
      </c>
      <c r="B42" t="s">
        <v>487</v>
      </c>
      <c r="C42">
        <v>19</v>
      </c>
      <c r="D42" s="13">
        <v>5025500</v>
      </c>
      <c r="E42" s="15">
        <v>0.76</v>
      </c>
    </row>
    <row r="43" spans="1:5" x14ac:dyDescent="0.4">
      <c r="A43" t="s">
        <v>326</v>
      </c>
      <c r="B43" t="s">
        <v>327</v>
      </c>
      <c r="C43" s="13">
        <v>31</v>
      </c>
      <c r="D43" s="13">
        <v>4966200</v>
      </c>
      <c r="E43" s="15">
        <v>0.75</v>
      </c>
    </row>
    <row r="44" spans="1:5" x14ac:dyDescent="0.4">
      <c r="A44" t="s">
        <v>3395</v>
      </c>
      <c r="B44" t="s">
        <v>3396</v>
      </c>
      <c r="C44">
        <v>69</v>
      </c>
      <c r="D44" s="13">
        <v>4885200</v>
      </c>
      <c r="E44" s="15">
        <v>0.74</v>
      </c>
    </row>
    <row r="45" spans="1:5" x14ac:dyDescent="0.4">
      <c r="A45" t="s">
        <v>232</v>
      </c>
      <c r="B45" t="s">
        <v>233</v>
      </c>
      <c r="C45" s="13">
        <v>14</v>
      </c>
      <c r="D45" s="13">
        <v>4599000</v>
      </c>
      <c r="E45" s="15">
        <v>0.69</v>
      </c>
    </row>
    <row r="46" spans="1:5" x14ac:dyDescent="0.4">
      <c r="A46" t="s">
        <v>21</v>
      </c>
      <c r="B46" t="s">
        <v>22</v>
      </c>
      <c r="C46" s="13">
        <v>29</v>
      </c>
      <c r="D46" s="13">
        <v>4495000</v>
      </c>
      <c r="E46" s="15">
        <v>0.68</v>
      </c>
    </row>
    <row r="47" spans="1:5" x14ac:dyDescent="0.4">
      <c r="A47" t="s">
        <v>11</v>
      </c>
      <c r="B47" t="s">
        <v>12</v>
      </c>
      <c r="C47" s="13">
        <v>1</v>
      </c>
      <c r="D47" s="13">
        <v>3745000</v>
      </c>
      <c r="E47" s="15">
        <v>0.56000000000000005</v>
      </c>
    </row>
    <row r="48" spans="1:5" x14ac:dyDescent="0.4">
      <c r="A48" t="s">
        <v>593</v>
      </c>
      <c r="B48" t="s">
        <v>594</v>
      </c>
      <c r="C48" s="13">
        <v>51</v>
      </c>
      <c r="D48" s="13">
        <v>2142000</v>
      </c>
      <c r="E48" s="15">
        <v>0.32</v>
      </c>
    </row>
    <row r="49" spans="1:5" x14ac:dyDescent="0.4">
      <c r="A49" t="s">
        <v>1265</v>
      </c>
      <c r="B49" t="s">
        <v>1266</v>
      </c>
      <c r="C49">
        <v>17</v>
      </c>
      <c r="D49" s="13">
        <v>1433100</v>
      </c>
      <c r="E49" s="15">
        <v>0.22</v>
      </c>
    </row>
    <row r="50" spans="1:5" x14ac:dyDescent="0.4">
      <c r="A50" t="s">
        <v>347</v>
      </c>
      <c r="B50" t="s">
        <v>348</v>
      </c>
      <c r="C50">
        <v>10</v>
      </c>
      <c r="D50" s="13">
        <v>1280000</v>
      </c>
      <c r="E50" s="15">
        <v>0.19</v>
      </c>
    </row>
    <row r="51" spans="1:5" x14ac:dyDescent="0.4">
      <c r="B51" t="s">
        <v>10</v>
      </c>
      <c r="C51" s="13">
        <v>2292410</v>
      </c>
      <c r="D51" s="13">
        <v>2292410</v>
      </c>
      <c r="E51" s="15">
        <v>0.35</v>
      </c>
    </row>
    <row r="52" spans="1:5" x14ac:dyDescent="0.4">
      <c r="C52" s="13"/>
      <c r="D52" s="13"/>
    </row>
    <row r="53" spans="1:5" x14ac:dyDescent="0.4">
      <c r="C53" s="13"/>
      <c r="D53" s="13"/>
    </row>
    <row r="54" spans="1:5" x14ac:dyDescent="0.4">
      <c r="C54" s="13"/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4" x14ac:dyDescent="0.4">
      <c r="D81" s="13"/>
    </row>
    <row r="82" spans="3:4" x14ac:dyDescent="0.4"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</sheetData>
  <phoneticPr fontId="2" type="noConversion"/>
  <hyperlinks>
    <hyperlink ref="A1" tooltip="Quantiwise7G" display="     Refresh     " xr:uid="{00000000-0004-0000-2F00-000000000000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3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5161</v>
      </c>
      <c r="B8" s="6"/>
      <c r="C8" s="6"/>
      <c r="D8" s="6"/>
      <c r="E8" s="14"/>
    </row>
    <row r="9" spans="1:7" x14ac:dyDescent="0.4">
      <c r="A9" s="69" t="s">
        <v>5163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45</v>
      </c>
      <c r="B11" s="17" t="s">
        <v>46</v>
      </c>
      <c r="C11" s="18">
        <v>72</v>
      </c>
      <c r="D11" s="18">
        <v>10526400</v>
      </c>
      <c r="E11" s="19">
        <v>13.37</v>
      </c>
      <c r="F11" s="17"/>
      <c r="G11" s="17"/>
    </row>
    <row r="12" spans="1:7" x14ac:dyDescent="0.4">
      <c r="A12" t="s">
        <v>35</v>
      </c>
      <c r="B12" s="17" t="s">
        <v>36</v>
      </c>
      <c r="C12" s="18">
        <v>59</v>
      </c>
      <c r="D12" s="18">
        <v>8230500</v>
      </c>
      <c r="E12" s="19">
        <v>10.45</v>
      </c>
      <c r="F12" s="17"/>
      <c r="G12" s="17"/>
    </row>
    <row r="13" spans="1:7" x14ac:dyDescent="0.4">
      <c r="A13" t="s">
        <v>41</v>
      </c>
      <c r="B13" s="17" t="s">
        <v>42</v>
      </c>
      <c r="C13" s="17">
        <v>55</v>
      </c>
      <c r="D13" s="18">
        <v>6044500</v>
      </c>
      <c r="E13" s="19">
        <v>7.68</v>
      </c>
      <c r="F13" s="17"/>
      <c r="G13" s="17"/>
    </row>
    <row r="14" spans="1:7" x14ac:dyDescent="0.4">
      <c r="A14" t="s">
        <v>647</v>
      </c>
      <c r="B14" s="17" t="s">
        <v>648</v>
      </c>
      <c r="C14" s="18">
        <v>86</v>
      </c>
      <c r="D14" s="18">
        <v>4377400</v>
      </c>
      <c r="E14" s="19">
        <v>5.56</v>
      </c>
      <c r="F14" s="17"/>
      <c r="G14" s="17"/>
    </row>
    <row r="15" spans="1:7" x14ac:dyDescent="0.4">
      <c r="A15" t="s">
        <v>33</v>
      </c>
      <c r="B15" s="17" t="s">
        <v>34</v>
      </c>
      <c r="C15" s="17">
        <v>20</v>
      </c>
      <c r="D15" s="18">
        <v>3792000</v>
      </c>
      <c r="E15" s="19">
        <v>4.82</v>
      </c>
      <c r="F15" s="17"/>
      <c r="G15" s="17"/>
    </row>
    <row r="16" spans="1:7" x14ac:dyDescent="0.4">
      <c r="A16" t="s">
        <v>49</v>
      </c>
      <c r="B16" s="17" t="s">
        <v>50</v>
      </c>
      <c r="C16" s="18">
        <v>28</v>
      </c>
      <c r="D16" s="18">
        <v>3550400</v>
      </c>
      <c r="E16" s="19">
        <v>4.51</v>
      </c>
      <c r="F16" s="17"/>
      <c r="G16" s="17"/>
    </row>
    <row r="17" spans="1:7" x14ac:dyDescent="0.4">
      <c r="A17" t="s">
        <v>31</v>
      </c>
      <c r="B17" t="s">
        <v>32</v>
      </c>
      <c r="C17" s="13">
        <v>10</v>
      </c>
      <c r="D17" s="13">
        <v>3515000</v>
      </c>
      <c r="E17" s="15">
        <v>4.46</v>
      </c>
    </row>
    <row r="18" spans="1:7" x14ac:dyDescent="0.4">
      <c r="A18" t="s">
        <v>53</v>
      </c>
      <c r="B18" s="17" t="s">
        <v>54</v>
      </c>
      <c r="C18" s="18">
        <v>8</v>
      </c>
      <c r="D18" s="18">
        <v>3492000</v>
      </c>
      <c r="E18" s="19">
        <v>4.4400000000000004</v>
      </c>
      <c r="F18" s="17"/>
      <c r="G18" s="17"/>
    </row>
    <row r="19" spans="1:7" x14ac:dyDescent="0.4">
      <c r="A19" t="s">
        <v>51</v>
      </c>
      <c r="B19" t="s">
        <v>52</v>
      </c>
      <c r="C19" s="31">
        <v>66</v>
      </c>
      <c r="D19" s="13">
        <v>3418800</v>
      </c>
      <c r="E19" s="15">
        <v>4.34</v>
      </c>
    </row>
    <row r="20" spans="1:7" x14ac:dyDescent="0.4">
      <c r="A20" t="s">
        <v>37</v>
      </c>
      <c r="B20" t="s">
        <v>38</v>
      </c>
      <c r="C20" s="31">
        <v>50</v>
      </c>
      <c r="D20" s="13">
        <v>3035000</v>
      </c>
      <c r="E20" s="15">
        <v>3.86</v>
      </c>
    </row>
    <row r="21" spans="1:7" x14ac:dyDescent="0.4">
      <c r="A21" t="s">
        <v>607</v>
      </c>
      <c r="B21" t="s">
        <v>608</v>
      </c>
      <c r="C21" s="13">
        <v>22</v>
      </c>
      <c r="D21" s="13">
        <v>2860000</v>
      </c>
      <c r="E21" s="15">
        <v>3.63</v>
      </c>
    </row>
    <row r="22" spans="1:7" x14ac:dyDescent="0.4">
      <c r="A22" t="s">
        <v>559</v>
      </c>
      <c r="B22" t="s">
        <v>560</v>
      </c>
      <c r="C22" s="31">
        <v>2</v>
      </c>
      <c r="D22" s="13">
        <v>2790000</v>
      </c>
      <c r="E22" s="15">
        <v>3.54</v>
      </c>
    </row>
    <row r="23" spans="1:7" x14ac:dyDescent="0.4">
      <c r="A23" t="s">
        <v>39</v>
      </c>
      <c r="B23" t="s">
        <v>40</v>
      </c>
      <c r="C23" s="31">
        <v>9</v>
      </c>
      <c r="D23" s="13">
        <v>2295000</v>
      </c>
      <c r="E23" s="15">
        <v>2.92</v>
      </c>
    </row>
    <row r="24" spans="1:7" x14ac:dyDescent="0.4">
      <c r="A24" t="s">
        <v>1062</v>
      </c>
      <c r="B24" t="s">
        <v>1063</v>
      </c>
      <c r="C24" s="31">
        <v>331</v>
      </c>
      <c r="D24" s="13">
        <v>1744370</v>
      </c>
      <c r="E24" s="15">
        <v>2.2200000000000002</v>
      </c>
    </row>
    <row r="25" spans="1:7" x14ac:dyDescent="0.4">
      <c r="A25" t="s">
        <v>5079</v>
      </c>
      <c r="B25" t="s">
        <v>5080</v>
      </c>
      <c r="C25" s="13">
        <v>83</v>
      </c>
      <c r="D25" s="13">
        <v>1722250</v>
      </c>
      <c r="E25" s="15">
        <v>2.19</v>
      </c>
    </row>
    <row r="26" spans="1:7" x14ac:dyDescent="0.4">
      <c r="A26" t="s">
        <v>57</v>
      </c>
      <c r="B26" t="s">
        <v>58</v>
      </c>
      <c r="C26" s="13">
        <v>38</v>
      </c>
      <c r="D26" s="13">
        <v>1483900</v>
      </c>
      <c r="E26" s="15">
        <v>1.88</v>
      </c>
    </row>
    <row r="27" spans="1:7" x14ac:dyDescent="0.4">
      <c r="A27" t="s">
        <v>4286</v>
      </c>
      <c r="B27" t="s">
        <v>4287</v>
      </c>
      <c r="C27" s="13">
        <v>44</v>
      </c>
      <c r="D27" s="13">
        <v>1293600</v>
      </c>
      <c r="E27" s="15">
        <v>1.64</v>
      </c>
    </row>
    <row r="28" spans="1:7" x14ac:dyDescent="0.4">
      <c r="A28" t="s">
        <v>537</v>
      </c>
      <c r="B28" t="s">
        <v>538</v>
      </c>
      <c r="C28" s="13">
        <v>18</v>
      </c>
      <c r="D28" s="13">
        <v>1179000</v>
      </c>
      <c r="E28" s="15">
        <v>1.5</v>
      </c>
    </row>
    <row r="29" spans="1:7" x14ac:dyDescent="0.4">
      <c r="A29" t="s">
        <v>637</v>
      </c>
      <c r="B29" t="s">
        <v>638</v>
      </c>
      <c r="C29" s="13">
        <v>18</v>
      </c>
      <c r="D29" s="13">
        <v>1022400</v>
      </c>
      <c r="E29" s="15">
        <v>1.3</v>
      </c>
    </row>
    <row r="30" spans="1:7" x14ac:dyDescent="0.4">
      <c r="A30" t="s">
        <v>67</v>
      </c>
      <c r="B30" t="s">
        <v>68</v>
      </c>
      <c r="C30" s="31">
        <v>21</v>
      </c>
      <c r="D30" s="13">
        <v>966000</v>
      </c>
      <c r="E30" s="15">
        <v>1.23</v>
      </c>
    </row>
    <row r="31" spans="1:7" x14ac:dyDescent="0.4">
      <c r="A31" t="s">
        <v>681</v>
      </c>
      <c r="B31" t="s">
        <v>682</v>
      </c>
      <c r="C31">
        <v>4</v>
      </c>
      <c r="D31" s="13">
        <v>956000</v>
      </c>
      <c r="E31" s="15">
        <v>1.21</v>
      </c>
    </row>
    <row r="32" spans="1:7" x14ac:dyDescent="0.4">
      <c r="A32" t="s">
        <v>4796</v>
      </c>
      <c r="B32" t="s">
        <v>4797</v>
      </c>
      <c r="C32" s="13">
        <v>98</v>
      </c>
      <c r="D32" s="13">
        <v>913360</v>
      </c>
      <c r="E32" s="15">
        <v>1.1599999999999999</v>
      </c>
    </row>
    <row r="33" spans="1:5" x14ac:dyDescent="0.4">
      <c r="A33" t="s">
        <v>563</v>
      </c>
      <c r="B33" t="s">
        <v>564</v>
      </c>
      <c r="C33" s="13">
        <v>23</v>
      </c>
      <c r="D33" s="13">
        <v>913100</v>
      </c>
      <c r="E33" s="15">
        <v>1.1599999999999999</v>
      </c>
    </row>
    <row r="34" spans="1:5" x14ac:dyDescent="0.4">
      <c r="A34" t="s">
        <v>43</v>
      </c>
      <c r="B34" t="s">
        <v>44</v>
      </c>
      <c r="C34">
        <v>8</v>
      </c>
      <c r="D34" s="13">
        <v>756800</v>
      </c>
      <c r="E34" s="15">
        <v>0.96</v>
      </c>
    </row>
    <row r="35" spans="1:5" x14ac:dyDescent="0.4">
      <c r="A35" t="s">
        <v>4483</v>
      </c>
      <c r="B35" t="s">
        <v>4484</v>
      </c>
      <c r="C35" s="13">
        <v>72</v>
      </c>
      <c r="D35" s="13">
        <v>687600</v>
      </c>
      <c r="E35" s="15">
        <v>0.87</v>
      </c>
    </row>
    <row r="36" spans="1:5" x14ac:dyDescent="0.4">
      <c r="A36" t="s">
        <v>4548</v>
      </c>
      <c r="B36" t="s">
        <v>4549</v>
      </c>
      <c r="C36" s="13">
        <v>34</v>
      </c>
      <c r="D36" s="13">
        <v>614040</v>
      </c>
      <c r="E36" s="15">
        <v>0.78</v>
      </c>
    </row>
    <row r="37" spans="1:5" x14ac:dyDescent="0.4">
      <c r="A37" t="s">
        <v>4637</v>
      </c>
      <c r="B37" t="s">
        <v>4638</v>
      </c>
      <c r="C37" s="13">
        <v>51</v>
      </c>
      <c r="D37" s="13">
        <v>587520</v>
      </c>
      <c r="E37" s="15">
        <v>0.75</v>
      </c>
    </row>
    <row r="38" spans="1:5" x14ac:dyDescent="0.4">
      <c r="A38" t="s">
        <v>693</v>
      </c>
      <c r="B38" t="s">
        <v>694</v>
      </c>
      <c r="C38" s="13">
        <v>33</v>
      </c>
      <c r="D38" s="13">
        <v>433290</v>
      </c>
      <c r="E38" s="15">
        <v>0.55000000000000004</v>
      </c>
    </row>
    <row r="39" spans="1:5" x14ac:dyDescent="0.4">
      <c r="A39" t="s">
        <v>565</v>
      </c>
      <c r="B39" t="s">
        <v>566</v>
      </c>
      <c r="C39" s="13">
        <v>4</v>
      </c>
      <c r="D39" s="13">
        <v>236000</v>
      </c>
      <c r="E39" s="15">
        <v>0.3</v>
      </c>
    </row>
    <row r="40" spans="1:5" x14ac:dyDescent="0.4">
      <c r="A40" t="s">
        <v>4778</v>
      </c>
      <c r="B40" t="s">
        <v>4779</v>
      </c>
      <c r="C40" s="13">
        <v>56</v>
      </c>
      <c r="D40" s="13">
        <v>204400</v>
      </c>
      <c r="E40" s="15">
        <v>0.26</v>
      </c>
    </row>
    <row r="41" spans="1:5" x14ac:dyDescent="0.4">
      <c r="B41" t="s">
        <v>10</v>
      </c>
      <c r="C41" s="13">
        <v>5085903</v>
      </c>
      <c r="D41" s="13">
        <v>5085903</v>
      </c>
      <c r="E41" s="15">
        <v>6.46</v>
      </c>
    </row>
    <row r="42" spans="1:5" x14ac:dyDescent="0.4">
      <c r="C42" s="13"/>
      <c r="D42" s="13"/>
    </row>
    <row r="43" spans="1:5" x14ac:dyDescent="0.4">
      <c r="D43" s="1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000-000000000000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5161</v>
      </c>
      <c r="B8" s="6"/>
      <c r="C8" s="6"/>
      <c r="D8" s="6"/>
      <c r="E8" s="14"/>
    </row>
    <row r="9" spans="1:5" x14ac:dyDescent="0.4">
      <c r="A9" s="69" t="s">
        <v>5163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45</v>
      </c>
      <c r="B11" t="s">
        <v>46</v>
      </c>
      <c r="C11" s="13">
        <v>72</v>
      </c>
      <c r="D11" s="13">
        <v>12009600</v>
      </c>
      <c r="E11" s="15">
        <v>13.77</v>
      </c>
    </row>
    <row r="12" spans="1:5" x14ac:dyDescent="0.4">
      <c r="A12" t="s">
        <v>35</v>
      </c>
      <c r="B12" t="s">
        <v>36</v>
      </c>
      <c r="C12" s="31">
        <v>61</v>
      </c>
      <c r="D12" s="13">
        <v>11675400</v>
      </c>
      <c r="E12" s="15">
        <v>13.39</v>
      </c>
    </row>
    <row r="13" spans="1:5" x14ac:dyDescent="0.4">
      <c r="A13" t="s">
        <v>41</v>
      </c>
      <c r="B13" t="s">
        <v>42</v>
      </c>
      <c r="C13">
        <v>55</v>
      </c>
      <c r="D13" s="13">
        <v>6561500</v>
      </c>
      <c r="E13" s="15">
        <v>7.52</v>
      </c>
    </row>
    <row r="14" spans="1:5" x14ac:dyDescent="0.4">
      <c r="A14" t="s">
        <v>31</v>
      </c>
      <c r="B14" t="s">
        <v>32</v>
      </c>
      <c r="C14">
        <v>12</v>
      </c>
      <c r="D14" s="13">
        <v>4428000</v>
      </c>
      <c r="E14" s="15">
        <v>5.08</v>
      </c>
    </row>
    <row r="15" spans="1:5" x14ac:dyDescent="0.4">
      <c r="A15" t="s">
        <v>51</v>
      </c>
      <c r="B15" t="s">
        <v>52</v>
      </c>
      <c r="C15" s="31">
        <v>66</v>
      </c>
      <c r="D15" s="13">
        <v>4019400</v>
      </c>
      <c r="E15" s="15">
        <v>4.6100000000000003</v>
      </c>
    </row>
    <row r="16" spans="1:5" x14ac:dyDescent="0.4">
      <c r="A16" t="s">
        <v>647</v>
      </c>
      <c r="B16" t="s">
        <v>648</v>
      </c>
      <c r="C16" s="31">
        <v>86</v>
      </c>
      <c r="D16" s="13">
        <v>3986100</v>
      </c>
      <c r="E16" s="15">
        <v>4.57</v>
      </c>
    </row>
    <row r="17" spans="1:5" x14ac:dyDescent="0.4">
      <c r="A17" t="s">
        <v>53</v>
      </c>
      <c r="B17" t="s">
        <v>54</v>
      </c>
      <c r="C17" s="31">
        <v>8</v>
      </c>
      <c r="D17" s="13">
        <v>3780000</v>
      </c>
      <c r="E17" s="15">
        <v>4.33</v>
      </c>
    </row>
    <row r="18" spans="1:5" x14ac:dyDescent="0.4">
      <c r="A18" t="s">
        <v>33</v>
      </c>
      <c r="B18" t="s">
        <v>34</v>
      </c>
      <c r="C18" s="13">
        <v>20</v>
      </c>
      <c r="D18" s="13">
        <v>3776000</v>
      </c>
      <c r="E18" s="15">
        <v>4.33</v>
      </c>
    </row>
    <row r="19" spans="1:5" x14ac:dyDescent="0.4">
      <c r="A19" t="s">
        <v>49</v>
      </c>
      <c r="B19" t="s">
        <v>50</v>
      </c>
      <c r="C19" s="13">
        <v>28</v>
      </c>
      <c r="D19" s="13">
        <v>3679200</v>
      </c>
      <c r="E19" s="15">
        <v>4.22</v>
      </c>
    </row>
    <row r="20" spans="1:5" x14ac:dyDescent="0.4">
      <c r="A20" t="s">
        <v>37</v>
      </c>
      <c r="B20" t="s">
        <v>38</v>
      </c>
      <c r="C20">
        <v>50</v>
      </c>
      <c r="D20" s="13">
        <v>3440000</v>
      </c>
      <c r="E20" s="15">
        <v>3.94</v>
      </c>
    </row>
    <row r="21" spans="1:5" x14ac:dyDescent="0.4">
      <c r="A21" t="s">
        <v>607</v>
      </c>
      <c r="B21" t="s">
        <v>608</v>
      </c>
      <c r="C21" s="13">
        <v>22</v>
      </c>
      <c r="D21" s="13">
        <v>3249400</v>
      </c>
      <c r="E21" s="15">
        <v>3.73</v>
      </c>
    </row>
    <row r="22" spans="1:5" x14ac:dyDescent="0.4">
      <c r="A22" t="s">
        <v>559</v>
      </c>
      <c r="B22" t="s">
        <v>560</v>
      </c>
      <c r="C22">
        <v>2</v>
      </c>
      <c r="D22" s="13">
        <v>2838000</v>
      </c>
      <c r="E22" s="15">
        <v>3.25</v>
      </c>
    </row>
    <row r="23" spans="1:5" x14ac:dyDescent="0.4">
      <c r="A23" t="s">
        <v>39</v>
      </c>
      <c r="B23" t="s">
        <v>40</v>
      </c>
      <c r="C23" s="31">
        <v>8</v>
      </c>
      <c r="D23" s="13">
        <v>2128000</v>
      </c>
      <c r="E23" s="15">
        <v>2.44</v>
      </c>
    </row>
    <row r="24" spans="1:5" x14ac:dyDescent="0.4">
      <c r="A24" t="s">
        <v>1062</v>
      </c>
      <c r="B24" t="s">
        <v>1063</v>
      </c>
      <c r="C24" s="31">
        <v>331</v>
      </c>
      <c r="D24" s="13">
        <v>1886700</v>
      </c>
      <c r="E24" s="15">
        <v>2.16</v>
      </c>
    </row>
    <row r="25" spans="1:5" x14ac:dyDescent="0.4">
      <c r="A25" t="s">
        <v>57</v>
      </c>
      <c r="B25" t="s">
        <v>58</v>
      </c>
      <c r="C25" s="13">
        <v>38</v>
      </c>
      <c r="D25" s="13">
        <v>1793600</v>
      </c>
      <c r="E25" s="15">
        <v>2.06</v>
      </c>
    </row>
    <row r="26" spans="1:5" x14ac:dyDescent="0.4">
      <c r="A26" t="s">
        <v>5079</v>
      </c>
      <c r="B26" t="s">
        <v>5080</v>
      </c>
      <c r="C26">
        <v>83</v>
      </c>
      <c r="D26" s="13">
        <v>1620990</v>
      </c>
      <c r="E26" s="15">
        <v>1.86</v>
      </c>
    </row>
    <row r="27" spans="1:5" x14ac:dyDescent="0.4">
      <c r="A27" t="s">
        <v>4286</v>
      </c>
      <c r="B27" t="s">
        <v>4287</v>
      </c>
      <c r="C27" s="13">
        <v>44</v>
      </c>
      <c r="D27" s="13">
        <v>1403600</v>
      </c>
      <c r="E27" s="15">
        <v>1.61</v>
      </c>
    </row>
    <row r="28" spans="1:5" x14ac:dyDescent="0.4">
      <c r="A28" t="s">
        <v>537</v>
      </c>
      <c r="B28" t="s">
        <v>538</v>
      </c>
      <c r="C28">
        <v>18</v>
      </c>
      <c r="D28" s="13">
        <v>1368000</v>
      </c>
      <c r="E28" s="15">
        <v>1.57</v>
      </c>
    </row>
    <row r="29" spans="1:5" x14ac:dyDescent="0.4">
      <c r="A29" t="s">
        <v>693</v>
      </c>
      <c r="B29" t="s">
        <v>694</v>
      </c>
      <c r="C29" s="13">
        <v>71</v>
      </c>
      <c r="D29" s="13">
        <v>1285810</v>
      </c>
      <c r="E29" s="15">
        <v>1.47</v>
      </c>
    </row>
    <row r="30" spans="1:5" x14ac:dyDescent="0.4">
      <c r="A30" t="s">
        <v>637</v>
      </c>
      <c r="B30" t="s">
        <v>638</v>
      </c>
      <c r="C30" s="13">
        <v>18</v>
      </c>
      <c r="D30" s="13">
        <v>1195200</v>
      </c>
      <c r="E30" s="15">
        <v>1.37</v>
      </c>
    </row>
    <row r="31" spans="1:5" x14ac:dyDescent="0.4">
      <c r="A31" t="s">
        <v>67</v>
      </c>
      <c r="B31" t="s">
        <v>68</v>
      </c>
      <c r="C31" s="13">
        <v>21</v>
      </c>
      <c r="D31" s="13">
        <v>1115100</v>
      </c>
      <c r="E31" s="15">
        <v>1.28</v>
      </c>
    </row>
    <row r="32" spans="1:5" x14ac:dyDescent="0.4">
      <c r="A32" t="s">
        <v>4796</v>
      </c>
      <c r="B32" t="s">
        <v>4797</v>
      </c>
      <c r="C32" s="13">
        <v>98</v>
      </c>
      <c r="D32" s="13">
        <v>1006460</v>
      </c>
      <c r="E32" s="15">
        <v>1.1499999999999999</v>
      </c>
    </row>
    <row r="33" spans="1:5" x14ac:dyDescent="0.4">
      <c r="A33" t="s">
        <v>681</v>
      </c>
      <c r="B33" t="s">
        <v>682</v>
      </c>
      <c r="C33">
        <v>3</v>
      </c>
      <c r="D33" s="13">
        <v>778500</v>
      </c>
      <c r="E33" s="15">
        <v>0.89</v>
      </c>
    </row>
    <row r="34" spans="1:5" x14ac:dyDescent="0.4">
      <c r="A34" t="s">
        <v>4483</v>
      </c>
      <c r="B34" t="s">
        <v>4484</v>
      </c>
      <c r="C34" s="13">
        <v>74</v>
      </c>
      <c r="D34" s="13">
        <v>734820</v>
      </c>
      <c r="E34" s="15">
        <v>0.84</v>
      </c>
    </row>
    <row r="35" spans="1:5" x14ac:dyDescent="0.4">
      <c r="A35" t="s">
        <v>563</v>
      </c>
      <c r="B35" t="s">
        <v>564</v>
      </c>
      <c r="C35">
        <v>18</v>
      </c>
      <c r="D35" s="13">
        <v>706500</v>
      </c>
      <c r="E35" s="15">
        <v>0.81</v>
      </c>
    </row>
    <row r="36" spans="1:5" x14ac:dyDescent="0.4">
      <c r="A36" t="s">
        <v>4548</v>
      </c>
      <c r="B36" t="s">
        <v>4549</v>
      </c>
      <c r="C36" s="13">
        <v>35</v>
      </c>
      <c r="D36" s="13">
        <v>694400</v>
      </c>
      <c r="E36" s="15">
        <v>0.8</v>
      </c>
    </row>
    <row r="37" spans="1:5" x14ac:dyDescent="0.4">
      <c r="A37" t="s">
        <v>4637</v>
      </c>
      <c r="B37" t="s">
        <v>4638</v>
      </c>
      <c r="C37" s="13">
        <v>51</v>
      </c>
      <c r="D37" s="13">
        <v>650250</v>
      </c>
      <c r="E37" s="15">
        <v>0.75</v>
      </c>
    </row>
    <row r="38" spans="1:5" x14ac:dyDescent="0.4">
      <c r="A38" t="s">
        <v>43</v>
      </c>
      <c r="B38" t="s">
        <v>44</v>
      </c>
      <c r="C38" s="13">
        <v>6</v>
      </c>
      <c r="D38" s="13">
        <v>579600</v>
      </c>
      <c r="E38" s="15">
        <v>0.66</v>
      </c>
    </row>
    <row r="39" spans="1:5" x14ac:dyDescent="0.4">
      <c r="A39" t="s">
        <v>565</v>
      </c>
      <c r="B39" t="s">
        <v>566</v>
      </c>
      <c r="C39">
        <v>4</v>
      </c>
      <c r="D39" s="13">
        <v>261600</v>
      </c>
      <c r="E39" s="15">
        <v>0.3</v>
      </c>
    </row>
    <row r="40" spans="1:5" x14ac:dyDescent="0.4">
      <c r="A40" t="s">
        <v>4778</v>
      </c>
      <c r="B40" t="s">
        <v>4779</v>
      </c>
      <c r="C40" s="13">
        <v>56</v>
      </c>
      <c r="D40" s="13">
        <v>220360</v>
      </c>
      <c r="E40" s="15">
        <v>0.25</v>
      </c>
    </row>
    <row r="41" spans="1:5" x14ac:dyDescent="0.4">
      <c r="B41" t="s">
        <v>10</v>
      </c>
      <c r="C41" s="13">
        <v>4343183</v>
      </c>
      <c r="D41" s="13">
        <v>4343183</v>
      </c>
      <c r="E41" s="15">
        <v>4.9800000000000004</v>
      </c>
    </row>
    <row r="42" spans="1:5" x14ac:dyDescent="0.4"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100-000000000000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3"/>
  <sheetViews>
    <sheetView showGridLines="0" topLeftCell="F35" zoomScale="115" zoomScaleNormal="115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29</v>
      </c>
      <c r="B8" s="6"/>
      <c r="C8" s="6"/>
      <c r="D8" s="6"/>
      <c r="E8" s="14"/>
    </row>
    <row r="9" spans="1:7" x14ac:dyDescent="0.4">
      <c r="A9" s="69" t="s">
        <v>663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33</v>
      </c>
      <c r="B11" s="17" t="s">
        <v>34</v>
      </c>
      <c r="C11" s="18">
        <v>601</v>
      </c>
      <c r="D11" s="18">
        <v>113949600</v>
      </c>
      <c r="E11" s="19">
        <v>14.81</v>
      </c>
      <c r="F11" s="17"/>
      <c r="G11" s="17"/>
    </row>
    <row r="12" spans="1:7" x14ac:dyDescent="0.4">
      <c r="A12" t="s">
        <v>31</v>
      </c>
      <c r="B12" s="17" t="s">
        <v>32</v>
      </c>
      <c r="C12" s="31">
        <v>220</v>
      </c>
      <c r="D12" s="13">
        <v>77330000</v>
      </c>
      <c r="E12" s="15">
        <v>10.050000000000001</v>
      </c>
    </row>
    <row r="13" spans="1:7" x14ac:dyDescent="0.4">
      <c r="A13" t="s">
        <v>559</v>
      </c>
      <c r="B13" t="s">
        <v>560</v>
      </c>
      <c r="C13">
        <v>40</v>
      </c>
      <c r="D13" s="13">
        <v>55800000</v>
      </c>
      <c r="E13" s="15">
        <v>7.25</v>
      </c>
    </row>
    <row r="14" spans="1:7" x14ac:dyDescent="0.4">
      <c r="A14" t="s">
        <v>45</v>
      </c>
      <c r="B14" s="17" t="s">
        <v>46</v>
      </c>
      <c r="C14" s="17">
        <v>348</v>
      </c>
      <c r="D14" s="18">
        <v>50877600</v>
      </c>
      <c r="E14" s="19">
        <v>6.61</v>
      </c>
      <c r="F14" s="17"/>
      <c r="G14" s="17"/>
    </row>
    <row r="15" spans="1:7" x14ac:dyDescent="0.4">
      <c r="A15" t="s">
        <v>53</v>
      </c>
      <c r="B15" s="17" t="s">
        <v>54</v>
      </c>
      <c r="C15" s="31">
        <v>100</v>
      </c>
      <c r="D15" s="13">
        <v>43650000</v>
      </c>
      <c r="E15" s="15">
        <v>5.67</v>
      </c>
    </row>
    <row r="16" spans="1:7" x14ac:dyDescent="0.4">
      <c r="A16" t="s">
        <v>35</v>
      </c>
      <c r="B16" t="s">
        <v>36</v>
      </c>
      <c r="C16" s="31">
        <v>301</v>
      </c>
      <c r="D16" s="13">
        <v>41989500</v>
      </c>
      <c r="E16" s="15">
        <v>5.46</v>
      </c>
    </row>
    <row r="17" spans="1:7" x14ac:dyDescent="0.4">
      <c r="A17" t="s">
        <v>49</v>
      </c>
      <c r="B17" s="17" t="s">
        <v>50</v>
      </c>
      <c r="C17" s="31">
        <v>250</v>
      </c>
      <c r="D17" s="13">
        <v>31700000</v>
      </c>
      <c r="E17" s="15">
        <v>4.12</v>
      </c>
    </row>
    <row r="18" spans="1:7" x14ac:dyDescent="0.4">
      <c r="A18" t="s">
        <v>41</v>
      </c>
      <c r="B18" t="s">
        <v>42</v>
      </c>
      <c r="C18" s="13">
        <v>250</v>
      </c>
      <c r="D18" s="13">
        <v>27475000</v>
      </c>
      <c r="E18" s="15">
        <v>3.57</v>
      </c>
    </row>
    <row r="19" spans="1:7" x14ac:dyDescent="0.4">
      <c r="A19" t="s">
        <v>51</v>
      </c>
      <c r="B19" s="17" t="s">
        <v>52</v>
      </c>
      <c r="C19" s="18">
        <v>475</v>
      </c>
      <c r="D19" s="18">
        <v>24605000</v>
      </c>
      <c r="E19" s="19">
        <v>3.2</v>
      </c>
      <c r="F19" s="17"/>
      <c r="G19" s="17"/>
    </row>
    <row r="20" spans="1:7" x14ac:dyDescent="0.4">
      <c r="A20" t="s">
        <v>607</v>
      </c>
      <c r="B20" t="s">
        <v>608</v>
      </c>
      <c r="C20">
        <v>151</v>
      </c>
      <c r="D20" s="13">
        <v>19630000</v>
      </c>
      <c r="E20" s="15">
        <v>2.5499999999999998</v>
      </c>
    </row>
    <row r="21" spans="1:7" x14ac:dyDescent="0.4">
      <c r="A21" t="s">
        <v>561</v>
      </c>
      <c r="B21" t="s">
        <v>562</v>
      </c>
      <c r="C21" s="13">
        <v>40</v>
      </c>
      <c r="D21" s="13">
        <v>19400000</v>
      </c>
      <c r="E21" s="15">
        <v>2.52</v>
      </c>
    </row>
    <row r="22" spans="1:7" x14ac:dyDescent="0.4">
      <c r="A22" t="s">
        <v>615</v>
      </c>
      <c r="B22" t="s">
        <v>616</v>
      </c>
      <c r="C22">
        <v>400</v>
      </c>
      <c r="D22" s="13">
        <v>19360000</v>
      </c>
      <c r="E22" s="15">
        <v>2.52</v>
      </c>
    </row>
    <row r="23" spans="1:7" x14ac:dyDescent="0.4">
      <c r="A23" t="s">
        <v>664</v>
      </c>
      <c r="B23" t="s">
        <v>665</v>
      </c>
      <c r="C23" s="31">
        <v>398</v>
      </c>
      <c r="D23" s="13">
        <v>18626400</v>
      </c>
      <c r="E23" s="15">
        <v>2.42</v>
      </c>
    </row>
    <row r="24" spans="1:7" x14ac:dyDescent="0.4">
      <c r="A24" t="s">
        <v>637</v>
      </c>
      <c r="B24" t="s">
        <v>638</v>
      </c>
      <c r="C24" s="31">
        <v>300</v>
      </c>
      <c r="D24" s="13">
        <v>17040000</v>
      </c>
      <c r="E24" s="15">
        <v>2.2200000000000002</v>
      </c>
    </row>
    <row r="25" spans="1:7" x14ac:dyDescent="0.4">
      <c r="A25" t="s">
        <v>681</v>
      </c>
      <c r="B25" t="s">
        <v>682</v>
      </c>
      <c r="C25">
        <v>60</v>
      </c>
      <c r="D25" s="13">
        <v>14340000</v>
      </c>
      <c r="E25" s="15">
        <v>1.86</v>
      </c>
    </row>
    <row r="26" spans="1:7" x14ac:dyDescent="0.4">
      <c r="A26" t="s">
        <v>470</v>
      </c>
      <c r="B26" t="s">
        <v>5181</v>
      </c>
      <c r="C26">
        <v>401</v>
      </c>
      <c r="D26" s="13">
        <v>13754300</v>
      </c>
      <c r="E26" s="15">
        <v>1.79</v>
      </c>
    </row>
    <row r="27" spans="1:7" x14ac:dyDescent="0.4">
      <c r="A27" t="s">
        <v>619</v>
      </c>
      <c r="B27" t="s">
        <v>620</v>
      </c>
      <c r="C27" s="13">
        <v>201</v>
      </c>
      <c r="D27" s="13">
        <v>13627800</v>
      </c>
      <c r="E27" s="15">
        <v>1.77</v>
      </c>
    </row>
    <row r="28" spans="1:7" x14ac:dyDescent="0.4">
      <c r="A28" t="s">
        <v>547</v>
      </c>
      <c r="B28" s="17" t="s">
        <v>548</v>
      </c>
      <c r="C28" s="17">
        <v>276</v>
      </c>
      <c r="D28" s="18">
        <v>13289400</v>
      </c>
      <c r="E28" s="19">
        <v>1.73</v>
      </c>
      <c r="F28" s="17"/>
      <c r="G28" s="17"/>
    </row>
    <row r="29" spans="1:7" x14ac:dyDescent="0.4">
      <c r="A29" t="s">
        <v>537</v>
      </c>
      <c r="B29" t="s">
        <v>538</v>
      </c>
      <c r="C29">
        <v>200</v>
      </c>
      <c r="D29" s="13">
        <v>13100000</v>
      </c>
      <c r="E29" s="15">
        <v>1.7</v>
      </c>
    </row>
    <row r="30" spans="1:7" x14ac:dyDescent="0.4">
      <c r="A30" t="s">
        <v>55</v>
      </c>
      <c r="B30" t="s">
        <v>56</v>
      </c>
      <c r="C30" s="13">
        <v>50</v>
      </c>
      <c r="D30" s="13">
        <v>12950000</v>
      </c>
      <c r="E30" s="15">
        <v>1.68</v>
      </c>
    </row>
    <row r="31" spans="1:7" x14ac:dyDescent="0.4">
      <c r="A31" t="s">
        <v>39</v>
      </c>
      <c r="B31" t="s">
        <v>40</v>
      </c>
      <c r="C31" s="13">
        <v>50</v>
      </c>
      <c r="D31" s="13">
        <v>12750000</v>
      </c>
      <c r="E31" s="15">
        <v>1.66</v>
      </c>
    </row>
    <row r="32" spans="1:7" x14ac:dyDescent="0.4">
      <c r="A32" t="s">
        <v>57</v>
      </c>
      <c r="B32" t="s">
        <v>58</v>
      </c>
      <c r="C32" s="13">
        <v>301</v>
      </c>
      <c r="D32" s="13">
        <v>11754050</v>
      </c>
      <c r="E32" s="15">
        <v>1.53</v>
      </c>
    </row>
    <row r="33" spans="1:7" x14ac:dyDescent="0.4">
      <c r="A33" t="s">
        <v>61</v>
      </c>
      <c r="B33" t="s">
        <v>62</v>
      </c>
      <c r="C33">
        <v>30</v>
      </c>
      <c r="D33" s="13">
        <v>8805000</v>
      </c>
      <c r="E33" s="15">
        <v>1.1399999999999999</v>
      </c>
    </row>
    <row r="34" spans="1:7" x14ac:dyDescent="0.4">
      <c r="A34" t="s">
        <v>687</v>
      </c>
      <c r="B34" t="s">
        <v>688</v>
      </c>
      <c r="C34" s="13">
        <v>102</v>
      </c>
      <c r="D34" s="13">
        <v>8568000</v>
      </c>
      <c r="E34" s="15">
        <v>1.1100000000000001</v>
      </c>
    </row>
    <row r="35" spans="1:7" x14ac:dyDescent="0.4">
      <c r="A35" t="s">
        <v>59</v>
      </c>
      <c r="B35" s="17" t="s">
        <v>60</v>
      </c>
      <c r="C35" s="17">
        <v>399</v>
      </c>
      <c r="D35" s="18">
        <v>8478750</v>
      </c>
      <c r="E35" s="19">
        <v>1.1000000000000001</v>
      </c>
      <c r="F35" s="17"/>
      <c r="G35" s="17"/>
    </row>
    <row r="36" spans="1:7" x14ac:dyDescent="0.4">
      <c r="A36" t="s">
        <v>751</v>
      </c>
      <c r="B36" t="s">
        <v>752</v>
      </c>
      <c r="C36" s="13">
        <v>100</v>
      </c>
      <c r="D36" s="13">
        <v>8410000</v>
      </c>
      <c r="E36" s="15">
        <v>1.0900000000000001</v>
      </c>
    </row>
    <row r="37" spans="1:7" x14ac:dyDescent="0.4">
      <c r="A37" t="s">
        <v>47</v>
      </c>
      <c r="B37" t="s">
        <v>48</v>
      </c>
      <c r="C37" s="13">
        <v>194</v>
      </c>
      <c r="D37" s="13">
        <v>7275000</v>
      </c>
      <c r="E37" s="15">
        <v>0.95</v>
      </c>
    </row>
    <row r="38" spans="1:7" x14ac:dyDescent="0.4">
      <c r="A38" t="s">
        <v>689</v>
      </c>
      <c r="B38" t="s">
        <v>690</v>
      </c>
      <c r="C38" s="13">
        <v>203</v>
      </c>
      <c r="D38" s="13">
        <v>6841100</v>
      </c>
      <c r="E38" s="15">
        <v>0.89</v>
      </c>
    </row>
    <row r="39" spans="1:7" x14ac:dyDescent="0.4">
      <c r="A39" t="s">
        <v>647</v>
      </c>
      <c r="B39" t="s">
        <v>648</v>
      </c>
      <c r="C39" s="13">
        <v>121</v>
      </c>
      <c r="D39" s="13">
        <v>6158900</v>
      </c>
      <c r="E39" s="15">
        <v>0.8</v>
      </c>
    </row>
    <row r="40" spans="1:7" x14ac:dyDescent="0.4">
      <c r="A40" t="s">
        <v>37</v>
      </c>
      <c r="B40" t="s">
        <v>38</v>
      </c>
      <c r="C40" s="13">
        <v>99</v>
      </c>
      <c r="D40" s="13">
        <v>6009300</v>
      </c>
      <c r="E40" s="15">
        <v>0.78</v>
      </c>
    </row>
    <row r="41" spans="1:7" x14ac:dyDescent="0.4">
      <c r="A41" t="s">
        <v>563</v>
      </c>
      <c r="B41" t="s">
        <v>564</v>
      </c>
      <c r="C41" s="13">
        <v>150</v>
      </c>
      <c r="D41" s="13">
        <v>5955000</v>
      </c>
      <c r="E41" s="15">
        <v>0.77</v>
      </c>
    </row>
    <row r="42" spans="1:7" x14ac:dyDescent="0.4">
      <c r="A42" t="s">
        <v>5172</v>
      </c>
      <c r="B42" s="17" t="s">
        <v>5173</v>
      </c>
      <c r="C42" s="18">
        <v>201</v>
      </c>
      <c r="D42" s="18">
        <v>5135550</v>
      </c>
      <c r="E42" s="19">
        <v>0.67</v>
      </c>
      <c r="F42" s="17"/>
      <c r="G42" s="17"/>
    </row>
    <row r="43" spans="1:7" x14ac:dyDescent="0.4">
      <c r="A43" t="s">
        <v>709</v>
      </c>
      <c r="B43" s="17" t="s">
        <v>710</v>
      </c>
      <c r="C43" s="18">
        <v>102</v>
      </c>
      <c r="D43" s="18">
        <v>4544100</v>
      </c>
      <c r="E43" s="19">
        <v>0.59</v>
      </c>
      <c r="F43" s="17"/>
      <c r="G43" s="17"/>
    </row>
    <row r="44" spans="1:7" x14ac:dyDescent="0.4">
      <c r="A44" t="s">
        <v>743</v>
      </c>
      <c r="B44" t="s">
        <v>744</v>
      </c>
      <c r="C44">
        <v>101</v>
      </c>
      <c r="D44" s="13">
        <v>4403600</v>
      </c>
      <c r="E44" s="15">
        <v>0.56999999999999995</v>
      </c>
    </row>
    <row r="45" spans="1:7" x14ac:dyDescent="0.4">
      <c r="A45" t="s">
        <v>504</v>
      </c>
      <c r="B45" t="s">
        <v>505</v>
      </c>
      <c r="C45" s="13">
        <v>101</v>
      </c>
      <c r="D45" s="13">
        <v>4221800</v>
      </c>
      <c r="E45" s="15">
        <v>0.55000000000000004</v>
      </c>
    </row>
    <row r="46" spans="1:7" x14ac:dyDescent="0.4">
      <c r="A46" t="s">
        <v>4637</v>
      </c>
      <c r="B46" t="s">
        <v>4638</v>
      </c>
      <c r="C46" s="13">
        <v>200</v>
      </c>
      <c r="D46" s="13">
        <v>2304000</v>
      </c>
      <c r="E46" s="15">
        <v>0.3</v>
      </c>
    </row>
    <row r="47" spans="1:7" x14ac:dyDescent="0.4">
      <c r="B47" t="s">
        <v>10</v>
      </c>
      <c r="C47" s="13">
        <v>15183503</v>
      </c>
      <c r="D47" s="13">
        <v>15183503</v>
      </c>
      <c r="E47" s="15">
        <v>1.97</v>
      </c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C55" s="13"/>
      <c r="D55" s="13"/>
      <c r="E55" s="15"/>
    </row>
    <row r="56" spans="3:5" x14ac:dyDescent="0.4">
      <c r="C56" s="13"/>
      <c r="D56" s="13"/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200-000000000000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29</v>
      </c>
      <c r="B8" s="6"/>
      <c r="C8" s="6"/>
      <c r="D8" s="6"/>
      <c r="E8" s="14"/>
    </row>
    <row r="9" spans="1:5" x14ac:dyDescent="0.4">
      <c r="A9" s="69" t="s">
        <v>663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33</v>
      </c>
      <c r="B11" t="s">
        <v>34</v>
      </c>
      <c r="C11" s="13">
        <v>601</v>
      </c>
      <c r="D11" s="13">
        <v>113468800</v>
      </c>
      <c r="E11" s="15">
        <v>13.61</v>
      </c>
    </row>
    <row r="12" spans="1:5" x14ac:dyDescent="0.4">
      <c r="A12" t="s">
        <v>31</v>
      </c>
      <c r="B12" t="s">
        <v>32</v>
      </c>
      <c r="C12" s="31">
        <v>220</v>
      </c>
      <c r="D12" s="13">
        <v>81180000</v>
      </c>
      <c r="E12" s="15">
        <v>9.74</v>
      </c>
    </row>
    <row r="13" spans="1:5" x14ac:dyDescent="0.4">
      <c r="A13" t="s">
        <v>45</v>
      </c>
      <c r="B13" t="s">
        <v>46</v>
      </c>
      <c r="C13">
        <v>348</v>
      </c>
      <c r="D13" s="13">
        <v>58046400</v>
      </c>
      <c r="E13" s="15">
        <v>6.96</v>
      </c>
    </row>
    <row r="14" spans="1:5" x14ac:dyDescent="0.4">
      <c r="A14" t="s">
        <v>35</v>
      </c>
      <c r="B14" t="s">
        <v>36</v>
      </c>
      <c r="C14">
        <v>301</v>
      </c>
      <c r="D14" s="13">
        <v>57611400</v>
      </c>
      <c r="E14" s="15">
        <v>6.91</v>
      </c>
    </row>
    <row r="15" spans="1:5" x14ac:dyDescent="0.4">
      <c r="A15" t="s">
        <v>559</v>
      </c>
      <c r="B15" t="s">
        <v>560</v>
      </c>
      <c r="C15" s="31">
        <v>40</v>
      </c>
      <c r="D15" s="13">
        <v>56760000</v>
      </c>
      <c r="E15" s="15">
        <v>6.81</v>
      </c>
    </row>
    <row r="16" spans="1:5" x14ac:dyDescent="0.4">
      <c r="A16" t="s">
        <v>53</v>
      </c>
      <c r="B16" t="s">
        <v>54</v>
      </c>
      <c r="C16" s="31">
        <v>100</v>
      </c>
      <c r="D16" s="13">
        <v>47250000</v>
      </c>
      <c r="E16" s="15">
        <v>5.67</v>
      </c>
    </row>
    <row r="17" spans="1:5" x14ac:dyDescent="0.4">
      <c r="A17" t="s">
        <v>49</v>
      </c>
      <c r="B17" t="s">
        <v>50</v>
      </c>
      <c r="C17" s="31">
        <v>250</v>
      </c>
      <c r="D17" s="13">
        <v>32850000</v>
      </c>
      <c r="E17" s="15">
        <v>3.94</v>
      </c>
    </row>
    <row r="18" spans="1:5" x14ac:dyDescent="0.4">
      <c r="A18" t="s">
        <v>41</v>
      </c>
      <c r="B18" t="s">
        <v>42</v>
      </c>
      <c r="C18" s="13">
        <v>250</v>
      </c>
      <c r="D18" s="13">
        <v>29825000</v>
      </c>
      <c r="E18" s="15">
        <v>3.58</v>
      </c>
    </row>
    <row r="19" spans="1:5" x14ac:dyDescent="0.4">
      <c r="A19" t="s">
        <v>51</v>
      </c>
      <c r="B19" t="s">
        <v>52</v>
      </c>
      <c r="C19" s="13">
        <v>475</v>
      </c>
      <c r="D19" s="13">
        <v>28927500</v>
      </c>
      <c r="E19" s="15">
        <v>3.47</v>
      </c>
    </row>
    <row r="20" spans="1:5" x14ac:dyDescent="0.4">
      <c r="A20" t="s">
        <v>607</v>
      </c>
      <c r="B20" t="s">
        <v>608</v>
      </c>
      <c r="C20">
        <v>151</v>
      </c>
      <c r="D20" s="13">
        <v>22302700</v>
      </c>
      <c r="E20" s="15">
        <v>2.68</v>
      </c>
    </row>
    <row r="21" spans="1:5" x14ac:dyDescent="0.4">
      <c r="A21" t="s">
        <v>664</v>
      </c>
      <c r="B21" t="s">
        <v>665</v>
      </c>
      <c r="C21" s="13">
        <v>398</v>
      </c>
      <c r="D21" s="13">
        <v>20656200</v>
      </c>
      <c r="E21" s="15">
        <v>2.48</v>
      </c>
    </row>
    <row r="22" spans="1:5" x14ac:dyDescent="0.4">
      <c r="A22" t="s">
        <v>615</v>
      </c>
      <c r="B22" t="s">
        <v>616</v>
      </c>
      <c r="C22">
        <v>400</v>
      </c>
      <c r="D22" s="13">
        <v>20360000</v>
      </c>
      <c r="E22" s="15">
        <v>2.44</v>
      </c>
    </row>
    <row r="23" spans="1:5" x14ac:dyDescent="0.4">
      <c r="A23" t="s">
        <v>561</v>
      </c>
      <c r="B23" t="s">
        <v>562</v>
      </c>
      <c r="C23" s="31">
        <v>40</v>
      </c>
      <c r="D23" s="13">
        <v>20280000</v>
      </c>
      <c r="E23" s="15">
        <v>2.4300000000000002</v>
      </c>
    </row>
    <row r="24" spans="1:5" x14ac:dyDescent="0.4">
      <c r="A24" t="s">
        <v>637</v>
      </c>
      <c r="B24" t="s">
        <v>638</v>
      </c>
      <c r="C24" s="31">
        <v>300</v>
      </c>
      <c r="D24" s="13">
        <v>19920000</v>
      </c>
      <c r="E24" s="15">
        <v>2.39</v>
      </c>
    </row>
    <row r="25" spans="1:5" x14ac:dyDescent="0.4">
      <c r="A25" t="s">
        <v>681</v>
      </c>
      <c r="B25" t="s">
        <v>682</v>
      </c>
      <c r="C25">
        <v>60</v>
      </c>
      <c r="D25" s="13">
        <v>15570000</v>
      </c>
      <c r="E25" s="15">
        <v>1.87</v>
      </c>
    </row>
    <row r="26" spans="1:5" x14ac:dyDescent="0.4">
      <c r="A26" t="s">
        <v>537</v>
      </c>
      <c r="B26" t="s">
        <v>538</v>
      </c>
      <c r="C26">
        <v>200</v>
      </c>
      <c r="D26" s="13">
        <v>15200000</v>
      </c>
      <c r="E26" s="15">
        <v>1.82</v>
      </c>
    </row>
    <row r="27" spans="1:5" x14ac:dyDescent="0.4">
      <c r="A27" t="s">
        <v>547</v>
      </c>
      <c r="B27" t="s">
        <v>548</v>
      </c>
      <c r="C27" s="13">
        <v>276</v>
      </c>
      <c r="D27" s="13">
        <v>15042000</v>
      </c>
      <c r="E27" s="15">
        <v>1.8</v>
      </c>
    </row>
    <row r="28" spans="1:5" x14ac:dyDescent="0.4">
      <c r="A28" t="s">
        <v>470</v>
      </c>
      <c r="B28" t="s">
        <v>5181</v>
      </c>
      <c r="C28">
        <v>401</v>
      </c>
      <c r="D28" s="13">
        <v>14816950</v>
      </c>
      <c r="E28" s="15">
        <v>1.78</v>
      </c>
    </row>
    <row r="29" spans="1:5" x14ac:dyDescent="0.4">
      <c r="A29" t="s">
        <v>57</v>
      </c>
      <c r="B29" t="s">
        <v>58</v>
      </c>
      <c r="C29">
        <v>301</v>
      </c>
      <c r="D29" s="13">
        <v>14207200</v>
      </c>
      <c r="E29" s="15">
        <v>1.7</v>
      </c>
    </row>
    <row r="30" spans="1:5" x14ac:dyDescent="0.4">
      <c r="A30" t="s">
        <v>55</v>
      </c>
      <c r="B30" t="s">
        <v>56</v>
      </c>
      <c r="C30" s="13">
        <v>50</v>
      </c>
      <c r="D30" s="13">
        <v>14125000</v>
      </c>
      <c r="E30" s="15">
        <v>1.69</v>
      </c>
    </row>
    <row r="31" spans="1:5" x14ac:dyDescent="0.4">
      <c r="A31" t="s">
        <v>39</v>
      </c>
      <c r="B31" t="s">
        <v>40</v>
      </c>
      <c r="C31" s="13">
        <v>50</v>
      </c>
      <c r="D31" s="13">
        <v>13300000</v>
      </c>
      <c r="E31" s="15">
        <v>1.6</v>
      </c>
    </row>
    <row r="32" spans="1:5" x14ac:dyDescent="0.4">
      <c r="A32" t="s">
        <v>619</v>
      </c>
      <c r="B32" t="s">
        <v>620</v>
      </c>
      <c r="C32" s="13">
        <v>201</v>
      </c>
      <c r="D32" s="13">
        <v>12663000</v>
      </c>
      <c r="E32" s="15">
        <v>1.52</v>
      </c>
    </row>
    <row r="33" spans="1:5" x14ac:dyDescent="0.4">
      <c r="A33" t="s">
        <v>687</v>
      </c>
      <c r="B33" t="s">
        <v>688</v>
      </c>
      <c r="C33">
        <v>102</v>
      </c>
      <c r="D33" s="13">
        <v>9965400</v>
      </c>
      <c r="E33" s="15">
        <v>1.2</v>
      </c>
    </row>
    <row r="34" spans="1:5" x14ac:dyDescent="0.4">
      <c r="A34" t="s">
        <v>61</v>
      </c>
      <c r="B34" t="s">
        <v>62</v>
      </c>
      <c r="C34" s="13">
        <v>30</v>
      </c>
      <c r="D34" s="13">
        <v>9840000</v>
      </c>
      <c r="E34" s="15">
        <v>1.18</v>
      </c>
    </row>
    <row r="35" spans="1:5" x14ac:dyDescent="0.4">
      <c r="A35" t="s">
        <v>59</v>
      </c>
      <c r="B35" t="s">
        <v>60</v>
      </c>
      <c r="C35">
        <v>399</v>
      </c>
      <c r="D35" s="13">
        <v>8877750</v>
      </c>
      <c r="E35" s="15">
        <v>1.07</v>
      </c>
    </row>
    <row r="36" spans="1:5" x14ac:dyDescent="0.4">
      <c r="A36" t="s">
        <v>751</v>
      </c>
      <c r="B36" t="s">
        <v>752</v>
      </c>
      <c r="C36" s="13">
        <v>100</v>
      </c>
      <c r="D36" s="13">
        <v>8600000</v>
      </c>
      <c r="E36" s="15">
        <v>1.03</v>
      </c>
    </row>
    <row r="37" spans="1:5" x14ac:dyDescent="0.4">
      <c r="A37" t="s">
        <v>689</v>
      </c>
      <c r="B37" t="s">
        <v>690</v>
      </c>
      <c r="C37" s="13">
        <v>203</v>
      </c>
      <c r="D37" s="13">
        <v>7977900</v>
      </c>
      <c r="E37" s="15">
        <v>0.96</v>
      </c>
    </row>
    <row r="38" spans="1:5" x14ac:dyDescent="0.4">
      <c r="A38" t="s">
        <v>47</v>
      </c>
      <c r="B38" t="s">
        <v>48</v>
      </c>
      <c r="C38" s="13">
        <v>194</v>
      </c>
      <c r="D38" s="13">
        <v>7061600</v>
      </c>
      <c r="E38" s="15">
        <v>0.85</v>
      </c>
    </row>
    <row r="39" spans="1:5" x14ac:dyDescent="0.4">
      <c r="A39" t="s">
        <v>37</v>
      </c>
      <c r="B39" t="s">
        <v>38</v>
      </c>
      <c r="C39">
        <v>99</v>
      </c>
      <c r="D39" s="13">
        <v>6811200</v>
      </c>
      <c r="E39" s="15">
        <v>0.82</v>
      </c>
    </row>
    <row r="40" spans="1:5" x14ac:dyDescent="0.4">
      <c r="A40" t="s">
        <v>563</v>
      </c>
      <c r="B40" t="s">
        <v>564</v>
      </c>
      <c r="C40" s="13">
        <v>150</v>
      </c>
      <c r="D40" s="13">
        <v>5887500</v>
      </c>
      <c r="E40" s="15">
        <v>0.71</v>
      </c>
    </row>
    <row r="41" spans="1:5" x14ac:dyDescent="0.4">
      <c r="A41" t="s">
        <v>647</v>
      </c>
      <c r="B41" t="s">
        <v>648</v>
      </c>
      <c r="C41">
        <v>121</v>
      </c>
      <c r="D41" s="13">
        <v>5608350</v>
      </c>
      <c r="E41" s="15">
        <v>0.67</v>
      </c>
    </row>
    <row r="42" spans="1:5" x14ac:dyDescent="0.4">
      <c r="A42" t="s">
        <v>5172</v>
      </c>
      <c r="B42" t="s">
        <v>5173</v>
      </c>
      <c r="C42" s="13">
        <v>201</v>
      </c>
      <c r="D42" s="13">
        <v>5527500</v>
      </c>
      <c r="E42" s="15">
        <v>0.66</v>
      </c>
    </row>
    <row r="43" spans="1:5" x14ac:dyDescent="0.4">
      <c r="A43" t="s">
        <v>709</v>
      </c>
      <c r="B43" t="s">
        <v>710</v>
      </c>
      <c r="C43" s="13">
        <v>102</v>
      </c>
      <c r="D43" s="13">
        <v>4992900</v>
      </c>
      <c r="E43" s="15">
        <v>0.6</v>
      </c>
    </row>
    <row r="44" spans="1:5" x14ac:dyDescent="0.4">
      <c r="A44" t="s">
        <v>504</v>
      </c>
      <c r="B44" t="s">
        <v>505</v>
      </c>
      <c r="C44">
        <v>101</v>
      </c>
      <c r="D44" s="13">
        <v>4923750</v>
      </c>
      <c r="E44" s="15">
        <v>0.59</v>
      </c>
    </row>
    <row r="45" spans="1:5" x14ac:dyDescent="0.4">
      <c r="A45" t="s">
        <v>743</v>
      </c>
      <c r="B45" t="s">
        <v>744</v>
      </c>
      <c r="C45" s="13">
        <v>101</v>
      </c>
      <c r="D45" s="13">
        <v>4898500</v>
      </c>
      <c r="E45" s="15">
        <v>0.59</v>
      </c>
    </row>
    <row r="46" spans="1:5" x14ac:dyDescent="0.4">
      <c r="A46" t="s">
        <v>4637</v>
      </c>
      <c r="B46" t="s">
        <v>4638</v>
      </c>
      <c r="C46" s="13">
        <v>200</v>
      </c>
      <c r="D46" s="13">
        <v>2550000</v>
      </c>
      <c r="E46" s="15">
        <v>0.31</v>
      </c>
    </row>
    <row r="47" spans="1:5" x14ac:dyDescent="0.4">
      <c r="B47" t="s">
        <v>10</v>
      </c>
      <c r="C47" s="13">
        <v>15572300</v>
      </c>
      <c r="D47" s="13">
        <v>15572300</v>
      </c>
      <c r="E47" s="15">
        <v>1.87</v>
      </c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C54" s="13"/>
      <c r="D54" s="13"/>
    </row>
    <row r="55" spans="3:5" x14ac:dyDescent="0.4">
      <c r="C55" s="13"/>
      <c r="D55" s="13"/>
    </row>
    <row r="56" spans="3:5" x14ac:dyDescent="0.4">
      <c r="C56" s="13"/>
      <c r="D56" s="13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300-000000000000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3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65</v>
      </c>
      <c r="B8" s="6"/>
      <c r="C8" s="6"/>
      <c r="D8" s="6"/>
      <c r="E8" s="14"/>
    </row>
    <row r="9" spans="1:7" x14ac:dyDescent="0.4">
      <c r="A9" s="69" t="s">
        <v>533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31</v>
      </c>
      <c r="B11" s="17" t="s">
        <v>32</v>
      </c>
      <c r="C11" s="18">
        <v>235</v>
      </c>
      <c r="D11" s="18">
        <v>82602500</v>
      </c>
      <c r="E11" s="19">
        <v>9.36</v>
      </c>
      <c r="F11" s="17"/>
      <c r="G11" s="17"/>
    </row>
    <row r="12" spans="1:7" x14ac:dyDescent="0.4">
      <c r="A12" t="s">
        <v>45</v>
      </c>
      <c r="B12" s="17" t="s">
        <v>46</v>
      </c>
      <c r="C12" s="70">
        <v>548</v>
      </c>
      <c r="D12" s="18">
        <v>80117600</v>
      </c>
      <c r="E12" s="19">
        <v>9.08</v>
      </c>
      <c r="F12" s="17"/>
      <c r="G12" s="17"/>
    </row>
    <row r="13" spans="1:7" x14ac:dyDescent="0.4">
      <c r="A13" t="s">
        <v>33</v>
      </c>
      <c r="B13" t="s">
        <v>34</v>
      </c>
      <c r="C13" s="13">
        <v>397</v>
      </c>
      <c r="D13" s="13">
        <v>75271200</v>
      </c>
      <c r="E13" s="15">
        <v>8.5299999999999994</v>
      </c>
    </row>
    <row r="14" spans="1:7" x14ac:dyDescent="0.4">
      <c r="A14" t="s">
        <v>41</v>
      </c>
      <c r="B14" t="s">
        <v>42</v>
      </c>
      <c r="C14" s="13">
        <v>657</v>
      </c>
      <c r="D14" s="13">
        <v>72204300</v>
      </c>
      <c r="E14" s="15">
        <v>8.18</v>
      </c>
    </row>
    <row r="15" spans="1:7" x14ac:dyDescent="0.4">
      <c r="A15" t="s">
        <v>35</v>
      </c>
      <c r="B15" t="s">
        <v>36</v>
      </c>
      <c r="C15" s="31">
        <v>483</v>
      </c>
      <c r="D15" s="13">
        <v>67378500</v>
      </c>
      <c r="E15" s="15">
        <v>7.64</v>
      </c>
    </row>
    <row r="16" spans="1:7" x14ac:dyDescent="0.4">
      <c r="A16" t="s">
        <v>49</v>
      </c>
      <c r="B16" t="s">
        <v>50</v>
      </c>
      <c r="C16" s="31">
        <v>514</v>
      </c>
      <c r="D16" s="13">
        <v>65175200</v>
      </c>
      <c r="E16" s="15">
        <v>7.39</v>
      </c>
    </row>
    <row r="17" spans="1:7" x14ac:dyDescent="0.4">
      <c r="A17" t="s">
        <v>607</v>
      </c>
      <c r="B17" s="17" t="s">
        <v>608</v>
      </c>
      <c r="C17" s="70">
        <v>398</v>
      </c>
      <c r="D17" s="18">
        <v>51740000</v>
      </c>
      <c r="E17" s="19">
        <v>5.86</v>
      </c>
      <c r="F17" s="17"/>
      <c r="G17" s="17"/>
    </row>
    <row r="18" spans="1:7" x14ac:dyDescent="0.4">
      <c r="A18" t="s">
        <v>51</v>
      </c>
      <c r="B18" t="s">
        <v>52</v>
      </c>
      <c r="C18" s="13">
        <v>904</v>
      </c>
      <c r="D18" s="13">
        <v>46827200</v>
      </c>
      <c r="E18" s="15">
        <v>5.31</v>
      </c>
    </row>
    <row r="19" spans="1:7" x14ac:dyDescent="0.4">
      <c r="A19" t="s">
        <v>39</v>
      </c>
      <c r="B19" t="s">
        <v>40</v>
      </c>
      <c r="C19" s="13">
        <v>147</v>
      </c>
      <c r="D19" s="13">
        <v>37485000</v>
      </c>
      <c r="E19" s="15">
        <v>4.25</v>
      </c>
    </row>
    <row r="20" spans="1:7" x14ac:dyDescent="0.4">
      <c r="A20" t="s">
        <v>53</v>
      </c>
      <c r="B20" t="s">
        <v>54</v>
      </c>
      <c r="C20" s="13">
        <v>81</v>
      </c>
      <c r="D20" s="13">
        <v>35356500</v>
      </c>
      <c r="E20" s="15">
        <v>4.01</v>
      </c>
    </row>
    <row r="21" spans="1:7" x14ac:dyDescent="0.4">
      <c r="A21" t="s">
        <v>597</v>
      </c>
      <c r="B21" t="s">
        <v>598</v>
      </c>
      <c r="C21" s="13">
        <v>233</v>
      </c>
      <c r="D21" s="13">
        <v>30732700</v>
      </c>
      <c r="E21" s="15">
        <v>3.48</v>
      </c>
    </row>
    <row r="22" spans="1:7" x14ac:dyDescent="0.4">
      <c r="A22" t="s">
        <v>37</v>
      </c>
      <c r="B22" s="17" t="s">
        <v>38</v>
      </c>
      <c r="C22" s="18">
        <v>478</v>
      </c>
      <c r="D22" s="18">
        <v>29014600</v>
      </c>
      <c r="E22" s="19">
        <v>3.29</v>
      </c>
      <c r="F22" s="17"/>
      <c r="G22" s="17"/>
    </row>
    <row r="23" spans="1:7" x14ac:dyDescent="0.4">
      <c r="A23" t="s">
        <v>647</v>
      </c>
      <c r="B23" s="17" t="s">
        <v>648</v>
      </c>
      <c r="C23" s="70">
        <v>541</v>
      </c>
      <c r="D23" s="18">
        <v>27536900</v>
      </c>
      <c r="E23" s="19">
        <v>3.12</v>
      </c>
      <c r="F23" s="17"/>
      <c r="G23" s="17"/>
    </row>
    <row r="24" spans="1:7" x14ac:dyDescent="0.4">
      <c r="A24" t="s">
        <v>61</v>
      </c>
      <c r="B24" t="s">
        <v>62</v>
      </c>
      <c r="C24" s="31">
        <v>77</v>
      </c>
      <c r="D24" s="13">
        <v>22599500</v>
      </c>
      <c r="E24" s="15">
        <v>2.56</v>
      </c>
    </row>
    <row r="25" spans="1:7" x14ac:dyDescent="0.4">
      <c r="A25" t="s">
        <v>55</v>
      </c>
      <c r="B25" t="s">
        <v>56</v>
      </c>
      <c r="C25" s="13">
        <v>82</v>
      </c>
      <c r="D25" s="13">
        <v>21238000</v>
      </c>
      <c r="E25" s="15">
        <v>2.41</v>
      </c>
    </row>
    <row r="26" spans="1:7" x14ac:dyDescent="0.4">
      <c r="A26" t="s">
        <v>563</v>
      </c>
      <c r="B26" t="s">
        <v>564</v>
      </c>
      <c r="C26" s="13">
        <v>494</v>
      </c>
      <c r="D26" s="13">
        <v>19611800</v>
      </c>
      <c r="E26" s="15">
        <v>2.2200000000000002</v>
      </c>
    </row>
    <row r="27" spans="1:7" x14ac:dyDescent="0.4">
      <c r="A27" t="s">
        <v>57</v>
      </c>
      <c r="B27" t="s">
        <v>58</v>
      </c>
      <c r="C27" s="13">
        <v>491</v>
      </c>
      <c r="D27" s="13">
        <v>19173550</v>
      </c>
      <c r="E27" s="15">
        <v>2.17</v>
      </c>
    </row>
    <row r="28" spans="1:7" x14ac:dyDescent="0.4">
      <c r="A28" t="s">
        <v>67</v>
      </c>
      <c r="B28" t="s">
        <v>68</v>
      </c>
      <c r="C28" s="13">
        <v>396</v>
      </c>
      <c r="D28" s="13">
        <v>18216000</v>
      </c>
      <c r="E28" s="15">
        <v>2.06</v>
      </c>
    </row>
    <row r="29" spans="1:7" x14ac:dyDescent="0.4">
      <c r="A29" t="s">
        <v>470</v>
      </c>
      <c r="B29" t="s">
        <v>5181</v>
      </c>
      <c r="C29" s="13">
        <v>522</v>
      </c>
      <c r="D29" s="13">
        <v>17904600</v>
      </c>
      <c r="E29" s="15">
        <v>2.0299999999999998</v>
      </c>
    </row>
    <row r="30" spans="1:7" x14ac:dyDescent="0.4">
      <c r="A30" t="s">
        <v>508</v>
      </c>
      <c r="B30" t="s">
        <v>509</v>
      </c>
      <c r="C30" s="13">
        <v>527</v>
      </c>
      <c r="D30" s="13">
        <v>11804800</v>
      </c>
      <c r="E30" s="15">
        <v>1.34</v>
      </c>
    </row>
    <row r="31" spans="1:7" x14ac:dyDescent="0.4">
      <c r="A31" t="s">
        <v>691</v>
      </c>
      <c r="B31" t="s">
        <v>692</v>
      </c>
      <c r="C31" s="13">
        <v>562</v>
      </c>
      <c r="D31" s="13">
        <v>9936160</v>
      </c>
      <c r="E31" s="15">
        <v>1.1299999999999999</v>
      </c>
    </row>
    <row r="32" spans="1:7" x14ac:dyDescent="0.4">
      <c r="A32" t="s">
        <v>547</v>
      </c>
      <c r="B32" t="s">
        <v>548</v>
      </c>
      <c r="C32" s="13">
        <v>204</v>
      </c>
      <c r="D32" s="13">
        <v>9822600</v>
      </c>
      <c r="E32" s="15">
        <v>1.1100000000000001</v>
      </c>
    </row>
    <row r="33" spans="1:5" x14ac:dyDescent="0.4">
      <c r="A33" t="s">
        <v>541</v>
      </c>
      <c r="B33" t="s">
        <v>542</v>
      </c>
      <c r="C33">
        <v>570</v>
      </c>
      <c r="D33" s="13">
        <v>9433500</v>
      </c>
      <c r="E33" s="15">
        <v>1.07</v>
      </c>
    </row>
    <row r="34" spans="1:5" x14ac:dyDescent="0.4">
      <c r="A34" t="s">
        <v>510</v>
      </c>
      <c r="B34" t="s">
        <v>511</v>
      </c>
      <c r="C34" s="13">
        <v>189</v>
      </c>
      <c r="D34" s="13">
        <v>5112450</v>
      </c>
      <c r="E34" s="15">
        <v>0.57999999999999996</v>
      </c>
    </row>
    <row r="35" spans="1:5" x14ac:dyDescent="0.4">
      <c r="A35" t="s">
        <v>637</v>
      </c>
      <c r="B35" t="s">
        <v>638</v>
      </c>
      <c r="C35">
        <v>72</v>
      </c>
      <c r="D35" s="13">
        <v>4089600</v>
      </c>
      <c r="E35" s="15">
        <v>0.46</v>
      </c>
    </row>
    <row r="36" spans="1:5" x14ac:dyDescent="0.4">
      <c r="A36" t="s">
        <v>500</v>
      </c>
      <c r="B36" t="s">
        <v>501</v>
      </c>
      <c r="C36" s="13">
        <v>78</v>
      </c>
      <c r="D36" s="13">
        <v>4063800</v>
      </c>
      <c r="E36" s="15">
        <v>0.46</v>
      </c>
    </row>
    <row r="37" spans="1:5" x14ac:dyDescent="0.4">
      <c r="A37" t="s">
        <v>59</v>
      </c>
      <c r="B37" t="s">
        <v>60</v>
      </c>
      <c r="C37" s="13">
        <v>157</v>
      </c>
      <c r="D37" s="13">
        <v>3336250</v>
      </c>
      <c r="E37" s="15">
        <v>0.38</v>
      </c>
    </row>
    <row r="38" spans="1:5" x14ac:dyDescent="0.4">
      <c r="A38" t="s">
        <v>559</v>
      </c>
      <c r="B38" t="s">
        <v>560</v>
      </c>
      <c r="C38" s="13">
        <v>1</v>
      </c>
      <c r="D38" s="13">
        <v>1395000</v>
      </c>
      <c r="E38" s="15">
        <v>0.16</v>
      </c>
    </row>
    <row r="39" spans="1:5" x14ac:dyDescent="0.4">
      <c r="B39" t="s">
        <v>10</v>
      </c>
      <c r="C39" s="13">
        <v>3256888</v>
      </c>
      <c r="D39" s="13">
        <v>3256888</v>
      </c>
      <c r="E39" s="15">
        <v>0.37</v>
      </c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400-000000000000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65</v>
      </c>
      <c r="B8" s="6"/>
      <c r="C8" s="6"/>
      <c r="D8" s="6"/>
      <c r="E8" s="14"/>
    </row>
    <row r="9" spans="1:5" x14ac:dyDescent="0.4">
      <c r="A9" s="69" t="s">
        <v>533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35</v>
      </c>
      <c r="B11" t="s">
        <v>36</v>
      </c>
      <c r="C11" s="13">
        <v>483</v>
      </c>
      <c r="D11" s="13">
        <v>92446200</v>
      </c>
      <c r="E11" s="15">
        <v>9.51</v>
      </c>
    </row>
    <row r="12" spans="1:5" x14ac:dyDescent="0.4">
      <c r="A12" t="s">
        <v>45</v>
      </c>
      <c r="B12" t="s">
        <v>46</v>
      </c>
      <c r="C12" s="31">
        <v>548</v>
      </c>
      <c r="D12" s="13">
        <v>91406400</v>
      </c>
      <c r="E12" s="15">
        <v>9.4</v>
      </c>
    </row>
    <row r="13" spans="1:5" x14ac:dyDescent="0.4">
      <c r="A13" t="s">
        <v>31</v>
      </c>
      <c r="B13" t="s">
        <v>32</v>
      </c>
      <c r="C13" s="13">
        <v>235</v>
      </c>
      <c r="D13" s="13">
        <v>86715000</v>
      </c>
      <c r="E13" s="15">
        <v>8.92</v>
      </c>
    </row>
    <row r="14" spans="1:5" x14ac:dyDescent="0.4">
      <c r="A14" t="s">
        <v>41</v>
      </c>
      <c r="B14" t="s">
        <v>42</v>
      </c>
      <c r="C14" s="13">
        <v>657</v>
      </c>
      <c r="D14" s="13">
        <v>78380100</v>
      </c>
      <c r="E14" s="15">
        <v>8.06</v>
      </c>
    </row>
    <row r="15" spans="1:5" x14ac:dyDescent="0.4">
      <c r="A15" t="s">
        <v>33</v>
      </c>
      <c r="B15" t="s">
        <v>34</v>
      </c>
      <c r="C15" s="31">
        <v>397</v>
      </c>
      <c r="D15" s="13">
        <v>74953600</v>
      </c>
      <c r="E15" s="15">
        <v>7.71</v>
      </c>
    </row>
    <row r="16" spans="1:5" x14ac:dyDescent="0.4">
      <c r="A16" t="s">
        <v>49</v>
      </c>
      <c r="B16" t="s">
        <v>50</v>
      </c>
      <c r="C16" s="31">
        <v>514</v>
      </c>
      <c r="D16" s="13">
        <v>67539600</v>
      </c>
      <c r="E16" s="15">
        <v>6.95</v>
      </c>
    </row>
    <row r="17" spans="1:5" x14ac:dyDescent="0.4">
      <c r="A17" t="s">
        <v>607</v>
      </c>
      <c r="B17" t="s">
        <v>608</v>
      </c>
      <c r="C17" s="31">
        <v>398</v>
      </c>
      <c r="D17" s="13">
        <v>58784600</v>
      </c>
      <c r="E17" s="15">
        <v>6.05</v>
      </c>
    </row>
    <row r="18" spans="1:5" x14ac:dyDescent="0.4">
      <c r="A18" t="s">
        <v>51</v>
      </c>
      <c r="B18" t="s">
        <v>52</v>
      </c>
      <c r="C18" s="13">
        <v>904</v>
      </c>
      <c r="D18" s="13">
        <v>55053600</v>
      </c>
      <c r="E18" s="15">
        <v>5.66</v>
      </c>
    </row>
    <row r="19" spans="1:5" x14ac:dyDescent="0.4">
      <c r="A19" t="s">
        <v>39</v>
      </c>
      <c r="B19" t="s">
        <v>40</v>
      </c>
      <c r="C19" s="13">
        <v>147</v>
      </c>
      <c r="D19" s="13">
        <v>39102000</v>
      </c>
      <c r="E19" s="15">
        <v>4.0199999999999996</v>
      </c>
    </row>
    <row r="20" spans="1:5" x14ac:dyDescent="0.4">
      <c r="A20" t="s">
        <v>53</v>
      </c>
      <c r="B20" t="s">
        <v>54</v>
      </c>
      <c r="C20">
        <v>81</v>
      </c>
      <c r="D20" s="13">
        <v>38272500</v>
      </c>
      <c r="E20" s="15">
        <v>3.94</v>
      </c>
    </row>
    <row r="21" spans="1:5" x14ac:dyDescent="0.4">
      <c r="A21" t="s">
        <v>597</v>
      </c>
      <c r="B21" t="s">
        <v>598</v>
      </c>
      <c r="C21" s="13">
        <v>253</v>
      </c>
      <c r="D21" s="13">
        <v>35091100</v>
      </c>
      <c r="E21" s="15">
        <v>3.61</v>
      </c>
    </row>
    <row r="22" spans="1:5" x14ac:dyDescent="0.4">
      <c r="A22" t="s">
        <v>37</v>
      </c>
      <c r="B22" t="s">
        <v>38</v>
      </c>
      <c r="C22">
        <v>478</v>
      </c>
      <c r="D22" s="13">
        <v>32886400</v>
      </c>
      <c r="E22" s="15">
        <v>3.38</v>
      </c>
    </row>
    <row r="23" spans="1:5" x14ac:dyDescent="0.4">
      <c r="A23" t="s">
        <v>647</v>
      </c>
      <c r="B23" t="s">
        <v>648</v>
      </c>
      <c r="C23" s="31">
        <v>541</v>
      </c>
      <c r="D23" s="13">
        <v>25075350</v>
      </c>
      <c r="E23" s="15">
        <v>2.58</v>
      </c>
    </row>
    <row r="24" spans="1:5" x14ac:dyDescent="0.4">
      <c r="A24" t="s">
        <v>57</v>
      </c>
      <c r="B24" t="s">
        <v>58</v>
      </c>
      <c r="C24" s="31">
        <v>491</v>
      </c>
      <c r="D24" s="13">
        <v>23175200</v>
      </c>
      <c r="E24" s="15">
        <v>2.38</v>
      </c>
    </row>
    <row r="25" spans="1:5" x14ac:dyDescent="0.4">
      <c r="A25" t="s">
        <v>67</v>
      </c>
      <c r="B25" t="s">
        <v>68</v>
      </c>
      <c r="C25" s="13">
        <v>396</v>
      </c>
      <c r="D25" s="13">
        <v>21027600</v>
      </c>
      <c r="E25" s="15">
        <v>2.16</v>
      </c>
    </row>
    <row r="26" spans="1:5" x14ac:dyDescent="0.4">
      <c r="A26" t="s">
        <v>61</v>
      </c>
      <c r="B26" t="s">
        <v>62</v>
      </c>
      <c r="C26" s="13">
        <v>63</v>
      </c>
      <c r="D26" s="13">
        <v>20664000</v>
      </c>
      <c r="E26" s="15">
        <v>2.13</v>
      </c>
    </row>
    <row r="27" spans="1:5" x14ac:dyDescent="0.4">
      <c r="A27" t="s">
        <v>55</v>
      </c>
      <c r="B27" t="s">
        <v>56</v>
      </c>
      <c r="C27" s="13">
        <v>65</v>
      </c>
      <c r="D27" s="13">
        <v>18362500</v>
      </c>
      <c r="E27" s="15">
        <v>1.89</v>
      </c>
    </row>
    <row r="28" spans="1:5" x14ac:dyDescent="0.4">
      <c r="A28" t="s">
        <v>563</v>
      </c>
      <c r="B28" t="s">
        <v>564</v>
      </c>
      <c r="C28" s="13">
        <v>447</v>
      </c>
      <c r="D28" s="13">
        <v>17544750</v>
      </c>
      <c r="E28" s="15">
        <v>1.8</v>
      </c>
    </row>
    <row r="29" spans="1:5" x14ac:dyDescent="0.4">
      <c r="A29" t="s">
        <v>470</v>
      </c>
      <c r="B29" t="s">
        <v>5181</v>
      </c>
      <c r="C29" s="13">
        <v>472</v>
      </c>
      <c r="D29" s="13">
        <v>17440400</v>
      </c>
      <c r="E29" s="15">
        <v>1.79</v>
      </c>
    </row>
    <row r="30" spans="1:5" x14ac:dyDescent="0.4">
      <c r="A30" t="s">
        <v>547</v>
      </c>
      <c r="B30" t="s">
        <v>548</v>
      </c>
      <c r="C30" s="13">
        <v>204</v>
      </c>
      <c r="D30" s="13">
        <v>11118000</v>
      </c>
      <c r="E30" s="15">
        <v>1.1399999999999999</v>
      </c>
    </row>
    <row r="31" spans="1:5" x14ac:dyDescent="0.4">
      <c r="A31" t="s">
        <v>508</v>
      </c>
      <c r="B31" t="s">
        <v>509</v>
      </c>
      <c r="C31" s="13">
        <v>488</v>
      </c>
      <c r="D31" s="13">
        <v>10516400</v>
      </c>
      <c r="E31" s="15">
        <v>1.08</v>
      </c>
    </row>
    <row r="32" spans="1:5" x14ac:dyDescent="0.4">
      <c r="A32" t="s">
        <v>691</v>
      </c>
      <c r="B32" t="s">
        <v>692</v>
      </c>
      <c r="C32" s="13">
        <v>472</v>
      </c>
      <c r="D32" s="13">
        <v>10171600</v>
      </c>
      <c r="E32" s="15">
        <v>1.05</v>
      </c>
    </row>
    <row r="33" spans="1:5" x14ac:dyDescent="0.4">
      <c r="A33" t="s">
        <v>541</v>
      </c>
      <c r="B33" t="s">
        <v>542</v>
      </c>
      <c r="C33">
        <v>570</v>
      </c>
      <c r="D33" s="13">
        <v>9633000</v>
      </c>
      <c r="E33" s="15">
        <v>0.99</v>
      </c>
    </row>
    <row r="34" spans="1:5" x14ac:dyDescent="0.4">
      <c r="A34" t="s">
        <v>637</v>
      </c>
      <c r="B34" t="s">
        <v>638</v>
      </c>
      <c r="C34" s="13">
        <v>102</v>
      </c>
      <c r="D34" s="13">
        <v>6772800</v>
      </c>
      <c r="E34" s="15">
        <v>0.7</v>
      </c>
    </row>
    <row r="35" spans="1:5" x14ac:dyDescent="0.4">
      <c r="A35" t="s">
        <v>500</v>
      </c>
      <c r="B35" t="s">
        <v>501</v>
      </c>
      <c r="C35">
        <v>92</v>
      </c>
      <c r="D35" s="13">
        <v>6311200</v>
      </c>
      <c r="E35" s="15">
        <v>0.65</v>
      </c>
    </row>
    <row r="36" spans="1:5" x14ac:dyDescent="0.4">
      <c r="A36" t="s">
        <v>559</v>
      </c>
      <c r="B36" t="s">
        <v>560</v>
      </c>
      <c r="C36" s="13">
        <v>4</v>
      </c>
      <c r="D36" s="13">
        <v>5676000</v>
      </c>
      <c r="E36" s="15">
        <v>0.57999999999999996</v>
      </c>
    </row>
    <row r="37" spans="1:5" x14ac:dyDescent="0.4">
      <c r="A37" t="s">
        <v>510</v>
      </c>
      <c r="B37" t="s">
        <v>511</v>
      </c>
      <c r="C37" s="13">
        <v>189</v>
      </c>
      <c r="D37" s="13">
        <v>4706100</v>
      </c>
      <c r="E37" s="15">
        <v>0.48</v>
      </c>
    </row>
    <row r="38" spans="1:5" x14ac:dyDescent="0.4">
      <c r="A38" t="s">
        <v>59</v>
      </c>
      <c r="B38" t="s">
        <v>60</v>
      </c>
      <c r="C38" s="13">
        <v>157</v>
      </c>
      <c r="D38" s="13">
        <v>3493250</v>
      </c>
      <c r="E38" s="15">
        <v>0.36</v>
      </c>
    </row>
    <row r="39" spans="1:5" x14ac:dyDescent="0.4">
      <c r="B39" t="s">
        <v>10</v>
      </c>
      <c r="C39" s="13">
        <v>10044957</v>
      </c>
      <c r="D39" s="13">
        <v>10044957</v>
      </c>
      <c r="E39" s="15">
        <v>1.03</v>
      </c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500-000000000000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3"/>
  <sheetViews>
    <sheetView showGridLines="0" topLeftCell="A33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5218</v>
      </c>
      <c r="C4" s="8" t="s">
        <v>1</v>
      </c>
    </row>
    <row r="5" spans="1:7" x14ac:dyDescent="0.4">
      <c r="A5" s="28" t="s">
        <v>519</v>
      </c>
      <c r="B5" s="68" t="s">
        <v>3</v>
      </c>
      <c r="C5" s="68" t="s">
        <v>4</v>
      </c>
    </row>
    <row r="6" spans="1:7" x14ac:dyDescent="0.4">
      <c r="A6" s="7"/>
      <c r="B6" s="9"/>
      <c r="C6" s="9"/>
    </row>
    <row r="8" spans="1:7" x14ac:dyDescent="0.4">
      <c r="A8" s="10" t="s">
        <v>71</v>
      </c>
      <c r="B8" s="6"/>
      <c r="C8" s="6"/>
      <c r="D8" s="6"/>
      <c r="E8" s="14"/>
    </row>
    <row r="9" spans="1:7" x14ac:dyDescent="0.4">
      <c r="A9" s="69" t="s">
        <v>534</v>
      </c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t="s">
        <v>31</v>
      </c>
      <c r="B11" s="17" t="s">
        <v>32</v>
      </c>
      <c r="C11" s="18">
        <v>250</v>
      </c>
      <c r="D11" s="18">
        <v>87875000</v>
      </c>
      <c r="E11" s="19">
        <v>14.06</v>
      </c>
      <c r="F11" s="17"/>
      <c r="G11" s="17"/>
    </row>
    <row r="12" spans="1:7" x14ac:dyDescent="0.4">
      <c r="A12" t="s">
        <v>45</v>
      </c>
      <c r="B12" s="17" t="s">
        <v>46</v>
      </c>
      <c r="C12" s="18">
        <v>543</v>
      </c>
      <c r="D12" s="18">
        <v>79386600</v>
      </c>
      <c r="E12" s="19">
        <v>12.7</v>
      </c>
      <c r="F12" s="17"/>
      <c r="G12" s="17"/>
    </row>
    <row r="13" spans="1:7" x14ac:dyDescent="0.4">
      <c r="A13" t="s">
        <v>35</v>
      </c>
      <c r="B13" s="17" t="s">
        <v>36</v>
      </c>
      <c r="C13" s="18">
        <v>439</v>
      </c>
      <c r="D13" s="18">
        <v>61240500</v>
      </c>
      <c r="E13" s="19">
        <v>9.8000000000000007</v>
      </c>
      <c r="F13" s="17"/>
      <c r="G13" s="17"/>
    </row>
    <row r="14" spans="1:7" x14ac:dyDescent="0.4">
      <c r="A14" t="s">
        <v>41</v>
      </c>
      <c r="B14" s="17" t="s">
        <v>42</v>
      </c>
      <c r="C14" s="18">
        <v>498</v>
      </c>
      <c r="D14" s="18">
        <v>54730200</v>
      </c>
      <c r="E14" s="19">
        <v>8.76</v>
      </c>
      <c r="F14" s="17"/>
      <c r="G14" s="17"/>
    </row>
    <row r="15" spans="1:7" x14ac:dyDescent="0.4">
      <c r="A15" t="s">
        <v>619</v>
      </c>
      <c r="B15" s="17" t="s">
        <v>620</v>
      </c>
      <c r="C15" s="17">
        <v>431</v>
      </c>
      <c r="D15" s="18">
        <v>29221800</v>
      </c>
      <c r="E15" s="19">
        <v>4.68</v>
      </c>
      <c r="F15" s="17"/>
      <c r="G15" s="17"/>
    </row>
    <row r="16" spans="1:7" x14ac:dyDescent="0.4">
      <c r="A16" t="s">
        <v>647</v>
      </c>
      <c r="B16" s="17" t="s">
        <v>648</v>
      </c>
      <c r="C16" s="18">
        <v>536</v>
      </c>
      <c r="D16" s="18">
        <v>27282400</v>
      </c>
      <c r="E16" s="19">
        <v>4.3600000000000003</v>
      </c>
      <c r="F16" s="17"/>
      <c r="G16" s="17"/>
    </row>
    <row r="17" spans="1:7" x14ac:dyDescent="0.4">
      <c r="A17" t="s">
        <v>49</v>
      </c>
      <c r="B17" t="s">
        <v>50</v>
      </c>
      <c r="C17" s="13">
        <v>184</v>
      </c>
      <c r="D17" s="13">
        <v>23331200</v>
      </c>
      <c r="E17" s="15">
        <v>3.73</v>
      </c>
    </row>
    <row r="18" spans="1:7" x14ac:dyDescent="0.4">
      <c r="A18" t="s">
        <v>4483</v>
      </c>
      <c r="B18" s="17" t="s">
        <v>4484</v>
      </c>
      <c r="C18" s="18">
        <v>2152</v>
      </c>
      <c r="D18" s="18">
        <v>20551600</v>
      </c>
      <c r="E18" s="19">
        <v>3.29</v>
      </c>
      <c r="F18" s="17"/>
      <c r="G18" s="17"/>
    </row>
    <row r="19" spans="1:7" x14ac:dyDescent="0.4">
      <c r="A19" t="s">
        <v>683</v>
      </c>
      <c r="B19" t="s">
        <v>684</v>
      </c>
      <c r="C19" s="31">
        <v>197</v>
      </c>
      <c r="D19" s="13">
        <v>20291000</v>
      </c>
      <c r="E19" s="15">
        <v>3.25</v>
      </c>
    </row>
    <row r="20" spans="1:7" x14ac:dyDescent="0.4">
      <c r="A20" t="s">
        <v>39</v>
      </c>
      <c r="B20" t="s">
        <v>40</v>
      </c>
      <c r="C20" s="31">
        <v>77</v>
      </c>
      <c r="D20" s="13">
        <v>19635000</v>
      </c>
      <c r="E20" s="15">
        <v>3.14</v>
      </c>
    </row>
    <row r="21" spans="1:7" x14ac:dyDescent="0.4">
      <c r="A21" t="s">
        <v>5169</v>
      </c>
      <c r="B21" t="s">
        <v>5170</v>
      </c>
      <c r="C21" s="13">
        <v>672</v>
      </c>
      <c r="D21" s="13">
        <v>18345600</v>
      </c>
      <c r="E21" s="15">
        <v>2.94</v>
      </c>
    </row>
    <row r="22" spans="1:7" x14ac:dyDescent="0.4">
      <c r="A22" t="s">
        <v>563</v>
      </c>
      <c r="B22" t="s">
        <v>564</v>
      </c>
      <c r="C22" s="31">
        <v>446</v>
      </c>
      <c r="D22" s="13">
        <v>17706200</v>
      </c>
      <c r="E22" s="15">
        <v>2.83</v>
      </c>
    </row>
    <row r="23" spans="1:7" x14ac:dyDescent="0.4">
      <c r="A23" t="s">
        <v>607</v>
      </c>
      <c r="B23" t="s">
        <v>608</v>
      </c>
      <c r="C23" s="31">
        <v>130</v>
      </c>
      <c r="D23" s="13">
        <v>16900000</v>
      </c>
      <c r="E23" s="15">
        <v>2.7</v>
      </c>
    </row>
    <row r="24" spans="1:7" x14ac:dyDescent="0.4">
      <c r="A24" t="s">
        <v>510</v>
      </c>
      <c r="B24" t="s">
        <v>511</v>
      </c>
      <c r="C24" s="31">
        <v>612</v>
      </c>
      <c r="D24" s="13">
        <v>16554600</v>
      </c>
      <c r="E24" s="15">
        <v>2.65</v>
      </c>
    </row>
    <row r="25" spans="1:7" x14ac:dyDescent="0.4">
      <c r="A25" t="s">
        <v>51</v>
      </c>
      <c r="B25" t="s">
        <v>52</v>
      </c>
      <c r="C25" s="13">
        <v>306</v>
      </c>
      <c r="D25" s="13">
        <v>15850800</v>
      </c>
      <c r="E25" s="15">
        <v>2.54</v>
      </c>
    </row>
    <row r="26" spans="1:7" x14ac:dyDescent="0.4">
      <c r="A26" t="s">
        <v>53</v>
      </c>
      <c r="B26" t="s">
        <v>54</v>
      </c>
      <c r="C26" s="13">
        <v>35</v>
      </c>
      <c r="D26" s="13">
        <v>15277500</v>
      </c>
      <c r="E26" s="15">
        <v>2.44</v>
      </c>
    </row>
    <row r="27" spans="1:7" x14ac:dyDescent="0.4">
      <c r="A27" t="s">
        <v>37</v>
      </c>
      <c r="B27" t="s">
        <v>38</v>
      </c>
      <c r="C27" s="13">
        <v>210</v>
      </c>
      <c r="D27" s="13">
        <v>12747000</v>
      </c>
      <c r="E27" s="15">
        <v>2.04</v>
      </c>
    </row>
    <row r="28" spans="1:7" x14ac:dyDescent="0.4">
      <c r="A28" t="s">
        <v>470</v>
      </c>
      <c r="B28" t="s">
        <v>5181</v>
      </c>
      <c r="C28" s="13">
        <v>352</v>
      </c>
      <c r="D28" s="13">
        <v>12073600</v>
      </c>
      <c r="E28" s="15">
        <v>1.93</v>
      </c>
    </row>
    <row r="29" spans="1:7" x14ac:dyDescent="0.4">
      <c r="A29" t="s">
        <v>695</v>
      </c>
      <c r="B29" t="s">
        <v>696</v>
      </c>
      <c r="C29" s="13">
        <v>407</v>
      </c>
      <c r="D29" s="13">
        <v>11599500</v>
      </c>
      <c r="E29" s="15">
        <v>1.86</v>
      </c>
    </row>
    <row r="30" spans="1:7" x14ac:dyDescent="0.4">
      <c r="A30" t="s">
        <v>691</v>
      </c>
      <c r="B30" t="s">
        <v>692</v>
      </c>
      <c r="C30" s="31">
        <v>622</v>
      </c>
      <c r="D30" s="13">
        <v>10996960</v>
      </c>
      <c r="E30" s="15">
        <v>1.76</v>
      </c>
    </row>
    <row r="31" spans="1:7" x14ac:dyDescent="0.4">
      <c r="A31" t="s">
        <v>743</v>
      </c>
      <c r="B31" t="s">
        <v>744</v>
      </c>
      <c r="C31" s="13">
        <v>238</v>
      </c>
      <c r="D31" s="13">
        <v>10376800</v>
      </c>
      <c r="E31" s="15">
        <v>1.66</v>
      </c>
    </row>
    <row r="32" spans="1:7" x14ac:dyDescent="0.4">
      <c r="A32" t="s">
        <v>4796</v>
      </c>
      <c r="B32" t="s">
        <v>4797</v>
      </c>
      <c r="C32" s="13">
        <v>1003</v>
      </c>
      <c r="D32" s="13">
        <v>9347960</v>
      </c>
      <c r="E32" s="15">
        <v>1.5</v>
      </c>
    </row>
    <row r="33" spans="1:5" x14ac:dyDescent="0.4">
      <c r="A33" t="s">
        <v>55</v>
      </c>
      <c r="B33" t="s">
        <v>56</v>
      </c>
      <c r="C33" s="13">
        <v>36</v>
      </c>
      <c r="D33" s="13">
        <v>9324000</v>
      </c>
      <c r="E33" s="15">
        <v>1.49</v>
      </c>
    </row>
    <row r="34" spans="1:5" x14ac:dyDescent="0.4">
      <c r="A34" t="s">
        <v>61</v>
      </c>
      <c r="B34" t="s">
        <v>62</v>
      </c>
      <c r="C34" s="13">
        <v>31</v>
      </c>
      <c r="D34" s="13">
        <v>9098500</v>
      </c>
      <c r="E34" s="15">
        <v>1.46</v>
      </c>
    </row>
    <row r="35" spans="1:5" x14ac:dyDescent="0.4">
      <c r="A35" t="s">
        <v>637</v>
      </c>
      <c r="B35" t="s">
        <v>638</v>
      </c>
      <c r="C35" s="13">
        <v>136</v>
      </c>
      <c r="D35" s="13">
        <v>7724800</v>
      </c>
      <c r="E35" s="15">
        <v>1.24</v>
      </c>
    </row>
    <row r="36" spans="1:5" x14ac:dyDescent="0.4">
      <c r="B36" t="s">
        <v>10</v>
      </c>
      <c r="C36" s="13">
        <v>7571535</v>
      </c>
      <c r="D36" s="13">
        <v>7571535</v>
      </c>
      <c r="E36" s="15">
        <v>1.21</v>
      </c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D39" s="13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E44" s="15"/>
    </row>
    <row r="45" spans="1:5" x14ac:dyDescent="0.4">
      <c r="C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600-000000000000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84"/>
  <sheetViews>
    <sheetView showGridLines="0" workbookViewId="0">
      <selection activeCell="N44" sqref="N44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5217</v>
      </c>
      <c r="C4" s="8" t="s">
        <v>1</v>
      </c>
    </row>
    <row r="5" spans="1:5" x14ac:dyDescent="0.4">
      <c r="A5" s="28" t="s">
        <v>519</v>
      </c>
      <c r="B5" s="68" t="s">
        <v>543</v>
      </c>
      <c r="C5" s="68" t="s">
        <v>4</v>
      </c>
    </row>
    <row r="6" spans="1:5" x14ac:dyDescent="0.4">
      <c r="A6" s="7"/>
      <c r="B6" s="9"/>
      <c r="C6" s="9"/>
    </row>
    <row r="8" spans="1:5" x14ac:dyDescent="0.4">
      <c r="A8" s="10" t="s">
        <v>71</v>
      </c>
      <c r="B8" s="6"/>
      <c r="C8" s="6"/>
      <c r="D8" s="6"/>
      <c r="E8" s="14"/>
    </row>
    <row r="9" spans="1:5" x14ac:dyDescent="0.4">
      <c r="A9" s="69" t="s">
        <v>534</v>
      </c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t="s">
        <v>35</v>
      </c>
      <c r="B11" t="s">
        <v>36</v>
      </c>
      <c r="C11" s="13">
        <v>509</v>
      </c>
      <c r="D11" s="13">
        <v>97422600</v>
      </c>
      <c r="E11" s="15">
        <v>14.15</v>
      </c>
    </row>
    <row r="12" spans="1:5" x14ac:dyDescent="0.4">
      <c r="A12" t="s">
        <v>45</v>
      </c>
      <c r="B12" t="s">
        <v>46</v>
      </c>
      <c r="C12" s="31">
        <v>543</v>
      </c>
      <c r="D12" s="13">
        <v>90572400</v>
      </c>
      <c r="E12" s="15">
        <v>13.16</v>
      </c>
    </row>
    <row r="13" spans="1:5" x14ac:dyDescent="0.4">
      <c r="A13" t="s">
        <v>31</v>
      </c>
      <c r="B13" t="s">
        <v>32</v>
      </c>
      <c r="C13" s="13">
        <v>227</v>
      </c>
      <c r="D13" s="13">
        <v>83763000</v>
      </c>
      <c r="E13" s="15">
        <v>12.17</v>
      </c>
    </row>
    <row r="14" spans="1:5" x14ac:dyDescent="0.4">
      <c r="A14" t="s">
        <v>41</v>
      </c>
      <c r="B14" t="s">
        <v>42</v>
      </c>
      <c r="C14">
        <v>498</v>
      </c>
      <c r="D14" s="13">
        <v>59411400</v>
      </c>
      <c r="E14" s="15">
        <v>8.6300000000000008</v>
      </c>
    </row>
    <row r="15" spans="1:5" x14ac:dyDescent="0.4">
      <c r="A15" t="s">
        <v>619</v>
      </c>
      <c r="B15" t="s">
        <v>620</v>
      </c>
      <c r="C15" s="31">
        <v>431</v>
      </c>
      <c r="D15" s="13">
        <v>27153000</v>
      </c>
      <c r="E15" s="15">
        <v>3.94</v>
      </c>
    </row>
    <row r="16" spans="1:5" x14ac:dyDescent="0.4">
      <c r="A16" t="s">
        <v>647</v>
      </c>
      <c r="B16" t="s">
        <v>648</v>
      </c>
      <c r="C16" s="31">
        <v>536</v>
      </c>
      <c r="D16" s="13">
        <v>24843600</v>
      </c>
      <c r="E16" s="15">
        <v>3.61</v>
      </c>
    </row>
    <row r="17" spans="1:5" x14ac:dyDescent="0.4">
      <c r="A17" t="s">
        <v>49</v>
      </c>
      <c r="B17" t="s">
        <v>50</v>
      </c>
      <c r="C17" s="31">
        <v>184</v>
      </c>
      <c r="D17" s="13">
        <v>24177600</v>
      </c>
      <c r="E17" s="15">
        <v>3.51</v>
      </c>
    </row>
    <row r="18" spans="1:5" x14ac:dyDescent="0.4">
      <c r="A18" t="s">
        <v>683</v>
      </c>
      <c r="B18" t="s">
        <v>684</v>
      </c>
      <c r="C18" s="13">
        <v>197</v>
      </c>
      <c r="D18" s="13">
        <v>21985200</v>
      </c>
      <c r="E18" s="15">
        <v>3.19</v>
      </c>
    </row>
    <row r="19" spans="1:5" x14ac:dyDescent="0.4">
      <c r="A19" t="s">
        <v>4483</v>
      </c>
      <c r="B19" t="s">
        <v>4484</v>
      </c>
      <c r="C19" s="13">
        <v>2152</v>
      </c>
      <c r="D19" s="13">
        <v>21369360</v>
      </c>
      <c r="E19" s="15">
        <v>3.1</v>
      </c>
    </row>
    <row r="20" spans="1:5" x14ac:dyDescent="0.4">
      <c r="A20" t="s">
        <v>39</v>
      </c>
      <c r="B20" t="s">
        <v>40</v>
      </c>
      <c r="C20" s="13">
        <v>77</v>
      </c>
      <c r="D20" s="13">
        <v>20482000</v>
      </c>
      <c r="E20" s="15">
        <v>2.98</v>
      </c>
    </row>
    <row r="21" spans="1:5" x14ac:dyDescent="0.4">
      <c r="A21" t="s">
        <v>607</v>
      </c>
      <c r="B21" t="s">
        <v>608</v>
      </c>
      <c r="C21" s="13">
        <v>130</v>
      </c>
      <c r="D21" s="13">
        <v>19201000</v>
      </c>
      <c r="E21" s="15">
        <v>2.79</v>
      </c>
    </row>
    <row r="22" spans="1:5" x14ac:dyDescent="0.4">
      <c r="A22" t="s">
        <v>51</v>
      </c>
      <c r="B22" t="s">
        <v>52</v>
      </c>
      <c r="C22" s="13">
        <v>306</v>
      </c>
      <c r="D22" s="13">
        <v>18635400</v>
      </c>
      <c r="E22" s="15">
        <v>2.71</v>
      </c>
    </row>
    <row r="23" spans="1:5" x14ac:dyDescent="0.4">
      <c r="A23" t="s">
        <v>5169</v>
      </c>
      <c r="B23" t="s">
        <v>5170</v>
      </c>
      <c r="C23" s="31">
        <v>672</v>
      </c>
      <c r="D23" s="13">
        <v>18211200</v>
      </c>
      <c r="E23" s="15">
        <v>2.65</v>
      </c>
    </row>
    <row r="24" spans="1:5" x14ac:dyDescent="0.4">
      <c r="A24" t="s">
        <v>563</v>
      </c>
      <c r="B24" t="s">
        <v>564</v>
      </c>
      <c r="C24" s="31">
        <v>446</v>
      </c>
      <c r="D24" s="13">
        <v>17505500</v>
      </c>
      <c r="E24" s="15">
        <v>2.54</v>
      </c>
    </row>
    <row r="25" spans="1:5" x14ac:dyDescent="0.4">
      <c r="A25" t="s">
        <v>53</v>
      </c>
      <c r="B25" t="s">
        <v>54</v>
      </c>
      <c r="C25" s="13">
        <v>35</v>
      </c>
      <c r="D25" s="13">
        <v>16537500</v>
      </c>
      <c r="E25" s="15">
        <v>2.4</v>
      </c>
    </row>
    <row r="26" spans="1:5" x14ac:dyDescent="0.4">
      <c r="A26" t="s">
        <v>510</v>
      </c>
      <c r="B26" t="s">
        <v>511</v>
      </c>
      <c r="C26" s="13">
        <v>612</v>
      </c>
      <c r="D26" s="13">
        <v>15238800</v>
      </c>
      <c r="E26" s="15">
        <v>2.21</v>
      </c>
    </row>
    <row r="27" spans="1:5" x14ac:dyDescent="0.4">
      <c r="A27" t="s">
        <v>37</v>
      </c>
      <c r="B27" t="s">
        <v>38</v>
      </c>
      <c r="C27" s="13">
        <v>210</v>
      </c>
      <c r="D27" s="13">
        <v>14448000</v>
      </c>
      <c r="E27" s="15">
        <v>2.1</v>
      </c>
    </row>
    <row r="28" spans="1:5" x14ac:dyDescent="0.4">
      <c r="A28" t="s">
        <v>4548</v>
      </c>
      <c r="B28" t="s">
        <v>4549</v>
      </c>
      <c r="C28" s="13">
        <v>706</v>
      </c>
      <c r="D28" s="13">
        <v>14007040</v>
      </c>
      <c r="E28" s="15">
        <v>2.0299999999999998</v>
      </c>
    </row>
    <row r="29" spans="1:5" x14ac:dyDescent="0.4">
      <c r="A29" t="s">
        <v>691</v>
      </c>
      <c r="B29" t="s">
        <v>692</v>
      </c>
      <c r="C29" s="13">
        <v>622</v>
      </c>
      <c r="D29" s="13">
        <v>13404100</v>
      </c>
      <c r="E29" s="15">
        <v>1.95</v>
      </c>
    </row>
    <row r="30" spans="1:5" x14ac:dyDescent="0.4">
      <c r="A30" t="s">
        <v>470</v>
      </c>
      <c r="B30" t="s">
        <v>5181</v>
      </c>
      <c r="C30" s="13">
        <v>352</v>
      </c>
      <c r="D30" s="13">
        <v>13006400</v>
      </c>
      <c r="E30" s="15">
        <v>1.89</v>
      </c>
    </row>
    <row r="31" spans="1:5" x14ac:dyDescent="0.4">
      <c r="A31" t="s">
        <v>695</v>
      </c>
      <c r="B31" t="s">
        <v>696</v>
      </c>
      <c r="C31" s="13">
        <v>407</v>
      </c>
      <c r="D31" s="13">
        <v>12006500</v>
      </c>
      <c r="E31" s="15">
        <v>1.74</v>
      </c>
    </row>
    <row r="32" spans="1:5" x14ac:dyDescent="0.4">
      <c r="A32" t="s">
        <v>4637</v>
      </c>
      <c r="B32" t="s">
        <v>4638</v>
      </c>
      <c r="C32" s="13">
        <v>938</v>
      </c>
      <c r="D32" s="13">
        <v>11959500</v>
      </c>
      <c r="E32" s="15">
        <v>1.74</v>
      </c>
    </row>
    <row r="33" spans="1:5" x14ac:dyDescent="0.4">
      <c r="A33" t="s">
        <v>743</v>
      </c>
      <c r="B33" t="s">
        <v>744</v>
      </c>
      <c r="C33" s="13">
        <v>238</v>
      </c>
      <c r="D33" s="13">
        <v>11543000</v>
      </c>
      <c r="E33" s="15">
        <v>1.68</v>
      </c>
    </row>
    <row r="34" spans="1:5" x14ac:dyDescent="0.4">
      <c r="A34" t="s">
        <v>4796</v>
      </c>
      <c r="B34" t="s">
        <v>4797</v>
      </c>
      <c r="C34" s="13">
        <v>1003</v>
      </c>
      <c r="D34" s="13">
        <v>10300810</v>
      </c>
      <c r="E34" s="15">
        <v>1.5</v>
      </c>
    </row>
    <row r="35" spans="1:5" x14ac:dyDescent="0.4">
      <c r="A35" t="s">
        <v>637</v>
      </c>
      <c r="B35" t="s">
        <v>638</v>
      </c>
      <c r="C35" s="13">
        <v>136</v>
      </c>
      <c r="D35" s="13">
        <v>9030400</v>
      </c>
      <c r="E35" s="15">
        <v>1.31</v>
      </c>
    </row>
    <row r="36" spans="1:5" x14ac:dyDescent="0.4">
      <c r="B36" t="s">
        <v>10</v>
      </c>
      <c r="C36" s="13">
        <v>2129249</v>
      </c>
      <c r="D36" s="13">
        <v>2129249</v>
      </c>
      <c r="E36" s="15">
        <v>0.31</v>
      </c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7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64</vt:i4>
      </vt:variant>
    </vt:vector>
  </HeadingPairs>
  <TitlesOfParts>
    <vt:vector size="64" baseType="lpstr">
      <vt:lpstr>코스닥액티브</vt:lpstr>
      <vt:lpstr>반도체</vt:lpstr>
      <vt:lpstr>수급, 배당성장</vt:lpstr>
      <vt:lpstr>신재생, 2차전지</vt:lpstr>
      <vt:lpstr>이노, 소비, AI인프라</vt:lpstr>
      <vt:lpstr>코스피, 조선, 테크</vt:lpstr>
      <vt:lpstr>수출, 로봇, 컬쳐</vt:lpstr>
      <vt:lpstr>밸류업, 제조업, 바이오</vt:lpstr>
      <vt:lpstr>바이오</vt:lpstr>
      <vt:lpstr>유니버스</vt:lpstr>
      <vt:lpstr>코엑트 코스닥액티브</vt:lpstr>
      <vt:lpstr>코엑트 코스닥액티브(과거)</vt:lpstr>
      <vt:lpstr>타임 코스닥액티브</vt:lpstr>
      <vt:lpstr>타임코스닥액티브(과거)</vt:lpstr>
      <vt:lpstr>플러스코스닥액티브</vt:lpstr>
      <vt:lpstr>플러스코스닥액티브(과거)</vt:lpstr>
      <vt:lpstr>UNICORN SK하이닉스밸류체인액티브</vt:lpstr>
      <vt:lpstr>UNICORN SK하이닉스밸류체인액티브(과거)</vt:lpstr>
      <vt:lpstr>WON 반도체밸류체인액티브</vt:lpstr>
      <vt:lpstr>WON 반도체밸류체인액티브(과거)</vt:lpstr>
      <vt:lpstr>RISE 비메모리반도체액티브</vt:lpstr>
      <vt:lpstr>RISE 비메모리반도체액티브(과거)</vt:lpstr>
      <vt:lpstr>SOL 코리아메가테크액티브</vt:lpstr>
      <vt:lpstr>SOL 코리아메가테크액티브(과거)</vt:lpstr>
      <vt:lpstr>KoAct 배당성장액티브</vt:lpstr>
      <vt:lpstr>KoAct 배당성장액티브(과거)</vt:lpstr>
      <vt:lpstr>TIMEFOLIO Korea플러스배당액티브</vt:lpstr>
      <vt:lpstr>TIMEFOLIO Korea플러스배당액티브(과거)</vt:lpstr>
      <vt:lpstr>KODEX 신재생에너지액티브</vt:lpstr>
      <vt:lpstr>KODEX 신재생에너지액티브(과거)</vt:lpstr>
      <vt:lpstr>TIMEFOLIO K신재생에너지액티브</vt:lpstr>
      <vt:lpstr>TIMEFOLIO K신재생에너지액티브(과거)</vt:lpstr>
      <vt:lpstr>RISE 2차전지액티브</vt:lpstr>
      <vt:lpstr>RISE 2차전지액티브(과거)</vt:lpstr>
      <vt:lpstr>TIMEFOLIO K이노베이션액티브</vt:lpstr>
      <vt:lpstr>TIMEFOLIO K이노베이션액티브(과거)</vt:lpstr>
      <vt:lpstr>VITA MZ소비액티브</vt:lpstr>
      <vt:lpstr>VITA MZ소비액티브(과거)</vt:lpstr>
      <vt:lpstr>KoAct AI인프라액티브</vt:lpstr>
      <vt:lpstr>KoAct AI인프라액티브(과거)</vt:lpstr>
      <vt:lpstr>TIMEFOLIO 코스피액티브</vt:lpstr>
      <vt:lpstr>TIMEFOLIO 코스피액티브(과거)</vt:lpstr>
      <vt:lpstr>KODEX 친환경조선해운액티브</vt:lpstr>
      <vt:lpstr>KODEX 친환경조선해운액티브(과거)</vt:lpstr>
      <vt:lpstr>TIGER 코리아테크액티브</vt:lpstr>
      <vt:lpstr>TIGER 코리아테크액티브(과거)</vt:lpstr>
      <vt:lpstr>KoAct K수출핵심기업TOP30액티브</vt:lpstr>
      <vt:lpstr>KoAct K수출핵심기업TOP30액티브(과거)</vt:lpstr>
      <vt:lpstr>KODEX 로봇액티브</vt:lpstr>
      <vt:lpstr>KODEX 로봇액티브(과거)</vt:lpstr>
      <vt:lpstr>TIMEFOLIO K컬처액티브</vt:lpstr>
      <vt:lpstr>TIMEFOLIO K컬처액티브(과거)</vt:lpstr>
      <vt:lpstr>TIMEFOLIO 코리아밸류업액티브</vt:lpstr>
      <vt:lpstr>TIMEFOLIO 코리아밸류업액티브(과거)</vt:lpstr>
      <vt:lpstr>PLUS K제조업핵심기업액티브</vt:lpstr>
      <vt:lpstr>PLUS K제조업핵심기업액티브(과거)</vt:lpstr>
      <vt:lpstr>타이커 기술이전</vt:lpstr>
      <vt:lpstr>타이커 기술이전(과거)</vt:lpstr>
      <vt:lpstr>TIMEFOLIO K바이오액티브</vt:lpstr>
      <vt:lpstr>TIMEFOLIO K바이오액티브(과거)</vt:lpstr>
      <vt:lpstr>KoAct 바이오헬스케어액티브</vt:lpstr>
      <vt:lpstr>KoAct 바이오헬스케어액티브(과거)</vt:lpstr>
      <vt:lpstr>RISE 바이오TOP10액티브</vt:lpstr>
      <vt:lpstr>RISE 바이오TOP10액티브(과거)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2024-09-03T07:20:28Z</dcterms:created>
  <dcterms:modified xsi:type="dcterms:W3CDTF">2026-05-22T09:26:56Z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20260522162601</vt:lpwstr>
  </property>
</Properties>
</file>