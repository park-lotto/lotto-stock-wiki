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3FD58292-B2B6-4FA4-862F-8992ED3629A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WiseReport ReportSummary" sheetId="1" r:id="rId1"/>
    <sheet name="정리" sheetId="3" r:id="rId2"/>
    <sheet name="raw" sheetId="2" r:id="rId3"/>
    <sheet name="코드 중복 체크" sheetId="4" r:id="rId4"/>
  </sheets>
  <definedNames>
    <definedName name="_xlnm._FilterDatabase" localSheetId="0" hidden="1">'WiseReport ReportSummary'!$A$7:$CA$7</definedName>
    <definedName name="_xlnm._FilterDatabase" localSheetId="3" hidden="1">'코드 중복 체크'!$A$1:$A$223</definedName>
    <definedName name="ReportSummary" localSheetId="2">raw!$A$2:$I$41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7" i="4" l="1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352" i="4" l="1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AE2" i="1" l="1"/>
  <c r="AE3" i="1" s="1"/>
  <c r="AE4" i="1" s="1"/>
  <c r="AE5" i="1" s="1"/>
  <c r="AF1" i="1" s="1"/>
  <c r="AF2" i="1" s="1"/>
  <c r="AF3" i="1" s="1"/>
  <c r="AF4" i="1" s="1"/>
  <c r="AF5" i="1" s="1"/>
  <c r="AG1" i="1" s="1"/>
  <c r="AG2" i="1" s="1"/>
  <c r="AG3" i="1" s="1"/>
  <c r="AG4" i="1" s="1"/>
  <c r="AG5" i="1" s="1"/>
  <c r="AH1" i="1" s="1"/>
  <c r="AH2" i="1" s="1"/>
  <c r="AH3" i="1" s="1"/>
  <c r="AH4" i="1" s="1"/>
  <c r="AH5" i="1" s="1"/>
  <c r="C2" i="4" l="1"/>
  <c r="E2" i="4" l="1" a="1"/>
  <c r="E2" i="4" s="1"/>
  <c r="E3" i="4" s="1"/>
  <c r="AZ2" i="4" l="1"/>
  <c r="AZ3" i="4" s="1"/>
  <c r="R2" i="4"/>
  <c r="R3" i="4" s="1"/>
  <c r="AY2" i="4"/>
  <c r="AY3" i="4" s="1"/>
  <c r="CD2" i="4"/>
  <c r="CD3" i="4" s="1"/>
  <c r="EO2" i="4"/>
  <c r="EO3" i="4" s="1"/>
  <c r="CQ2" i="4"/>
  <c r="CQ3" i="4" s="1"/>
  <c r="BP2" i="4"/>
  <c r="BP3" i="4" s="1"/>
  <c r="EA2" i="4"/>
  <c r="EA3" i="4" s="1"/>
  <c r="CT2" i="4"/>
  <c r="CT3" i="4" s="1"/>
  <c r="AW2" i="4"/>
  <c r="AW3" i="4" s="1"/>
  <c r="EN2" i="4"/>
  <c r="EN3" i="4" s="1"/>
  <c r="EM2" i="4"/>
  <c r="EM3" i="4" s="1"/>
  <c r="ER2" i="4"/>
  <c r="ER3" i="4" s="1"/>
  <c r="AJ2" i="4"/>
  <c r="AJ3" i="4" s="1"/>
  <c r="CU2" i="4"/>
  <c r="CU3" i="4" s="1"/>
  <c r="EP2" i="4"/>
  <c r="EP3" i="4" s="1"/>
  <c r="CS2" i="4"/>
  <c r="CS3" i="4" s="1"/>
  <c r="FD2" i="4"/>
  <c r="FD3" i="4" s="1"/>
  <c r="BL2" i="4"/>
  <c r="BL3" i="4" s="1"/>
  <c r="DG2" i="4"/>
  <c r="DG3" i="4" s="1"/>
  <c r="AT2" i="4"/>
  <c r="AT3" i="4" s="1"/>
  <c r="DU2" i="4"/>
  <c r="DU3" i="4" s="1"/>
  <c r="EJ2" i="4"/>
  <c r="EJ3" i="4" s="1"/>
  <c r="DL2" i="4"/>
  <c r="DL3" i="4" s="1"/>
  <c r="BO2" i="4"/>
  <c r="BO3" i="4" s="1"/>
  <c r="DJ2" i="4"/>
  <c r="DJ3" i="4" s="1"/>
  <c r="BM2" i="4"/>
  <c r="BM3" i="4" s="1"/>
  <c r="CR2" i="4"/>
  <c r="CR3" i="4" s="1"/>
  <c r="FC2" i="4"/>
  <c r="FC3" i="4" s="1"/>
  <c r="AE2" i="4"/>
  <c r="AE3" i="4" s="1"/>
  <c r="EL2" i="4"/>
  <c r="EL3" i="4" s="1"/>
  <c r="BZ2" i="4"/>
  <c r="BZ3" i="4" s="1"/>
  <c r="CO2" i="4"/>
  <c r="CO3" i="4" s="1"/>
  <c r="DT2" i="4"/>
  <c r="DT3" i="4" s="1"/>
  <c r="AB2" i="4"/>
  <c r="AB3" i="4" s="1"/>
  <c r="EY2" i="4"/>
  <c r="EY3" i="4" s="1"/>
  <c r="BV2" i="4"/>
  <c r="BV3" i="4" s="1"/>
  <c r="J2" i="4"/>
  <c r="J3" i="4" s="1"/>
  <c r="AI2" i="4"/>
  <c r="AI3" i="4" s="1"/>
  <c r="BN2" i="4"/>
  <c r="BN3" i="4" s="1"/>
  <c r="DY2" i="4"/>
  <c r="DY3" i="4" s="1"/>
  <c r="AV2" i="4"/>
  <c r="AV3" i="4" s="1"/>
  <c r="AU2" i="4"/>
  <c r="AU3" i="4" s="1"/>
  <c r="DV2" i="4"/>
  <c r="DV3" i="4" s="1"/>
  <c r="BJ2" i="4"/>
  <c r="BJ3" i="4" s="1"/>
  <c r="DE2" i="4"/>
  <c r="DE3" i="4" s="1"/>
  <c r="AC2" i="4"/>
  <c r="AC3" i="4" s="1"/>
  <c r="DD2" i="4"/>
  <c r="DD3" i="4" s="1"/>
  <c r="L2" i="4"/>
  <c r="L3" i="4" s="1"/>
  <c r="CM2" i="4"/>
  <c r="CM3" i="4" s="1"/>
  <c r="K2" i="4"/>
  <c r="K3" i="4" s="1"/>
  <c r="EH2" i="4"/>
  <c r="EH3" i="4" s="1"/>
  <c r="BU2" i="4"/>
  <c r="BU3" i="4" s="1"/>
  <c r="I2" i="4"/>
  <c r="I3" i="4" s="1"/>
  <c r="CV2" i="4"/>
  <c r="CV3" i="4" s="1"/>
  <c r="DK2" i="4"/>
  <c r="DK3" i="4" s="1"/>
  <c r="DZ2" i="4"/>
  <c r="DZ3" i="4" s="1"/>
  <c r="DI2" i="4"/>
  <c r="DI3" i="4" s="1"/>
  <c r="AF2" i="4"/>
  <c r="AF3" i="4" s="1"/>
  <c r="BK2" i="4"/>
  <c r="BK3" i="4" s="1"/>
  <c r="CP2" i="4"/>
  <c r="CP3" i="4" s="1"/>
  <c r="FA2" i="4"/>
  <c r="FA3" i="4" s="1"/>
  <c r="BI2" i="4"/>
  <c r="BI3" i="4" s="1"/>
  <c r="BH2" i="4"/>
  <c r="BH3" i="4" s="1"/>
  <c r="DS2" i="4"/>
  <c r="DS3" i="4" s="1"/>
  <c r="AQ2" i="4"/>
  <c r="AQ3" i="4" s="1"/>
  <c r="EX2" i="4"/>
  <c r="EX3" i="4" s="1"/>
  <c r="X2" i="4"/>
  <c r="X3" i="4" s="1"/>
  <c r="CF2" i="4"/>
  <c r="CF3" i="4" s="1"/>
  <c r="EQ2" i="4"/>
  <c r="EQ3" i="4" s="1"/>
  <c r="S2" i="4"/>
  <c r="S3" i="4" s="1"/>
  <c r="Q2" i="4"/>
  <c r="Q3" i="4" s="1"/>
  <c r="CB2" i="4"/>
  <c r="CB3" i="4" s="1"/>
  <c r="CA2" i="4"/>
  <c r="CA3" i="4" s="1"/>
  <c r="N2" i="4"/>
  <c r="N3" i="4" s="1"/>
  <c r="BY2" i="4"/>
  <c r="BY3" i="4" s="1"/>
  <c r="AR2" i="4"/>
  <c r="AR3" i="4" s="1"/>
  <c r="BW2" i="4"/>
  <c r="BW3" i="4" s="1"/>
  <c r="DR2" i="4"/>
  <c r="DR3" i="4" s="1"/>
  <c r="BF2" i="4"/>
  <c r="BF3" i="4" s="1"/>
  <c r="EW2" i="4"/>
  <c r="EW3" i="4" s="1"/>
  <c r="G2" i="4"/>
  <c r="EB2" i="4"/>
  <c r="EB3" i="4" s="1"/>
  <c r="T2" i="4"/>
  <c r="T3" i="4" s="1"/>
  <c r="AH2" i="4"/>
  <c r="AH3" i="4" s="1"/>
  <c r="CC2" i="4"/>
  <c r="CC3" i="4" s="1"/>
  <c r="DH2" i="4"/>
  <c r="DH3" i="4" s="1"/>
  <c r="P2" i="4"/>
  <c r="P3" i="4" s="1"/>
  <c r="DW2" i="4"/>
  <c r="DW3" i="4" s="1"/>
  <c r="FB2" i="4"/>
  <c r="FB3" i="4" s="1"/>
  <c r="AD2" i="4"/>
  <c r="AD3" i="4" s="1"/>
  <c r="AS2" i="4"/>
  <c r="AS3" i="4" s="1"/>
  <c r="EZ2" i="4"/>
  <c r="EZ3" i="4" s="1"/>
  <c r="BX2" i="4"/>
  <c r="BX3" i="4" s="1"/>
  <c r="EI2" i="4"/>
  <c r="EI3" i="4" s="1"/>
  <c r="BG2" i="4"/>
  <c r="BG3" i="4" s="1"/>
  <c r="DB2" i="4"/>
  <c r="DB3" i="4" s="1"/>
  <c r="AP2" i="4"/>
  <c r="AP3" i="4" s="1"/>
  <c r="EG2" i="4"/>
  <c r="EG3" i="4" s="1"/>
  <c r="DA2" i="4"/>
  <c r="DA3" i="4" s="1"/>
  <c r="AO2" i="4"/>
  <c r="AO3" i="4" s="1"/>
  <c r="DP2" i="4"/>
  <c r="DP3" i="4" s="1"/>
  <c r="BD2" i="4"/>
  <c r="BD3" i="4" s="1"/>
  <c r="F2" i="4"/>
  <c r="F3" i="4" s="1"/>
  <c r="CE2" i="4"/>
  <c r="CE3" i="4" s="1"/>
  <c r="AX2" i="4"/>
  <c r="AX3" i="4" s="1"/>
  <c r="AG2" i="4"/>
  <c r="AG3" i="4" s="1"/>
  <c r="DX2" i="4"/>
  <c r="DX3" i="4" s="1"/>
  <c r="O2" i="4"/>
  <c r="O3" i="4" s="1"/>
  <c r="DF2" i="4"/>
  <c r="DF3" i="4" s="1"/>
  <c r="EK2" i="4"/>
  <c r="EK3" i="4" s="1"/>
  <c r="M2" i="4"/>
  <c r="M3" i="4" s="1"/>
  <c r="CN2" i="4"/>
  <c r="CN3" i="4" s="1"/>
  <c r="DC2" i="4"/>
  <c r="DC3" i="4" s="1"/>
  <c r="AA2" i="4"/>
  <c r="AA3" i="4" s="1"/>
  <c r="CL2" i="4"/>
  <c r="CL3" i="4" s="1"/>
  <c r="Z2" i="4"/>
  <c r="Z3" i="4" s="1"/>
  <c r="DQ2" i="4"/>
  <c r="DQ3" i="4" s="1"/>
  <c r="CK2" i="4"/>
  <c r="CK3" i="4" s="1"/>
  <c r="BE2" i="4"/>
  <c r="BE3" i="4" s="1"/>
  <c r="Y2" i="4"/>
  <c r="Y3" i="4" s="1"/>
  <c r="EV2" i="4"/>
  <c r="EV3" i="4" s="1"/>
  <c r="EF2" i="4"/>
  <c r="EF3" i="4" s="1"/>
  <c r="CZ2" i="4"/>
  <c r="CZ3" i="4" s="1"/>
  <c r="CJ2" i="4"/>
  <c r="CJ3" i="4" s="1"/>
  <c r="BT2" i="4"/>
  <c r="BT3" i="4" s="1"/>
  <c r="AN2" i="4"/>
  <c r="AN3" i="4" s="1"/>
  <c r="H2" i="4"/>
  <c r="H3" i="4" s="1"/>
  <c r="EU2" i="4"/>
  <c r="EU3" i="4" s="1"/>
  <c r="EE2" i="4"/>
  <c r="EE3" i="4" s="1"/>
  <c r="DO2" i="4"/>
  <c r="DO3" i="4" s="1"/>
  <c r="CY2" i="4"/>
  <c r="CY3" i="4" s="1"/>
  <c r="CI2" i="4"/>
  <c r="CI3" i="4" s="1"/>
  <c r="BS2" i="4"/>
  <c r="BS3" i="4" s="1"/>
  <c r="BC2" i="4"/>
  <c r="BC3" i="4" s="1"/>
  <c r="AM2" i="4"/>
  <c r="AM3" i="4" s="1"/>
  <c r="W2" i="4"/>
  <c r="W3" i="4" s="1"/>
  <c r="ET2" i="4"/>
  <c r="ET3" i="4" s="1"/>
  <c r="ED2" i="4"/>
  <c r="ED3" i="4" s="1"/>
  <c r="DN2" i="4"/>
  <c r="DN3" i="4" s="1"/>
  <c r="CX2" i="4"/>
  <c r="CX3" i="4" s="1"/>
  <c r="CH2" i="4"/>
  <c r="CH3" i="4" s="1"/>
  <c r="BR2" i="4"/>
  <c r="BR3" i="4" s="1"/>
  <c r="BB2" i="4"/>
  <c r="BB3" i="4" s="1"/>
  <c r="AL2" i="4"/>
  <c r="AL3" i="4" s="1"/>
  <c r="V2" i="4"/>
  <c r="V3" i="4" s="1"/>
  <c r="ES2" i="4"/>
  <c r="ES3" i="4" s="1"/>
  <c r="EC2" i="4"/>
  <c r="EC3" i="4" s="1"/>
  <c r="DM2" i="4"/>
  <c r="DM3" i="4" s="1"/>
  <c r="CW2" i="4"/>
  <c r="CW3" i="4" s="1"/>
  <c r="CG2" i="4"/>
  <c r="CG3" i="4" s="1"/>
  <c r="BQ2" i="4"/>
  <c r="BQ3" i="4" s="1"/>
  <c r="BA2" i="4"/>
  <c r="BA3" i="4" s="1"/>
  <c r="AK2" i="4"/>
  <c r="AK3" i="4" s="1"/>
  <c r="U2" i="4"/>
  <c r="U3" i="4" s="1"/>
  <c r="A6" i="1"/>
  <c r="J3" i="3"/>
  <c r="F10" i="1" s="1"/>
  <c r="K3" i="3"/>
  <c r="G10" i="1" s="1"/>
  <c r="M3" i="3"/>
  <c r="L3" i="3" s="1"/>
  <c r="K10" i="1" s="1"/>
  <c r="J4" i="3"/>
  <c r="K4" i="3"/>
  <c r="G11" i="1" s="1"/>
  <c r="M4" i="3"/>
  <c r="L4" i="3" s="1"/>
  <c r="K11" i="1" s="1"/>
  <c r="J5" i="3"/>
  <c r="F12" i="1" s="1"/>
  <c r="K5" i="3"/>
  <c r="G12" i="1" s="1"/>
  <c r="M5" i="3"/>
  <c r="L5" i="3" s="1"/>
  <c r="K12" i="1" s="1"/>
  <c r="J6" i="3"/>
  <c r="F13" i="1" s="1"/>
  <c r="K6" i="3"/>
  <c r="G13" i="1" s="1"/>
  <c r="M6" i="3"/>
  <c r="L6" i="3" s="1"/>
  <c r="K13" i="1" s="1"/>
  <c r="J7" i="3"/>
  <c r="F14" i="1" s="1"/>
  <c r="K7" i="3"/>
  <c r="G14" i="1" s="1"/>
  <c r="M7" i="3"/>
  <c r="L7" i="3" s="1"/>
  <c r="K14" i="1" s="1"/>
  <c r="J8" i="3"/>
  <c r="F15" i="1" s="1"/>
  <c r="K8" i="3"/>
  <c r="G15" i="1" s="1"/>
  <c r="M8" i="3"/>
  <c r="L8" i="3" s="1"/>
  <c r="K15" i="1" s="1"/>
  <c r="J9" i="3"/>
  <c r="F16" i="1" s="1"/>
  <c r="K9" i="3"/>
  <c r="G16" i="1" s="1"/>
  <c r="M9" i="3"/>
  <c r="L9" i="3" s="1"/>
  <c r="K16" i="1" s="1"/>
  <c r="J10" i="3"/>
  <c r="F17" i="1" s="1"/>
  <c r="K10" i="3"/>
  <c r="G17" i="1" s="1"/>
  <c r="M10" i="3"/>
  <c r="L10" i="3" s="1"/>
  <c r="K17" i="1" s="1"/>
  <c r="J11" i="3"/>
  <c r="F18" i="1" s="1"/>
  <c r="K11" i="3"/>
  <c r="G18" i="1" s="1"/>
  <c r="M11" i="3"/>
  <c r="L11" i="3" s="1"/>
  <c r="K18" i="1" s="1"/>
  <c r="J12" i="3"/>
  <c r="F19" i="1" s="1"/>
  <c r="K12" i="3"/>
  <c r="G19" i="1" s="1"/>
  <c r="M12" i="3"/>
  <c r="L12" i="3" s="1"/>
  <c r="K19" i="1" s="1"/>
  <c r="J13" i="3"/>
  <c r="F20" i="1" s="1"/>
  <c r="K13" i="3"/>
  <c r="G20" i="1" s="1"/>
  <c r="M13" i="3"/>
  <c r="L13" i="3" s="1"/>
  <c r="K20" i="1" s="1"/>
  <c r="J14" i="3"/>
  <c r="F21" i="1" s="1"/>
  <c r="K14" i="3"/>
  <c r="G21" i="1" s="1"/>
  <c r="M14" i="3"/>
  <c r="L14" i="3" s="1"/>
  <c r="K21" i="1" s="1"/>
  <c r="J15" i="3"/>
  <c r="F22" i="1" s="1"/>
  <c r="K15" i="3"/>
  <c r="G22" i="1" s="1"/>
  <c r="M15" i="3"/>
  <c r="L15" i="3" s="1"/>
  <c r="K22" i="1" s="1"/>
  <c r="J16" i="3"/>
  <c r="F23" i="1" s="1"/>
  <c r="K16" i="3"/>
  <c r="G23" i="1" s="1"/>
  <c r="M16" i="3"/>
  <c r="L16" i="3" s="1"/>
  <c r="K23" i="1" s="1"/>
  <c r="J17" i="3"/>
  <c r="F24" i="1" s="1"/>
  <c r="K17" i="3"/>
  <c r="G24" i="1" s="1"/>
  <c r="M17" i="3"/>
  <c r="L17" i="3" s="1"/>
  <c r="K24" i="1" s="1"/>
  <c r="J18" i="3"/>
  <c r="F25" i="1" s="1"/>
  <c r="K18" i="3"/>
  <c r="G25" i="1" s="1"/>
  <c r="M18" i="3"/>
  <c r="L18" i="3" s="1"/>
  <c r="K25" i="1" s="1"/>
  <c r="J19" i="3"/>
  <c r="F26" i="1" s="1"/>
  <c r="K19" i="3"/>
  <c r="G26" i="1" s="1"/>
  <c r="M19" i="3"/>
  <c r="L19" i="3" s="1"/>
  <c r="K26" i="1" s="1"/>
  <c r="J20" i="3"/>
  <c r="F27" i="1" s="1"/>
  <c r="K20" i="3"/>
  <c r="G27" i="1" s="1"/>
  <c r="M20" i="3"/>
  <c r="L20" i="3" s="1"/>
  <c r="K27" i="1" s="1"/>
  <c r="J21" i="3"/>
  <c r="F28" i="1" s="1"/>
  <c r="K21" i="3"/>
  <c r="G28" i="1" s="1"/>
  <c r="M21" i="3"/>
  <c r="L21" i="3" s="1"/>
  <c r="K28" i="1" s="1"/>
  <c r="J22" i="3"/>
  <c r="F29" i="1" s="1"/>
  <c r="K22" i="3"/>
  <c r="G29" i="1" s="1"/>
  <c r="M22" i="3"/>
  <c r="L22" i="3" s="1"/>
  <c r="K29" i="1" s="1"/>
  <c r="J23" i="3"/>
  <c r="F30" i="1" s="1"/>
  <c r="K23" i="3"/>
  <c r="G30" i="1" s="1"/>
  <c r="M23" i="3"/>
  <c r="L23" i="3" s="1"/>
  <c r="K30" i="1" s="1"/>
  <c r="J24" i="3"/>
  <c r="F31" i="1" s="1"/>
  <c r="K24" i="3"/>
  <c r="G31" i="1" s="1"/>
  <c r="M24" i="3"/>
  <c r="L24" i="3" s="1"/>
  <c r="K31" i="1" s="1"/>
  <c r="J25" i="3"/>
  <c r="F32" i="1" s="1"/>
  <c r="K25" i="3"/>
  <c r="G32" i="1" s="1"/>
  <c r="M25" i="3"/>
  <c r="L25" i="3" s="1"/>
  <c r="K32" i="1" s="1"/>
  <c r="J26" i="3"/>
  <c r="F33" i="1" s="1"/>
  <c r="K26" i="3"/>
  <c r="G33" i="1" s="1"/>
  <c r="M26" i="3"/>
  <c r="L26" i="3" s="1"/>
  <c r="K33" i="1" s="1"/>
  <c r="J27" i="3"/>
  <c r="F34" i="1" s="1"/>
  <c r="K27" i="3"/>
  <c r="G34" i="1" s="1"/>
  <c r="M27" i="3"/>
  <c r="L27" i="3" s="1"/>
  <c r="K34" i="1" s="1"/>
  <c r="J28" i="3"/>
  <c r="F35" i="1" s="1"/>
  <c r="K28" i="3"/>
  <c r="G35" i="1" s="1"/>
  <c r="M28" i="3"/>
  <c r="L28" i="3" s="1"/>
  <c r="K35" i="1" s="1"/>
  <c r="J29" i="3"/>
  <c r="F36" i="1" s="1"/>
  <c r="K29" i="3"/>
  <c r="G36" i="1" s="1"/>
  <c r="M29" i="3"/>
  <c r="L29" i="3" s="1"/>
  <c r="K36" i="1" s="1"/>
  <c r="J30" i="3"/>
  <c r="F37" i="1" s="1"/>
  <c r="K30" i="3"/>
  <c r="G37" i="1" s="1"/>
  <c r="M30" i="3"/>
  <c r="L30" i="3" s="1"/>
  <c r="K37" i="1" s="1"/>
  <c r="J31" i="3"/>
  <c r="F38" i="1" s="1"/>
  <c r="K31" i="3"/>
  <c r="G38" i="1" s="1"/>
  <c r="M31" i="3"/>
  <c r="L31" i="3" s="1"/>
  <c r="K38" i="1" s="1"/>
  <c r="J32" i="3"/>
  <c r="F39" i="1" s="1"/>
  <c r="K32" i="3"/>
  <c r="G39" i="1" s="1"/>
  <c r="M32" i="3"/>
  <c r="L32" i="3" s="1"/>
  <c r="K39" i="1" s="1"/>
  <c r="J33" i="3"/>
  <c r="F40" i="1" s="1"/>
  <c r="K33" i="3"/>
  <c r="G40" i="1" s="1"/>
  <c r="M33" i="3"/>
  <c r="L33" i="3" s="1"/>
  <c r="K40" i="1" s="1"/>
  <c r="J34" i="3"/>
  <c r="F41" i="1" s="1"/>
  <c r="K34" i="3"/>
  <c r="G41" i="1" s="1"/>
  <c r="M34" i="3"/>
  <c r="L34" i="3" s="1"/>
  <c r="K41" i="1" s="1"/>
  <c r="J35" i="3"/>
  <c r="F42" i="1" s="1"/>
  <c r="K35" i="3"/>
  <c r="G42" i="1" s="1"/>
  <c r="M35" i="3"/>
  <c r="L35" i="3" s="1"/>
  <c r="K42" i="1" s="1"/>
  <c r="J36" i="3"/>
  <c r="F43" i="1" s="1"/>
  <c r="K36" i="3"/>
  <c r="G43" i="1" s="1"/>
  <c r="M36" i="3"/>
  <c r="L36" i="3" s="1"/>
  <c r="K43" i="1" s="1"/>
  <c r="J37" i="3"/>
  <c r="F44" i="1" s="1"/>
  <c r="K37" i="3"/>
  <c r="G44" i="1" s="1"/>
  <c r="M37" i="3"/>
  <c r="L37" i="3" s="1"/>
  <c r="K44" i="1" s="1"/>
  <c r="J38" i="3"/>
  <c r="F45" i="1" s="1"/>
  <c r="K38" i="3"/>
  <c r="G45" i="1" s="1"/>
  <c r="M38" i="3"/>
  <c r="L38" i="3" s="1"/>
  <c r="K45" i="1" s="1"/>
  <c r="J39" i="3"/>
  <c r="F46" i="1" s="1"/>
  <c r="K39" i="3"/>
  <c r="G46" i="1" s="1"/>
  <c r="M39" i="3"/>
  <c r="L39" i="3" s="1"/>
  <c r="K46" i="1" s="1"/>
  <c r="J40" i="3"/>
  <c r="F47" i="1" s="1"/>
  <c r="K40" i="3"/>
  <c r="G47" i="1" s="1"/>
  <c r="M40" i="3"/>
  <c r="L40" i="3" s="1"/>
  <c r="K47" i="1" s="1"/>
  <c r="J41" i="3"/>
  <c r="F48" i="1" s="1"/>
  <c r="K41" i="3"/>
  <c r="G48" i="1" s="1"/>
  <c r="M41" i="3"/>
  <c r="L41" i="3" s="1"/>
  <c r="K48" i="1" s="1"/>
  <c r="J42" i="3"/>
  <c r="F49" i="1" s="1"/>
  <c r="K42" i="3"/>
  <c r="G49" i="1" s="1"/>
  <c r="M42" i="3"/>
  <c r="L42" i="3" s="1"/>
  <c r="K49" i="1" s="1"/>
  <c r="J43" i="3"/>
  <c r="F50" i="1" s="1"/>
  <c r="K43" i="3"/>
  <c r="G50" i="1" s="1"/>
  <c r="M43" i="3"/>
  <c r="L43" i="3" s="1"/>
  <c r="K50" i="1" s="1"/>
  <c r="J44" i="3"/>
  <c r="F51" i="1" s="1"/>
  <c r="K44" i="3"/>
  <c r="G51" i="1" s="1"/>
  <c r="M44" i="3"/>
  <c r="L44" i="3" s="1"/>
  <c r="K51" i="1" s="1"/>
  <c r="J45" i="3"/>
  <c r="F52" i="1" s="1"/>
  <c r="K45" i="3"/>
  <c r="G52" i="1" s="1"/>
  <c r="M45" i="3"/>
  <c r="L45" i="3" s="1"/>
  <c r="K52" i="1" s="1"/>
  <c r="J46" i="3"/>
  <c r="F53" i="1" s="1"/>
  <c r="K46" i="3"/>
  <c r="G53" i="1" s="1"/>
  <c r="M46" i="3"/>
  <c r="L46" i="3" s="1"/>
  <c r="K53" i="1" s="1"/>
  <c r="J47" i="3"/>
  <c r="F54" i="1" s="1"/>
  <c r="K47" i="3"/>
  <c r="G54" i="1" s="1"/>
  <c r="M47" i="3"/>
  <c r="L47" i="3" s="1"/>
  <c r="K54" i="1" s="1"/>
  <c r="J48" i="3"/>
  <c r="F55" i="1" s="1"/>
  <c r="K48" i="3"/>
  <c r="G55" i="1" s="1"/>
  <c r="M48" i="3"/>
  <c r="L48" i="3" s="1"/>
  <c r="K55" i="1" s="1"/>
  <c r="J49" i="3"/>
  <c r="F56" i="1" s="1"/>
  <c r="K49" i="3"/>
  <c r="G56" i="1" s="1"/>
  <c r="M49" i="3"/>
  <c r="L49" i="3" s="1"/>
  <c r="K56" i="1" s="1"/>
  <c r="J50" i="3"/>
  <c r="F57" i="1" s="1"/>
  <c r="K50" i="3"/>
  <c r="G57" i="1" s="1"/>
  <c r="M50" i="3"/>
  <c r="L50" i="3" s="1"/>
  <c r="K57" i="1" s="1"/>
  <c r="J51" i="3"/>
  <c r="F58" i="1" s="1"/>
  <c r="K51" i="3"/>
  <c r="G58" i="1" s="1"/>
  <c r="M51" i="3"/>
  <c r="L51" i="3" s="1"/>
  <c r="K58" i="1" s="1"/>
  <c r="J52" i="3"/>
  <c r="F59" i="1" s="1"/>
  <c r="K52" i="3"/>
  <c r="G59" i="1" s="1"/>
  <c r="M52" i="3"/>
  <c r="L52" i="3" s="1"/>
  <c r="K59" i="1" s="1"/>
  <c r="J53" i="3"/>
  <c r="F60" i="1" s="1"/>
  <c r="K53" i="3"/>
  <c r="G60" i="1" s="1"/>
  <c r="M53" i="3"/>
  <c r="L53" i="3" s="1"/>
  <c r="K60" i="1" s="1"/>
  <c r="J54" i="3"/>
  <c r="F61" i="1" s="1"/>
  <c r="K54" i="3"/>
  <c r="G61" i="1" s="1"/>
  <c r="M54" i="3"/>
  <c r="L54" i="3" s="1"/>
  <c r="K61" i="1" s="1"/>
  <c r="J55" i="3"/>
  <c r="F62" i="1" s="1"/>
  <c r="K55" i="3"/>
  <c r="G62" i="1" s="1"/>
  <c r="M55" i="3"/>
  <c r="L55" i="3" s="1"/>
  <c r="K62" i="1" s="1"/>
  <c r="J56" i="3"/>
  <c r="F63" i="1" s="1"/>
  <c r="K56" i="3"/>
  <c r="G63" i="1" s="1"/>
  <c r="M56" i="3"/>
  <c r="L56" i="3" s="1"/>
  <c r="K63" i="1" s="1"/>
  <c r="J57" i="3"/>
  <c r="F64" i="1" s="1"/>
  <c r="K57" i="3"/>
  <c r="G64" i="1" s="1"/>
  <c r="M57" i="3"/>
  <c r="L57" i="3" s="1"/>
  <c r="K64" i="1" s="1"/>
  <c r="J58" i="3"/>
  <c r="F65" i="1" s="1"/>
  <c r="K58" i="3"/>
  <c r="G65" i="1" s="1"/>
  <c r="M58" i="3"/>
  <c r="L58" i="3" s="1"/>
  <c r="K65" i="1" s="1"/>
  <c r="J59" i="3"/>
  <c r="F66" i="1" s="1"/>
  <c r="K59" i="3"/>
  <c r="G66" i="1" s="1"/>
  <c r="M59" i="3"/>
  <c r="L59" i="3" s="1"/>
  <c r="K66" i="1" s="1"/>
  <c r="J60" i="3"/>
  <c r="F67" i="1" s="1"/>
  <c r="K60" i="3"/>
  <c r="G67" i="1" s="1"/>
  <c r="M60" i="3"/>
  <c r="L60" i="3" s="1"/>
  <c r="K67" i="1" s="1"/>
  <c r="J61" i="3"/>
  <c r="F68" i="1" s="1"/>
  <c r="K61" i="3"/>
  <c r="G68" i="1" s="1"/>
  <c r="M61" i="3"/>
  <c r="L61" i="3" s="1"/>
  <c r="K68" i="1" s="1"/>
  <c r="J62" i="3"/>
  <c r="F69" i="1" s="1"/>
  <c r="K62" i="3"/>
  <c r="G69" i="1" s="1"/>
  <c r="M62" i="3"/>
  <c r="L62" i="3" s="1"/>
  <c r="K69" i="1" s="1"/>
  <c r="J63" i="3"/>
  <c r="F70" i="1" s="1"/>
  <c r="K63" i="3"/>
  <c r="G70" i="1" s="1"/>
  <c r="M63" i="3"/>
  <c r="L63" i="3" s="1"/>
  <c r="K70" i="1" s="1"/>
  <c r="J64" i="3"/>
  <c r="F71" i="1" s="1"/>
  <c r="K64" i="3"/>
  <c r="G71" i="1" s="1"/>
  <c r="M64" i="3"/>
  <c r="L64" i="3" s="1"/>
  <c r="K71" i="1" s="1"/>
  <c r="J65" i="3"/>
  <c r="F72" i="1" s="1"/>
  <c r="K65" i="3"/>
  <c r="G72" i="1" s="1"/>
  <c r="M65" i="3"/>
  <c r="L65" i="3" s="1"/>
  <c r="K72" i="1" s="1"/>
  <c r="J66" i="3"/>
  <c r="F73" i="1" s="1"/>
  <c r="K66" i="3"/>
  <c r="G73" i="1" s="1"/>
  <c r="M66" i="3"/>
  <c r="L66" i="3" s="1"/>
  <c r="K73" i="1" s="1"/>
  <c r="J67" i="3"/>
  <c r="F74" i="1" s="1"/>
  <c r="K67" i="3"/>
  <c r="G74" i="1" s="1"/>
  <c r="M67" i="3"/>
  <c r="L67" i="3" s="1"/>
  <c r="K74" i="1" s="1"/>
  <c r="J68" i="3"/>
  <c r="F75" i="1" s="1"/>
  <c r="K68" i="3"/>
  <c r="G75" i="1" s="1"/>
  <c r="M68" i="3"/>
  <c r="L68" i="3" s="1"/>
  <c r="K75" i="1" s="1"/>
  <c r="J69" i="3"/>
  <c r="F76" i="1" s="1"/>
  <c r="K69" i="3"/>
  <c r="G76" i="1" s="1"/>
  <c r="M69" i="3"/>
  <c r="L69" i="3" s="1"/>
  <c r="K76" i="1" s="1"/>
  <c r="J70" i="3"/>
  <c r="F77" i="1" s="1"/>
  <c r="K70" i="3"/>
  <c r="G77" i="1" s="1"/>
  <c r="M70" i="3"/>
  <c r="L70" i="3" s="1"/>
  <c r="K77" i="1" s="1"/>
  <c r="J71" i="3"/>
  <c r="F78" i="1" s="1"/>
  <c r="K71" i="3"/>
  <c r="G78" i="1" s="1"/>
  <c r="M71" i="3"/>
  <c r="L71" i="3" s="1"/>
  <c r="K78" i="1" s="1"/>
  <c r="J72" i="3"/>
  <c r="F79" i="1" s="1"/>
  <c r="K72" i="3"/>
  <c r="G79" i="1" s="1"/>
  <c r="M72" i="3"/>
  <c r="L72" i="3" s="1"/>
  <c r="K79" i="1" s="1"/>
  <c r="J73" i="3"/>
  <c r="F80" i="1" s="1"/>
  <c r="K73" i="3"/>
  <c r="G80" i="1" s="1"/>
  <c r="M73" i="3"/>
  <c r="L73" i="3" s="1"/>
  <c r="K80" i="1" s="1"/>
  <c r="J74" i="3"/>
  <c r="F81" i="1" s="1"/>
  <c r="K74" i="3"/>
  <c r="G81" i="1" s="1"/>
  <c r="M74" i="3"/>
  <c r="L74" i="3" s="1"/>
  <c r="K81" i="1" s="1"/>
  <c r="J75" i="3"/>
  <c r="F82" i="1" s="1"/>
  <c r="K75" i="3"/>
  <c r="G82" i="1" s="1"/>
  <c r="M75" i="3"/>
  <c r="L75" i="3" s="1"/>
  <c r="K82" i="1" s="1"/>
  <c r="J76" i="3"/>
  <c r="F83" i="1" s="1"/>
  <c r="K76" i="3"/>
  <c r="G83" i="1" s="1"/>
  <c r="M76" i="3"/>
  <c r="L76" i="3" s="1"/>
  <c r="K83" i="1" s="1"/>
  <c r="J77" i="3"/>
  <c r="F84" i="1" s="1"/>
  <c r="K77" i="3"/>
  <c r="G84" i="1" s="1"/>
  <c r="M77" i="3"/>
  <c r="L77" i="3" s="1"/>
  <c r="K84" i="1" s="1"/>
  <c r="J78" i="3"/>
  <c r="F85" i="1" s="1"/>
  <c r="K78" i="3"/>
  <c r="G85" i="1" s="1"/>
  <c r="M78" i="3"/>
  <c r="L78" i="3" s="1"/>
  <c r="K85" i="1" s="1"/>
  <c r="J79" i="3"/>
  <c r="F86" i="1" s="1"/>
  <c r="K79" i="3"/>
  <c r="G86" i="1" s="1"/>
  <c r="M79" i="3"/>
  <c r="L79" i="3" s="1"/>
  <c r="K86" i="1" s="1"/>
  <c r="J80" i="3"/>
  <c r="F87" i="1" s="1"/>
  <c r="K80" i="3"/>
  <c r="G87" i="1" s="1"/>
  <c r="M80" i="3"/>
  <c r="L80" i="3" s="1"/>
  <c r="K87" i="1" s="1"/>
  <c r="J81" i="3"/>
  <c r="F88" i="1" s="1"/>
  <c r="K81" i="3"/>
  <c r="G88" i="1" s="1"/>
  <c r="M81" i="3"/>
  <c r="L81" i="3" s="1"/>
  <c r="K88" i="1" s="1"/>
  <c r="J82" i="3"/>
  <c r="F89" i="1" s="1"/>
  <c r="K82" i="3"/>
  <c r="G89" i="1" s="1"/>
  <c r="M82" i="3"/>
  <c r="L82" i="3" s="1"/>
  <c r="K89" i="1" s="1"/>
  <c r="J83" i="3"/>
  <c r="F90" i="1" s="1"/>
  <c r="K83" i="3"/>
  <c r="G90" i="1" s="1"/>
  <c r="M83" i="3"/>
  <c r="L83" i="3" s="1"/>
  <c r="K90" i="1" s="1"/>
  <c r="J84" i="3"/>
  <c r="F91" i="1" s="1"/>
  <c r="K84" i="3"/>
  <c r="G91" i="1" s="1"/>
  <c r="M84" i="3"/>
  <c r="L84" i="3" s="1"/>
  <c r="K91" i="1" s="1"/>
  <c r="J85" i="3"/>
  <c r="F92" i="1" s="1"/>
  <c r="K85" i="3"/>
  <c r="G92" i="1" s="1"/>
  <c r="M85" i="3"/>
  <c r="L85" i="3" s="1"/>
  <c r="K92" i="1" s="1"/>
  <c r="J86" i="3"/>
  <c r="F93" i="1" s="1"/>
  <c r="K86" i="3"/>
  <c r="G93" i="1" s="1"/>
  <c r="M86" i="3"/>
  <c r="L86" i="3" s="1"/>
  <c r="K93" i="1" s="1"/>
  <c r="J87" i="3"/>
  <c r="F94" i="1" s="1"/>
  <c r="K87" i="3"/>
  <c r="G94" i="1" s="1"/>
  <c r="M87" i="3"/>
  <c r="L87" i="3" s="1"/>
  <c r="K94" i="1" s="1"/>
  <c r="J88" i="3"/>
  <c r="F95" i="1" s="1"/>
  <c r="K88" i="3"/>
  <c r="G95" i="1" s="1"/>
  <c r="M88" i="3"/>
  <c r="L88" i="3" s="1"/>
  <c r="K95" i="1" s="1"/>
  <c r="J89" i="3"/>
  <c r="F96" i="1" s="1"/>
  <c r="K89" i="3"/>
  <c r="G96" i="1" s="1"/>
  <c r="M89" i="3"/>
  <c r="L89" i="3" s="1"/>
  <c r="K96" i="1" s="1"/>
  <c r="J90" i="3"/>
  <c r="F97" i="1" s="1"/>
  <c r="K90" i="3"/>
  <c r="G97" i="1" s="1"/>
  <c r="M90" i="3"/>
  <c r="L90" i="3" s="1"/>
  <c r="K97" i="1" s="1"/>
  <c r="J91" i="3"/>
  <c r="F98" i="1" s="1"/>
  <c r="K91" i="3"/>
  <c r="G98" i="1" s="1"/>
  <c r="M91" i="3"/>
  <c r="L91" i="3" s="1"/>
  <c r="K98" i="1" s="1"/>
  <c r="J92" i="3"/>
  <c r="F99" i="1" s="1"/>
  <c r="K92" i="3"/>
  <c r="G99" i="1" s="1"/>
  <c r="M92" i="3"/>
  <c r="L92" i="3" s="1"/>
  <c r="K99" i="1" s="1"/>
  <c r="J93" i="3"/>
  <c r="F100" i="1" s="1"/>
  <c r="K93" i="3"/>
  <c r="G100" i="1" s="1"/>
  <c r="M93" i="3"/>
  <c r="L93" i="3" s="1"/>
  <c r="K100" i="1" s="1"/>
  <c r="J94" i="3"/>
  <c r="F101" i="1" s="1"/>
  <c r="K94" i="3"/>
  <c r="G101" i="1" s="1"/>
  <c r="M94" i="3"/>
  <c r="L94" i="3" s="1"/>
  <c r="K101" i="1" s="1"/>
  <c r="J95" i="3"/>
  <c r="F102" i="1" s="1"/>
  <c r="K95" i="3"/>
  <c r="G102" i="1" s="1"/>
  <c r="M95" i="3"/>
  <c r="L95" i="3" s="1"/>
  <c r="K102" i="1" s="1"/>
  <c r="J96" i="3"/>
  <c r="F103" i="1" s="1"/>
  <c r="K96" i="3"/>
  <c r="G103" i="1" s="1"/>
  <c r="M96" i="3"/>
  <c r="L96" i="3" s="1"/>
  <c r="K103" i="1" s="1"/>
  <c r="J97" i="3"/>
  <c r="F104" i="1" s="1"/>
  <c r="K97" i="3"/>
  <c r="G104" i="1" s="1"/>
  <c r="M97" i="3"/>
  <c r="L97" i="3" s="1"/>
  <c r="K104" i="1" s="1"/>
  <c r="J98" i="3"/>
  <c r="F105" i="1" s="1"/>
  <c r="K98" i="3"/>
  <c r="G105" i="1" s="1"/>
  <c r="M98" i="3"/>
  <c r="L98" i="3" s="1"/>
  <c r="K105" i="1" s="1"/>
  <c r="J99" i="3"/>
  <c r="F106" i="1" s="1"/>
  <c r="K99" i="3"/>
  <c r="G106" i="1" s="1"/>
  <c r="M99" i="3"/>
  <c r="L99" i="3" s="1"/>
  <c r="K106" i="1" s="1"/>
  <c r="J100" i="3"/>
  <c r="F107" i="1" s="1"/>
  <c r="K100" i="3"/>
  <c r="G107" i="1" s="1"/>
  <c r="M100" i="3"/>
  <c r="L100" i="3" s="1"/>
  <c r="K107" i="1" s="1"/>
  <c r="J101" i="3"/>
  <c r="F108" i="1" s="1"/>
  <c r="K101" i="3"/>
  <c r="G108" i="1" s="1"/>
  <c r="M101" i="3"/>
  <c r="L101" i="3" s="1"/>
  <c r="K108" i="1" s="1"/>
  <c r="J102" i="3"/>
  <c r="F109" i="1" s="1"/>
  <c r="K102" i="3"/>
  <c r="G109" i="1" s="1"/>
  <c r="M102" i="3"/>
  <c r="L102" i="3" s="1"/>
  <c r="K109" i="1" s="1"/>
  <c r="J103" i="3"/>
  <c r="F110" i="1" s="1"/>
  <c r="K103" i="3"/>
  <c r="G110" i="1" s="1"/>
  <c r="M103" i="3"/>
  <c r="L103" i="3" s="1"/>
  <c r="K110" i="1" s="1"/>
  <c r="J104" i="3"/>
  <c r="F111" i="1" s="1"/>
  <c r="K104" i="3"/>
  <c r="G111" i="1" s="1"/>
  <c r="M104" i="3"/>
  <c r="L104" i="3" s="1"/>
  <c r="K111" i="1" s="1"/>
  <c r="J105" i="3"/>
  <c r="F112" i="1" s="1"/>
  <c r="K105" i="3"/>
  <c r="G112" i="1" s="1"/>
  <c r="M105" i="3"/>
  <c r="L105" i="3" s="1"/>
  <c r="K112" i="1" s="1"/>
  <c r="J106" i="3"/>
  <c r="F113" i="1" s="1"/>
  <c r="K106" i="3"/>
  <c r="G113" i="1" s="1"/>
  <c r="M106" i="3"/>
  <c r="L106" i="3" s="1"/>
  <c r="K113" i="1" s="1"/>
  <c r="J107" i="3"/>
  <c r="F114" i="1" s="1"/>
  <c r="K107" i="3"/>
  <c r="G114" i="1" s="1"/>
  <c r="M107" i="3"/>
  <c r="L107" i="3" s="1"/>
  <c r="K114" i="1" s="1"/>
  <c r="J108" i="3"/>
  <c r="F115" i="1" s="1"/>
  <c r="K108" i="3"/>
  <c r="G115" i="1" s="1"/>
  <c r="M108" i="3"/>
  <c r="L108" i="3" s="1"/>
  <c r="K115" i="1" s="1"/>
  <c r="J109" i="3"/>
  <c r="F116" i="1" s="1"/>
  <c r="K109" i="3"/>
  <c r="G116" i="1" s="1"/>
  <c r="M109" i="3"/>
  <c r="L109" i="3" s="1"/>
  <c r="K116" i="1" s="1"/>
  <c r="J110" i="3"/>
  <c r="F117" i="1" s="1"/>
  <c r="K110" i="3"/>
  <c r="G117" i="1" s="1"/>
  <c r="M110" i="3"/>
  <c r="L110" i="3" s="1"/>
  <c r="K117" i="1" s="1"/>
  <c r="J111" i="3"/>
  <c r="F118" i="1" s="1"/>
  <c r="K111" i="3"/>
  <c r="G118" i="1" s="1"/>
  <c r="M111" i="3"/>
  <c r="L111" i="3" s="1"/>
  <c r="K118" i="1" s="1"/>
  <c r="J112" i="3"/>
  <c r="F119" i="1" s="1"/>
  <c r="K112" i="3"/>
  <c r="G119" i="1" s="1"/>
  <c r="M112" i="3"/>
  <c r="L112" i="3" s="1"/>
  <c r="K119" i="1" s="1"/>
  <c r="J113" i="3"/>
  <c r="F120" i="1" s="1"/>
  <c r="K113" i="3"/>
  <c r="G120" i="1" s="1"/>
  <c r="M113" i="3"/>
  <c r="L113" i="3" s="1"/>
  <c r="K120" i="1" s="1"/>
  <c r="J114" i="3"/>
  <c r="F121" i="1" s="1"/>
  <c r="K114" i="3"/>
  <c r="G121" i="1" s="1"/>
  <c r="M114" i="3"/>
  <c r="L114" i="3" s="1"/>
  <c r="K121" i="1" s="1"/>
  <c r="J115" i="3"/>
  <c r="F122" i="1" s="1"/>
  <c r="K115" i="3"/>
  <c r="G122" i="1" s="1"/>
  <c r="M115" i="3"/>
  <c r="L115" i="3" s="1"/>
  <c r="K122" i="1" s="1"/>
  <c r="J116" i="3"/>
  <c r="F123" i="1" s="1"/>
  <c r="K116" i="3"/>
  <c r="G123" i="1" s="1"/>
  <c r="M116" i="3"/>
  <c r="L116" i="3" s="1"/>
  <c r="K123" i="1" s="1"/>
  <c r="J117" i="3"/>
  <c r="F124" i="1" s="1"/>
  <c r="K117" i="3"/>
  <c r="G124" i="1" s="1"/>
  <c r="M117" i="3"/>
  <c r="L117" i="3" s="1"/>
  <c r="K124" i="1" s="1"/>
  <c r="J118" i="3"/>
  <c r="F125" i="1" s="1"/>
  <c r="K118" i="3"/>
  <c r="G125" i="1" s="1"/>
  <c r="M118" i="3"/>
  <c r="L118" i="3" s="1"/>
  <c r="K125" i="1" s="1"/>
  <c r="J119" i="3"/>
  <c r="F126" i="1" s="1"/>
  <c r="K119" i="3"/>
  <c r="G126" i="1" s="1"/>
  <c r="M119" i="3"/>
  <c r="L119" i="3" s="1"/>
  <c r="K126" i="1" s="1"/>
  <c r="J120" i="3"/>
  <c r="F127" i="1" s="1"/>
  <c r="K120" i="3"/>
  <c r="G127" i="1" s="1"/>
  <c r="M120" i="3"/>
  <c r="L120" i="3" s="1"/>
  <c r="K127" i="1" s="1"/>
  <c r="J121" i="3"/>
  <c r="F128" i="1" s="1"/>
  <c r="K121" i="3"/>
  <c r="G128" i="1" s="1"/>
  <c r="M121" i="3"/>
  <c r="L121" i="3" s="1"/>
  <c r="K128" i="1" s="1"/>
  <c r="J122" i="3"/>
  <c r="F129" i="1" s="1"/>
  <c r="K122" i="3"/>
  <c r="G129" i="1" s="1"/>
  <c r="M122" i="3"/>
  <c r="L122" i="3" s="1"/>
  <c r="K129" i="1" s="1"/>
  <c r="J123" i="3"/>
  <c r="F130" i="1" s="1"/>
  <c r="K123" i="3"/>
  <c r="G130" i="1" s="1"/>
  <c r="M123" i="3"/>
  <c r="L123" i="3" s="1"/>
  <c r="K130" i="1" s="1"/>
  <c r="J124" i="3"/>
  <c r="F131" i="1" s="1"/>
  <c r="K124" i="3"/>
  <c r="G131" i="1" s="1"/>
  <c r="M124" i="3"/>
  <c r="L124" i="3" s="1"/>
  <c r="K131" i="1" s="1"/>
  <c r="J125" i="3"/>
  <c r="F132" i="1" s="1"/>
  <c r="K125" i="3"/>
  <c r="G132" i="1" s="1"/>
  <c r="M125" i="3"/>
  <c r="L125" i="3" s="1"/>
  <c r="K132" i="1" s="1"/>
  <c r="J126" i="3"/>
  <c r="F133" i="1" s="1"/>
  <c r="K126" i="3"/>
  <c r="G133" i="1" s="1"/>
  <c r="M126" i="3"/>
  <c r="L126" i="3" s="1"/>
  <c r="K133" i="1" s="1"/>
  <c r="J127" i="3"/>
  <c r="F134" i="1" s="1"/>
  <c r="K127" i="3"/>
  <c r="G134" i="1" s="1"/>
  <c r="M127" i="3"/>
  <c r="L127" i="3" s="1"/>
  <c r="K134" i="1" s="1"/>
  <c r="J128" i="3"/>
  <c r="F135" i="1" s="1"/>
  <c r="K128" i="3"/>
  <c r="G135" i="1" s="1"/>
  <c r="M128" i="3"/>
  <c r="L128" i="3" s="1"/>
  <c r="K135" i="1" s="1"/>
  <c r="J129" i="3"/>
  <c r="F136" i="1" s="1"/>
  <c r="K129" i="3"/>
  <c r="G136" i="1" s="1"/>
  <c r="M129" i="3"/>
  <c r="L129" i="3" s="1"/>
  <c r="K136" i="1" s="1"/>
  <c r="J130" i="3"/>
  <c r="F137" i="1" s="1"/>
  <c r="K130" i="3"/>
  <c r="G137" i="1" s="1"/>
  <c r="M130" i="3"/>
  <c r="L130" i="3" s="1"/>
  <c r="K137" i="1" s="1"/>
  <c r="J131" i="3"/>
  <c r="F138" i="1" s="1"/>
  <c r="K131" i="3"/>
  <c r="G138" i="1" s="1"/>
  <c r="M131" i="3"/>
  <c r="L131" i="3" s="1"/>
  <c r="K138" i="1" s="1"/>
  <c r="J132" i="3"/>
  <c r="F139" i="1" s="1"/>
  <c r="K132" i="3"/>
  <c r="G139" i="1" s="1"/>
  <c r="M132" i="3"/>
  <c r="L132" i="3" s="1"/>
  <c r="K139" i="1" s="1"/>
  <c r="J133" i="3"/>
  <c r="F140" i="1" s="1"/>
  <c r="K133" i="3"/>
  <c r="G140" i="1" s="1"/>
  <c r="M133" i="3"/>
  <c r="L133" i="3" s="1"/>
  <c r="K140" i="1" s="1"/>
  <c r="J134" i="3"/>
  <c r="F141" i="1" s="1"/>
  <c r="K134" i="3"/>
  <c r="G141" i="1" s="1"/>
  <c r="M134" i="3"/>
  <c r="L134" i="3" s="1"/>
  <c r="K141" i="1" s="1"/>
  <c r="J135" i="3"/>
  <c r="F142" i="1" s="1"/>
  <c r="K135" i="3"/>
  <c r="G142" i="1" s="1"/>
  <c r="M135" i="3"/>
  <c r="L135" i="3" s="1"/>
  <c r="K142" i="1" s="1"/>
  <c r="J136" i="3"/>
  <c r="F143" i="1" s="1"/>
  <c r="K136" i="3"/>
  <c r="G143" i="1" s="1"/>
  <c r="M136" i="3"/>
  <c r="L136" i="3" s="1"/>
  <c r="K143" i="1" s="1"/>
  <c r="J137" i="3"/>
  <c r="F144" i="1" s="1"/>
  <c r="K137" i="3"/>
  <c r="G144" i="1" s="1"/>
  <c r="M137" i="3"/>
  <c r="L137" i="3" s="1"/>
  <c r="K144" i="1" s="1"/>
  <c r="J138" i="3"/>
  <c r="F145" i="1" s="1"/>
  <c r="K138" i="3"/>
  <c r="G145" i="1" s="1"/>
  <c r="M138" i="3"/>
  <c r="L138" i="3" s="1"/>
  <c r="K145" i="1" s="1"/>
  <c r="J139" i="3"/>
  <c r="F146" i="1" s="1"/>
  <c r="K139" i="3"/>
  <c r="G146" i="1" s="1"/>
  <c r="M139" i="3"/>
  <c r="L139" i="3" s="1"/>
  <c r="K146" i="1" s="1"/>
  <c r="J140" i="3"/>
  <c r="F147" i="1" s="1"/>
  <c r="K140" i="3"/>
  <c r="G147" i="1" s="1"/>
  <c r="M140" i="3"/>
  <c r="L140" i="3" s="1"/>
  <c r="K147" i="1" s="1"/>
  <c r="J141" i="3"/>
  <c r="F148" i="1" s="1"/>
  <c r="K141" i="3"/>
  <c r="G148" i="1" s="1"/>
  <c r="M141" i="3"/>
  <c r="L141" i="3" s="1"/>
  <c r="K148" i="1" s="1"/>
  <c r="J142" i="3"/>
  <c r="F149" i="1" s="1"/>
  <c r="K142" i="3"/>
  <c r="G149" i="1" s="1"/>
  <c r="M142" i="3"/>
  <c r="L142" i="3" s="1"/>
  <c r="K149" i="1" s="1"/>
  <c r="J143" i="3"/>
  <c r="F150" i="1" s="1"/>
  <c r="K143" i="3"/>
  <c r="G150" i="1" s="1"/>
  <c r="M143" i="3"/>
  <c r="L143" i="3" s="1"/>
  <c r="K150" i="1" s="1"/>
  <c r="J144" i="3"/>
  <c r="F151" i="1" s="1"/>
  <c r="K144" i="3"/>
  <c r="G151" i="1" s="1"/>
  <c r="M144" i="3"/>
  <c r="L144" i="3" s="1"/>
  <c r="K151" i="1" s="1"/>
  <c r="J145" i="3"/>
  <c r="F152" i="1" s="1"/>
  <c r="K145" i="3"/>
  <c r="G152" i="1" s="1"/>
  <c r="M145" i="3"/>
  <c r="L145" i="3" s="1"/>
  <c r="K152" i="1" s="1"/>
  <c r="J146" i="3"/>
  <c r="F153" i="1" s="1"/>
  <c r="K146" i="3"/>
  <c r="G153" i="1" s="1"/>
  <c r="M146" i="3"/>
  <c r="L146" i="3" s="1"/>
  <c r="K153" i="1" s="1"/>
  <c r="J147" i="3"/>
  <c r="F154" i="1" s="1"/>
  <c r="K147" i="3"/>
  <c r="G154" i="1" s="1"/>
  <c r="M147" i="3"/>
  <c r="L147" i="3" s="1"/>
  <c r="K154" i="1" s="1"/>
  <c r="J148" i="3"/>
  <c r="F155" i="1" s="1"/>
  <c r="K148" i="3"/>
  <c r="G155" i="1" s="1"/>
  <c r="M148" i="3"/>
  <c r="L148" i="3" s="1"/>
  <c r="K155" i="1" s="1"/>
  <c r="J149" i="3"/>
  <c r="F156" i="1" s="1"/>
  <c r="K149" i="3"/>
  <c r="G156" i="1" s="1"/>
  <c r="M149" i="3"/>
  <c r="L149" i="3" s="1"/>
  <c r="K156" i="1" s="1"/>
  <c r="J150" i="3"/>
  <c r="F157" i="1" s="1"/>
  <c r="K150" i="3"/>
  <c r="G157" i="1" s="1"/>
  <c r="M150" i="3"/>
  <c r="L150" i="3" s="1"/>
  <c r="K157" i="1" s="1"/>
  <c r="J151" i="3"/>
  <c r="F158" i="1" s="1"/>
  <c r="K151" i="3"/>
  <c r="G158" i="1" s="1"/>
  <c r="M151" i="3"/>
  <c r="L151" i="3" s="1"/>
  <c r="K158" i="1" s="1"/>
  <c r="J152" i="3"/>
  <c r="F159" i="1" s="1"/>
  <c r="K152" i="3"/>
  <c r="G159" i="1" s="1"/>
  <c r="M152" i="3"/>
  <c r="L152" i="3" s="1"/>
  <c r="K159" i="1" s="1"/>
  <c r="J153" i="3"/>
  <c r="F160" i="1" s="1"/>
  <c r="K153" i="3"/>
  <c r="G160" i="1" s="1"/>
  <c r="M153" i="3"/>
  <c r="L153" i="3" s="1"/>
  <c r="K160" i="1" s="1"/>
  <c r="J154" i="3"/>
  <c r="F161" i="1" s="1"/>
  <c r="K154" i="3"/>
  <c r="G161" i="1" s="1"/>
  <c r="M154" i="3"/>
  <c r="L154" i="3" s="1"/>
  <c r="K161" i="1" s="1"/>
  <c r="J155" i="3"/>
  <c r="F162" i="1" s="1"/>
  <c r="K155" i="3"/>
  <c r="G162" i="1" s="1"/>
  <c r="M155" i="3"/>
  <c r="L155" i="3" s="1"/>
  <c r="K162" i="1" s="1"/>
  <c r="J156" i="3"/>
  <c r="F163" i="1" s="1"/>
  <c r="K156" i="3"/>
  <c r="G163" i="1" s="1"/>
  <c r="M156" i="3"/>
  <c r="L156" i="3" s="1"/>
  <c r="K163" i="1" s="1"/>
  <c r="J157" i="3"/>
  <c r="F164" i="1" s="1"/>
  <c r="K157" i="3"/>
  <c r="G164" i="1" s="1"/>
  <c r="M157" i="3"/>
  <c r="L157" i="3" s="1"/>
  <c r="K164" i="1" s="1"/>
  <c r="J158" i="3"/>
  <c r="K158" i="3"/>
  <c r="M158" i="3"/>
  <c r="L158" i="3" s="1"/>
  <c r="J159" i="3"/>
  <c r="K159" i="3"/>
  <c r="M159" i="3"/>
  <c r="L159" i="3" s="1"/>
  <c r="J160" i="3"/>
  <c r="K160" i="3"/>
  <c r="M160" i="3"/>
  <c r="L160" i="3" s="1"/>
  <c r="J161" i="3"/>
  <c r="K161" i="3"/>
  <c r="M161" i="3"/>
  <c r="L161" i="3" s="1"/>
  <c r="J162" i="3"/>
  <c r="K162" i="3"/>
  <c r="M162" i="3"/>
  <c r="L162" i="3" s="1"/>
  <c r="J163" i="3"/>
  <c r="K163" i="3"/>
  <c r="M163" i="3"/>
  <c r="L163" i="3" s="1"/>
  <c r="J164" i="3"/>
  <c r="K164" i="3"/>
  <c r="M164" i="3"/>
  <c r="L164" i="3" s="1"/>
  <c r="J165" i="3"/>
  <c r="K165" i="3"/>
  <c r="M165" i="3"/>
  <c r="L165" i="3" s="1"/>
  <c r="J166" i="3"/>
  <c r="K166" i="3"/>
  <c r="M166" i="3"/>
  <c r="L166" i="3" s="1"/>
  <c r="J167" i="3"/>
  <c r="K167" i="3"/>
  <c r="M167" i="3"/>
  <c r="L167" i="3" s="1"/>
  <c r="J168" i="3"/>
  <c r="K168" i="3"/>
  <c r="M168" i="3"/>
  <c r="L168" i="3" s="1"/>
  <c r="J169" i="3"/>
  <c r="K169" i="3"/>
  <c r="M169" i="3"/>
  <c r="L169" i="3" s="1"/>
  <c r="J170" i="3"/>
  <c r="K170" i="3"/>
  <c r="M170" i="3"/>
  <c r="L170" i="3" s="1"/>
  <c r="J171" i="3"/>
  <c r="K171" i="3"/>
  <c r="M171" i="3"/>
  <c r="L171" i="3" s="1"/>
  <c r="J172" i="3"/>
  <c r="K172" i="3"/>
  <c r="M172" i="3"/>
  <c r="L172" i="3" s="1"/>
  <c r="J173" i="3"/>
  <c r="K173" i="3"/>
  <c r="M173" i="3"/>
  <c r="L173" i="3" s="1"/>
  <c r="J174" i="3"/>
  <c r="K174" i="3"/>
  <c r="M174" i="3"/>
  <c r="L174" i="3" s="1"/>
  <c r="J175" i="3"/>
  <c r="K175" i="3"/>
  <c r="M175" i="3"/>
  <c r="L175" i="3" s="1"/>
  <c r="J176" i="3"/>
  <c r="K176" i="3"/>
  <c r="M176" i="3"/>
  <c r="L176" i="3" s="1"/>
  <c r="J177" i="3"/>
  <c r="K177" i="3"/>
  <c r="M177" i="3"/>
  <c r="L177" i="3" s="1"/>
  <c r="J178" i="3"/>
  <c r="K178" i="3"/>
  <c r="M178" i="3"/>
  <c r="L178" i="3" s="1"/>
  <c r="J179" i="3"/>
  <c r="K179" i="3"/>
  <c r="M179" i="3"/>
  <c r="L179" i="3" s="1"/>
  <c r="J180" i="3"/>
  <c r="K180" i="3"/>
  <c r="M180" i="3"/>
  <c r="L180" i="3" s="1"/>
  <c r="J181" i="3"/>
  <c r="K181" i="3"/>
  <c r="M181" i="3"/>
  <c r="L181" i="3" s="1"/>
  <c r="J182" i="3"/>
  <c r="K182" i="3"/>
  <c r="M182" i="3"/>
  <c r="L182" i="3" s="1"/>
  <c r="J183" i="3"/>
  <c r="K183" i="3"/>
  <c r="M183" i="3"/>
  <c r="L183" i="3" s="1"/>
  <c r="J184" i="3"/>
  <c r="K184" i="3"/>
  <c r="M184" i="3"/>
  <c r="L184" i="3" s="1"/>
  <c r="J185" i="3"/>
  <c r="K185" i="3"/>
  <c r="M185" i="3"/>
  <c r="L185" i="3" s="1"/>
  <c r="J186" i="3"/>
  <c r="K186" i="3"/>
  <c r="M186" i="3"/>
  <c r="L186" i="3" s="1"/>
  <c r="J187" i="3"/>
  <c r="K187" i="3"/>
  <c r="M187" i="3"/>
  <c r="L187" i="3" s="1"/>
  <c r="J188" i="3"/>
  <c r="K188" i="3"/>
  <c r="M188" i="3"/>
  <c r="L188" i="3" s="1"/>
  <c r="J189" i="3"/>
  <c r="K189" i="3"/>
  <c r="M189" i="3"/>
  <c r="L189" i="3" s="1"/>
  <c r="J190" i="3"/>
  <c r="K190" i="3"/>
  <c r="M190" i="3"/>
  <c r="L190" i="3" s="1"/>
  <c r="J191" i="3"/>
  <c r="K191" i="3"/>
  <c r="M191" i="3"/>
  <c r="L191" i="3" s="1"/>
  <c r="J192" i="3"/>
  <c r="K192" i="3"/>
  <c r="M192" i="3"/>
  <c r="L192" i="3" s="1"/>
  <c r="J193" i="3"/>
  <c r="K193" i="3"/>
  <c r="M193" i="3"/>
  <c r="L193" i="3" s="1"/>
  <c r="J194" i="3"/>
  <c r="K194" i="3"/>
  <c r="M194" i="3"/>
  <c r="L194" i="3" s="1"/>
  <c r="J195" i="3"/>
  <c r="K195" i="3"/>
  <c r="M195" i="3"/>
  <c r="L195" i="3" s="1"/>
  <c r="J196" i="3"/>
  <c r="K196" i="3"/>
  <c r="M196" i="3"/>
  <c r="L196" i="3" s="1"/>
  <c r="J197" i="3"/>
  <c r="K197" i="3"/>
  <c r="M197" i="3"/>
  <c r="L197" i="3" s="1"/>
  <c r="M2" i="3"/>
  <c r="L2" i="3" s="1"/>
  <c r="K9" i="1" s="1"/>
  <c r="N3" i="3"/>
  <c r="C3" i="3" s="1"/>
  <c r="P10" i="1" s="1"/>
  <c r="N4" i="3"/>
  <c r="C4" i="3" s="1"/>
  <c r="P11" i="1" s="1"/>
  <c r="N5" i="3"/>
  <c r="C5" i="3" s="1"/>
  <c r="P12" i="1" s="1"/>
  <c r="N6" i="3"/>
  <c r="C6" i="3" s="1"/>
  <c r="P13" i="1" s="1"/>
  <c r="N7" i="3"/>
  <c r="C7" i="3" s="1"/>
  <c r="P14" i="1" s="1"/>
  <c r="N8" i="3"/>
  <c r="C8" i="3" s="1"/>
  <c r="P15" i="1" s="1"/>
  <c r="N9" i="3"/>
  <c r="C9" i="3" s="1"/>
  <c r="P16" i="1" s="1"/>
  <c r="N10" i="3"/>
  <c r="C10" i="3" s="1"/>
  <c r="P17" i="1" s="1"/>
  <c r="N11" i="3"/>
  <c r="C11" i="3" s="1"/>
  <c r="P18" i="1" s="1"/>
  <c r="N12" i="3"/>
  <c r="C12" i="3" s="1"/>
  <c r="P19" i="1" s="1"/>
  <c r="N13" i="3"/>
  <c r="C13" i="3" s="1"/>
  <c r="P20" i="1" s="1"/>
  <c r="N14" i="3"/>
  <c r="C14" i="3" s="1"/>
  <c r="P21" i="1" s="1"/>
  <c r="N15" i="3"/>
  <c r="C15" i="3" s="1"/>
  <c r="P22" i="1" s="1"/>
  <c r="N16" i="3"/>
  <c r="C16" i="3" s="1"/>
  <c r="P23" i="1" s="1"/>
  <c r="N17" i="3"/>
  <c r="C17" i="3" s="1"/>
  <c r="P24" i="1" s="1"/>
  <c r="N18" i="3"/>
  <c r="C18" i="3" s="1"/>
  <c r="P25" i="1" s="1"/>
  <c r="N19" i="3"/>
  <c r="C19" i="3" s="1"/>
  <c r="P26" i="1" s="1"/>
  <c r="N20" i="3"/>
  <c r="C20" i="3" s="1"/>
  <c r="P27" i="1" s="1"/>
  <c r="N21" i="3"/>
  <c r="C21" i="3" s="1"/>
  <c r="P28" i="1" s="1"/>
  <c r="N22" i="3"/>
  <c r="C22" i="3" s="1"/>
  <c r="P29" i="1" s="1"/>
  <c r="N23" i="3"/>
  <c r="C23" i="3" s="1"/>
  <c r="P30" i="1" s="1"/>
  <c r="N24" i="3"/>
  <c r="C24" i="3" s="1"/>
  <c r="P31" i="1" s="1"/>
  <c r="N25" i="3"/>
  <c r="C25" i="3" s="1"/>
  <c r="P32" i="1" s="1"/>
  <c r="N26" i="3"/>
  <c r="C26" i="3" s="1"/>
  <c r="P33" i="1" s="1"/>
  <c r="N27" i="3"/>
  <c r="C27" i="3" s="1"/>
  <c r="P34" i="1" s="1"/>
  <c r="N28" i="3"/>
  <c r="C28" i="3" s="1"/>
  <c r="P35" i="1" s="1"/>
  <c r="N29" i="3"/>
  <c r="C29" i="3" s="1"/>
  <c r="P36" i="1" s="1"/>
  <c r="N30" i="3"/>
  <c r="C30" i="3" s="1"/>
  <c r="P37" i="1" s="1"/>
  <c r="N31" i="3"/>
  <c r="C31" i="3" s="1"/>
  <c r="P38" i="1" s="1"/>
  <c r="N32" i="3"/>
  <c r="C32" i="3" s="1"/>
  <c r="P39" i="1" s="1"/>
  <c r="N33" i="3"/>
  <c r="C33" i="3" s="1"/>
  <c r="P40" i="1" s="1"/>
  <c r="N34" i="3"/>
  <c r="C34" i="3" s="1"/>
  <c r="P41" i="1" s="1"/>
  <c r="N35" i="3"/>
  <c r="C35" i="3" s="1"/>
  <c r="P42" i="1" s="1"/>
  <c r="N36" i="3"/>
  <c r="C36" i="3" s="1"/>
  <c r="P43" i="1" s="1"/>
  <c r="N37" i="3"/>
  <c r="C37" i="3" s="1"/>
  <c r="P44" i="1" s="1"/>
  <c r="N38" i="3"/>
  <c r="C38" i="3" s="1"/>
  <c r="P45" i="1" s="1"/>
  <c r="N39" i="3"/>
  <c r="C39" i="3" s="1"/>
  <c r="P46" i="1" s="1"/>
  <c r="N40" i="3"/>
  <c r="C40" i="3" s="1"/>
  <c r="P47" i="1" s="1"/>
  <c r="N41" i="3"/>
  <c r="C41" i="3" s="1"/>
  <c r="P48" i="1" s="1"/>
  <c r="N42" i="3"/>
  <c r="C42" i="3" s="1"/>
  <c r="P49" i="1" s="1"/>
  <c r="N43" i="3"/>
  <c r="C43" i="3" s="1"/>
  <c r="P50" i="1" s="1"/>
  <c r="N44" i="3"/>
  <c r="C44" i="3" s="1"/>
  <c r="P51" i="1" s="1"/>
  <c r="N45" i="3"/>
  <c r="C45" i="3" s="1"/>
  <c r="P52" i="1" s="1"/>
  <c r="N46" i="3"/>
  <c r="C46" i="3" s="1"/>
  <c r="P53" i="1" s="1"/>
  <c r="N47" i="3"/>
  <c r="C47" i="3" s="1"/>
  <c r="P54" i="1" s="1"/>
  <c r="N48" i="3"/>
  <c r="C48" i="3" s="1"/>
  <c r="P55" i="1" s="1"/>
  <c r="N49" i="3"/>
  <c r="C49" i="3" s="1"/>
  <c r="P56" i="1" s="1"/>
  <c r="N50" i="3"/>
  <c r="C50" i="3" s="1"/>
  <c r="P57" i="1" s="1"/>
  <c r="N51" i="3"/>
  <c r="C51" i="3" s="1"/>
  <c r="P58" i="1" s="1"/>
  <c r="N52" i="3"/>
  <c r="C52" i="3" s="1"/>
  <c r="P59" i="1" s="1"/>
  <c r="N53" i="3"/>
  <c r="C53" i="3" s="1"/>
  <c r="P60" i="1" s="1"/>
  <c r="N54" i="3"/>
  <c r="C54" i="3" s="1"/>
  <c r="P61" i="1" s="1"/>
  <c r="N55" i="3"/>
  <c r="C55" i="3" s="1"/>
  <c r="P62" i="1" s="1"/>
  <c r="N56" i="3"/>
  <c r="C56" i="3" s="1"/>
  <c r="P63" i="1" s="1"/>
  <c r="N57" i="3"/>
  <c r="C57" i="3" s="1"/>
  <c r="P64" i="1" s="1"/>
  <c r="N58" i="3"/>
  <c r="C58" i="3" s="1"/>
  <c r="P65" i="1" s="1"/>
  <c r="N59" i="3"/>
  <c r="C59" i="3" s="1"/>
  <c r="P66" i="1" s="1"/>
  <c r="N60" i="3"/>
  <c r="C60" i="3" s="1"/>
  <c r="P67" i="1" s="1"/>
  <c r="N61" i="3"/>
  <c r="C61" i="3" s="1"/>
  <c r="P68" i="1" s="1"/>
  <c r="N62" i="3"/>
  <c r="C62" i="3" s="1"/>
  <c r="P69" i="1" s="1"/>
  <c r="N63" i="3"/>
  <c r="C63" i="3" s="1"/>
  <c r="P70" i="1" s="1"/>
  <c r="N64" i="3"/>
  <c r="C64" i="3" s="1"/>
  <c r="P71" i="1" s="1"/>
  <c r="N65" i="3"/>
  <c r="C65" i="3" s="1"/>
  <c r="P72" i="1" s="1"/>
  <c r="N66" i="3"/>
  <c r="C66" i="3" s="1"/>
  <c r="P73" i="1" s="1"/>
  <c r="N67" i="3"/>
  <c r="C67" i="3" s="1"/>
  <c r="P74" i="1" s="1"/>
  <c r="N68" i="3"/>
  <c r="C68" i="3" s="1"/>
  <c r="P75" i="1" s="1"/>
  <c r="N69" i="3"/>
  <c r="C69" i="3" s="1"/>
  <c r="P76" i="1" s="1"/>
  <c r="N70" i="3"/>
  <c r="C70" i="3" s="1"/>
  <c r="P77" i="1" s="1"/>
  <c r="N71" i="3"/>
  <c r="C71" i="3" s="1"/>
  <c r="P78" i="1" s="1"/>
  <c r="N72" i="3"/>
  <c r="C72" i="3" s="1"/>
  <c r="P79" i="1" s="1"/>
  <c r="N73" i="3"/>
  <c r="C73" i="3" s="1"/>
  <c r="P80" i="1" s="1"/>
  <c r="N74" i="3"/>
  <c r="C74" i="3" s="1"/>
  <c r="P81" i="1" s="1"/>
  <c r="N75" i="3"/>
  <c r="C75" i="3" s="1"/>
  <c r="P82" i="1" s="1"/>
  <c r="N76" i="3"/>
  <c r="C76" i="3" s="1"/>
  <c r="P83" i="1" s="1"/>
  <c r="N77" i="3"/>
  <c r="C77" i="3" s="1"/>
  <c r="P84" i="1" s="1"/>
  <c r="N78" i="3"/>
  <c r="C78" i="3" s="1"/>
  <c r="P85" i="1" s="1"/>
  <c r="N79" i="3"/>
  <c r="C79" i="3" s="1"/>
  <c r="P86" i="1" s="1"/>
  <c r="N80" i="3"/>
  <c r="C80" i="3" s="1"/>
  <c r="P87" i="1" s="1"/>
  <c r="N81" i="3"/>
  <c r="C81" i="3" s="1"/>
  <c r="P88" i="1" s="1"/>
  <c r="N82" i="3"/>
  <c r="C82" i="3" s="1"/>
  <c r="P89" i="1" s="1"/>
  <c r="N83" i="3"/>
  <c r="C83" i="3" s="1"/>
  <c r="P90" i="1" s="1"/>
  <c r="N84" i="3"/>
  <c r="C84" i="3" s="1"/>
  <c r="P91" i="1" s="1"/>
  <c r="N85" i="3"/>
  <c r="C85" i="3" s="1"/>
  <c r="P92" i="1" s="1"/>
  <c r="N86" i="3"/>
  <c r="C86" i="3" s="1"/>
  <c r="P93" i="1" s="1"/>
  <c r="N87" i="3"/>
  <c r="C87" i="3" s="1"/>
  <c r="P94" i="1" s="1"/>
  <c r="N88" i="3"/>
  <c r="C88" i="3" s="1"/>
  <c r="P95" i="1" s="1"/>
  <c r="N89" i="3"/>
  <c r="C89" i="3" s="1"/>
  <c r="P96" i="1" s="1"/>
  <c r="N90" i="3"/>
  <c r="C90" i="3" s="1"/>
  <c r="P97" i="1" s="1"/>
  <c r="N91" i="3"/>
  <c r="C91" i="3" s="1"/>
  <c r="P98" i="1" s="1"/>
  <c r="N92" i="3"/>
  <c r="C92" i="3" s="1"/>
  <c r="P99" i="1" s="1"/>
  <c r="N93" i="3"/>
  <c r="C93" i="3" s="1"/>
  <c r="P100" i="1" s="1"/>
  <c r="N94" i="3"/>
  <c r="C94" i="3" s="1"/>
  <c r="P101" i="1" s="1"/>
  <c r="N95" i="3"/>
  <c r="C95" i="3" s="1"/>
  <c r="P102" i="1" s="1"/>
  <c r="N96" i="3"/>
  <c r="C96" i="3" s="1"/>
  <c r="P103" i="1" s="1"/>
  <c r="N97" i="3"/>
  <c r="C97" i="3" s="1"/>
  <c r="P104" i="1" s="1"/>
  <c r="N98" i="3"/>
  <c r="C98" i="3" s="1"/>
  <c r="P105" i="1" s="1"/>
  <c r="N99" i="3"/>
  <c r="C99" i="3" s="1"/>
  <c r="P106" i="1" s="1"/>
  <c r="N100" i="3"/>
  <c r="C100" i="3" s="1"/>
  <c r="P107" i="1" s="1"/>
  <c r="N101" i="3"/>
  <c r="C101" i="3" s="1"/>
  <c r="P108" i="1" s="1"/>
  <c r="N102" i="3"/>
  <c r="C102" i="3" s="1"/>
  <c r="P109" i="1" s="1"/>
  <c r="N103" i="3"/>
  <c r="C103" i="3" s="1"/>
  <c r="P110" i="1" s="1"/>
  <c r="N104" i="3"/>
  <c r="C104" i="3" s="1"/>
  <c r="P111" i="1" s="1"/>
  <c r="N105" i="3"/>
  <c r="C105" i="3" s="1"/>
  <c r="P112" i="1" s="1"/>
  <c r="N106" i="3"/>
  <c r="C106" i="3" s="1"/>
  <c r="P113" i="1" s="1"/>
  <c r="N107" i="3"/>
  <c r="C107" i="3" s="1"/>
  <c r="P114" i="1" s="1"/>
  <c r="N108" i="3"/>
  <c r="C108" i="3" s="1"/>
  <c r="P115" i="1" s="1"/>
  <c r="N109" i="3"/>
  <c r="C109" i="3" s="1"/>
  <c r="P116" i="1" s="1"/>
  <c r="N110" i="3"/>
  <c r="C110" i="3" s="1"/>
  <c r="P117" i="1" s="1"/>
  <c r="N111" i="3"/>
  <c r="C111" i="3" s="1"/>
  <c r="P118" i="1" s="1"/>
  <c r="N112" i="3"/>
  <c r="C112" i="3" s="1"/>
  <c r="P119" i="1" s="1"/>
  <c r="N113" i="3"/>
  <c r="C113" i="3" s="1"/>
  <c r="P120" i="1" s="1"/>
  <c r="N114" i="3"/>
  <c r="C114" i="3" s="1"/>
  <c r="P121" i="1" s="1"/>
  <c r="N115" i="3"/>
  <c r="C115" i="3" s="1"/>
  <c r="P122" i="1" s="1"/>
  <c r="N116" i="3"/>
  <c r="C116" i="3" s="1"/>
  <c r="P123" i="1" s="1"/>
  <c r="N117" i="3"/>
  <c r="C117" i="3" s="1"/>
  <c r="P124" i="1" s="1"/>
  <c r="N118" i="3"/>
  <c r="C118" i="3" s="1"/>
  <c r="P125" i="1" s="1"/>
  <c r="N119" i="3"/>
  <c r="C119" i="3" s="1"/>
  <c r="P126" i="1" s="1"/>
  <c r="N120" i="3"/>
  <c r="C120" i="3" s="1"/>
  <c r="P127" i="1" s="1"/>
  <c r="N121" i="3"/>
  <c r="C121" i="3" s="1"/>
  <c r="P128" i="1" s="1"/>
  <c r="N122" i="3"/>
  <c r="C122" i="3" s="1"/>
  <c r="P129" i="1" s="1"/>
  <c r="N123" i="3"/>
  <c r="C123" i="3" s="1"/>
  <c r="P130" i="1" s="1"/>
  <c r="N124" i="3"/>
  <c r="C124" i="3" s="1"/>
  <c r="P131" i="1" s="1"/>
  <c r="N125" i="3"/>
  <c r="C125" i="3" s="1"/>
  <c r="P132" i="1" s="1"/>
  <c r="N126" i="3"/>
  <c r="C126" i="3" s="1"/>
  <c r="P133" i="1" s="1"/>
  <c r="N127" i="3"/>
  <c r="C127" i="3" s="1"/>
  <c r="P134" i="1" s="1"/>
  <c r="N128" i="3"/>
  <c r="C128" i="3" s="1"/>
  <c r="P135" i="1" s="1"/>
  <c r="N129" i="3"/>
  <c r="C129" i="3" s="1"/>
  <c r="P136" i="1" s="1"/>
  <c r="N130" i="3"/>
  <c r="C130" i="3" s="1"/>
  <c r="P137" i="1" s="1"/>
  <c r="N131" i="3"/>
  <c r="C131" i="3" s="1"/>
  <c r="P138" i="1" s="1"/>
  <c r="N132" i="3"/>
  <c r="C132" i="3" s="1"/>
  <c r="P139" i="1" s="1"/>
  <c r="N133" i="3"/>
  <c r="C133" i="3" s="1"/>
  <c r="P140" i="1" s="1"/>
  <c r="N134" i="3"/>
  <c r="C134" i="3" s="1"/>
  <c r="P141" i="1" s="1"/>
  <c r="N135" i="3"/>
  <c r="C135" i="3" s="1"/>
  <c r="P142" i="1" s="1"/>
  <c r="N136" i="3"/>
  <c r="C136" i="3" s="1"/>
  <c r="P143" i="1" s="1"/>
  <c r="N137" i="3"/>
  <c r="C137" i="3" s="1"/>
  <c r="P144" i="1" s="1"/>
  <c r="N138" i="3"/>
  <c r="C138" i="3" s="1"/>
  <c r="P145" i="1" s="1"/>
  <c r="N139" i="3"/>
  <c r="C139" i="3" s="1"/>
  <c r="P146" i="1" s="1"/>
  <c r="N140" i="3"/>
  <c r="C140" i="3" s="1"/>
  <c r="P147" i="1" s="1"/>
  <c r="N141" i="3"/>
  <c r="C141" i="3" s="1"/>
  <c r="P148" i="1" s="1"/>
  <c r="N142" i="3"/>
  <c r="C142" i="3" s="1"/>
  <c r="P149" i="1" s="1"/>
  <c r="N143" i="3"/>
  <c r="C143" i="3" s="1"/>
  <c r="P150" i="1" s="1"/>
  <c r="N144" i="3"/>
  <c r="C144" i="3" s="1"/>
  <c r="P151" i="1" s="1"/>
  <c r="N145" i="3"/>
  <c r="C145" i="3" s="1"/>
  <c r="P152" i="1" s="1"/>
  <c r="N146" i="3"/>
  <c r="C146" i="3" s="1"/>
  <c r="P153" i="1" s="1"/>
  <c r="N147" i="3"/>
  <c r="C147" i="3" s="1"/>
  <c r="P154" i="1" s="1"/>
  <c r="N148" i="3"/>
  <c r="C148" i="3" s="1"/>
  <c r="P155" i="1" s="1"/>
  <c r="N149" i="3"/>
  <c r="C149" i="3" s="1"/>
  <c r="P156" i="1" s="1"/>
  <c r="N150" i="3"/>
  <c r="C150" i="3" s="1"/>
  <c r="P157" i="1" s="1"/>
  <c r="N151" i="3"/>
  <c r="C151" i="3" s="1"/>
  <c r="P158" i="1" s="1"/>
  <c r="N152" i="3"/>
  <c r="C152" i="3" s="1"/>
  <c r="P159" i="1" s="1"/>
  <c r="N153" i="3"/>
  <c r="C153" i="3" s="1"/>
  <c r="P160" i="1" s="1"/>
  <c r="N154" i="3"/>
  <c r="C154" i="3" s="1"/>
  <c r="P161" i="1" s="1"/>
  <c r="N155" i="3"/>
  <c r="C155" i="3" s="1"/>
  <c r="P162" i="1" s="1"/>
  <c r="N156" i="3"/>
  <c r="C156" i="3" s="1"/>
  <c r="P163" i="1" s="1"/>
  <c r="N157" i="3"/>
  <c r="C157" i="3" s="1"/>
  <c r="P164" i="1" s="1"/>
  <c r="N158" i="3"/>
  <c r="C158" i="3" s="1"/>
  <c r="N159" i="3"/>
  <c r="C159" i="3" s="1"/>
  <c r="N160" i="3"/>
  <c r="C160" i="3" s="1"/>
  <c r="N161" i="3"/>
  <c r="C161" i="3" s="1"/>
  <c r="N162" i="3"/>
  <c r="C162" i="3" s="1"/>
  <c r="N163" i="3"/>
  <c r="C163" i="3" s="1"/>
  <c r="N164" i="3"/>
  <c r="C164" i="3" s="1"/>
  <c r="N165" i="3"/>
  <c r="C165" i="3" s="1"/>
  <c r="N166" i="3"/>
  <c r="C166" i="3" s="1"/>
  <c r="N167" i="3"/>
  <c r="C167" i="3" s="1"/>
  <c r="N168" i="3"/>
  <c r="C168" i="3" s="1"/>
  <c r="N169" i="3"/>
  <c r="C169" i="3" s="1"/>
  <c r="N170" i="3"/>
  <c r="C170" i="3" s="1"/>
  <c r="N171" i="3"/>
  <c r="C171" i="3" s="1"/>
  <c r="N172" i="3"/>
  <c r="C172" i="3" s="1"/>
  <c r="N173" i="3"/>
  <c r="C173" i="3" s="1"/>
  <c r="N174" i="3"/>
  <c r="C174" i="3" s="1"/>
  <c r="N175" i="3"/>
  <c r="C175" i="3" s="1"/>
  <c r="N176" i="3"/>
  <c r="C176" i="3" s="1"/>
  <c r="N177" i="3"/>
  <c r="C177" i="3" s="1"/>
  <c r="N178" i="3"/>
  <c r="C178" i="3" s="1"/>
  <c r="N179" i="3"/>
  <c r="C179" i="3" s="1"/>
  <c r="N180" i="3"/>
  <c r="C180" i="3" s="1"/>
  <c r="N181" i="3"/>
  <c r="C181" i="3" s="1"/>
  <c r="N182" i="3"/>
  <c r="C182" i="3" s="1"/>
  <c r="N183" i="3"/>
  <c r="C183" i="3" s="1"/>
  <c r="N184" i="3"/>
  <c r="C184" i="3" s="1"/>
  <c r="N185" i="3"/>
  <c r="C185" i="3" s="1"/>
  <c r="N186" i="3"/>
  <c r="C186" i="3" s="1"/>
  <c r="N187" i="3"/>
  <c r="C187" i="3" s="1"/>
  <c r="N188" i="3"/>
  <c r="C188" i="3" s="1"/>
  <c r="N189" i="3"/>
  <c r="C189" i="3" s="1"/>
  <c r="N190" i="3"/>
  <c r="C190" i="3" s="1"/>
  <c r="N191" i="3"/>
  <c r="C191" i="3" s="1"/>
  <c r="N192" i="3"/>
  <c r="C192" i="3" s="1"/>
  <c r="N193" i="3"/>
  <c r="C193" i="3" s="1"/>
  <c r="N194" i="3"/>
  <c r="C194" i="3" s="1"/>
  <c r="N195" i="3"/>
  <c r="C195" i="3" s="1"/>
  <c r="N196" i="3"/>
  <c r="C196" i="3" s="1"/>
  <c r="N197" i="3"/>
  <c r="C197" i="3" s="1"/>
  <c r="N2" i="3"/>
  <c r="C2" i="3" s="1"/>
  <c r="P9" i="1" s="1"/>
  <c r="I3" i="3"/>
  <c r="E10" i="1" s="1"/>
  <c r="I4" i="3"/>
  <c r="E11" i="1" s="1"/>
  <c r="I5" i="3"/>
  <c r="E12" i="1" s="1"/>
  <c r="I6" i="3"/>
  <c r="E13" i="1" s="1"/>
  <c r="I7" i="3"/>
  <c r="E14" i="1" s="1"/>
  <c r="I8" i="3"/>
  <c r="E15" i="1" s="1"/>
  <c r="I9" i="3"/>
  <c r="E16" i="1" s="1"/>
  <c r="I10" i="3"/>
  <c r="E17" i="1" s="1"/>
  <c r="I11" i="3"/>
  <c r="E18" i="1" s="1"/>
  <c r="I12" i="3"/>
  <c r="E19" i="1" s="1"/>
  <c r="I13" i="3"/>
  <c r="E20" i="1" s="1"/>
  <c r="I14" i="3"/>
  <c r="E21" i="1" s="1"/>
  <c r="I15" i="3"/>
  <c r="E22" i="1" s="1"/>
  <c r="I16" i="3"/>
  <c r="E23" i="1" s="1"/>
  <c r="I17" i="3"/>
  <c r="E24" i="1" s="1"/>
  <c r="I18" i="3"/>
  <c r="E25" i="1" s="1"/>
  <c r="I19" i="3"/>
  <c r="E26" i="1" s="1"/>
  <c r="I20" i="3"/>
  <c r="E27" i="1" s="1"/>
  <c r="I21" i="3"/>
  <c r="E28" i="1" s="1"/>
  <c r="I22" i="3"/>
  <c r="E29" i="1" s="1"/>
  <c r="I23" i="3"/>
  <c r="E30" i="1" s="1"/>
  <c r="I24" i="3"/>
  <c r="E31" i="1" s="1"/>
  <c r="I25" i="3"/>
  <c r="E32" i="1" s="1"/>
  <c r="I26" i="3"/>
  <c r="E33" i="1" s="1"/>
  <c r="I27" i="3"/>
  <c r="E34" i="1" s="1"/>
  <c r="I28" i="3"/>
  <c r="E35" i="1" s="1"/>
  <c r="I29" i="3"/>
  <c r="E36" i="1" s="1"/>
  <c r="I30" i="3"/>
  <c r="E37" i="1" s="1"/>
  <c r="I31" i="3"/>
  <c r="E38" i="1" s="1"/>
  <c r="I32" i="3"/>
  <c r="E39" i="1" s="1"/>
  <c r="I33" i="3"/>
  <c r="E40" i="1" s="1"/>
  <c r="I34" i="3"/>
  <c r="E41" i="1" s="1"/>
  <c r="I35" i="3"/>
  <c r="E42" i="1" s="1"/>
  <c r="I36" i="3"/>
  <c r="E43" i="1" s="1"/>
  <c r="I37" i="3"/>
  <c r="E44" i="1" s="1"/>
  <c r="I38" i="3"/>
  <c r="E45" i="1" s="1"/>
  <c r="I39" i="3"/>
  <c r="E46" i="1" s="1"/>
  <c r="I40" i="3"/>
  <c r="E47" i="1" s="1"/>
  <c r="I41" i="3"/>
  <c r="E48" i="1" s="1"/>
  <c r="I42" i="3"/>
  <c r="E49" i="1" s="1"/>
  <c r="I43" i="3"/>
  <c r="E50" i="1" s="1"/>
  <c r="I44" i="3"/>
  <c r="E51" i="1" s="1"/>
  <c r="I45" i="3"/>
  <c r="E52" i="1" s="1"/>
  <c r="I46" i="3"/>
  <c r="E53" i="1" s="1"/>
  <c r="I47" i="3"/>
  <c r="E54" i="1" s="1"/>
  <c r="I48" i="3"/>
  <c r="E55" i="1" s="1"/>
  <c r="I49" i="3"/>
  <c r="E56" i="1" s="1"/>
  <c r="I50" i="3"/>
  <c r="E57" i="1" s="1"/>
  <c r="I51" i="3"/>
  <c r="E58" i="1" s="1"/>
  <c r="I52" i="3"/>
  <c r="E59" i="1" s="1"/>
  <c r="I53" i="3"/>
  <c r="E60" i="1" s="1"/>
  <c r="I54" i="3"/>
  <c r="E61" i="1" s="1"/>
  <c r="I55" i="3"/>
  <c r="E62" i="1" s="1"/>
  <c r="I56" i="3"/>
  <c r="E63" i="1" s="1"/>
  <c r="I57" i="3"/>
  <c r="E64" i="1" s="1"/>
  <c r="I58" i="3"/>
  <c r="E65" i="1" s="1"/>
  <c r="I59" i="3"/>
  <c r="E66" i="1" s="1"/>
  <c r="I60" i="3"/>
  <c r="E67" i="1" s="1"/>
  <c r="I61" i="3"/>
  <c r="E68" i="1" s="1"/>
  <c r="I62" i="3"/>
  <c r="E69" i="1" s="1"/>
  <c r="I63" i="3"/>
  <c r="E70" i="1" s="1"/>
  <c r="I64" i="3"/>
  <c r="E71" i="1" s="1"/>
  <c r="I65" i="3"/>
  <c r="E72" i="1" s="1"/>
  <c r="I66" i="3"/>
  <c r="E73" i="1" s="1"/>
  <c r="I67" i="3"/>
  <c r="E74" i="1" s="1"/>
  <c r="I68" i="3"/>
  <c r="E75" i="1" s="1"/>
  <c r="I69" i="3"/>
  <c r="E76" i="1" s="1"/>
  <c r="I70" i="3"/>
  <c r="E77" i="1" s="1"/>
  <c r="I71" i="3"/>
  <c r="E78" i="1" s="1"/>
  <c r="I72" i="3"/>
  <c r="E79" i="1" s="1"/>
  <c r="I73" i="3"/>
  <c r="E80" i="1" s="1"/>
  <c r="I74" i="3"/>
  <c r="E81" i="1" s="1"/>
  <c r="I75" i="3"/>
  <c r="E82" i="1" s="1"/>
  <c r="I76" i="3"/>
  <c r="E83" i="1" s="1"/>
  <c r="I77" i="3"/>
  <c r="E84" i="1" s="1"/>
  <c r="I78" i="3"/>
  <c r="E85" i="1" s="1"/>
  <c r="I79" i="3"/>
  <c r="E86" i="1" s="1"/>
  <c r="I80" i="3"/>
  <c r="E87" i="1" s="1"/>
  <c r="I81" i="3"/>
  <c r="E88" i="1" s="1"/>
  <c r="I82" i="3"/>
  <c r="E89" i="1" s="1"/>
  <c r="I83" i="3"/>
  <c r="E90" i="1" s="1"/>
  <c r="I84" i="3"/>
  <c r="E91" i="1" s="1"/>
  <c r="I85" i="3"/>
  <c r="E92" i="1" s="1"/>
  <c r="I86" i="3"/>
  <c r="E93" i="1" s="1"/>
  <c r="I87" i="3"/>
  <c r="E94" i="1" s="1"/>
  <c r="I88" i="3"/>
  <c r="E95" i="1" s="1"/>
  <c r="I89" i="3"/>
  <c r="E96" i="1" s="1"/>
  <c r="I90" i="3"/>
  <c r="E97" i="1" s="1"/>
  <c r="I91" i="3"/>
  <c r="E98" i="1" s="1"/>
  <c r="I92" i="3"/>
  <c r="E99" i="1" s="1"/>
  <c r="I93" i="3"/>
  <c r="E100" i="1" s="1"/>
  <c r="I94" i="3"/>
  <c r="E101" i="1" s="1"/>
  <c r="I95" i="3"/>
  <c r="E102" i="1" s="1"/>
  <c r="I96" i="3"/>
  <c r="E103" i="1" s="1"/>
  <c r="I97" i="3"/>
  <c r="E104" i="1" s="1"/>
  <c r="I98" i="3"/>
  <c r="E105" i="1" s="1"/>
  <c r="I99" i="3"/>
  <c r="E106" i="1" s="1"/>
  <c r="I100" i="3"/>
  <c r="E107" i="1" s="1"/>
  <c r="I101" i="3"/>
  <c r="E108" i="1" s="1"/>
  <c r="I102" i="3"/>
  <c r="E109" i="1" s="1"/>
  <c r="I103" i="3"/>
  <c r="E110" i="1" s="1"/>
  <c r="I104" i="3"/>
  <c r="E111" i="1" s="1"/>
  <c r="I105" i="3"/>
  <c r="E112" i="1" s="1"/>
  <c r="I106" i="3"/>
  <c r="E113" i="1" s="1"/>
  <c r="I107" i="3"/>
  <c r="E114" i="1" s="1"/>
  <c r="I108" i="3"/>
  <c r="E115" i="1" s="1"/>
  <c r="I109" i="3"/>
  <c r="E116" i="1" s="1"/>
  <c r="I110" i="3"/>
  <c r="E117" i="1" s="1"/>
  <c r="I111" i="3"/>
  <c r="E118" i="1" s="1"/>
  <c r="I112" i="3"/>
  <c r="E119" i="1" s="1"/>
  <c r="I113" i="3"/>
  <c r="E120" i="1" s="1"/>
  <c r="I114" i="3"/>
  <c r="E121" i="1" s="1"/>
  <c r="I115" i="3"/>
  <c r="E122" i="1" s="1"/>
  <c r="I116" i="3"/>
  <c r="E123" i="1" s="1"/>
  <c r="I117" i="3"/>
  <c r="E124" i="1" s="1"/>
  <c r="I118" i="3"/>
  <c r="E125" i="1" s="1"/>
  <c r="I119" i="3"/>
  <c r="E126" i="1" s="1"/>
  <c r="I120" i="3"/>
  <c r="E127" i="1" s="1"/>
  <c r="I121" i="3"/>
  <c r="E128" i="1" s="1"/>
  <c r="I122" i="3"/>
  <c r="E129" i="1" s="1"/>
  <c r="I123" i="3"/>
  <c r="E130" i="1" s="1"/>
  <c r="I124" i="3"/>
  <c r="E131" i="1" s="1"/>
  <c r="I125" i="3"/>
  <c r="E132" i="1" s="1"/>
  <c r="I126" i="3"/>
  <c r="E133" i="1" s="1"/>
  <c r="I127" i="3"/>
  <c r="E134" i="1" s="1"/>
  <c r="I128" i="3"/>
  <c r="E135" i="1" s="1"/>
  <c r="I129" i="3"/>
  <c r="E136" i="1" s="1"/>
  <c r="I130" i="3"/>
  <c r="E137" i="1" s="1"/>
  <c r="I131" i="3"/>
  <c r="E138" i="1" s="1"/>
  <c r="I132" i="3"/>
  <c r="E139" i="1" s="1"/>
  <c r="I133" i="3"/>
  <c r="E140" i="1" s="1"/>
  <c r="I134" i="3"/>
  <c r="E141" i="1" s="1"/>
  <c r="I135" i="3"/>
  <c r="E142" i="1" s="1"/>
  <c r="I136" i="3"/>
  <c r="E143" i="1" s="1"/>
  <c r="I137" i="3"/>
  <c r="E144" i="1" s="1"/>
  <c r="I138" i="3"/>
  <c r="E145" i="1" s="1"/>
  <c r="I139" i="3"/>
  <c r="E146" i="1" s="1"/>
  <c r="I140" i="3"/>
  <c r="E147" i="1" s="1"/>
  <c r="I141" i="3"/>
  <c r="E148" i="1" s="1"/>
  <c r="I142" i="3"/>
  <c r="E149" i="1" s="1"/>
  <c r="I143" i="3"/>
  <c r="E150" i="1" s="1"/>
  <c r="I144" i="3"/>
  <c r="E151" i="1" s="1"/>
  <c r="I145" i="3"/>
  <c r="E152" i="1" s="1"/>
  <c r="I146" i="3"/>
  <c r="E153" i="1" s="1"/>
  <c r="I147" i="3"/>
  <c r="E154" i="1" s="1"/>
  <c r="I148" i="3"/>
  <c r="E155" i="1" s="1"/>
  <c r="I149" i="3"/>
  <c r="E156" i="1" s="1"/>
  <c r="I150" i="3"/>
  <c r="E157" i="1" s="1"/>
  <c r="I151" i="3"/>
  <c r="E158" i="1" s="1"/>
  <c r="I152" i="3"/>
  <c r="E159" i="1" s="1"/>
  <c r="I153" i="3"/>
  <c r="E160" i="1" s="1"/>
  <c r="I154" i="3"/>
  <c r="E161" i="1" s="1"/>
  <c r="I155" i="3"/>
  <c r="E162" i="1" s="1"/>
  <c r="I156" i="3"/>
  <c r="E163" i="1" s="1"/>
  <c r="I157" i="3"/>
  <c r="E164" i="1" s="1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2" i="3"/>
  <c r="E9" i="1" s="1"/>
  <c r="H3" i="3"/>
  <c r="D10" i="1" s="1"/>
  <c r="H4" i="3"/>
  <c r="D11" i="1" s="1"/>
  <c r="H5" i="3"/>
  <c r="D12" i="1" s="1"/>
  <c r="H6" i="3"/>
  <c r="D13" i="1" s="1"/>
  <c r="H7" i="3"/>
  <c r="D14" i="1" s="1"/>
  <c r="H8" i="3"/>
  <c r="D15" i="1" s="1"/>
  <c r="H9" i="3"/>
  <c r="D16" i="1" s="1"/>
  <c r="H10" i="3"/>
  <c r="D17" i="1" s="1"/>
  <c r="H11" i="3"/>
  <c r="D18" i="1" s="1"/>
  <c r="H12" i="3"/>
  <c r="D19" i="1" s="1"/>
  <c r="H13" i="3"/>
  <c r="D20" i="1" s="1"/>
  <c r="H14" i="3"/>
  <c r="D21" i="1" s="1"/>
  <c r="H15" i="3"/>
  <c r="D22" i="1" s="1"/>
  <c r="H16" i="3"/>
  <c r="D23" i="1" s="1"/>
  <c r="H17" i="3"/>
  <c r="D24" i="1" s="1"/>
  <c r="H18" i="3"/>
  <c r="D25" i="1" s="1"/>
  <c r="H19" i="3"/>
  <c r="D26" i="1" s="1"/>
  <c r="H20" i="3"/>
  <c r="D27" i="1" s="1"/>
  <c r="H21" i="3"/>
  <c r="D28" i="1" s="1"/>
  <c r="H22" i="3"/>
  <c r="D29" i="1" s="1"/>
  <c r="H23" i="3"/>
  <c r="D30" i="1" s="1"/>
  <c r="H24" i="3"/>
  <c r="D31" i="1" s="1"/>
  <c r="H25" i="3"/>
  <c r="D32" i="1" s="1"/>
  <c r="H26" i="3"/>
  <c r="D33" i="1" s="1"/>
  <c r="H27" i="3"/>
  <c r="D34" i="1" s="1"/>
  <c r="H28" i="3"/>
  <c r="D35" i="1" s="1"/>
  <c r="H29" i="3"/>
  <c r="D36" i="1" s="1"/>
  <c r="H30" i="3"/>
  <c r="D37" i="1" s="1"/>
  <c r="H31" i="3"/>
  <c r="D38" i="1" s="1"/>
  <c r="H32" i="3"/>
  <c r="D39" i="1" s="1"/>
  <c r="H33" i="3"/>
  <c r="D40" i="1" s="1"/>
  <c r="H34" i="3"/>
  <c r="D41" i="1" s="1"/>
  <c r="H35" i="3"/>
  <c r="D42" i="1" s="1"/>
  <c r="H36" i="3"/>
  <c r="D43" i="1" s="1"/>
  <c r="H37" i="3"/>
  <c r="D44" i="1" s="1"/>
  <c r="H38" i="3"/>
  <c r="D45" i="1" s="1"/>
  <c r="H39" i="3"/>
  <c r="D46" i="1" s="1"/>
  <c r="H40" i="3"/>
  <c r="D47" i="1" s="1"/>
  <c r="H41" i="3"/>
  <c r="D48" i="1" s="1"/>
  <c r="H42" i="3"/>
  <c r="D49" i="1" s="1"/>
  <c r="H43" i="3"/>
  <c r="D50" i="1" s="1"/>
  <c r="H44" i="3"/>
  <c r="D51" i="1" s="1"/>
  <c r="H45" i="3"/>
  <c r="D52" i="1" s="1"/>
  <c r="H46" i="3"/>
  <c r="D53" i="1" s="1"/>
  <c r="H47" i="3"/>
  <c r="D54" i="1" s="1"/>
  <c r="H48" i="3"/>
  <c r="D55" i="1" s="1"/>
  <c r="H49" i="3"/>
  <c r="D56" i="1" s="1"/>
  <c r="H50" i="3"/>
  <c r="D57" i="1" s="1"/>
  <c r="H51" i="3"/>
  <c r="D58" i="1" s="1"/>
  <c r="H52" i="3"/>
  <c r="D59" i="1" s="1"/>
  <c r="H53" i="3"/>
  <c r="D60" i="1" s="1"/>
  <c r="H54" i="3"/>
  <c r="D61" i="1" s="1"/>
  <c r="H55" i="3"/>
  <c r="D62" i="1" s="1"/>
  <c r="H56" i="3"/>
  <c r="D63" i="1" s="1"/>
  <c r="H57" i="3"/>
  <c r="D64" i="1" s="1"/>
  <c r="H58" i="3"/>
  <c r="D65" i="1" s="1"/>
  <c r="H59" i="3"/>
  <c r="D66" i="1" s="1"/>
  <c r="H60" i="3"/>
  <c r="D67" i="1" s="1"/>
  <c r="H61" i="3"/>
  <c r="D68" i="1" s="1"/>
  <c r="H62" i="3"/>
  <c r="D69" i="1" s="1"/>
  <c r="H63" i="3"/>
  <c r="D70" i="1" s="1"/>
  <c r="H64" i="3"/>
  <c r="D71" i="1" s="1"/>
  <c r="H65" i="3"/>
  <c r="D72" i="1" s="1"/>
  <c r="H66" i="3"/>
  <c r="D73" i="1" s="1"/>
  <c r="H67" i="3"/>
  <c r="D74" i="1" s="1"/>
  <c r="H68" i="3"/>
  <c r="D75" i="1" s="1"/>
  <c r="H69" i="3"/>
  <c r="D76" i="1" s="1"/>
  <c r="H70" i="3"/>
  <c r="D77" i="1" s="1"/>
  <c r="H71" i="3"/>
  <c r="D78" i="1" s="1"/>
  <c r="H72" i="3"/>
  <c r="D79" i="1" s="1"/>
  <c r="H73" i="3"/>
  <c r="D80" i="1" s="1"/>
  <c r="H74" i="3"/>
  <c r="D81" i="1" s="1"/>
  <c r="H75" i="3"/>
  <c r="D82" i="1" s="1"/>
  <c r="H76" i="3"/>
  <c r="D83" i="1" s="1"/>
  <c r="H77" i="3"/>
  <c r="D84" i="1" s="1"/>
  <c r="H78" i="3"/>
  <c r="D85" i="1" s="1"/>
  <c r="H79" i="3"/>
  <c r="D86" i="1" s="1"/>
  <c r="H80" i="3"/>
  <c r="D87" i="1" s="1"/>
  <c r="H81" i="3"/>
  <c r="D88" i="1" s="1"/>
  <c r="H82" i="3"/>
  <c r="D89" i="1" s="1"/>
  <c r="H83" i="3"/>
  <c r="D90" i="1" s="1"/>
  <c r="H84" i="3"/>
  <c r="D91" i="1" s="1"/>
  <c r="H85" i="3"/>
  <c r="D92" i="1" s="1"/>
  <c r="H86" i="3"/>
  <c r="D93" i="1" s="1"/>
  <c r="H87" i="3"/>
  <c r="D94" i="1" s="1"/>
  <c r="H88" i="3"/>
  <c r="D95" i="1" s="1"/>
  <c r="H89" i="3"/>
  <c r="D96" i="1" s="1"/>
  <c r="H90" i="3"/>
  <c r="D97" i="1" s="1"/>
  <c r="H91" i="3"/>
  <c r="D98" i="1" s="1"/>
  <c r="H92" i="3"/>
  <c r="D99" i="1" s="1"/>
  <c r="H93" i="3"/>
  <c r="D100" i="1" s="1"/>
  <c r="H94" i="3"/>
  <c r="D101" i="1" s="1"/>
  <c r="H95" i="3"/>
  <c r="D102" i="1" s="1"/>
  <c r="H96" i="3"/>
  <c r="D103" i="1" s="1"/>
  <c r="H97" i="3"/>
  <c r="D104" i="1" s="1"/>
  <c r="H98" i="3"/>
  <c r="D105" i="1" s="1"/>
  <c r="H99" i="3"/>
  <c r="D106" i="1" s="1"/>
  <c r="H100" i="3"/>
  <c r="D107" i="1" s="1"/>
  <c r="H101" i="3"/>
  <c r="D108" i="1" s="1"/>
  <c r="H102" i="3"/>
  <c r="D109" i="1" s="1"/>
  <c r="H103" i="3"/>
  <c r="D110" i="1" s="1"/>
  <c r="H104" i="3"/>
  <c r="D111" i="1" s="1"/>
  <c r="H105" i="3"/>
  <c r="D112" i="1" s="1"/>
  <c r="H106" i="3"/>
  <c r="D113" i="1" s="1"/>
  <c r="H107" i="3"/>
  <c r="D114" i="1" s="1"/>
  <c r="H108" i="3"/>
  <c r="D115" i="1" s="1"/>
  <c r="H109" i="3"/>
  <c r="D116" i="1" s="1"/>
  <c r="H110" i="3"/>
  <c r="D117" i="1" s="1"/>
  <c r="H111" i="3"/>
  <c r="D118" i="1" s="1"/>
  <c r="H112" i="3"/>
  <c r="D119" i="1" s="1"/>
  <c r="H113" i="3"/>
  <c r="D120" i="1" s="1"/>
  <c r="H114" i="3"/>
  <c r="D121" i="1" s="1"/>
  <c r="H115" i="3"/>
  <c r="D122" i="1" s="1"/>
  <c r="H116" i="3"/>
  <c r="D123" i="1" s="1"/>
  <c r="H117" i="3"/>
  <c r="D124" i="1" s="1"/>
  <c r="H118" i="3"/>
  <c r="D125" i="1" s="1"/>
  <c r="H119" i="3"/>
  <c r="D126" i="1" s="1"/>
  <c r="H120" i="3"/>
  <c r="D127" i="1" s="1"/>
  <c r="H121" i="3"/>
  <c r="D128" i="1" s="1"/>
  <c r="H122" i="3"/>
  <c r="D129" i="1" s="1"/>
  <c r="H123" i="3"/>
  <c r="D130" i="1" s="1"/>
  <c r="H124" i="3"/>
  <c r="D131" i="1" s="1"/>
  <c r="H125" i="3"/>
  <c r="D132" i="1" s="1"/>
  <c r="H126" i="3"/>
  <c r="D133" i="1" s="1"/>
  <c r="H127" i="3"/>
  <c r="D134" i="1" s="1"/>
  <c r="H128" i="3"/>
  <c r="D135" i="1" s="1"/>
  <c r="H129" i="3"/>
  <c r="D136" i="1" s="1"/>
  <c r="H130" i="3"/>
  <c r="D137" i="1" s="1"/>
  <c r="H131" i="3"/>
  <c r="D138" i="1" s="1"/>
  <c r="H132" i="3"/>
  <c r="D139" i="1" s="1"/>
  <c r="H133" i="3"/>
  <c r="D140" i="1" s="1"/>
  <c r="H134" i="3"/>
  <c r="D141" i="1" s="1"/>
  <c r="H135" i="3"/>
  <c r="D142" i="1" s="1"/>
  <c r="H136" i="3"/>
  <c r="D143" i="1" s="1"/>
  <c r="H137" i="3"/>
  <c r="D144" i="1" s="1"/>
  <c r="H138" i="3"/>
  <c r="D145" i="1" s="1"/>
  <c r="H139" i="3"/>
  <c r="D146" i="1" s="1"/>
  <c r="H140" i="3"/>
  <c r="D147" i="1" s="1"/>
  <c r="H141" i="3"/>
  <c r="D148" i="1" s="1"/>
  <c r="H142" i="3"/>
  <c r="D149" i="1" s="1"/>
  <c r="H143" i="3"/>
  <c r="D150" i="1" s="1"/>
  <c r="H144" i="3"/>
  <c r="D151" i="1" s="1"/>
  <c r="H145" i="3"/>
  <c r="D152" i="1" s="1"/>
  <c r="H146" i="3"/>
  <c r="D153" i="1" s="1"/>
  <c r="H147" i="3"/>
  <c r="D154" i="1" s="1"/>
  <c r="H148" i="3"/>
  <c r="D155" i="1" s="1"/>
  <c r="H149" i="3"/>
  <c r="D156" i="1" s="1"/>
  <c r="H150" i="3"/>
  <c r="D157" i="1" s="1"/>
  <c r="H151" i="3"/>
  <c r="D158" i="1" s="1"/>
  <c r="H152" i="3"/>
  <c r="D159" i="1" s="1"/>
  <c r="H153" i="3"/>
  <c r="D160" i="1" s="1"/>
  <c r="H154" i="3"/>
  <c r="D161" i="1" s="1"/>
  <c r="H155" i="3"/>
  <c r="D162" i="1" s="1"/>
  <c r="H156" i="3"/>
  <c r="D163" i="1" s="1"/>
  <c r="H157" i="3"/>
  <c r="D164" i="1" s="1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K2" i="3"/>
  <c r="G9" i="1" s="1"/>
  <c r="J2" i="3"/>
  <c r="H2" i="3"/>
  <c r="D9" i="1" s="1"/>
  <c r="F3" i="3"/>
  <c r="G3" i="3"/>
  <c r="C10" i="1" s="1"/>
  <c r="F4" i="3"/>
  <c r="G4" i="3"/>
  <c r="C11" i="1" s="1"/>
  <c r="F5" i="3"/>
  <c r="G5" i="3"/>
  <c r="C12" i="1" s="1"/>
  <c r="F6" i="3"/>
  <c r="G6" i="3"/>
  <c r="C13" i="1" s="1"/>
  <c r="F7" i="3"/>
  <c r="G7" i="3"/>
  <c r="C14" i="1" s="1"/>
  <c r="F8" i="3"/>
  <c r="G8" i="3"/>
  <c r="C15" i="1" s="1"/>
  <c r="F9" i="3"/>
  <c r="G9" i="3"/>
  <c r="C16" i="1" s="1"/>
  <c r="F10" i="3"/>
  <c r="G10" i="3"/>
  <c r="C17" i="1" s="1"/>
  <c r="F11" i="3"/>
  <c r="G11" i="3"/>
  <c r="C18" i="1" s="1"/>
  <c r="F12" i="3"/>
  <c r="G12" i="3"/>
  <c r="C19" i="1" s="1"/>
  <c r="F13" i="3"/>
  <c r="G13" i="3"/>
  <c r="C20" i="1" s="1"/>
  <c r="F14" i="3"/>
  <c r="G14" i="3"/>
  <c r="C21" i="1" s="1"/>
  <c r="F15" i="3"/>
  <c r="G15" i="3"/>
  <c r="C22" i="1" s="1"/>
  <c r="F16" i="3"/>
  <c r="G16" i="3"/>
  <c r="C23" i="1" s="1"/>
  <c r="F17" i="3"/>
  <c r="G17" i="3"/>
  <c r="C24" i="1" s="1"/>
  <c r="F18" i="3"/>
  <c r="G18" i="3"/>
  <c r="C25" i="1" s="1"/>
  <c r="F19" i="3"/>
  <c r="G19" i="3"/>
  <c r="C26" i="1" s="1"/>
  <c r="F20" i="3"/>
  <c r="G20" i="3"/>
  <c r="C27" i="1" s="1"/>
  <c r="F21" i="3"/>
  <c r="G21" i="3"/>
  <c r="C28" i="1" s="1"/>
  <c r="F22" i="3"/>
  <c r="G22" i="3"/>
  <c r="C29" i="1" s="1"/>
  <c r="F23" i="3"/>
  <c r="G23" i="3"/>
  <c r="C30" i="1" s="1"/>
  <c r="F24" i="3"/>
  <c r="G24" i="3"/>
  <c r="C31" i="1" s="1"/>
  <c r="F25" i="3"/>
  <c r="G25" i="3"/>
  <c r="C32" i="1" s="1"/>
  <c r="F26" i="3"/>
  <c r="G26" i="3"/>
  <c r="C33" i="1" s="1"/>
  <c r="F27" i="3"/>
  <c r="G27" i="3"/>
  <c r="C34" i="1" s="1"/>
  <c r="F28" i="3"/>
  <c r="G28" i="3"/>
  <c r="C35" i="1" s="1"/>
  <c r="F29" i="3"/>
  <c r="G29" i="3"/>
  <c r="C36" i="1" s="1"/>
  <c r="F30" i="3"/>
  <c r="G30" i="3"/>
  <c r="C37" i="1" s="1"/>
  <c r="F31" i="3"/>
  <c r="G31" i="3"/>
  <c r="C38" i="1" s="1"/>
  <c r="F32" i="3"/>
  <c r="G32" i="3"/>
  <c r="C39" i="1" s="1"/>
  <c r="F33" i="3"/>
  <c r="G33" i="3"/>
  <c r="C40" i="1" s="1"/>
  <c r="F34" i="3"/>
  <c r="G34" i="3"/>
  <c r="C41" i="1" s="1"/>
  <c r="F35" i="3"/>
  <c r="G35" i="3"/>
  <c r="C42" i="1" s="1"/>
  <c r="F36" i="3"/>
  <c r="G36" i="3"/>
  <c r="C43" i="1" s="1"/>
  <c r="F37" i="3"/>
  <c r="G37" i="3"/>
  <c r="C44" i="1" s="1"/>
  <c r="F38" i="3"/>
  <c r="G38" i="3"/>
  <c r="C45" i="1" s="1"/>
  <c r="F39" i="3"/>
  <c r="G39" i="3"/>
  <c r="C46" i="1" s="1"/>
  <c r="F40" i="3"/>
  <c r="G40" i="3"/>
  <c r="C47" i="1" s="1"/>
  <c r="F41" i="3"/>
  <c r="G41" i="3"/>
  <c r="C48" i="1" s="1"/>
  <c r="F42" i="3"/>
  <c r="G42" i="3"/>
  <c r="C49" i="1" s="1"/>
  <c r="F43" i="3"/>
  <c r="G43" i="3"/>
  <c r="C50" i="1" s="1"/>
  <c r="F44" i="3"/>
  <c r="G44" i="3"/>
  <c r="C51" i="1" s="1"/>
  <c r="F45" i="3"/>
  <c r="G45" i="3"/>
  <c r="C52" i="1" s="1"/>
  <c r="F46" i="3"/>
  <c r="G46" i="3"/>
  <c r="C53" i="1" s="1"/>
  <c r="F47" i="3"/>
  <c r="G47" i="3"/>
  <c r="C54" i="1" s="1"/>
  <c r="F48" i="3"/>
  <c r="G48" i="3"/>
  <c r="C55" i="1" s="1"/>
  <c r="F49" i="3"/>
  <c r="G49" i="3"/>
  <c r="C56" i="1" s="1"/>
  <c r="F50" i="3"/>
  <c r="G50" i="3"/>
  <c r="C57" i="1" s="1"/>
  <c r="F51" i="3"/>
  <c r="G51" i="3"/>
  <c r="C58" i="1" s="1"/>
  <c r="F52" i="3"/>
  <c r="G52" i="3"/>
  <c r="C59" i="1" s="1"/>
  <c r="F53" i="3"/>
  <c r="G53" i="3"/>
  <c r="C60" i="1" s="1"/>
  <c r="F54" i="3"/>
  <c r="G54" i="3"/>
  <c r="C61" i="1" s="1"/>
  <c r="F55" i="3"/>
  <c r="G55" i="3"/>
  <c r="C62" i="1" s="1"/>
  <c r="F56" i="3"/>
  <c r="G56" i="3"/>
  <c r="C63" i="1" s="1"/>
  <c r="F57" i="3"/>
  <c r="G57" i="3"/>
  <c r="C64" i="1" s="1"/>
  <c r="F58" i="3"/>
  <c r="G58" i="3"/>
  <c r="C65" i="1" s="1"/>
  <c r="F59" i="3"/>
  <c r="G59" i="3"/>
  <c r="C66" i="1" s="1"/>
  <c r="F60" i="3"/>
  <c r="G60" i="3"/>
  <c r="C67" i="1" s="1"/>
  <c r="F61" i="3"/>
  <c r="G61" i="3"/>
  <c r="C68" i="1" s="1"/>
  <c r="F62" i="3"/>
  <c r="G62" i="3"/>
  <c r="C69" i="1" s="1"/>
  <c r="F63" i="3"/>
  <c r="G63" i="3"/>
  <c r="C70" i="1" s="1"/>
  <c r="F64" i="3"/>
  <c r="G64" i="3"/>
  <c r="C71" i="1" s="1"/>
  <c r="F65" i="3"/>
  <c r="G65" i="3"/>
  <c r="C72" i="1" s="1"/>
  <c r="F66" i="3"/>
  <c r="G66" i="3"/>
  <c r="C73" i="1" s="1"/>
  <c r="F67" i="3"/>
  <c r="G67" i="3"/>
  <c r="C74" i="1" s="1"/>
  <c r="F68" i="3"/>
  <c r="G68" i="3"/>
  <c r="C75" i="1" s="1"/>
  <c r="F69" i="3"/>
  <c r="G69" i="3"/>
  <c r="C76" i="1" s="1"/>
  <c r="F70" i="3"/>
  <c r="G70" i="3"/>
  <c r="C77" i="1" s="1"/>
  <c r="F71" i="3"/>
  <c r="G71" i="3"/>
  <c r="C78" i="1" s="1"/>
  <c r="F72" i="3"/>
  <c r="G72" i="3"/>
  <c r="C79" i="1" s="1"/>
  <c r="F73" i="3"/>
  <c r="G73" i="3"/>
  <c r="C80" i="1" s="1"/>
  <c r="F74" i="3"/>
  <c r="G74" i="3"/>
  <c r="C81" i="1" s="1"/>
  <c r="F75" i="3"/>
  <c r="G75" i="3"/>
  <c r="C82" i="1" s="1"/>
  <c r="F76" i="3"/>
  <c r="G76" i="3"/>
  <c r="C83" i="1" s="1"/>
  <c r="F77" i="3"/>
  <c r="G77" i="3"/>
  <c r="C84" i="1" s="1"/>
  <c r="F78" i="3"/>
  <c r="G78" i="3"/>
  <c r="C85" i="1" s="1"/>
  <c r="F79" i="3"/>
  <c r="G79" i="3"/>
  <c r="C86" i="1" s="1"/>
  <c r="F80" i="3"/>
  <c r="G80" i="3"/>
  <c r="C87" i="1" s="1"/>
  <c r="F81" i="3"/>
  <c r="G81" i="3"/>
  <c r="C88" i="1" s="1"/>
  <c r="F82" i="3"/>
  <c r="G82" i="3"/>
  <c r="C89" i="1" s="1"/>
  <c r="F83" i="3"/>
  <c r="G83" i="3"/>
  <c r="C90" i="1" s="1"/>
  <c r="F84" i="3"/>
  <c r="G84" i="3"/>
  <c r="C91" i="1" s="1"/>
  <c r="F85" i="3"/>
  <c r="G85" i="3"/>
  <c r="C92" i="1" s="1"/>
  <c r="F86" i="3"/>
  <c r="G86" i="3"/>
  <c r="C93" i="1" s="1"/>
  <c r="F87" i="3"/>
  <c r="G87" i="3"/>
  <c r="C94" i="1" s="1"/>
  <c r="F88" i="3"/>
  <c r="G88" i="3"/>
  <c r="C95" i="1" s="1"/>
  <c r="F89" i="3"/>
  <c r="G89" i="3"/>
  <c r="C96" i="1" s="1"/>
  <c r="F90" i="3"/>
  <c r="G90" i="3"/>
  <c r="C97" i="1" s="1"/>
  <c r="F91" i="3"/>
  <c r="G91" i="3"/>
  <c r="C98" i="1" s="1"/>
  <c r="F92" i="3"/>
  <c r="G92" i="3"/>
  <c r="C99" i="1" s="1"/>
  <c r="F93" i="3"/>
  <c r="G93" i="3"/>
  <c r="C100" i="1" s="1"/>
  <c r="F94" i="3"/>
  <c r="G94" i="3"/>
  <c r="C101" i="1" s="1"/>
  <c r="F95" i="3"/>
  <c r="G95" i="3"/>
  <c r="C102" i="1" s="1"/>
  <c r="F96" i="3"/>
  <c r="G96" i="3"/>
  <c r="C103" i="1" s="1"/>
  <c r="F97" i="3"/>
  <c r="G97" i="3"/>
  <c r="C104" i="1" s="1"/>
  <c r="F98" i="3"/>
  <c r="G98" i="3"/>
  <c r="C105" i="1" s="1"/>
  <c r="F99" i="3"/>
  <c r="G99" i="3"/>
  <c r="C106" i="1" s="1"/>
  <c r="F100" i="3"/>
  <c r="G100" i="3"/>
  <c r="C107" i="1" s="1"/>
  <c r="F101" i="3"/>
  <c r="G101" i="3"/>
  <c r="C108" i="1" s="1"/>
  <c r="F102" i="3"/>
  <c r="G102" i="3"/>
  <c r="C109" i="1" s="1"/>
  <c r="F103" i="3"/>
  <c r="G103" i="3"/>
  <c r="C110" i="1" s="1"/>
  <c r="F104" i="3"/>
  <c r="G104" i="3"/>
  <c r="C111" i="1" s="1"/>
  <c r="F105" i="3"/>
  <c r="G105" i="3"/>
  <c r="C112" i="1" s="1"/>
  <c r="F106" i="3"/>
  <c r="G106" i="3"/>
  <c r="C113" i="1" s="1"/>
  <c r="F107" i="3"/>
  <c r="G107" i="3"/>
  <c r="C114" i="1" s="1"/>
  <c r="F108" i="3"/>
  <c r="G108" i="3"/>
  <c r="C115" i="1" s="1"/>
  <c r="F109" i="3"/>
  <c r="G109" i="3"/>
  <c r="C116" i="1" s="1"/>
  <c r="F110" i="3"/>
  <c r="G110" i="3"/>
  <c r="C117" i="1" s="1"/>
  <c r="F111" i="3"/>
  <c r="G111" i="3"/>
  <c r="C118" i="1" s="1"/>
  <c r="F112" i="3"/>
  <c r="G112" i="3"/>
  <c r="C119" i="1" s="1"/>
  <c r="F113" i="3"/>
  <c r="G113" i="3"/>
  <c r="C120" i="1" s="1"/>
  <c r="F114" i="3"/>
  <c r="G114" i="3"/>
  <c r="C121" i="1" s="1"/>
  <c r="F115" i="3"/>
  <c r="G115" i="3"/>
  <c r="C122" i="1" s="1"/>
  <c r="F116" i="3"/>
  <c r="G116" i="3"/>
  <c r="C123" i="1" s="1"/>
  <c r="F117" i="3"/>
  <c r="G117" i="3"/>
  <c r="C124" i="1" s="1"/>
  <c r="F118" i="3"/>
  <c r="G118" i="3"/>
  <c r="C125" i="1" s="1"/>
  <c r="F119" i="3"/>
  <c r="G119" i="3"/>
  <c r="C126" i="1" s="1"/>
  <c r="F120" i="3"/>
  <c r="G120" i="3"/>
  <c r="C127" i="1" s="1"/>
  <c r="F121" i="3"/>
  <c r="G121" i="3"/>
  <c r="C128" i="1" s="1"/>
  <c r="F122" i="3"/>
  <c r="G122" i="3"/>
  <c r="C129" i="1" s="1"/>
  <c r="F123" i="3"/>
  <c r="G123" i="3"/>
  <c r="C130" i="1" s="1"/>
  <c r="F124" i="3"/>
  <c r="G124" i="3"/>
  <c r="C131" i="1" s="1"/>
  <c r="F125" i="3"/>
  <c r="G125" i="3"/>
  <c r="C132" i="1" s="1"/>
  <c r="F126" i="3"/>
  <c r="G126" i="3"/>
  <c r="C133" i="1" s="1"/>
  <c r="F127" i="3"/>
  <c r="G127" i="3"/>
  <c r="C134" i="1" s="1"/>
  <c r="F128" i="3"/>
  <c r="G128" i="3"/>
  <c r="C135" i="1" s="1"/>
  <c r="F129" i="3"/>
  <c r="G129" i="3"/>
  <c r="C136" i="1" s="1"/>
  <c r="F130" i="3"/>
  <c r="G130" i="3"/>
  <c r="C137" i="1" s="1"/>
  <c r="F131" i="3"/>
  <c r="G131" i="3"/>
  <c r="C138" i="1" s="1"/>
  <c r="F132" i="3"/>
  <c r="G132" i="3"/>
  <c r="C139" i="1" s="1"/>
  <c r="F133" i="3"/>
  <c r="G133" i="3"/>
  <c r="C140" i="1" s="1"/>
  <c r="F134" i="3"/>
  <c r="G134" i="3"/>
  <c r="C141" i="1" s="1"/>
  <c r="F135" i="3"/>
  <c r="G135" i="3"/>
  <c r="C142" i="1" s="1"/>
  <c r="F136" i="3"/>
  <c r="G136" i="3"/>
  <c r="C143" i="1" s="1"/>
  <c r="F137" i="3"/>
  <c r="G137" i="3"/>
  <c r="C144" i="1" s="1"/>
  <c r="F138" i="3"/>
  <c r="G138" i="3"/>
  <c r="C145" i="1" s="1"/>
  <c r="F139" i="3"/>
  <c r="G139" i="3"/>
  <c r="C146" i="1" s="1"/>
  <c r="F140" i="3"/>
  <c r="G140" i="3"/>
  <c r="C147" i="1" s="1"/>
  <c r="F141" i="3"/>
  <c r="G141" i="3"/>
  <c r="C148" i="1" s="1"/>
  <c r="F142" i="3"/>
  <c r="G142" i="3"/>
  <c r="C149" i="1" s="1"/>
  <c r="F143" i="3"/>
  <c r="G143" i="3"/>
  <c r="C150" i="1" s="1"/>
  <c r="F144" i="3"/>
  <c r="G144" i="3"/>
  <c r="C151" i="1" s="1"/>
  <c r="F145" i="3"/>
  <c r="G145" i="3"/>
  <c r="C152" i="1" s="1"/>
  <c r="F146" i="3"/>
  <c r="G146" i="3"/>
  <c r="C153" i="1" s="1"/>
  <c r="F147" i="3"/>
  <c r="G147" i="3"/>
  <c r="C154" i="1" s="1"/>
  <c r="F148" i="3"/>
  <c r="G148" i="3"/>
  <c r="C155" i="1" s="1"/>
  <c r="F149" i="3"/>
  <c r="G149" i="3"/>
  <c r="C156" i="1" s="1"/>
  <c r="F150" i="3"/>
  <c r="G150" i="3"/>
  <c r="C157" i="1" s="1"/>
  <c r="F151" i="3"/>
  <c r="G151" i="3"/>
  <c r="C158" i="1" s="1"/>
  <c r="F152" i="3"/>
  <c r="G152" i="3"/>
  <c r="C159" i="1" s="1"/>
  <c r="F153" i="3"/>
  <c r="G153" i="3"/>
  <c r="C160" i="1" s="1"/>
  <c r="F154" i="3"/>
  <c r="G154" i="3"/>
  <c r="C161" i="1" s="1"/>
  <c r="F155" i="3"/>
  <c r="G155" i="3"/>
  <c r="C162" i="1" s="1"/>
  <c r="F156" i="3"/>
  <c r="G156" i="3"/>
  <c r="C163" i="1" s="1"/>
  <c r="F157" i="3"/>
  <c r="G157" i="3"/>
  <c r="C164" i="1" s="1"/>
  <c r="F158" i="3"/>
  <c r="G158" i="3"/>
  <c r="F159" i="3"/>
  <c r="G159" i="3"/>
  <c r="F160" i="3"/>
  <c r="G160" i="3"/>
  <c r="F161" i="3"/>
  <c r="G161" i="3"/>
  <c r="F162" i="3"/>
  <c r="G162" i="3"/>
  <c r="F163" i="3"/>
  <c r="G163" i="3"/>
  <c r="F164" i="3"/>
  <c r="G164" i="3"/>
  <c r="F165" i="3"/>
  <c r="G165" i="3"/>
  <c r="F166" i="3"/>
  <c r="G166" i="3"/>
  <c r="F167" i="3"/>
  <c r="G167" i="3"/>
  <c r="F168" i="3"/>
  <c r="G168" i="3"/>
  <c r="F169" i="3"/>
  <c r="G169" i="3"/>
  <c r="F170" i="3"/>
  <c r="G170" i="3"/>
  <c r="F171" i="3"/>
  <c r="G171" i="3"/>
  <c r="F172" i="3"/>
  <c r="G172" i="3"/>
  <c r="F173" i="3"/>
  <c r="G173" i="3"/>
  <c r="F174" i="3"/>
  <c r="G174" i="3"/>
  <c r="F175" i="3"/>
  <c r="G175" i="3"/>
  <c r="F176" i="3"/>
  <c r="G176" i="3"/>
  <c r="F177" i="3"/>
  <c r="G177" i="3"/>
  <c r="F178" i="3"/>
  <c r="G178" i="3"/>
  <c r="F179" i="3"/>
  <c r="G179" i="3"/>
  <c r="F180" i="3"/>
  <c r="G180" i="3"/>
  <c r="F181" i="3"/>
  <c r="G181" i="3"/>
  <c r="F182" i="3"/>
  <c r="G182" i="3"/>
  <c r="F183" i="3"/>
  <c r="G183" i="3"/>
  <c r="F184" i="3"/>
  <c r="G184" i="3"/>
  <c r="F185" i="3"/>
  <c r="G185" i="3"/>
  <c r="F186" i="3"/>
  <c r="G186" i="3"/>
  <c r="F187" i="3"/>
  <c r="G187" i="3"/>
  <c r="F188" i="3"/>
  <c r="G188" i="3"/>
  <c r="F189" i="3"/>
  <c r="G189" i="3"/>
  <c r="F190" i="3"/>
  <c r="G190" i="3"/>
  <c r="F191" i="3"/>
  <c r="G191" i="3"/>
  <c r="F192" i="3"/>
  <c r="G192" i="3"/>
  <c r="F193" i="3"/>
  <c r="G193" i="3"/>
  <c r="F194" i="3"/>
  <c r="G194" i="3"/>
  <c r="F195" i="3"/>
  <c r="G195" i="3"/>
  <c r="F196" i="3"/>
  <c r="G196" i="3"/>
  <c r="F197" i="3"/>
  <c r="G197" i="3"/>
  <c r="G2" i="3"/>
  <c r="C9" i="1" s="1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2" i="3"/>
  <c r="B3" i="3"/>
  <c r="B10" i="1" s="1"/>
  <c r="B4" i="3"/>
  <c r="B11" i="1" s="1"/>
  <c r="B5" i="3"/>
  <c r="B12" i="1" s="1"/>
  <c r="B6" i="3"/>
  <c r="B13" i="1" s="1"/>
  <c r="B7" i="3"/>
  <c r="B14" i="1" s="1"/>
  <c r="B8" i="3"/>
  <c r="B15" i="1" s="1"/>
  <c r="B9" i="3"/>
  <c r="B16" i="1" s="1"/>
  <c r="B10" i="3"/>
  <c r="B17" i="1" s="1"/>
  <c r="B11" i="3"/>
  <c r="B18" i="1" s="1"/>
  <c r="B12" i="3"/>
  <c r="B19" i="1" s="1"/>
  <c r="B13" i="3"/>
  <c r="B20" i="1" s="1"/>
  <c r="B14" i="3"/>
  <c r="B21" i="1" s="1"/>
  <c r="B15" i="3"/>
  <c r="B22" i="1" s="1"/>
  <c r="B16" i="3"/>
  <c r="B23" i="1" s="1"/>
  <c r="B17" i="3"/>
  <c r="B24" i="1" s="1"/>
  <c r="B18" i="3"/>
  <c r="B25" i="1" s="1"/>
  <c r="B19" i="3"/>
  <c r="B26" i="1" s="1"/>
  <c r="B20" i="3"/>
  <c r="B27" i="1" s="1"/>
  <c r="B21" i="3"/>
  <c r="B28" i="1" s="1"/>
  <c r="B22" i="3"/>
  <c r="B29" i="1" s="1"/>
  <c r="B23" i="3"/>
  <c r="B30" i="1" s="1"/>
  <c r="B24" i="3"/>
  <c r="B31" i="1" s="1"/>
  <c r="B25" i="3"/>
  <c r="B32" i="1" s="1"/>
  <c r="B26" i="3"/>
  <c r="B33" i="1" s="1"/>
  <c r="B27" i="3"/>
  <c r="B34" i="1" s="1"/>
  <c r="B28" i="3"/>
  <c r="B35" i="1" s="1"/>
  <c r="B29" i="3"/>
  <c r="B36" i="1" s="1"/>
  <c r="B30" i="3"/>
  <c r="B37" i="1" s="1"/>
  <c r="B31" i="3"/>
  <c r="B38" i="1" s="1"/>
  <c r="B32" i="3"/>
  <c r="B39" i="1" s="1"/>
  <c r="B33" i="3"/>
  <c r="B40" i="1" s="1"/>
  <c r="B34" i="3"/>
  <c r="B41" i="1" s="1"/>
  <c r="B35" i="3"/>
  <c r="B42" i="1" s="1"/>
  <c r="B36" i="3"/>
  <c r="B43" i="1" s="1"/>
  <c r="B37" i="3"/>
  <c r="B44" i="1" s="1"/>
  <c r="B38" i="3"/>
  <c r="B45" i="1" s="1"/>
  <c r="B39" i="3"/>
  <c r="B46" i="1" s="1"/>
  <c r="B40" i="3"/>
  <c r="B47" i="1" s="1"/>
  <c r="B41" i="3"/>
  <c r="B48" i="1" s="1"/>
  <c r="B42" i="3"/>
  <c r="B49" i="1" s="1"/>
  <c r="B43" i="3"/>
  <c r="B50" i="1" s="1"/>
  <c r="B44" i="3"/>
  <c r="B51" i="1" s="1"/>
  <c r="B45" i="3"/>
  <c r="B52" i="1" s="1"/>
  <c r="B46" i="3"/>
  <c r="B53" i="1" s="1"/>
  <c r="B47" i="3"/>
  <c r="B54" i="1" s="1"/>
  <c r="B48" i="3"/>
  <c r="B55" i="1" s="1"/>
  <c r="B49" i="3"/>
  <c r="B56" i="1" s="1"/>
  <c r="B50" i="3"/>
  <c r="B57" i="1" s="1"/>
  <c r="B51" i="3"/>
  <c r="B58" i="1" s="1"/>
  <c r="B52" i="3"/>
  <c r="B59" i="1" s="1"/>
  <c r="B53" i="3"/>
  <c r="B60" i="1" s="1"/>
  <c r="B54" i="3"/>
  <c r="B61" i="1" s="1"/>
  <c r="B55" i="3"/>
  <c r="B62" i="1" s="1"/>
  <c r="B56" i="3"/>
  <c r="B63" i="1" s="1"/>
  <c r="B57" i="3"/>
  <c r="B64" i="1" s="1"/>
  <c r="B58" i="3"/>
  <c r="B65" i="1" s="1"/>
  <c r="B59" i="3"/>
  <c r="B66" i="1" s="1"/>
  <c r="B60" i="3"/>
  <c r="B67" i="1" s="1"/>
  <c r="B61" i="3"/>
  <c r="B68" i="1" s="1"/>
  <c r="B62" i="3"/>
  <c r="B69" i="1" s="1"/>
  <c r="B63" i="3"/>
  <c r="B70" i="1" s="1"/>
  <c r="B64" i="3"/>
  <c r="B71" i="1" s="1"/>
  <c r="B65" i="3"/>
  <c r="B72" i="1" s="1"/>
  <c r="B66" i="3"/>
  <c r="B73" i="1" s="1"/>
  <c r="B67" i="3"/>
  <c r="B74" i="1" s="1"/>
  <c r="B68" i="3"/>
  <c r="B75" i="1" s="1"/>
  <c r="B69" i="3"/>
  <c r="B76" i="1" s="1"/>
  <c r="B70" i="3"/>
  <c r="B77" i="1" s="1"/>
  <c r="B71" i="3"/>
  <c r="B78" i="1" s="1"/>
  <c r="B72" i="3"/>
  <c r="B79" i="1" s="1"/>
  <c r="B73" i="3"/>
  <c r="B80" i="1" s="1"/>
  <c r="B74" i="3"/>
  <c r="B81" i="1" s="1"/>
  <c r="B75" i="3"/>
  <c r="B82" i="1" s="1"/>
  <c r="B76" i="3"/>
  <c r="B83" i="1" s="1"/>
  <c r="B77" i="3"/>
  <c r="B84" i="1" s="1"/>
  <c r="B78" i="3"/>
  <c r="B85" i="1" s="1"/>
  <c r="B79" i="3"/>
  <c r="B86" i="1" s="1"/>
  <c r="B80" i="3"/>
  <c r="B87" i="1" s="1"/>
  <c r="B81" i="3"/>
  <c r="B88" i="1" s="1"/>
  <c r="B82" i="3"/>
  <c r="B89" i="1" s="1"/>
  <c r="B83" i="3"/>
  <c r="B90" i="1" s="1"/>
  <c r="B84" i="3"/>
  <c r="B91" i="1" s="1"/>
  <c r="B85" i="3"/>
  <c r="B92" i="1" s="1"/>
  <c r="B86" i="3"/>
  <c r="B93" i="1" s="1"/>
  <c r="B87" i="3"/>
  <c r="B94" i="1" s="1"/>
  <c r="B88" i="3"/>
  <c r="B95" i="1" s="1"/>
  <c r="B89" i="3"/>
  <c r="B96" i="1" s="1"/>
  <c r="B90" i="3"/>
  <c r="B97" i="1" s="1"/>
  <c r="B91" i="3"/>
  <c r="B98" i="1" s="1"/>
  <c r="B92" i="3"/>
  <c r="B99" i="1" s="1"/>
  <c r="B93" i="3"/>
  <c r="B100" i="1" s="1"/>
  <c r="B94" i="3"/>
  <c r="B101" i="1" s="1"/>
  <c r="B95" i="3"/>
  <c r="B102" i="1" s="1"/>
  <c r="B96" i="3"/>
  <c r="B103" i="1" s="1"/>
  <c r="B97" i="3"/>
  <c r="B104" i="1" s="1"/>
  <c r="B98" i="3"/>
  <c r="B105" i="1" s="1"/>
  <c r="B99" i="3"/>
  <c r="B106" i="1" s="1"/>
  <c r="B100" i="3"/>
  <c r="B107" i="1" s="1"/>
  <c r="B101" i="3"/>
  <c r="B108" i="1" s="1"/>
  <c r="B102" i="3"/>
  <c r="B109" i="1" s="1"/>
  <c r="B103" i="3"/>
  <c r="B110" i="1" s="1"/>
  <c r="B104" i="3"/>
  <c r="B111" i="1" s="1"/>
  <c r="B105" i="3"/>
  <c r="B112" i="1" s="1"/>
  <c r="B106" i="3"/>
  <c r="B113" i="1" s="1"/>
  <c r="B107" i="3"/>
  <c r="B114" i="1" s="1"/>
  <c r="B108" i="3"/>
  <c r="B115" i="1" s="1"/>
  <c r="B109" i="3"/>
  <c r="B116" i="1" s="1"/>
  <c r="B110" i="3"/>
  <c r="B117" i="1" s="1"/>
  <c r="B111" i="3"/>
  <c r="B118" i="1" s="1"/>
  <c r="B112" i="3"/>
  <c r="B119" i="1" s="1"/>
  <c r="B113" i="3"/>
  <c r="B120" i="1" s="1"/>
  <c r="B114" i="3"/>
  <c r="B121" i="1" s="1"/>
  <c r="B115" i="3"/>
  <c r="B122" i="1" s="1"/>
  <c r="B116" i="3"/>
  <c r="B123" i="1" s="1"/>
  <c r="B117" i="3"/>
  <c r="B124" i="1" s="1"/>
  <c r="B118" i="3"/>
  <c r="B125" i="1" s="1"/>
  <c r="B119" i="3"/>
  <c r="B126" i="1" s="1"/>
  <c r="B120" i="3"/>
  <c r="B127" i="1" s="1"/>
  <c r="B121" i="3"/>
  <c r="B128" i="1" s="1"/>
  <c r="B122" i="3"/>
  <c r="B129" i="1" s="1"/>
  <c r="B123" i="3"/>
  <c r="B130" i="1" s="1"/>
  <c r="B124" i="3"/>
  <c r="B131" i="1" s="1"/>
  <c r="B125" i="3"/>
  <c r="B132" i="1" s="1"/>
  <c r="B126" i="3"/>
  <c r="B133" i="1" s="1"/>
  <c r="B127" i="3"/>
  <c r="B134" i="1" s="1"/>
  <c r="B128" i="3"/>
  <c r="B135" i="1" s="1"/>
  <c r="B129" i="3"/>
  <c r="B136" i="1" s="1"/>
  <c r="B130" i="3"/>
  <c r="B137" i="1" s="1"/>
  <c r="B131" i="3"/>
  <c r="B138" i="1" s="1"/>
  <c r="B132" i="3"/>
  <c r="B139" i="1" s="1"/>
  <c r="B133" i="3"/>
  <c r="B140" i="1" s="1"/>
  <c r="B134" i="3"/>
  <c r="B141" i="1" s="1"/>
  <c r="B135" i="3"/>
  <c r="B142" i="1" s="1"/>
  <c r="B136" i="3"/>
  <c r="B143" i="1" s="1"/>
  <c r="B137" i="3"/>
  <c r="B144" i="1" s="1"/>
  <c r="B138" i="3"/>
  <c r="B145" i="1" s="1"/>
  <c r="B139" i="3"/>
  <c r="B146" i="1" s="1"/>
  <c r="B140" i="3"/>
  <c r="B147" i="1" s="1"/>
  <c r="B141" i="3"/>
  <c r="B148" i="1" s="1"/>
  <c r="B142" i="3"/>
  <c r="B149" i="1" s="1"/>
  <c r="B143" i="3"/>
  <c r="B150" i="1" s="1"/>
  <c r="B144" i="3"/>
  <c r="B151" i="1" s="1"/>
  <c r="B145" i="3"/>
  <c r="B152" i="1" s="1"/>
  <c r="B146" i="3"/>
  <c r="B153" i="1" s="1"/>
  <c r="B147" i="3"/>
  <c r="B154" i="1" s="1"/>
  <c r="B148" i="3"/>
  <c r="B155" i="1" s="1"/>
  <c r="B149" i="3"/>
  <c r="B156" i="1" s="1"/>
  <c r="B150" i="3"/>
  <c r="B157" i="1" s="1"/>
  <c r="B151" i="3"/>
  <c r="B158" i="1" s="1"/>
  <c r="B152" i="3"/>
  <c r="B159" i="1" s="1"/>
  <c r="B153" i="3"/>
  <c r="B160" i="1" s="1"/>
  <c r="B154" i="3"/>
  <c r="B161" i="1" s="1"/>
  <c r="B155" i="3"/>
  <c r="B162" i="1" s="1"/>
  <c r="B156" i="3"/>
  <c r="B163" i="1" s="1"/>
  <c r="B157" i="3"/>
  <c r="B164" i="1" s="1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2" i="3"/>
  <c r="B9" i="1" s="1"/>
  <c r="A160" i="1" l="1"/>
  <c r="A144" i="1"/>
  <c r="A128" i="1"/>
  <c r="A112" i="1"/>
  <c r="A161" i="1"/>
  <c r="A145" i="1"/>
  <c r="A129" i="1"/>
  <c r="A113" i="1"/>
  <c r="A97" i="1"/>
  <c r="A81" i="1"/>
  <c r="A65" i="1"/>
  <c r="A49" i="1"/>
  <c r="A33" i="1"/>
  <c r="A17" i="1"/>
  <c r="A147" i="1"/>
  <c r="A67" i="1"/>
  <c r="A115" i="1"/>
  <c r="A99" i="1"/>
  <c r="A35" i="1"/>
  <c r="A19" i="1"/>
  <c r="A163" i="1"/>
  <c r="A83" i="1"/>
  <c r="A131" i="1"/>
  <c r="A51" i="1"/>
  <c r="A155" i="1"/>
  <c r="A139" i="1"/>
  <c r="A123" i="1"/>
  <c r="A107" i="1"/>
  <c r="A159" i="1"/>
  <c r="A143" i="1"/>
  <c r="A127" i="1"/>
  <c r="A111" i="1"/>
  <c r="A158" i="1"/>
  <c r="A142" i="1"/>
  <c r="A153" i="1"/>
  <c r="A137" i="1"/>
  <c r="A121" i="1"/>
  <c r="A105" i="1"/>
  <c r="A126" i="1"/>
  <c r="A110" i="1"/>
  <c r="A150" i="1"/>
  <c r="A134" i="1"/>
  <c r="A118" i="1"/>
  <c r="A162" i="1"/>
  <c r="A146" i="1"/>
  <c r="A130" i="1"/>
  <c r="A114" i="1"/>
  <c r="A164" i="1"/>
  <c r="A148" i="1"/>
  <c r="A132" i="1"/>
  <c r="A116" i="1"/>
  <c r="A156" i="1"/>
  <c r="A140" i="1"/>
  <c r="A124" i="1"/>
  <c r="A108" i="1"/>
  <c r="A9" i="1"/>
  <c r="A157" i="1"/>
  <c r="A141" i="1"/>
  <c r="A125" i="1"/>
  <c r="A109" i="1"/>
  <c r="A93" i="1"/>
  <c r="A61" i="1"/>
  <c r="A154" i="1"/>
  <c r="A138" i="1"/>
  <c r="A122" i="1"/>
  <c r="A106" i="1"/>
  <c r="A152" i="1"/>
  <c r="A136" i="1"/>
  <c r="A120" i="1"/>
  <c r="A104" i="1"/>
  <c r="A151" i="1"/>
  <c r="A135" i="1"/>
  <c r="A119" i="1"/>
  <c r="A103" i="1"/>
  <c r="A149" i="1"/>
  <c r="A133" i="1"/>
  <c r="A117" i="1"/>
  <c r="A45" i="1"/>
  <c r="A29" i="1"/>
  <c r="A101" i="1"/>
  <c r="A102" i="1"/>
  <c r="A96" i="1"/>
  <c r="A80" i="1"/>
  <c r="A64" i="1"/>
  <c r="A48" i="1"/>
  <c r="A32" i="1"/>
  <c r="A16" i="1"/>
  <c r="A100" i="1"/>
  <c r="A86" i="1"/>
  <c r="A70" i="1"/>
  <c r="A54" i="1"/>
  <c r="A38" i="1"/>
  <c r="A22" i="1"/>
  <c r="A94" i="1"/>
  <c r="A78" i="1"/>
  <c r="A62" i="1"/>
  <c r="A46" i="1"/>
  <c r="A30" i="1"/>
  <c r="A14" i="1"/>
  <c r="A92" i="1"/>
  <c r="A76" i="1"/>
  <c r="A60" i="1"/>
  <c r="A44" i="1"/>
  <c r="A28" i="1"/>
  <c r="A12" i="1"/>
  <c r="A87" i="1"/>
  <c r="A39" i="1"/>
  <c r="A84" i="1"/>
  <c r="A68" i="1"/>
  <c r="A52" i="1"/>
  <c r="A36" i="1"/>
  <c r="A20" i="1"/>
  <c r="A98" i="1"/>
  <c r="A82" i="1"/>
  <c r="A66" i="1"/>
  <c r="A50" i="1"/>
  <c r="A34" i="1"/>
  <c r="A18" i="1"/>
  <c r="A95" i="1"/>
  <c r="A79" i="1"/>
  <c r="A63" i="1"/>
  <c r="A47" i="1"/>
  <c r="A31" i="1"/>
  <c r="A15" i="1"/>
  <c r="A75" i="1"/>
  <c r="A27" i="1"/>
  <c r="A74" i="1"/>
  <c r="A10" i="1"/>
  <c r="A59" i="1"/>
  <c r="A11" i="1"/>
  <c r="A90" i="1"/>
  <c r="A89" i="1"/>
  <c r="A73" i="1"/>
  <c r="A57" i="1"/>
  <c r="A41" i="1"/>
  <c r="A25" i="1"/>
  <c r="A91" i="1"/>
  <c r="A43" i="1"/>
  <c r="A58" i="1"/>
  <c r="A26" i="1"/>
  <c r="A88" i="1"/>
  <c r="A72" i="1"/>
  <c r="A56" i="1"/>
  <c r="A40" i="1"/>
  <c r="A24" i="1"/>
  <c r="A71" i="1"/>
  <c r="A55" i="1"/>
  <c r="A23" i="1"/>
  <c r="A85" i="1"/>
  <c r="A69" i="1"/>
  <c r="A53" i="1"/>
  <c r="A37" i="1"/>
  <c r="A21" i="1"/>
  <c r="A42" i="1"/>
  <c r="A13" i="1"/>
  <c r="A77" i="1"/>
  <c r="F9" i="1"/>
  <c r="BX5" i="1" l="1"/>
  <c r="BU3" i="1" l="1"/>
  <c r="BV5" i="1"/>
  <c r="BX3" i="1"/>
  <c r="BW4" i="1"/>
  <c r="BV1" i="1"/>
  <c r="BX4" i="1"/>
  <c r="BU4" i="1"/>
  <c r="BY4" i="1" s="1"/>
  <c r="BW2" i="1"/>
  <c r="BU1" i="1"/>
  <c r="BY1" i="1" s="1"/>
  <c r="BU2" i="1"/>
  <c r="BU5" i="1"/>
  <c r="BV4" i="1"/>
  <c r="BV3" i="1"/>
  <c r="BX1" i="1"/>
  <c r="BX2" i="1"/>
  <c r="BV2" i="1"/>
  <c r="BW1" i="1"/>
  <c r="CA1" i="1" s="1"/>
  <c r="BW3" i="1"/>
  <c r="BW5" i="1"/>
  <c r="CA3" i="1" l="1"/>
  <c r="CA5" i="1"/>
  <c r="CA2" i="1"/>
  <c r="CA4" i="1"/>
  <c r="BZ5" i="1"/>
  <c r="BY5" i="1"/>
  <c r="BY2" i="1"/>
  <c r="BY3" i="1"/>
  <c r="BZ2" i="1"/>
  <c r="BZ4" i="1"/>
  <c r="BZ1" i="1"/>
  <c r="BZ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연결" type="4" refreshedVersion="8" background="1" saveData="1">
    <webPr sourceData="1" parsePre="1" consecutive="1" xl2000="1" url="https://comp.wisereport.co.kr/wiseReport/summary/ReportSummary.aspx"/>
  </connection>
</connections>
</file>

<file path=xl/sharedStrings.xml><?xml version="1.0" encoding="utf-8"?>
<sst xmlns="http://schemas.openxmlformats.org/spreadsheetml/2006/main" count="340" uniqueCount="115">
  <si>
    <t>기관명/작성자</t>
  </si>
  <si>
    <t>기업명</t>
  </si>
  <si>
    <t>투자의견</t>
  </si>
  <si>
    <t>목표주가</t>
  </si>
  <si>
    <t>전일수정주가</t>
  </si>
  <si>
    <t>제목</t>
  </si>
  <si>
    <t>요약</t>
  </si>
  <si>
    <t>리포트서머리</t>
  </si>
  <si>
    <t>기업</t>
  </si>
  <si>
    <t>산업</t>
  </si>
  <si>
    <t>정기</t>
  </si>
  <si>
    <t>리포트일자 리포트일자</t>
  </si>
  <si>
    <t>전체 기관명 작성자 기업명/코드 제목 검색어</t>
  </si>
  <si>
    <t>검색</t>
  </si>
  <si>
    <t>Excel</t>
  </si>
  <si>
    <t>기업 리포트 목록</t>
  </si>
  <si>
    <t>변동없음</t>
  </si>
  <si>
    <t>변동없음(변동없음), 신규(신규), 이전대비상향(이전대비상향), 이전대비하향(이전대비하향)</t>
  </si>
  <si>
    <t>© Copyright FnGuide Inc. All Rights Reserved.</t>
  </si>
  <si>
    <t>닫기</t>
  </si>
  <si>
    <t>목표주가 변화</t>
    <phoneticPr fontId="23" type="noConversion"/>
  </si>
  <si>
    <t>목표주가</t>
    <phoneticPr fontId="23" type="noConversion"/>
  </si>
  <si>
    <t>투자의견 변동사항</t>
    <phoneticPr fontId="23" type="noConversion"/>
  </si>
  <si>
    <t>작성자</t>
    <phoneticPr fontId="23" type="noConversion"/>
  </si>
  <si>
    <t>기관명</t>
    <phoneticPr fontId="23" type="noConversion"/>
  </si>
  <si>
    <t>종목코드</t>
    <phoneticPr fontId="23" type="noConversion"/>
  </si>
  <si>
    <t>종목코드</t>
    <phoneticPr fontId="23" type="noConversion"/>
  </si>
  <si>
    <t>투자의견</t>
    <phoneticPr fontId="23" type="noConversion"/>
  </si>
  <si>
    <t>제목</t>
    <phoneticPr fontId="23" type="noConversion"/>
  </si>
  <si>
    <t>전일수정주가</t>
    <phoneticPr fontId="23" type="noConversion"/>
  </si>
  <si>
    <t>목표주가</t>
    <phoneticPr fontId="23" type="noConversion"/>
  </si>
  <si>
    <t>A006400</t>
  </si>
  <si>
    <t>000000</t>
  </si>
  <si>
    <t>코드</t>
    <phoneticPr fontId="23" type="noConversion"/>
  </si>
  <si>
    <t>목표주가 변경</t>
    <phoneticPr fontId="23" type="noConversion"/>
  </si>
  <si>
    <t>e33</t>
    <phoneticPr fontId="23" type="noConversion"/>
  </si>
  <si>
    <t>목표주가 상향</t>
  </si>
  <si>
    <t>BUY</t>
  </si>
  <si>
    <t>투자의견 없음</t>
  </si>
  <si>
    <t>목표주가 없음</t>
  </si>
  <si>
    <t>한국IR협의회(리서치센터)</t>
  </si>
  <si>
    <t>KB증권</t>
  </si>
  <si>
    <t>하나증권</t>
  </si>
  <si>
    <t>삼성E&amp;A</t>
  </si>
  <si>
    <t>[김승준]</t>
  </si>
  <si>
    <t>상상인증권</t>
  </si>
  <si>
    <t>[하태기]</t>
  </si>
  <si>
    <t>A001680</t>
  </si>
  <si>
    <t>A011070</t>
  </si>
  <si>
    <t>A028050</t>
  </si>
  <si>
    <t>A053280</t>
  </si>
  <si>
    <t>A060720</t>
  </si>
  <si>
    <t>A061090</t>
  </si>
  <si>
    <t>A066910</t>
  </si>
  <si>
    <t>A122640</t>
  </si>
  <si>
    <t>A319660</t>
  </si>
  <si>
    <t>A333050</t>
  </si>
  <si>
    <t>A355690</t>
  </si>
  <si>
    <t>A450950</t>
  </si>
  <si>
    <t>A475040</t>
  </si>
  <si>
    <t>[장문준,강민창]</t>
  </si>
  <si>
    <t>The First Call EPC: 고객도, 라이선서도 먼저 찾는다</t>
  </si>
  <si>
    <t>▶ 고객이 먼저 찾는 EPC를 넘어 라이선서도 찾는 EPC로 ▶ LNG 라이선서와 모듈러 강자. 중소형 LNG 시장을 공략하려 한다 ▶ 폐쇄적인 LNG 시장을 정면 돌파하는 것이 아닌 라이선서와 새로운 시장을 여는 것 ▶ 비중동 LNG 사업성 증가. 가시적인 성과 나올 것</t>
  </si>
  <si>
    <t>삼성물산</t>
  </si>
  <si>
    <t>의심할 필요가 없는 PBR 0.7배 저렴한 주가</t>
  </si>
  <si>
    <t>▶ 투자의견 Buy 유지, 목표주가 650,000원으로 상향, TOP PICK으로 추천 ▶ PBR 0.7배는 여전히 싸다 ▶ 3분기, 4분기 원전 스토리도 존재</t>
  </si>
  <si>
    <t>피에스케이홀딩스</t>
  </si>
  <si>
    <t>그로쓰리서치</t>
  </si>
  <si>
    <t>[한용희,성인제,정선우]</t>
  </si>
  <si>
    <t>AI HBM.CoWoS 투자 확대의 구조적 수혜 장비사</t>
  </si>
  <si>
    <t>▶ DRAM/HBM 미세화에 따라 일감이 늘어나는 스트립/세정 장비 업체 ▶ 전공정 건식 스트립/세정 글로벌 탑티어, 증설 수혜 본격화 ▶ CoWoSCAPA 증설에 따른 후공정 성장 축 확보</t>
  </si>
  <si>
    <t>브이엠</t>
  </si>
  <si>
    <t>DARM 투자 회복의 최대 수혜</t>
  </si>
  <si>
    <t>▶ 선단 식각 국산화로 증설 사이클 수혜가 기대되는 전공정 장비사 ▶ DRAM 투자 회복, 식각 장비 레버리지 확대 ▶ 신규 공정 진입이 만드는 장비 ASP 레버리지</t>
  </si>
  <si>
    <t>한미약품</t>
  </si>
  <si>
    <t>[김선아]</t>
  </si>
  <si>
    <t>L/O 가이던스 달성, 그러나 아직 몇 발 더 남았다</t>
  </si>
  <si>
    <t>▶ 소네페글루타이드가 기술이전 될 줄은, Lilly일 줄은 ▶ 여전히 추가 기술이전을 기대할 만 하다 ▶ 목표주가 71만원 상향, 전체적인 파이프라인 가치 조정</t>
  </si>
  <si>
    <t>이마트</t>
  </si>
  <si>
    <t>키움증권</t>
  </si>
  <si>
    <t>[박상준,권용일]</t>
  </si>
  <si>
    <t>추가로 나올 악재가 있을까</t>
  </si>
  <si>
    <t>▶ 2분기 실적 전망치 하향 조정 ▶ 할인점 기존점 성장률은 점차 반등할 전망 ▶ 투자의견 BUY, 목표주가 12만원 유지</t>
  </si>
  <si>
    <t>지씨셀</t>
  </si>
  <si>
    <t>최근 영업 실적 및 신약개발 현황 Update</t>
  </si>
  <si>
    <t>▶ 최근 영업실적은 매출 감소, 영업적자 지속 ▶ CD5 CAR-NK 2026년 내 임상 1b상 진입 예정, 푸카소 수입품목 허가 신청 ▶ 관계사를 통한 신약개발도 진행 중이다</t>
  </si>
  <si>
    <t>져스텍</t>
  </si>
  <si>
    <t>다인자산운용</t>
  </si>
  <si>
    <t>[김성환]</t>
  </si>
  <si>
    <t>IPO 기업 보고서</t>
  </si>
  <si>
    <t>▶ 국내 최초로 리니어 모터를 자체 개발한 원천 기술을 바탕으로 모터, 센서, 드라이버, 제어기를 포함한 부품부터 시스템까지초정밀 모션과 관련된 구성요소를 수직 계열화 ▶ HBM 고단화로 후공정 장비에서는 정밀한 위치 제어와 반복 안정성이 핵심 성능 변수로 부상 ▶ 2025년 기준 약 42% 수준이었던 반도체 매출 비중은 2028년 60%대 수준으로 확대되며 동사의 성장을 이끌 것으로 예상 중</t>
  </si>
  <si>
    <t>노브메타파마</t>
  </si>
  <si>
    <t>[김승준,이금민]</t>
  </si>
  <si>
    <t>Cyclo-Z의 재발견, 검증된 내약성 위에 확장되는 적응증</t>
  </si>
  <si>
    <t>▶ CHP/Cyclo-Z 기반 신약개발 기업, 적응증 확장과 비신약 사업 병행 ▶ Cyclo-Z 적응증 재배치, FSHD 계약과 임상 2상이 핵심 모멘텀 ▶ 2026년, 신약 임상 진입과 비신약 매출 시작의 원년</t>
  </si>
  <si>
    <t>팸텍</t>
  </si>
  <si>
    <t>[박찬솔,윤채리]</t>
  </si>
  <si>
    <t>IPO 주관사 업데이트: 반도체 주도 성장</t>
  </si>
  <si>
    <t>▶ 카메라모듈/반도체 장비 비중이 높은 자동화 업체 ▶ 기대할 것은 반도체 주도 성장 ▶ 2026년 실적 전망 및 밸류에이션</t>
  </si>
  <si>
    <t>케이씨텍</t>
  </si>
  <si>
    <t>국내 유일 웨이퍼 CMP 장비사, 메모리 투자 회복 수혜 본격화</t>
  </si>
  <si>
    <t>▶ 국내 유일 CMP 장비 양산 업체, 선단 공정 투자 수혜 기대 ▶ CMP 중심 포트폴리오로 메모리 설비투자 레버리지 ▶ 전분기 대비 130% 늘어난 수주잔고에 주목</t>
  </si>
  <si>
    <t>디앤디파마텍</t>
  </si>
  <si>
    <t>성공적인 MASH 결과 들고 다음 스텝으로 (NDR 후기)</t>
  </si>
  <si>
    <t>▶ 48주차 조직생검 결과 공개 ? 개선 수치와 통계적 유의성 모두 우수 ▶ 기술이전 논의 중, 기존 사례 대비 빠르게 진행될 것 ▶ GSK가 Efimosfermin를 인수한 사례 참고 (총 계약 규모 약 3조원)</t>
  </si>
  <si>
    <t>대한조선</t>
  </si>
  <si>
    <t>한국투자증권</t>
  </si>
  <si>
    <t>[강경태,황현정]</t>
  </si>
  <si>
    <t>전세계 최상위 수에즈막스 플랫폼을 P/E 7배에 매수할 기회</t>
  </si>
  <si>
    <t>▶ 2028년 기준 P/E 7배, 기초체력에 비해 극심한 저평가 ▶ 2026년 3월 유조선 스팟 운임 고점 이후 나타난 조정 ▶ 유조선 발주 사이클 지속될 것, 탄탄한 수주잔량은 호실적으로 연결</t>
  </si>
  <si>
    <t>코오롱티슈진</t>
  </si>
  <si>
    <t>다올투자증권</t>
  </si>
  <si>
    <t>[이지수]</t>
  </si>
  <si>
    <t>카운트다운 시작</t>
  </si>
  <si>
    <t>▶ 7월 TG-C(골관절염) 미국 임상3상 탑라인 발표 예정 ▶ 미국 2상, 국내 3상에서 통증/기능성 개선 일관되게 확인된 만큼 성공 가능성 높다고 판단 ▶ 구조적 개선까지 입증 시 세계 최초 DMOAD로 독점적 시장 지위 확보 가능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</si>
</sst>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4"/>
      <color rgb="FF2F476B"/>
      <name val="HY견고딕"/>
      <family val="1"/>
      <charset val="129"/>
    </font>
    <font>
      <b/>
      <sz val="9"/>
      <color rgb="FF355B9D"/>
      <name val="맑은 고딕"/>
      <family val="3"/>
      <charset val="129"/>
      <scheme val="minor"/>
    </font>
    <font>
      <sz val="8"/>
      <color rgb="FF333333"/>
      <name val="맑은 고딕"/>
      <family val="3"/>
      <charset val="129"/>
      <scheme val="minor"/>
    </font>
    <font>
      <sz val="8"/>
      <color rgb="FF3366CC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7F7F7"/>
        <bgColor indexed="64"/>
      </patternFill>
    </fill>
    <fill>
      <patternFill patternType="solid">
        <fgColor rgb="FFC0C0C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D1D1D1"/>
      </bottom>
      <diagonal/>
    </border>
    <border>
      <left/>
      <right/>
      <top style="thin">
        <color rgb="FFD1D1D1"/>
      </top>
      <bottom style="medium">
        <color rgb="FFD1D1D1"/>
      </bottom>
      <diagonal/>
    </border>
    <border>
      <left/>
      <right/>
      <top style="medium">
        <color rgb="FFD1D1D1"/>
      </top>
      <bottom style="thin">
        <color rgb="FFD1D1D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rgb="FFD1D1D1"/>
      </bottom>
      <diagonal/>
    </border>
    <border>
      <left/>
      <right/>
      <top style="thin">
        <color rgb="FFD1D1D1"/>
      </top>
      <bottom style="thin">
        <color rgb="FFD1D1D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18" fillId="0" borderId="0" xfId="0" applyFont="1">
      <alignment vertical="center"/>
    </xf>
    <xf numFmtId="0" fontId="21" fillId="0" borderId="10" xfId="0" applyFont="1" applyBorder="1" applyAlignment="1">
      <alignment horizontal="left" vertical="center" wrapText="1"/>
    </xf>
    <xf numFmtId="3" fontId="21" fillId="0" borderId="10" xfId="0" applyNumberFormat="1" applyFont="1" applyBorder="1" applyAlignment="1">
      <alignment horizontal="right" vertical="center" wrapText="1"/>
    </xf>
    <xf numFmtId="0" fontId="21" fillId="34" borderId="10" xfId="0" applyFont="1" applyFill="1" applyBorder="1" applyAlignment="1">
      <alignment horizontal="left" vertical="center" wrapText="1"/>
    </xf>
    <xf numFmtId="3" fontId="22" fillId="34" borderId="10" xfId="0" applyNumberFormat="1" applyFont="1" applyFill="1" applyBorder="1" applyAlignment="1">
      <alignment horizontal="right" vertical="center" wrapText="1"/>
    </xf>
    <xf numFmtId="3" fontId="21" fillId="34" borderId="10" xfId="0" applyNumberFormat="1" applyFont="1" applyFill="1" applyBorder="1" applyAlignment="1">
      <alignment horizontal="right" vertical="center" wrapText="1"/>
    </xf>
    <xf numFmtId="0" fontId="18" fillId="0" borderId="0" xfId="0" quotePrefix="1" applyFont="1">
      <alignment vertical="center"/>
    </xf>
    <xf numFmtId="3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vertical="center" wrapText="1"/>
    </xf>
    <xf numFmtId="0" fontId="18" fillId="0" borderId="18" xfId="0" applyFont="1" applyBorder="1">
      <alignment vertical="center"/>
    </xf>
    <xf numFmtId="0" fontId="18" fillId="0" borderId="17" xfId="0" applyFont="1" applyBorder="1">
      <alignment vertical="center"/>
    </xf>
    <xf numFmtId="0" fontId="18" fillId="0" borderId="19" xfId="0" applyFont="1" applyBorder="1">
      <alignment vertical="center"/>
    </xf>
    <xf numFmtId="0" fontId="18" fillId="0" borderId="16" xfId="0" applyFont="1" applyBorder="1">
      <alignment vertical="center"/>
    </xf>
    <xf numFmtId="0" fontId="18" fillId="0" borderId="20" xfId="0" applyFont="1" applyBorder="1">
      <alignment vertical="center"/>
    </xf>
    <xf numFmtId="0" fontId="24" fillId="0" borderId="0" xfId="0" applyFont="1">
      <alignment vertical="center"/>
    </xf>
    <xf numFmtId="14" fontId="18" fillId="0" borderId="0" xfId="0" applyNumberFormat="1" applyFont="1" applyAlignment="1">
      <alignment horizontal="right" vertical="center"/>
    </xf>
    <xf numFmtId="176" fontId="18" fillId="0" borderId="0" xfId="0" applyNumberFormat="1" applyFont="1" applyAlignment="1">
      <alignment horizontal="right" vertical="center"/>
    </xf>
    <xf numFmtId="0" fontId="21" fillId="0" borderId="15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21" fillId="34" borderId="12" xfId="0" applyFont="1" applyFill="1" applyBorder="1" applyAlignment="1">
      <alignment horizontal="left" vertical="center" wrapText="1"/>
    </xf>
    <xf numFmtId="0" fontId="21" fillId="34" borderId="0" xfId="0" applyFont="1" applyFill="1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21" fillId="0" borderId="11" xfId="0" applyFont="1" applyBorder="1" applyAlignment="1">
      <alignment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3" borderId="13" xfId="0" applyFont="1" applyFill="1" applyBorder="1" applyAlignment="1">
      <alignment horizontal="center" vertical="center" wrapText="1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4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6.png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139479</xdr:rowOff>
        </xdr:from>
        <xdr:to>
          <xdr:col>0</xdr:col>
          <xdr:colOff>1051560</xdr:colOff>
          <xdr:row>6</xdr:row>
          <xdr:rowOff>35118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253779</xdr:rowOff>
        </xdr:from>
        <xdr:to>
          <xdr:col>0</xdr:col>
          <xdr:colOff>1051560</xdr:colOff>
          <xdr:row>6</xdr:row>
          <xdr:rowOff>149418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253779</xdr:rowOff>
        </xdr:from>
        <xdr:to>
          <xdr:col>0</xdr:col>
          <xdr:colOff>1051560</xdr:colOff>
          <xdr:row>6</xdr:row>
          <xdr:rowOff>149418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253779</xdr:rowOff>
        </xdr:from>
        <xdr:to>
          <xdr:col>0</xdr:col>
          <xdr:colOff>1051560</xdr:colOff>
          <xdr:row>6</xdr:row>
          <xdr:rowOff>149418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253779</xdr:rowOff>
        </xdr:from>
        <xdr:to>
          <xdr:col>0</xdr:col>
          <xdr:colOff>1051560</xdr:colOff>
          <xdr:row>6</xdr:row>
          <xdr:rowOff>149418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253779</xdr:rowOff>
        </xdr:from>
        <xdr:to>
          <xdr:col>0</xdr:col>
          <xdr:colOff>1051560</xdr:colOff>
          <xdr:row>6</xdr:row>
          <xdr:rowOff>149418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0</xdr:row>
          <xdr:rowOff>144780</xdr:rowOff>
        </xdr:from>
        <xdr:to>
          <xdr:col>9</xdr:col>
          <xdr:colOff>487680</xdr:colOff>
          <xdr:row>2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리포트 업데이트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ortSummary" connectionId="1" xr16:uid="{00000000-0016-0000-02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64"/>
  <sheetViews>
    <sheetView showGridLines="0" tabSelected="1" zoomScale="115" zoomScaleNormal="115" workbookViewId="0">
      <selection activeCell="K4" sqref="K4"/>
    </sheetView>
  </sheetViews>
  <sheetFormatPr defaultColWidth="9" defaultRowHeight="13.2" x14ac:dyDescent="0.4"/>
  <cols>
    <col min="1" max="2" width="14.8984375" style="1" customWidth="1"/>
    <col min="3" max="8" width="10.59765625" style="1" customWidth="1"/>
    <col min="9" max="9" width="2.8984375" style="1" customWidth="1"/>
    <col min="10" max="10" width="10.59765625" style="1" customWidth="1"/>
    <col min="11" max="11" width="28.59765625" style="1" customWidth="1"/>
    <col min="12" max="12" width="10.59765625" style="1" customWidth="1"/>
    <col min="13" max="13" width="28.59765625" style="1" customWidth="1"/>
    <col min="14" max="14" width="10.59765625" style="1" customWidth="1"/>
    <col min="15" max="15" width="26.59765625" style="1" customWidth="1"/>
    <col min="16" max="16" width="9" style="1" customWidth="1"/>
    <col min="17" max="18" width="9" style="1"/>
    <col min="19" max="30" width="9" style="1" customWidth="1"/>
    <col min="31" max="16384" width="9" style="1"/>
  </cols>
  <sheetData>
    <row r="1" spans="1:79" x14ac:dyDescent="0.4">
      <c r="K1" s="20"/>
      <c r="L1" s="21"/>
      <c r="M1" s="20"/>
      <c r="N1" s="21"/>
      <c r="O1" s="20"/>
      <c r="P1" s="21"/>
      <c r="AE1" s="1">
        <v>0</v>
      </c>
      <c r="AF1" s="1" t="e">
        <f>#REF!+1</f>
        <v>#REF!</v>
      </c>
      <c r="AG1" s="1" t="e">
        <f>#REF!+1</f>
        <v>#REF!</v>
      </c>
      <c r="AH1" s="1" t="e">
        <f>#REF!+1</f>
        <v>#REF!</v>
      </c>
      <c r="BU1" s="14" t="e">
        <f ca="1">OFFSET(#REF!,AE1,10+#REF!-4)</f>
        <v>#REF!</v>
      </c>
      <c r="BV1" s="1" t="e">
        <f ca="1">OFFSET(#REF!,AF1,10+#REF!-4)</f>
        <v>#REF!</v>
      </c>
      <c r="BW1" s="1" t="e">
        <f ca="1">OFFSET(#REF!,AG1,10+#REF!-4)</f>
        <v>#REF!</v>
      </c>
      <c r="BX1" s="15" t="e">
        <f ca="1">OFFSET(#REF!,AH1,10+#REF!-4)</f>
        <v>#REF!</v>
      </c>
      <c r="BY1" s="1" t="e">
        <f ca="1">IF(BU1="",0,IF(BU1&lt;&gt;#REF!,1,0))</f>
        <v>#REF!</v>
      </c>
      <c r="BZ1" s="1" t="e">
        <f ca="1">IF(BV1="",0,IF(BV1&lt;&gt;#REF!,1,0))</f>
        <v>#REF!</v>
      </c>
      <c r="CA1" s="1" t="e">
        <f ca="1">IF(BW1="",0,IF(BW1&lt;&gt;#REF!,1,0))</f>
        <v>#REF!</v>
      </c>
    </row>
    <row r="2" spans="1:79" x14ac:dyDescent="0.4">
      <c r="K2" s="20"/>
      <c r="L2" s="21"/>
      <c r="M2" s="20"/>
      <c r="N2" s="21"/>
      <c r="O2" s="20"/>
      <c r="P2" s="21"/>
      <c r="AE2" s="1">
        <f t="shared" ref="AE2:AH4" si="0">AE1+1</f>
        <v>1</v>
      </c>
      <c r="AF2" s="1" t="e">
        <f t="shared" si="0"/>
        <v>#REF!</v>
      </c>
      <c r="AG2" s="1" t="e">
        <f t="shared" si="0"/>
        <v>#REF!</v>
      </c>
      <c r="AH2" s="1" t="e">
        <f t="shared" si="0"/>
        <v>#REF!</v>
      </c>
      <c r="BU2" s="14" t="e">
        <f ca="1">OFFSET(#REF!,AE2,10+#REF!-4)</f>
        <v>#REF!</v>
      </c>
      <c r="BV2" s="1" t="e">
        <f ca="1">OFFSET(#REF!,AF2,10+#REF!-4)</f>
        <v>#REF!</v>
      </c>
      <c r="BW2" s="1" t="e">
        <f ca="1">OFFSET(#REF!,AG2,10+#REF!-4)</f>
        <v>#REF!</v>
      </c>
      <c r="BX2" s="15" t="e">
        <f ca="1">OFFSET(#REF!,AH2,10+#REF!-4)</f>
        <v>#REF!</v>
      </c>
      <c r="BY2" s="1" t="e">
        <f t="shared" ref="BY2:CA4" ca="1" si="1">IF(BU2="",0,IF(BU2&lt;&gt;BU1,1,0))</f>
        <v>#REF!</v>
      </c>
      <c r="BZ2" s="1" t="e">
        <f t="shared" ca="1" si="1"/>
        <v>#REF!</v>
      </c>
      <c r="CA2" s="1" t="e">
        <f t="shared" ca="1" si="1"/>
        <v>#REF!</v>
      </c>
    </row>
    <row r="3" spans="1:79" x14ac:dyDescent="0.4">
      <c r="E3" s="19"/>
      <c r="K3" s="20"/>
      <c r="L3" s="21"/>
      <c r="M3" s="20"/>
      <c r="N3" s="21"/>
      <c r="O3" s="20"/>
      <c r="P3" s="21"/>
      <c r="AE3" s="1">
        <f t="shared" si="0"/>
        <v>2</v>
      </c>
      <c r="AF3" s="1" t="e">
        <f t="shared" si="0"/>
        <v>#REF!</v>
      </c>
      <c r="AG3" s="1" t="e">
        <f t="shared" si="0"/>
        <v>#REF!</v>
      </c>
      <c r="AH3" s="1" t="e">
        <f t="shared" si="0"/>
        <v>#REF!</v>
      </c>
      <c r="BU3" s="14" t="e">
        <f ca="1">OFFSET(#REF!,AE3,10+#REF!-4)</f>
        <v>#REF!</v>
      </c>
      <c r="BV3" s="1" t="e">
        <f ca="1">OFFSET(#REF!,AF3,10+#REF!-4)</f>
        <v>#REF!</v>
      </c>
      <c r="BW3" s="1" t="e">
        <f ca="1">OFFSET(#REF!,AG3,10+#REF!-4)</f>
        <v>#REF!</v>
      </c>
      <c r="BX3" s="15" t="e">
        <f ca="1">OFFSET(#REF!,AH3,10+#REF!-4)</f>
        <v>#REF!</v>
      </c>
      <c r="BY3" s="1" t="e">
        <f t="shared" ca="1" si="1"/>
        <v>#REF!</v>
      </c>
      <c r="BZ3" s="1" t="e">
        <f t="shared" ca="1" si="1"/>
        <v>#REF!</v>
      </c>
      <c r="CA3" s="1" t="e">
        <f t="shared" ca="1" si="1"/>
        <v>#REF!</v>
      </c>
    </row>
    <row r="4" spans="1:79" x14ac:dyDescent="0.4">
      <c r="E4" s="19"/>
      <c r="K4" s="20"/>
      <c r="L4" s="21"/>
      <c r="M4" s="20"/>
      <c r="N4" s="21"/>
      <c r="O4" s="20"/>
      <c r="P4" s="21"/>
      <c r="AE4" s="1">
        <f t="shared" si="0"/>
        <v>3</v>
      </c>
      <c r="AF4" s="1" t="e">
        <f t="shared" si="0"/>
        <v>#REF!</v>
      </c>
      <c r="AG4" s="1" t="e">
        <f t="shared" si="0"/>
        <v>#REF!</v>
      </c>
      <c r="AH4" s="1" t="e">
        <f t="shared" si="0"/>
        <v>#REF!</v>
      </c>
      <c r="BU4" s="14" t="e">
        <f ca="1">OFFSET(#REF!,AE4,10+#REF!-4)</f>
        <v>#REF!</v>
      </c>
      <c r="BV4" s="1" t="e">
        <f ca="1">OFFSET(#REF!,AF4,10+#REF!-4)</f>
        <v>#REF!</v>
      </c>
      <c r="BW4" s="1" t="e">
        <f ca="1">OFFSET(#REF!,AG4,10+#REF!-4)</f>
        <v>#REF!</v>
      </c>
      <c r="BX4" s="15" t="e">
        <f ca="1">OFFSET(#REF!,AH4,10+#REF!-4)</f>
        <v>#REF!</v>
      </c>
      <c r="BY4" s="1" t="e">
        <f t="shared" ca="1" si="1"/>
        <v>#REF!</v>
      </c>
      <c r="BZ4" s="1" t="e">
        <f t="shared" ca="1" si="1"/>
        <v>#REF!</v>
      </c>
      <c r="CA4" s="1" t="e">
        <f t="shared" ca="1" si="1"/>
        <v>#REF!</v>
      </c>
    </row>
    <row r="5" spans="1:79" x14ac:dyDescent="0.4">
      <c r="K5" s="20"/>
      <c r="L5" s="21"/>
      <c r="M5" s="20"/>
      <c r="N5" s="21"/>
      <c r="O5" s="20"/>
      <c r="P5" s="21"/>
      <c r="AE5" s="1" t="e">
        <f>#REF!+1</f>
        <v>#REF!</v>
      </c>
      <c r="AF5" s="1" t="e">
        <f>#REF!+1</f>
        <v>#REF!</v>
      </c>
      <c r="AG5" s="1" t="e">
        <f>#REF!+1</f>
        <v>#REF!</v>
      </c>
      <c r="AH5" s="1" t="e">
        <f>#REF!+1</f>
        <v>#REF!</v>
      </c>
      <c r="BU5" s="16" t="e">
        <f ca="1">OFFSET(#REF!,AE5,10+#REF!-4)</f>
        <v>#REF!</v>
      </c>
      <c r="BV5" s="17" t="e">
        <f ca="1">OFFSET(#REF!,AF5,10+#REF!-4)</f>
        <v>#REF!</v>
      </c>
      <c r="BW5" s="17" t="e">
        <f ca="1">OFFSET(#REF!,AG5,10+#REF!-4)</f>
        <v>#REF!</v>
      </c>
      <c r="BX5" s="18" t="e">
        <f ca="1">OFFSET(#REF!,AH5,10+#REF!-4)</f>
        <v>#REF!</v>
      </c>
      <c r="BY5" s="1" t="e">
        <f ca="1">IF(BU5="",0,IF(BU5&lt;&gt;#REF!,1,0))</f>
        <v>#REF!</v>
      </c>
      <c r="BZ5" s="1" t="e">
        <f ca="1">IF(BV5="",0,IF(BV5&lt;&gt;#REF!,1,0))</f>
        <v>#REF!</v>
      </c>
      <c r="CA5" s="1" t="e">
        <f ca="1">IF(BW5="",0,IF(BW5&lt;&gt;#REF!,1,0))</f>
        <v>#REF!</v>
      </c>
    </row>
    <row r="6" spans="1:79" ht="29.4" customHeight="1" x14ac:dyDescent="0.4">
      <c r="A6" s="26" t="str">
        <f>"기업리포트 요약"</f>
        <v>기업리포트 요약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10"/>
      <c r="M6" s="10"/>
      <c r="N6" s="10"/>
      <c r="O6" s="10"/>
    </row>
    <row r="7" spans="1:79" ht="22.5" customHeight="1" x14ac:dyDescent="0.4">
      <c r="A7" s="12" t="s">
        <v>0</v>
      </c>
      <c r="B7" s="12" t="s">
        <v>1</v>
      </c>
      <c r="C7" s="13" t="s">
        <v>27</v>
      </c>
      <c r="D7" s="13" t="s">
        <v>34</v>
      </c>
      <c r="E7" s="12" t="s">
        <v>30</v>
      </c>
      <c r="F7" s="12" t="s">
        <v>29</v>
      </c>
      <c r="G7" s="28" t="s">
        <v>28</v>
      </c>
      <c r="H7" s="28"/>
      <c r="I7" s="28"/>
      <c r="J7" s="28"/>
      <c r="K7" s="29" t="s">
        <v>6</v>
      </c>
      <c r="L7" s="29"/>
      <c r="M7" s="29"/>
      <c r="N7" s="29"/>
      <c r="O7" s="29"/>
    </row>
    <row r="8" spans="1:79" ht="0.75" customHeight="1" thickBot="1" x14ac:dyDescent="0.4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11"/>
      <c r="M8" s="11"/>
      <c r="N8" s="11"/>
      <c r="O8" s="11"/>
    </row>
    <row r="9" spans="1:79" ht="60" customHeight="1" x14ac:dyDescent="0.4">
      <c r="A9" s="4" t="str">
        <f ca="1">정리!D2&amp; CHAR(10) &amp;정리!E2</f>
        <v>KB증권
[장문준,강민창]</v>
      </c>
      <c r="B9" s="4" t="str">
        <f ca="1">정리!B2</f>
        <v>삼성E&amp;A</v>
      </c>
      <c r="C9" s="4" t="str">
        <f ca="1">정리!G2</f>
        <v>BUY</v>
      </c>
      <c r="D9" s="5" t="str">
        <f ca="1">정리!H2</f>
        <v>변동없음</v>
      </c>
      <c r="E9" s="6">
        <f ca="1">정리!I2</f>
        <v>73500</v>
      </c>
      <c r="F9" s="6">
        <f ca="1">정리!J2</f>
        <v>48350</v>
      </c>
      <c r="G9" s="24" t="str">
        <f ca="1">정리!K2</f>
        <v>The First Call EPC: 고객도, 라이선서도 먼저 찾는다</v>
      </c>
      <c r="H9" s="24"/>
      <c r="I9" s="24"/>
      <c r="J9" s="24"/>
      <c r="K9" s="25" t="str">
        <f ca="1">정리!L2</f>
        <v>▶ 고객이 먼저 찾는 EPC를 넘어 라이선서도 찾는 EPC로
▶ LNG 라이선서와 모듈러 강자. 중소형 LNG 시장을 공략하려 한다
▶ 폐쇄적인 LNG 시장을 정면 돌파하는 것이 아닌 라이선서와 새로운 시장을 여는 것
▶ 비중동 LNG 사업성 증가. 가시적인 성과 나올 것</v>
      </c>
      <c r="L9" s="25"/>
      <c r="M9" s="25"/>
      <c r="N9" s="25"/>
      <c r="O9" s="25"/>
      <c r="P9" s="1" t="str">
        <f ca="1">정리!C2</f>
        <v>A028050</v>
      </c>
      <c r="S9" s="7"/>
    </row>
    <row r="10" spans="1:79" ht="60" customHeight="1" thickBot="1" x14ac:dyDescent="0.45">
      <c r="A10" s="2" t="str">
        <f ca="1">정리!D3&amp; CHAR(10) &amp;정리!E3</f>
        <v>하나증권
[김승준]</v>
      </c>
      <c r="B10" s="2" t="str">
        <f ca="1">정리!B3</f>
        <v>삼성물산</v>
      </c>
      <c r="C10" s="2" t="str">
        <f ca="1">정리!G3</f>
        <v>BUY</v>
      </c>
      <c r="D10" s="5" t="str">
        <f ca="1">정리!H3</f>
        <v>목표주가 상향</v>
      </c>
      <c r="E10" s="3">
        <f ca="1">정리!I3</f>
        <v>650000</v>
      </c>
      <c r="F10" s="3">
        <f ca="1">정리!J3</f>
        <v>460500</v>
      </c>
      <c r="G10" s="22" t="str">
        <f ca="1">정리!K3</f>
        <v>의심할 필요가 없는 PBR 0.7배 저렴한 주가</v>
      </c>
      <c r="H10" s="22"/>
      <c r="I10" s="22"/>
      <c r="J10" s="22"/>
      <c r="K10" s="23" t="str">
        <f ca="1">정리!L3</f>
        <v>▶ 투자의견 Buy 유지, 목표주가 650,000원으로 상향, TOP PICK으로 추천
▶ PBR 0.7배는 여전히 싸다
▶ 3분기, 4분기 원전 스토리도 존재</v>
      </c>
      <c r="L10" s="23"/>
      <c r="M10" s="23"/>
      <c r="N10" s="23"/>
      <c r="O10" s="23"/>
      <c r="P10" s="1" t="str">
        <f ca="1">정리!C3</f>
        <v>A028260</v>
      </c>
    </row>
    <row r="11" spans="1:79" ht="60" customHeight="1" x14ac:dyDescent="0.4">
      <c r="A11" s="4" t="str">
        <f ca="1">정리!D4&amp; CHAR(10) &amp;정리!E4</f>
        <v>그로쓰리서치
[한용희,성인제,정선우]</v>
      </c>
      <c r="B11" s="4" t="str">
        <f ca="1">정리!B4</f>
        <v>피에스케이홀딩스</v>
      </c>
      <c r="C11" s="4">
        <f ca="1">정리!G4</f>
        <v>0</v>
      </c>
      <c r="D11" s="5" t="str">
        <f ca="1">정리!H4</f>
        <v>목표주가 없음</v>
      </c>
      <c r="E11" s="6">
        <f ca="1">정리!I4</f>
        <v>0</v>
      </c>
      <c r="F11" s="6" t="s">
        <v>35</v>
      </c>
      <c r="G11" s="24" t="str">
        <f ca="1">정리!K4</f>
        <v>AI HBM.CoWoS 투자 확대의 구조적 수혜 장비사</v>
      </c>
      <c r="H11" s="24"/>
      <c r="I11" s="24"/>
      <c r="J11" s="24"/>
      <c r="K11" s="25" t="str">
        <f ca="1">정리!L4</f>
        <v>▶ DRAM/HBM 미세화에 따라 일감이 늘어나는 스트립/세정 장비 업체
▶ 전공정 건식 스트립/세정 글로벌 탑티어, 증설 수혜 본격화
▶ CoWoSCAPA 증설에 따른 후공정 성장 축 확보</v>
      </c>
      <c r="L11" s="25"/>
      <c r="M11" s="25"/>
      <c r="N11" s="25"/>
      <c r="O11" s="25"/>
      <c r="P11" s="1" t="str">
        <f ca="1">정리!C4</f>
        <v>A031980</v>
      </c>
    </row>
    <row r="12" spans="1:79" ht="60" customHeight="1" thickBot="1" x14ac:dyDescent="0.45">
      <c r="A12" s="2" t="str">
        <f ca="1">정리!D5&amp; CHAR(10) &amp;정리!E5</f>
        <v>그로쓰리서치
[한용희,성인제,정선우]</v>
      </c>
      <c r="B12" s="2" t="str">
        <f ca="1">정리!B5</f>
        <v>브이엠</v>
      </c>
      <c r="C12" s="2">
        <f ca="1">정리!G5</f>
        <v>0</v>
      </c>
      <c r="D12" s="5" t="str">
        <f ca="1">정리!H5</f>
        <v>목표주가 없음</v>
      </c>
      <c r="E12" s="3">
        <f ca="1">정리!I5</f>
        <v>0</v>
      </c>
      <c r="F12" s="3">
        <f ca="1">정리!J5</f>
        <v>68000</v>
      </c>
      <c r="G12" s="22" t="str">
        <f ca="1">정리!K5</f>
        <v>DARM 투자 회복의 최대 수혜</v>
      </c>
      <c r="H12" s="22"/>
      <c r="I12" s="22"/>
      <c r="J12" s="22"/>
      <c r="K12" s="23" t="str">
        <f ca="1">정리!L5</f>
        <v>▶ 선단 식각 국산화로 증설 사이클 수혜가 기대되는 전공정 장비사
▶ DRAM 투자 회복, 식각 장비 레버리지 확대
▶ 신규 공정 진입이 만드는 장비 ASP 레버리지</v>
      </c>
      <c r="L12" s="23"/>
      <c r="M12" s="23"/>
      <c r="N12" s="23"/>
      <c r="O12" s="23"/>
      <c r="P12" s="1" t="str">
        <f ca="1">정리!C5</f>
        <v>A089970</v>
      </c>
    </row>
    <row r="13" spans="1:79" ht="60" customHeight="1" x14ac:dyDescent="0.4">
      <c r="A13" s="4" t="str">
        <f ca="1">정리!D6&amp; CHAR(10) &amp;정리!E6</f>
        <v>하나증권
[김선아]</v>
      </c>
      <c r="B13" s="4" t="str">
        <f ca="1">정리!B6</f>
        <v>한미약품</v>
      </c>
      <c r="C13" s="4" t="str">
        <f ca="1">정리!G6</f>
        <v>BUY</v>
      </c>
      <c r="D13" s="5" t="str">
        <f ca="1">정리!H6</f>
        <v>목표주가 상향</v>
      </c>
      <c r="E13" s="6">
        <f ca="1">정리!I6</f>
        <v>710000</v>
      </c>
      <c r="F13" s="6">
        <f ca="1">정리!J6</f>
        <v>494000</v>
      </c>
      <c r="G13" s="24" t="str">
        <f ca="1">정리!K6</f>
        <v>L/O 가이던스 달성, 그러나 아직 몇 발 더 남았다</v>
      </c>
      <c r="H13" s="24"/>
      <c r="I13" s="24"/>
      <c r="J13" s="24"/>
      <c r="K13" s="25" t="str">
        <f ca="1">정리!L6</f>
        <v>▶ 소네페글루타이드가 기술이전 될 줄은, Lilly일 줄은
▶ 여전히 추가 기술이전을 기대할 만 하다
▶ 목표주가 71만원 상향, 전체적인 파이프라인 가치 조정</v>
      </c>
      <c r="L13" s="25"/>
      <c r="M13" s="25"/>
      <c r="N13" s="25"/>
      <c r="O13" s="25"/>
      <c r="P13" s="1" t="str">
        <f ca="1">정리!C6</f>
        <v>A128940</v>
      </c>
    </row>
    <row r="14" spans="1:79" ht="60" customHeight="1" thickBot="1" x14ac:dyDescent="0.45">
      <c r="A14" s="2" t="str">
        <f ca="1">정리!D7&amp; CHAR(10) &amp;정리!E7</f>
        <v>키움증권
[박상준,권용일]</v>
      </c>
      <c r="B14" s="2" t="str">
        <f ca="1">정리!B7</f>
        <v>이마트</v>
      </c>
      <c r="C14" s="2" t="str">
        <f ca="1">정리!G7</f>
        <v>BUY</v>
      </c>
      <c r="D14" s="5" t="str">
        <f ca="1">정리!H7</f>
        <v>변동없음</v>
      </c>
      <c r="E14" s="3">
        <f ca="1">정리!I7</f>
        <v>120000</v>
      </c>
      <c r="F14" s="3">
        <f ca="1">정리!J7</f>
        <v>89200</v>
      </c>
      <c r="G14" s="22" t="str">
        <f ca="1">정리!K7</f>
        <v>추가로 나올 악재가 있을까</v>
      </c>
      <c r="H14" s="22"/>
      <c r="I14" s="22"/>
      <c r="J14" s="22"/>
      <c r="K14" s="23" t="str">
        <f ca="1">정리!L7</f>
        <v>▶ 2분기 실적 전망치 하향 조정
▶ 할인점 기존점 성장률은 점차 반등할 전망
▶ 투자의견 BUY, 목표주가 12만원 유지</v>
      </c>
      <c r="L14" s="23"/>
      <c r="M14" s="23"/>
      <c r="N14" s="23"/>
      <c r="O14" s="23"/>
      <c r="P14" s="1" t="str">
        <f ca="1">정리!C7</f>
        <v>A139480</v>
      </c>
    </row>
    <row r="15" spans="1:79" ht="60" customHeight="1" x14ac:dyDescent="0.4">
      <c r="A15" s="4" t="str">
        <f ca="1">정리!D8&amp; CHAR(10) &amp;정리!E8</f>
        <v>상상인증권
[하태기]</v>
      </c>
      <c r="B15" s="4" t="str">
        <f ca="1">정리!B8</f>
        <v>지씨셀</v>
      </c>
      <c r="C15" s="4">
        <f ca="1">정리!G8</f>
        <v>0</v>
      </c>
      <c r="D15" s="5" t="str">
        <f ca="1">정리!H8</f>
        <v>목표주가 없음</v>
      </c>
      <c r="E15" s="6">
        <f ca="1">정리!I8</f>
        <v>0</v>
      </c>
      <c r="F15" s="6">
        <f ca="1">정리!J8</f>
        <v>17180</v>
      </c>
      <c r="G15" s="24" t="str">
        <f ca="1">정리!K8</f>
        <v>최근 영업 실적 및 신약개발 현황 Update</v>
      </c>
      <c r="H15" s="24"/>
      <c r="I15" s="24"/>
      <c r="J15" s="24"/>
      <c r="K15" s="25" t="str">
        <f ca="1">정리!L8</f>
        <v>▶ 최근 영업실적은 매출 감소, 영업적자 지속
▶ CD5 CAR-NK 2026년 내 임상 1b상 진입 예정, 푸카소 수입품목 허가 신청
▶ 관계사를 통한 신약개발도 진행 중이다</v>
      </c>
      <c r="L15" s="25"/>
      <c r="M15" s="25"/>
      <c r="N15" s="25"/>
      <c r="O15" s="25"/>
      <c r="P15" s="1" t="str">
        <f ca="1">정리!C8</f>
        <v>A144510</v>
      </c>
    </row>
    <row r="16" spans="1:79" ht="60" customHeight="1" thickBot="1" x14ac:dyDescent="0.45">
      <c r="A16" s="2" t="str">
        <f ca="1">정리!D9&amp; CHAR(10) &amp;정리!E9</f>
        <v>다인자산운용
[김성환]</v>
      </c>
      <c r="B16" s="2" t="str">
        <f ca="1">정리!B9</f>
        <v>져스텍</v>
      </c>
      <c r="C16" s="2">
        <f ca="1">정리!G9</f>
        <v>0</v>
      </c>
      <c r="D16" s="5" t="str">
        <f ca="1">정리!H9</f>
        <v>목표주가 없음</v>
      </c>
      <c r="E16" s="3">
        <f ca="1">정리!I9</f>
        <v>0</v>
      </c>
      <c r="F16" s="3">
        <f ca="1">정리!J9</f>
        <v>0</v>
      </c>
      <c r="G16" s="22" t="str">
        <f ca="1">정리!K9</f>
        <v>IPO 기업 보고서</v>
      </c>
      <c r="H16" s="22"/>
      <c r="I16" s="22"/>
      <c r="J16" s="22"/>
      <c r="K16" s="23" t="str">
        <f ca="1">정리!L9</f>
        <v>▶ 국내 최초로 리니어 모터를 자체 개발한 원천 기술을 바탕으로 모터, 센서, 드라이버, 제어기를 포함한 부품부터 시스템까지초정밀 모션과 관련된 구성요소를 수직 계열화
▶ HBM 고단화로 후공정 장비에서는 정밀한 위치 제어와 반복 안정성이 핵심 성능 변수로 부상
▶ 2025년 기준 약 42% 수준이었던 반도체 매출 비중은 2028년 60%대 수준으로 확대되며 동사의 성장을 이끌 것으로 예상 중</v>
      </c>
      <c r="L16" s="23"/>
      <c r="M16" s="23"/>
      <c r="N16" s="23"/>
      <c r="O16" s="23"/>
      <c r="P16" s="1" t="str">
        <f ca="1">정리!C9</f>
        <v>A153890</v>
      </c>
    </row>
    <row r="17" spans="1:16" ht="60" customHeight="1" x14ac:dyDescent="0.4">
      <c r="A17" s="4" t="str">
        <f ca="1">정리!D10&amp; CHAR(10) &amp;정리!E10</f>
        <v>한국IR협의회(리서치센터)
[김승준,이금민]</v>
      </c>
      <c r="B17" s="4" t="str">
        <f ca="1">정리!B10</f>
        <v>노브메타파마</v>
      </c>
      <c r="C17" s="4">
        <f ca="1">정리!G10</f>
        <v>0</v>
      </c>
      <c r="D17" s="5" t="str">
        <f ca="1">정리!H10</f>
        <v>목표주가 없음</v>
      </c>
      <c r="E17" s="6">
        <f ca="1">정리!I10</f>
        <v>0</v>
      </c>
      <c r="F17" s="6">
        <f ca="1">정리!J10</f>
        <v>7800</v>
      </c>
      <c r="G17" s="24" t="str">
        <f ca="1">정리!K10</f>
        <v>Cyclo-Z의 재발견, 검증된 내약성 위에 확장되는 적응증</v>
      </c>
      <c r="H17" s="24"/>
      <c r="I17" s="24"/>
      <c r="J17" s="24"/>
      <c r="K17" s="25" t="str">
        <f ca="1">정리!L10</f>
        <v>▶ CHP/Cyclo-Z 기반 신약개발 기업, 적응증 확장과 비신약 사업 병행
▶ Cyclo-Z 적응증 재배치, FSHD 계약과 임상 2상이 핵심 모멘텀
▶ 2026년, 신약 임상 진입과 비신약 매출 시작의 원년</v>
      </c>
      <c r="L17" s="25"/>
      <c r="M17" s="25"/>
      <c r="N17" s="25"/>
      <c r="O17" s="25"/>
      <c r="P17" s="1" t="str">
        <f ca="1">정리!C10</f>
        <v>A229500</v>
      </c>
    </row>
    <row r="18" spans="1:16" ht="60" customHeight="1" thickBot="1" x14ac:dyDescent="0.45">
      <c r="A18" s="2" t="str">
        <f ca="1">정리!D11&amp; CHAR(10) &amp;정리!E11</f>
        <v>하나증권
[박찬솔,윤채리]</v>
      </c>
      <c r="B18" s="2" t="str">
        <f ca="1">정리!B11</f>
        <v>팸텍</v>
      </c>
      <c r="C18" s="2">
        <f ca="1">정리!G11</f>
        <v>0</v>
      </c>
      <c r="D18" s="5" t="str">
        <f ca="1">정리!H11</f>
        <v>목표주가 없음</v>
      </c>
      <c r="E18" s="3">
        <f ca="1">정리!I11</f>
        <v>0</v>
      </c>
      <c r="F18" s="3">
        <f ca="1">정리!J11</f>
        <v>2085</v>
      </c>
      <c r="G18" s="22" t="str">
        <f ca="1">정리!K11</f>
        <v>IPO 주관사 업데이트: 반도체 주도 성장</v>
      </c>
      <c r="H18" s="22"/>
      <c r="I18" s="22"/>
      <c r="J18" s="22"/>
      <c r="K18" s="23" t="str">
        <f ca="1">정리!L11</f>
        <v>▶ 카메라모듈/반도체 장비 비중이 높은 자동화 업체
▶ 기대할 것은 반도체 주도 성장
▶ 2026년 실적 전망 및 밸류에이션</v>
      </c>
      <c r="L18" s="23"/>
      <c r="M18" s="23"/>
      <c r="N18" s="23"/>
      <c r="O18" s="23"/>
      <c r="P18" s="1" t="str">
        <f ca="1">정리!C11</f>
        <v>A271830</v>
      </c>
    </row>
    <row r="19" spans="1:16" ht="60" customHeight="1" x14ac:dyDescent="0.4">
      <c r="A19" s="4" t="str">
        <f ca="1">정리!D12&amp; CHAR(10) &amp;정리!E12</f>
        <v>그로쓰리서치
[한용희,성인제,정선우]</v>
      </c>
      <c r="B19" s="4" t="str">
        <f ca="1">정리!B12</f>
        <v>케이씨텍</v>
      </c>
      <c r="C19" s="4">
        <f ca="1">정리!G12</f>
        <v>0</v>
      </c>
      <c r="D19" s="5" t="str">
        <f ca="1">정리!H12</f>
        <v>목표주가 없음</v>
      </c>
      <c r="E19" s="6">
        <f ca="1">정리!I12</f>
        <v>0</v>
      </c>
      <c r="F19" s="6">
        <f ca="1">정리!J12</f>
        <v>65300</v>
      </c>
      <c r="G19" s="24" t="str">
        <f ca="1">정리!K12</f>
        <v>국내 유일 웨이퍼 CMP 장비사, 메모리 투자 회복 수혜 본격화</v>
      </c>
      <c r="H19" s="24"/>
      <c r="I19" s="24"/>
      <c r="J19" s="24"/>
      <c r="K19" s="25" t="str">
        <f ca="1">정리!L12</f>
        <v>▶ 국내 유일 CMP 장비 양산 업체, 선단 공정 투자 수혜 기대
▶ CMP 중심 포트폴리오로 메모리 설비투자 레버리지
▶ 전분기 대비 130% 늘어난 수주잔고에 주목</v>
      </c>
      <c r="L19" s="25"/>
      <c r="M19" s="25"/>
      <c r="N19" s="25"/>
      <c r="O19" s="25"/>
      <c r="P19" s="1" t="str">
        <f ca="1">정리!C12</f>
        <v>A281820</v>
      </c>
    </row>
    <row r="20" spans="1:16" ht="60" customHeight="1" thickBot="1" x14ac:dyDescent="0.45">
      <c r="A20" s="2" t="str">
        <f ca="1">정리!D13&amp; CHAR(10) &amp;정리!E13</f>
        <v>하나증권
[김선아]</v>
      </c>
      <c r="B20" s="2" t="str">
        <f ca="1">정리!B13</f>
        <v>디앤디파마텍</v>
      </c>
      <c r="C20" s="2">
        <f ca="1">정리!G13</f>
        <v>0</v>
      </c>
      <c r="D20" s="5" t="str">
        <f ca="1">정리!H13</f>
        <v>목표주가 없음</v>
      </c>
      <c r="E20" s="3">
        <f ca="1">정리!I13</f>
        <v>0</v>
      </c>
      <c r="F20" s="3">
        <f ca="1">정리!J13</f>
        <v>92300</v>
      </c>
      <c r="G20" s="22" t="str">
        <f ca="1">정리!K13</f>
        <v>성공적인 MASH 결과 들고 다음 스텝으로 (NDR 후기)</v>
      </c>
      <c r="H20" s="22"/>
      <c r="I20" s="22"/>
      <c r="J20" s="22"/>
      <c r="K20" s="23" t="str">
        <f ca="1">정리!L13</f>
        <v>▶ 48주차 조직생검 결과 공개 ? 개선 수치와 통계적 유의성 모두 우수
▶ 기술이전 논의 중, 기존 사례 대비 빠르게 진행될 것
▶ GSK가 Efimosfermin를 인수한 사례 참고 (총 계약 규모 약 3조원)</v>
      </c>
      <c r="L20" s="23"/>
      <c r="M20" s="23"/>
      <c r="N20" s="23"/>
      <c r="O20" s="23"/>
      <c r="P20" s="1" t="str">
        <f ca="1">정리!C13</f>
        <v>A347850</v>
      </c>
    </row>
    <row r="21" spans="1:16" ht="60" customHeight="1" x14ac:dyDescent="0.4">
      <c r="A21" s="4" t="str">
        <f ca="1">정리!D14&amp; CHAR(10) &amp;정리!E14</f>
        <v>한국투자증권
[강경태,황현정]</v>
      </c>
      <c r="B21" s="4" t="str">
        <f ca="1">정리!B14</f>
        <v>대한조선</v>
      </c>
      <c r="C21" s="4">
        <f ca="1">정리!G14</f>
        <v>0</v>
      </c>
      <c r="D21" s="5" t="str">
        <f ca="1">정리!H14</f>
        <v>목표주가 없음</v>
      </c>
      <c r="E21" s="6">
        <f ca="1">정리!I14</f>
        <v>0</v>
      </c>
      <c r="F21" s="6">
        <f ca="1">정리!J14</f>
        <v>60000</v>
      </c>
      <c r="G21" s="24" t="str">
        <f ca="1">정리!K14</f>
        <v>전세계 최상위 수에즈막스 플랫폼을 P/E 7배에 매수할 기회</v>
      </c>
      <c r="H21" s="24"/>
      <c r="I21" s="24"/>
      <c r="J21" s="24"/>
      <c r="K21" s="25" t="str">
        <f ca="1">정리!L14</f>
        <v>▶ 2028년 기준 P/E 7배, 기초체력에 비해 극심한 저평가
▶ 2026년 3월 유조선 스팟 운임 고점 이후 나타난 조정
▶ 유조선 발주 사이클 지속될 것, 탄탄한 수주잔량은 호실적으로 연결</v>
      </c>
      <c r="L21" s="25"/>
      <c r="M21" s="25"/>
      <c r="N21" s="25"/>
      <c r="O21" s="25"/>
      <c r="P21" s="1" t="str">
        <f ca="1">정리!C14</f>
        <v>A439260</v>
      </c>
    </row>
    <row r="22" spans="1:16" ht="60" customHeight="1" thickBot="1" x14ac:dyDescent="0.45">
      <c r="A22" s="2" t="str">
        <f ca="1">정리!D15&amp; CHAR(10) &amp;정리!E15</f>
        <v>다올투자증권
[이지수]</v>
      </c>
      <c r="B22" s="2" t="str">
        <f ca="1">정리!B15</f>
        <v>코오롱티슈진</v>
      </c>
      <c r="C22" s="2">
        <f ca="1">정리!G15</f>
        <v>0</v>
      </c>
      <c r="D22" s="5" t="str">
        <f ca="1">정리!H15</f>
        <v>목표주가 없음</v>
      </c>
      <c r="E22" s="3">
        <f ca="1">정리!I15</f>
        <v>0</v>
      </c>
      <c r="F22" s="3">
        <f ca="1">정리!J15</f>
        <v>99200</v>
      </c>
      <c r="G22" s="22" t="str">
        <f ca="1">정리!K15</f>
        <v>카운트다운 시작</v>
      </c>
      <c r="H22" s="22"/>
      <c r="I22" s="22"/>
      <c r="J22" s="22"/>
      <c r="K22" s="23" t="str">
        <f ca="1">정리!L15</f>
        <v>▶ 7월 TG-C(골관절염) 미국 임상3상 탑라인 발표 예정
▶ 미국 2상, 국내 3상에서 통증/기능성 개선 일관되게 확인된 만큼 성공 가능성 높다고 판단
▶ 구조적 개선까지 입증 시 세계 최초 DMOAD로 독점적 시장 지위 확보 가능</v>
      </c>
      <c r="L22" s="23"/>
      <c r="M22" s="23"/>
      <c r="N22" s="23"/>
      <c r="O22" s="23"/>
      <c r="P22" s="1" t="str">
        <f ca="1">정리!C15</f>
        <v>A950160</v>
      </c>
    </row>
    <row r="23" spans="1:16" ht="60" customHeight="1" x14ac:dyDescent="0.4">
      <c r="A23" s="4" t="str">
        <f ca="1">정리!D16&amp; CHAR(10) &amp;정리!E16</f>
        <v>0
0</v>
      </c>
      <c r="B23" s="4">
        <f ca="1">정리!B16</f>
        <v>0</v>
      </c>
      <c r="C23" s="4">
        <f ca="1">정리!G16</f>
        <v>0</v>
      </c>
      <c r="D23" s="5">
        <f ca="1">정리!H16</f>
        <v>0</v>
      </c>
      <c r="E23" s="6">
        <f ca="1">정리!I16</f>
        <v>0</v>
      </c>
      <c r="F23" s="6">
        <f ca="1">정리!J16</f>
        <v>0</v>
      </c>
      <c r="G23" s="24">
        <f ca="1">정리!K16</f>
        <v>0</v>
      </c>
      <c r="H23" s="24"/>
      <c r="I23" s="24"/>
      <c r="J23" s="24"/>
      <c r="K23" s="25" t="str">
        <f ca="1">정리!L16</f>
        <v>0</v>
      </c>
      <c r="L23" s="25"/>
      <c r="M23" s="25"/>
      <c r="N23" s="25"/>
      <c r="O23" s="25"/>
      <c r="P23" s="1" t="str">
        <f ca="1">정리!C16</f>
        <v>변동없음(변동없음), 신규(신규), 이전대비상향(이전대비상향), 이전대비하향(이전대비하향)</v>
      </c>
    </row>
    <row r="24" spans="1:16" ht="60" customHeight="1" thickBot="1" x14ac:dyDescent="0.45">
      <c r="A24" s="2" t="str">
        <f ca="1">정리!D17&amp; CHAR(10) &amp;정리!E17</f>
        <v>0
0</v>
      </c>
      <c r="B24" s="2" t="str">
        <f ca="1">정리!B17</f>
        <v>© Copyright FnGuide Inc. All Rights Reserved.</v>
      </c>
      <c r="C24" s="2">
        <f ca="1">정리!G17</f>
        <v>0</v>
      </c>
      <c r="D24" s="5">
        <f ca="1">정리!H17</f>
        <v>0</v>
      </c>
      <c r="E24" s="3">
        <f ca="1">정리!I17</f>
        <v>0</v>
      </c>
      <c r="F24" s="3">
        <f ca="1">정리!J17</f>
        <v>0</v>
      </c>
      <c r="G24" s="22">
        <f ca="1">정리!K17</f>
        <v>0</v>
      </c>
      <c r="H24" s="22"/>
      <c r="I24" s="22"/>
      <c r="J24" s="22"/>
      <c r="K24" s="23" t="str">
        <f ca="1">정리!L17</f>
        <v>0</v>
      </c>
      <c r="L24" s="23"/>
      <c r="M24" s="23"/>
      <c r="N24" s="23"/>
      <c r="O24" s="23"/>
      <c r="P24" s="1" t="str">
        <f ca="1">정리!C17</f>
        <v>000000</v>
      </c>
    </row>
    <row r="25" spans="1:16" ht="60" customHeight="1" x14ac:dyDescent="0.4">
      <c r="A25" s="4" t="str">
        <f ca="1">정리!D18&amp; CHAR(10) &amp;정리!E18</f>
        <v>0
0</v>
      </c>
      <c r="B25" s="4">
        <f ca="1">정리!B18</f>
        <v>0</v>
      </c>
      <c r="C25" s="4">
        <f ca="1">정리!G18</f>
        <v>0</v>
      </c>
      <c r="D25" s="5">
        <f ca="1">정리!H18</f>
        <v>0</v>
      </c>
      <c r="E25" s="6">
        <f ca="1">정리!I18</f>
        <v>0</v>
      </c>
      <c r="F25" s="6">
        <f ca="1">정리!J18</f>
        <v>0</v>
      </c>
      <c r="G25" s="24">
        <f ca="1">정리!K18</f>
        <v>0</v>
      </c>
      <c r="H25" s="24"/>
      <c r="I25" s="24"/>
      <c r="J25" s="24"/>
      <c r="K25" s="25" t="str">
        <f ca="1">정리!L18</f>
        <v>0</v>
      </c>
      <c r="L25" s="25"/>
      <c r="M25" s="25"/>
      <c r="N25" s="25"/>
      <c r="O25" s="25"/>
      <c r="P25" s="1" t="str">
        <f ca="1">정리!C18</f>
        <v>000000</v>
      </c>
    </row>
    <row r="26" spans="1:16" ht="60" customHeight="1" thickBot="1" x14ac:dyDescent="0.45">
      <c r="A26" s="2" t="str">
        <f ca="1">정리!D19&amp; CHAR(10) &amp;정리!E19</f>
        <v>0
0</v>
      </c>
      <c r="B26" s="2">
        <f ca="1">정리!B19</f>
        <v>0</v>
      </c>
      <c r="C26" s="2">
        <f ca="1">정리!G19</f>
        <v>0</v>
      </c>
      <c r="D26" s="5">
        <f ca="1">정리!H19</f>
        <v>0</v>
      </c>
      <c r="E26" s="3">
        <f ca="1">정리!I19</f>
        <v>0</v>
      </c>
      <c r="F26" s="3">
        <f ca="1">정리!J19</f>
        <v>0</v>
      </c>
      <c r="G26" s="22">
        <f ca="1">정리!K19</f>
        <v>0</v>
      </c>
      <c r="H26" s="22"/>
      <c r="I26" s="22"/>
      <c r="J26" s="22"/>
      <c r="K26" s="23" t="str">
        <f ca="1">정리!L19</f>
        <v>0</v>
      </c>
      <c r="L26" s="23"/>
      <c r="M26" s="23"/>
      <c r="N26" s="23"/>
      <c r="O26" s="23"/>
      <c r="P26" s="1" t="str">
        <f ca="1">정리!C19</f>
        <v>000000</v>
      </c>
    </row>
    <row r="27" spans="1:16" ht="60" customHeight="1" x14ac:dyDescent="0.4">
      <c r="A27" s="4" t="str">
        <f ca="1">정리!D20&amp; CHAR(10) &amp;정리!E20</f>
        <v>0
0</v>
      </c>
      <c r="B27" s="4">
        <f ca="1">정리!B20</f>
        <v>0</v>
      </c>
      <c r="C27" s="4">
        <f ca="1">정리!G20</f>
        <v>0</v>
      </c>
      <c r="D27" s="5">
        <f ca="1">정리!H20</f>
        <v>0</v>
      </c>
      <c r="E27" s="6">
        <f ca="1">정리!I20</f>
        <v>0</v>
      </c>
      <c r="F27" s="6">
        <f ca="1">정리!J20</f>
        <v>0</v>
      </c>
      <c r="G27" s="24">
        <f ca="1">정리!K20</f>
        <v>0</v>
      </c>
      <c r="H27" s="24"/>
      <c r="I27" s="24"/>
      <c r="J27" s="24"/>
      <c r="K27" s="25" t="str">
        <f ca="1">정리!L20</f>
        <v>0</v>
      </c>
      <c r="L27" s="25"/>
      <c r="M27" s="25"/>
      <c r="N27" s="25"/>
      <c r="O27" s="25"/>
      <c r="P27" s="1" t="str">
        <f ca="1">정리!C20</f>
        <v>000000</v>
      </c>
    </row>
    <row r="28" spans="1:16" ht="60" customHeight="1" thickBot="1" x14ac:dyDescent="0.45">
      <c r="A28" s="2" t="str">
        <f ca="1">정리!D21&amp; CHAR(10) &amp;정리!E21</f>
        <v>0
0</v>
      </c>
      <c r="B28" s="2">
        <f ca="1">정리!B21</f>
        <v>0</v>
      </c>
      <c r="C28" s="2">
        <f ca="1">정리!G21</f>
        <v>0</v>
      </c>
      <c r="D28" s="5">
        <f ca="1">정리!H21</f>
        <v>0</v>
      </c>
      <c r="E28" s="3">
        <f ca="1">정리!I21</f>
        <v>0</v>
      </c>
      <c r="F28" s="3">
        <f ca="1">정리!J21</f>
        <v>0</v>
      </c>
      <c r="G28" s="22">
        <f ca="1">정리!K21</f>
        <v>0</v>
      </c>
      <c r="H28" s="22"/>
      <c r="I28" s="22"/>
      <c r="J28" s="22"/>
      <c r="K28" s="23" t="str">
        <f ca="1">정리!L21</f>
        <v>0</v>
      </c>
      <c r="L28" s="23"/>
      <c r="M28" s="23"/>
      <c r="N28" s="23"/>
      <c r="O28" s="23"/>
      <c r="P28" s="1" t="str">
        <f ca="1">정리!C21</f>
        <v>000000</v>
      </c>
    </row>
    <row r="29" spans="1:16" ht="60" customHeight="1" x14ac:dyDescent="0.4">
      <c r="A29" s="4" t="str">
        <f ca="1">정리!D22&amp; CHAR(10) &amp;정리!E22</f>
        <v>0
0</v>
      </c>
      <c r="B29" s="4">
        <f ca="1">정리!B22</f>
        <v>0</v>
      </c>
      <c r="C29" s="4">
        <f ca="1">정리!G22</f>
        <v>0</v>
      </c>
      <c r="D29" s="5">
        <f ca="1">정리!H22</f>
        <v>0</v>
      </c>
      <c r="E29" s="6">
        <f ca="1">정리!I22</f>
        <v>0</v>
      </c>
      <c r="F29" s="6">
        <f ca="1">정리!J22</f>
        <v>0</v>
      </c>
      <c r="G29" s="24">
        <f ca="1">정리!K22</f>
        <v>0</v>
      </c>
      <c r="H29" s="24"/>
      <c r="I29" s="24"/>
      <c r="J29" s="24"/>
      <c r="K29" s="25" t="str">
        <f ca="1">정리!L22</f>
        <v>0</v>
      </c>
      <c r="L29" s="25"/>
      <c r="M29" s="25"/>
      <c r="N29" s="25"/>
      <c r="O29" s="25"/>
      <c r="P29" s="1" t="str">
        <f ca="1">정리!C22</f>
        <v>000000</v>
      </c>
    </row>
    <row r="30" spans="1:16" ht="60" customHeight="1" thickBot="1" x14ac:dyDescent="0.45">
      <c r="A30" s="2" t="str">
        <f ca="1">정리!D23&amp; CHAR(10) &amp;정리!E23</f>
        <v>0
0</v>
      </c>
      <c r="B30" s="2">
        <f ca="1">정리!B23</f>
        <v>0</v>
      </c>
      <c r="C30" s="2">
        <f ca="1">정리!G23</f>
        <v>0</v>
      </c>
      <c r="D30" s="5">
        <f ca="1">정리!H23</f>
        <v>0</v>
      </c>
      <c r="E30" s="3">
        <f ca="1">정리!I23</f>
        <v>0</v>
      </c>
      <c r="F30" s="3">
        <f ca="1">정리!J23</f>
        <v>0</v>
      </c>
      <c r="G30" s="22">
        <f ca="1">정리!K23</f>
        <v>0</v>
      </c>
      <c r="H30" s="22"/>
      <c r="I30" s="22"/>
      <c r="J30" s="22"/>
      <c r="K30" s="23" t="str">
        <f ca="1">정리!L23</f>
        <v>0</v>
      </c>
      <c r="L30" s="23"/>
      <c r="M30" s="23"/>
      <c r="N30" s="23"/>
      <c r="O30" s="23"/>
      <c r="P30" s="1" t="str">
        <f ca="1">정리!C23</f>
        <v>000000</v>
      </c>
    </row>
    <row r="31" spans="1:16" ht="60" customHeight="1" x14ac:dyDescent="0.4">
      <c r="A31" s="4" t="str">
        <f ca="1">정리!D24&amp; CHAR(10) &amp;정리!E24</f>
        <v>0
0</v>
      </c>
      <c r="B31" s="4">
        <f ca="1">정리!B24</f>
        <v>0</v>
      </c>
      <c r="C31" s="4">
        <f ca="1">정리!G24</f>
        <v>0</v>
      </c>
      <c r="D31" s="5">
        <f ca="1">정리!H24</f>
        <v>0</v>
      </c>
      <c r="E31" s="6">
        <f ca="1">정리!I24</f>
        <v>0</v>
      </c>
      <c r="F31" s="6">
        <f ca="1">정리!J24</f>
        <v>0</v>
      </c>
      <c r="G31" s="24">
        <f ca="1">정리!K24</f>
        <v>0</v>
      </c>
      <c r="H31" s="24"/>
      <c r="I31" s="24"/>
      <c r="J31" s="24"/>
      <c r="K31" s="25" t="str">
        <f ca="1">정리!L24</f>
        <v>0</v>
      </c>
      <c r="L31" s="25"/>
      <c r="M31" s="25"/>
      <c r="N31" s="25"/>
      <c r="O31" s="25"/>
      <c r="P31" s="1" t="str">
        <f ca="1">정리!C24</f>
        <v>000000</v>
      </c>
    </row>
    <row r="32" spans="1:16" ht="60" customHeight="1" thickBot="1" x14ac:dyDescent="0.45">
      <c r="A32" s="2" t="str">
        <f ca="1">정리!D25&amp; CHAR(10) &amp;정리!E25</f>
        <v>0
0</v>
      </c>
      <c r="B32" s="2">
        <f ca="1">정리!B25</f>
        <v>0</v>
      </c>
      <c r="C32" s="2">
        <f ca="1">정리!G25</f>
        <v>0</v>
      </c>
      <c r="D32" s="5">
        <f ca="1">정리!H25</f>
        <v>0</v>
      </c>
      <c r="E32" s="3">
        <f ca="1">정리!I25</f>
        <v>0</v>
      </c>
      <c r="F32" s="3">
        <f ca="1">정리!J25</f>
        <v>0</v>
      </c>
      <c r="G32" s="22">
        <f ca="1">정리!K25</f>
        <v>0</v>
      </c>
      <c r="H32" s="22"/>
      <c r="I32" s="22"/>
      <c r="J32" s="22"/>
      <c r="K32" s="23" t="str">
        <f ca="1">정리!L25</f>
        <v>0</v>
      </c>
      <c r="L32" s="23"/>
      <c r="M32" s="23"/>
      <c r="N32" s="23"/>
      <c r="O32" s="23"/>
      <c r="P32" s="1" t="str">
        <f ca="1">정리!C25</f>
        <v>000000</v>
      </c>
    </row>
    <row r="33" spans="1:16" ht="60" customHeight="1" x14ac:dyDescent="0.4">
      <c r="A33" s="4" t="str">
        <f ca="1">정리!D26&amp; CHAR(10) &amp;정리!E26</f>
        <v>0
0</v>
      </c>
      <c r="B33" s="4">
        <f ca="1">정리!B26</f>
        <v>0</v>
      </c>
      <c r="C33" s="4">
        <f ca="1">정리!G26</f>
        <v>0</v>
      </c>
      <c r="D33" s="5">
        <f ca="1">정리!H26</f>
        <v>0</v>
      </c>
      <c r="E33" s="6">
        <f ca="1">정리!I26</f>
        <v>0</v>
      </c>
      <c r="F33" s="6">
        <f ca="1">정리!J26</f>
        <v>0</v>
      </c>
      <c r="G33" s="24">
        <f ca="1">정리!K26</f>
        <v>0</v>
      </c>
      <c r="H33" s="24"/>
      <c r="I33" s="24"/>
      <c r="J33" s="24"/>
      <c r="K33" s="25" t="str">
        <f ca="1">정리!L26</f>
        <v>0</v>
      </c>
      <c r="L33" s="25"/>
      <c r="M33" s="25"/>
      <c r="N33" s="25"/>
      <c r="O33" s="25"/>
      <c r="P33" s="1" t="str">
        <f ca="1">정리!C26</f>
        <v>000000</v>
      </c>
    </row>
    <row r="34" spans="1:16" ht="60" customHeight="1" thickBot="1" x14ac:dyDescent="0.45">
      <c r="A34" s="2" t="str">
        <f ca="1">정리!D27&amp; CHAR(10) &amp;정리!E27</f>
        <v>0
0</v>
      </c>
      <c r="B34" s="2">
        <f ca="1">정리!B27</f>
        <v>0</v>
      </c>
      <c r="C34" s="2">
        <f ca="1">정리!G27</f>
        <v>0</v>
      </c>
      <c r="D34" s="5">
        <f ca="1">정리!H27</f>
        <v>0</v>
      </c>
      <c r="E34" s="3">
        <f ca="1">정리!I27</f>
        <v>0</v>
      </c>
      <c r="F34" s="3">
        <f ca="1">정리!J27</f>
        <v>0</v>
      </c>
      <c r="G34" s="22">
        <f ca="1">정리!K27</f>
        <v>0</v>
      </c>
      <c r="H34" s="22"/>
      <c r="I34" s="22"/>
      <c r="J34" s="22"/>
      <c r="K34" s="23" t="str">
        <f ca="1">정리!L27</f>
        <v>0</v>
      </c>
      <c r="L34" s="23"/>
      <c r="M34" s="23"/>
      <c r="N34" s="23"/>
      <c r="O34" s="23"/>
      <c r="P34" s="1" t="str">
        <f ca="1">정리!C27</f>
        <v>000000</v>
      </c>
    </row>
    <row r="35" spans="1:16" ht="60" customHeight="1" x14ac:dyDescent="0.4">
      <c r="A35" s="4" t="str">
        <f ca="1">정리!D28&amp; CHAR(10) &amp;정리!E28</f>
        <v>0
0</v>
      </c>
      <c r="B35" s="4">
        <f ca="1">정리!B28</f>
        <v>0</v>
      </c>
      <c r="C35" s="4">
        <f ca="1">정리!G28</f>
        <v>0</v>
      </c>
      <c r="D35" s="5">
        <f ca="1">정리!H28</f>
        <v>0</v>
      </c>
      <c r="E35" s="6">
        <f ca="1">정리!I28</f>
        <v>0</v>
      </c>
      <c r="F35" s="6">
        <f ca="1">정리!J28</f>
        <v>0</v>
      </c>
      <c r="G35" s="24">
        <f ca="1">정리!K28</f>
        <v>0</v>
      </c>
      <c r="H35" s="24"/>
      <c r="I35" s="24"/>
      <c r="J35" s="24"/>
      <c r="K35" s="25" t="str">
        <f ca="1">정리!L28</f>
        <v>0</v>
      </c>
      <c r="L35" s="25"/>
      <c r="M35" s="25"/>
      <c r="N35" s="25"/>
      <c r="O35" s="25"/>
      <c r="P35" s="1" t="str">
        <f ca="1">정리!C28</f>
        <v>000000</v>
      </c>
    </row>
    <row r="36" spans="1:16" ht="60" customHeight="1" thickBot="1" x14ac:dyDescent="0.45">
      <c r="A36" s="2" t="str">
        <f ca="1">정리!D29&amp; CHAR(10) &amp;정리!E29</f>
        <v>0
0</v>
      </c>
      <c r="B36" s="2">
        <f ca="1">정리!B29</f>
        <v>0</v>
      </c>
      <c r="C36" s="2">
        <f ca="1">정리!G29</f>
        <v>0</v>
      </c>
      <c r="D36" s="5">
        <f ca="1">정리!H29</f>
        <v>0</v>
      </c>
      <c r="E36" s="3">
        <f ca="1">정리!I29</f>
        <v>0</v>
      </c>
      <c r="F36" s="3">
        <f ca="1">정리!J29</f>
        <v>0</v>
      </c>
      <c r="G36" s="22">
        <f ca="1">정리!K29</f>
        <v>0</v>
      </c>
      <c r="H36" s="22"/>
      <c r="I36" s="22"/>
      <c r="J36" s="22"/>
      <c r="K36" s="23" t="str">
        <f ca="1">정리!L29</f>
        <v>0</v>
      </c>
      <c r="L36" s="23"/>
      <c r="M36" s="23"/>
      <c r="N36" s="23"/>
      <c r="O36" s="23"/>
      <c r="P36" s="1" t="str">
        <f ca="1">정리!C29</f>
        <v>000000</v>
      </c>
    </row>
    <row r="37" spans="1:16" ht="60" customHeight="1" x14ac:dyDescent="0.4">
      <c r="A37" s="4" t="str">
        <f ca="1">정리!D30&amp; CHAR(10) &amp;정리!E30</f>
        <v>0
0</v>
      </c>
      <c r="B37" s="4">
        <f ca="1">정리!B30</f>
        <v>0</v>
      </c>
      <c r="C37" s="4">
        <f ca="1">정리!G30</f>
        <v>0</v>
      </c>
      <c r="D37" s="5">
        <f ca="1">정리!H30</f>
        <v>0</v>
      </c>
      <c r="E37" s="6">
        <f ca="1">정리!I30</f>
        <v>0</v>
      </c>
      <c r="F37" s="6">
        <f ca="1">정리!J30</f>
        <v>0</v>
      </c>
      <c r="G37" s="24">
        <f ca="1">정리!K30</f>
        <v>0</v>
      </c>
      <c r="H37" s="24"/>
      <c r="I37" s="24"/>
      <c r="J37" s="24"/>
      <c r="K37" s="25" t="str">
        <f ca="1">정리!L30</f>
        <v>0</v>
      </c>
      <c r="L37" s="25"/>
      <c r="M37" s="25"/>
      <c r="N37" s="25"/>
      <c r="O37" s="25"/>
      <c r="P37" s="1" t="str">
        <f ca="1">정리!C30</f>
        <v>000000</v>
      </c>
    </row>
    <row r="38" spans="1:16" ht="60" customHeight="1" thickBot="1" x14ac:dyDescent="0.45">
      <c r="A38" s="2" t="str">
        <f ca="1">정리!D31&amp; CHAR(10) &amp;정리!E31</f>
        <v>0
0</v>
      </c>
      <c r="B38" s="2">
        <f ca="1">정리!B31</f>
        <v>0</v>
      </c>
      <c r="C38" s="2">
        <f ca="1">정리!G31</f>
        <v>0</v>
      </c>
      <c r="D38" s="5">
        <f ca="1">정리!H31</f>
        <v>0</v>
      </c>
      <c r="E38" s="3">
        <f ca="1">정리!I31</f>
        <v>0</v>
      </c>
      <c r="F38" s="3">
        <f ca="1">정리!J31</f>
        <v>0</v>
      </c>
      <c r="G38" s="22">
        <f ca="1">정리!K31</f>
        <v>0</v>
      </c>
      <c r="H38" s="22"/>
      <c r="I38" s="22"/>
      <c r="J38" s="22"/>
      <c r="K38" s="23" t="str">
        <f ca="1">정리!L31</f>
        <v>0</v>
      </c>
      <c r="L38" s="23"/>
      <c r="M38" s="23"/>
      <c r="N38" s="23"/>
      <c r="O38" s="23"/>
      <c r="P38" s="1" t="str">
        <f ca="1">정리!C31</f>
        <v>000000</v>
      </c>
    </row>
    <row r="39" spans="1:16" ht="60" customHeight="1" x14ac:dyDescent="0.4">
      <c r="A39" s="4" t="str">
        <f ca="1">정리!D32&amp; CHAR(10) &amp;정리!E32</f>
        <v>0
0</v>
      </c>
      <c r="B39" s="4">
        <f ca="1">정리!B32</f>
        <v>0</v>
      </c>
      <c r="C39" s="4">
        <f ca="1">정리!G32</f>
        <v>0</v>
      </c>
      <c r="D39" s="5">
        <f ca="1">정리!H32</f>
        <v>0</v>
      </c>
      <c r="E39" s="6">
        <f ca="1">정리!I32</f>
        <v>0</v>
      </c>
      <c r="F39" s="6">
        <f ca="1">정리!J32</f>
        <v>0</v>
      </c>
      <c r="G39" s="24">
        <f ca="1">정리!K32</f>
        <v>0</v>
      </c>
      <c r="H39" s="24"/>
      <c r="I39" s="24"/>
      <c r="J39" s="24"/>
      <c r="K39" s="25" t="str">
        <f ca="1">정리!L32</f>
        <v>0</v>
      </c>
      <c r="L39" s="25"/>
      <c r="M39" s="25"/>
      <c r="N39" s="25"/>
      <c r="O39" s="25"/>
      <c r="P39" s="1" t="str">
        <f ca="1">정리!C32</f>
        <v>000000</v>
      </c>
    </row>
    <row r="40" spans="1:16" ht="60" customHeight="1" thickBot="1" x14ac:dyDescent="0.45">
      <c r="A40" s="2" t="str">
        <f ca="1">정리!D33&amp; CHAR(10) &amp;정리!E33</f>
        <v>0
0</v>
      </c>
      <c r="B40" s="2">
        <f ca="1">정리!B33</f>
        <v>0</v>
      </c>
      <c r="C40" s="2">
        <f ca="1">정리!G33</f>
        <v>0</v>
      </c>
      <c r="D40" s="5">
        <f ca="1">정리!H33</f>
        <v>0</v>
      </c>
      <c r="E40" s="3">
        <f ca="1">정리!I33</f>
        <v>0</v>
      </c>
      <c r="F40" s="3">
        <f ca="1">정리!J33</f>
        <v>0</v>
      </c>
      <c r="G40" s="22">
        <f ca="1">정리!K33</f>
        <v>0</v>
      </c>
      <c r="H40" s="22"/>
      <c r="I40" s="22"/>
      <c r="J40" s="22"/>
      <c r="K40" s="23" t="str">
        <f ca="1">정리!L33</f>
        <v>0</v>
      </c>
      <c r="L40" s="23"/>
      <c r="M40" s="23"/>
      <c r="N40" s="23"/>
      <c r="O40" s="23"/>
      <c r="P40" s="1" t="str">
        <f ca="1">정리!C33</f>
        <v>000000</v>
      </c>
    </row>
    <row r="41" spans="1:16" ht="60" customHeight="1" x14ac:dyDescent="0.4">
      <c r="A41" s="4" t="str">
        <f ca="1">정리!D34&amp; CHAR(10) &amp;정리!E34</f>
        <v>0
0</v>
      </c>
      <c r="B41" s="4">
        <f ca="1">정리!B34</f>
        <v>0</v>
      </c>
      <c r="C41" s="4">
        <f ca="1">정리!G34</f>
        <v>0</v>
      </c>
      <c r="D41" s="5">
        <f ca="1">정리!H34</f>
        <v>0</v>
      </c>
      <c r="E41" s="6">
        <f ca="1">정리!I34</f>
        <v>0</v>
      </c>
      <c r="F41" s="6">
        <f ca="1">정리!J34</f>
        <v>0</v>
      </c>
      <c r="G41" s="24">
        <f ca="1">정리!K34</f>
        <v>0</v>
      </c>
      <c r="H41" s="24"/>
      <c r="I41" s="24"/>
      <c r="J41" s="24"/>
      <c r="K41" s="25" t="str">
        <f ca="1">정리!L34</f>
        <v>0</v>
      </c>
      <c r="L41" s="25"/>
      <c r="M41" s="25"/>
      <c r="N41" s="25"/>
      <c r="O41" s="25"/>
      <c r="P41" s="1" t="str">
        <f ca="1">정리!C34</f>
        <v>000000</v>
      </c>
    </row>
    <row r="42" spans="1:16" ht="60" customHeight="1" thickBot="1" x14ac:dyDescent="0.45">
      <c r="A42" s="2" t="str">
        <f ca="1">정리!D35&amp; CHAR(10) &amp;정리!E35</f>
        <v>0
0</v>
      </c>
      <c r="B42" s="2">
        <f ca="1">정리!B35</f>
        <v>0</v>
      </c>
      <c r="C42" s="2">
        <f ca="1">정리!G35</f>
        <v>0</v>
      </c>
      <c r="D42" s="5">
        <f ca="1">정리!H35</f>
        <v>0</v>
      </c>
      <c r="E42" s="3">
        <f ca="1">정리!I35</f>
        <v>0</v>
      </c>
      <c r="F42" s="3">
        <f ca="1">정리!J35</f>
        <v>0</v>
      </c>
      <c r="G42" s="22">
        <f ca="1">정리!K35</f>
        <v>0</v>
      </c>
      <c r="H42" s="22"/>
      <c r="I42" s="22"/>
      <c r="J42" s="22"/>
      <c r="K42" s="23" t="str">
        <f ca="1">정리!L35</f>
        <v>0</v>
      </c>
      <c r="L42" s="23"/>
      <c r="M42" s="23"/>
      <c r="N42" s="23"/>
      <c r="O42" s="23"/>
      <c r="P42" s="1" t="str">
        <f ca="1">정리!C35</f>
        <v>000000</v>
      </c>
    </row>
    <row r="43" spans="1:16" ht="60" customHeight="1" x14ac:dyDescent="0.4">
      <c r="A43" s="4" t="str">
        <f ca="1">정리!D36&amp; CHAR(10) &amp;정리!E36</f>
        <v>0
0</v>
      </c>
      <c r="B43" s="4">
        <f ca="1">정리!B36</f>
        <v>0</v>
      </c>
      <c r="C43" s="4">
        <f ca="1">정리!G36</f>
        <v>0</v>
      </c>
      <c r="D43" s="5">
        <f ca="1">정리!H36</f>
        <v>0</v>
      </c>
      <c r="E43" s="6">
        <f ca="1">정리!I36</f>
        <v>0</v>
      </c>
      <c r="F43" s="6">
        <f ca="1">정리!J36</f>
        <v>0</v>
      </c>
      <c r="G43" s="24">
        <f ca="1">정리!K36</f>
        <v>0</v>
      </c>
      <c r="H43" s="24"/>
      <c r="I43" s="24"/>
      <c r="J43" s="24"/>
      <c r="K43" s="25" t="str">
        <f ca="1">정리!L36</f>
        <v>0</v>
      </c>
      <c r="L43" s="25"/>
      <c r="M43" s="25"/>
      <c r="N43" s="25"/>
      <c r="O43" s="25"/>
      <c r="P43" s="1" t="str">
        <f ca="1">정리!C36</f>
        <v>000000</v>
      </c>
    </row>
    <row r="44" spans="1:16" ht="60" customHeight="1" thickBot="1" x14ac:dyDescent="0.45">
      <c r="A44" s="2" t="str">
        <f ca="1">정리!D37&amp; CHAR(10) &amp;정리!E37</f>
        <v>0
0</v>
      </c>
      <c r="B44" s="2">
        <f ca="1">정리!B37</f>
        <v>0</v>
      </c>
      <c r="C44" s="2">
        <f ca="1">정리!G37</f>
        <v>0</v>
      </c>
      <c r="D44" s="5">
        <f ca="1">정리!H37</f>
        <v>0</v>
      </c>
      <c r="E44" s="3">
        <f ca="1">정리!I37</f>
        <v>0</v>
      </c>
      <c r="F44" s="3">
        <f ca="1">정리!J37</f>
        <v>0</v>
      </c>
      <c r="G44" s="22">
        <f ca="1">정리!K37</f>
        <v>0</v>
      </c>
      <c r="H44" s="22"/>
      <c r="I44" s="22"/>
      <c r="J44" s="22"/>
      <c r="K44" s="23" t="str">
        <f ca="1">정리!L37</f>
        <v>0</v>
      </c>
      <c r="L44" s="23"/>
      <c r="M44" s="23"/>
      <c r="N44" s="23"/>
      <c r="O44" s="23"/>
      <c r="P44" s="1" t="str">
        <f ca="1">정리!C37</f>
        <v>000000</v>
      </c>
    </row>
    <row r="45" spans="1:16" ht="60" customHeight="1" x14ac:dyDescent="0.4">
      <c r="A45" s="4" t="str">
        <f ca="1">정리!D38&amp; CHAR(10) &amp;정리!E38</f>
        <v>0
0</v>
      </c>
      <c r="B45" s="4">
        <f ca="1">정리!B38</f>
        <v>0</v>
      </c>
      <c r="C45" s="4">
        <f ca="1">정리!G38</f>
        <v>0</v>
      </c>
      <c r="D45" s="5">
        <f ca="1">정리!H38</f>
        <v>0</v>
      </c>
      <c r="E45" s="6">
        <f ca="1">정리!I38</f>
        <v>0</v>
      </c>
      <c r="F45" s="6">
        <f ca="1">정리!J38</f>
        <v>0</v>
      </c>
      <c r="G45" s="24">
        <f ca="1">정리!K38</f>
        <v>0</v>
      </c>
      <c r="H45" s="24"/>
      <c r="I45" s="24"/>
      <c r="J45" s="24"/>
      <c r="K45" s="25" t="str">
        <f ca="1">정리!L38</f>
        <v>0</v>
      </c>
      <c r="L45" s="25"/>
      <c r="M45" s="25"/>
      <c r="N45" s="25"/>
      <c r="O45" s="25"/>
      <c r="P45" s="1" t="str">
        <f ca="1">정리!C38</f>
        <v>000000</v>
      </c>
    </row>
    <row r="46" spans="1:16" ht="60" customHeight="1" thickBot="1" x14ac:dyDescent="0.45">
      <c r="A46" s="2" t="str">
        <f ca="1">정리!D39&amp; CHAR(10) &amp;정리!E39</f>
        <v>0
0</v>
      </c>
      <c r="B46" s="2">
        <f ca="1">정리!B39</f>
        <v>0</v>
      </c>
      <c r="C46" s="2">
        <f ca="1">정리!G39</f>
        <v>0</v>
      </c>
      <c r="D46" s="5">
        <f ca="1">정리!H39</f>
        <v>0</v>
      </c>
      <c r="E46" s="3">
        <f ca="1">정리!I39</f>
        <v>0</v>
      </c>
      <c r="F46" s="3">
        <f ca="1">정리!J39</f>
        <v>0</v>
      </c>
      <c r="G46" s="22">
        <f ca="1">정리!K39</f>
        <v>0</v>
      </c>
      <c r="H46" s="22"/>
      <c r="I46" s="22"/>
      <c r="J46" s="22"/>
      <c r="K46" s="23" t="str">
        <f ca="1">정리!L39</f>
        <v>0</v>
      </c>
      <c r="L46" s="23"/>
      <c r="M46" s="23"/>
      <c r="N46" s="23"/>
      <c r="O46" s="23"/>
      <c r="P46" s="1" t="str">
        <f ca="1">정리!C39</f>
        <v>000000</v>
      </c>
    </row>
    <row r="47" spans="1:16" ht="60" customHeight="1" x14ac:dyDescent="0.4">
      <c r="A47" s="4" t="str">
        <f ca="1">정리!D40&amp; CHAR(10) &amp;정리!E40</f>
        <v>0
0</v>
      </c>
      <c r="B47" s="4">
        <f ca="1">정리!B40</f>
        <v>0</v>
      </c>
      <c r="C47" s="4">
        <f ca="1">정리!G40</f>
        <v>0</v>
      </c>
      <c r="D47" s="5">
        <f ca="1">정리!H40</f>
        <v>0</v>
      </c>
      <c r="E47" s="6">
        <f ca="1">정리!I40</f>
        <v>0</v>
      </c>
      <c r="F47" s="6">
        <f ca="1">정리!J40</f>
        <v>0</v>
      </c>
      <c r="G47" s="24">
        <f ca="1">정리!K40</f>
        <v>0</v>
      </c>
      <c r="H47" s="24"/>
      <c r="I47" s="24"/>
      <c r="J47" s="24"/>
      <c r="K47" s="25" t="str">
        <f ca="1">정리!L40</f>
        <v>0</v>
      </c>
      <c r="L47" s="25"/>
      <c r="M47" s="25"/>
      <c r="N47" s="25"/>
      <c r="O47" s="25"/>
      <c r="P47" s="1" t="str">
        <f ca="1">정리!C40</f>
        <v>000000</v>
      </c>
    </row>
    <row r="48" spans="1:16" ht="60" customHeight="1" thickBot="1" x14ac:dyDescent="0.45">
      <c r="A48" s="2" t="str">
        <f ca="1">정리!D41&amp; CHAR(10) &amp;정리!E41</f>
        <v>0
0</v>
      </c>
      <c r="B48" s="2">
        <f ca="1">정리!B41</f>
        <v>0</v>
      </c>
      <c r="C48" s="2">
        <f ca="1">정리!G41</f>
        <v>0</v>
      </c>
      <c r="D48" s="5">
        <f ca="1">정리!H41</f>
        <v>0</v>
      </c>
      <c r="E48" s="3">
        <f ca="1">정리!I41</f>
        <v>0</v>
      </c>
      <c r="F48" s="3">
        <f ca="1">정리!J41</f>
        <v>0</v>
      </c>
      <c r="G48" s="22">
        <f ca="1">정리!K41</f>
        <v>0</v>
      </c>
      <c r="H48" s="22"/>
      <c r="I48" s="22"/>
      <c r="J48" s="22"/>
      <c r="K48" s="23" t="str">
        <f ca="1">정리!L41</f>
        <v>0</v>
      </c>
      <c r="L48" s="23"/>
      <c r="M48" s="23"/>
      <c r="N48" s="23"/>
      <c r="O48" s="23"/>
      <c r="P48" s="1" t="str">
        <f ca="1">정리!C41</f>
        <v>000000</v>
      </c>
    </row>
    <row r="49" spans="1:16" ht="60" customHeight="1" x14ac:dyDescent="0.4">
      <c r="A49" s="4" t="str">
        <f ca="1">정리!D42&amp; CHAR(10) &amp;정리!E42</f>
        <v>0
0</v>
      </c>
      <c r="B49" s="4">
        <f ca="1">정리!B42</f>
        <v>0</v>
      </c>
      <c r="C49" s="4">
        <f ca="1">정리!G42</f>
        <v>0</v>
      </c>
      <c r="D49" s="5">
        <f ca="1">정리!H42</f>
        <v>0</v>
      </c>
      <c r="E49" s="6">
        <f ca="1">정리!I42</f>
        <v>0</v>
      </c>
      <c r="F49" s="6">
        <f ca="1">정리!J42</f>
        <v>0</v>
      </c>
      <c r="G49" s="24">
        <f ca="1">정리!K42</f>
        <v>0</v>
      </c>
      <c r="H49" s="24"/>
      <c r="I49" s="24"/>
      <c r="J49" s="24"/>
      <c r="K49" s="25" t="str">
        <f ca="1">정리!L42</f>
        <v>0</v>
      </c>
      <c r="L49" s="25"/>
      <c r="M49" s="25"/>
      <c r="N49" s="25"/>
      <c r="O49" s="25"/>
      <c r="P49" s="1" t="str">
        <f ca="1">정리!C42</f>
        <v>000000</v>
      </c>
    </row>
    <row r="50" spans="1:16" ht="60" customHeight="1" thickBot="1" x14ac:dyDescent="0.45">
      <c r="A50" s="2" t="str">
        <f ca="1">정리!D43&amp; CHAR(10) &amp;정리!E43</f>
        <v>0
0</v>
      </c>
      <c r="B50" s="2">
        <f ca="1">정리!B43</f>
        <v>0</v>
      </c>
      <c r="C50" s="2">
        <f ca="1">정리!G43</f>
        <v>0</v>
      </c>
      <c r="D50" s="5">
        <f ca="1">정리!H43</f>
        <v>0</v>
      </c>
      <c r="E50" s="3">
        <f ca="1">정리!I43</f>
        <v>0</v>
      </c>
      <c r="F50" s="3">
        <f ca="1">정리!J43</f>
        <v>0</v>
      </c>
      <c r="G50" s="22">
        <f ca="1">정리!K43</f>
        <v>0</v>
      </c>
      <c r="H50" s="22"/>
      <c r="I50" s="22"/>
      <c r="J50" s="22"/>
      <c r="K50" s="23" t="str">
        <f ca="1">정리!L43</f>
        <v>0</v>
      </c>
      <c r="L50" s="23"/>
      <c r="M50" s="23"/>
      <c r="N50" s="23"/>
      <c r="O50" s="23"/>
      <c r="P50" s="1" t="str">
        <f ca="1">정리!C43</f>
        <v>000000</v>
      </c>
    </row>
    <row r="51" spans="1:16" ht="60" customHeight="1" x14ac:dyDescent="0.4">
      <c r="A51" s="4" t="str">
        <f ca="1">정리!D44&amp; CHAR(10) &amp;정리!E44</f>
        <v>0
0</v>
      </c>
      <c r="B51" s="4">
        <f ca="1">정리!B44</f>
        <v>0</v>
      </c>
      <c r="C51" s="4">
        <f ca="1">정리!G44</f>
        <v>0</v>
      </c>
      <c r="D51" s="5">
        <f ca="1">정리!H44</f>
        <v>0</v>
      </c>
      <c r="E51" s="6">
        <f ca="1">정리!I44</f>
        <v>0</v>
      </c>
      <c r="F51" s="6">
        <f ca="1">정리!J44</f>
        <v>0</v>
      </c>
      <c r="G51" s="24">
        <f ca="1">정리!K44</f>
        <v>0</v>
      </c>
      <c r="H51" s="24"/>
      <c r="I51" s="24"/>
      <c r="J51" s="24"/>
      <c r="K51" s="25" t="str">
        <f ca="1">정리!L44</f>
        <v>0</v>
      </c>
      <c r="L51" s="25"/>
      <c r="M51" s="25"/>
      <c r="N51" s="25"/>
      <c r="O51" s="25"/>
      <c r="P51" s="1" t="str">
        <f ca="1">정리!C44</f>
        <v>000000</v>
      </c>
    </row>
    <row r="52" spans="1:16" ht="60" customHeight="1" thickBot="1" x14ac:dyDescent="0.45">
      <c r="A52" s="2" t="str">
        <f ca="1">정리!D45&amp; CHAR(10) &amp;정리!E45</f>
        <v>0
0</v>
      </c>
      <c r="B52" s="2">
        <f ca="1">정리!B45</f>
        <v>0</v>
      </c>
      <c r="C52" s="2">
        <f ca="1">정리!G45</f>
        <v>0</v>
      </c>
      <c r="D52" s="5">
        <f ca="1">정리!H45</f>
        <v>0</v>
      </c>
      <c r="E52" s="3">
        <f ca="1">정리!I45</f>
        <v>0</v>
      </c>
      <c r="F52" s="3">
        <f ca="1">정리!J45</f>
        <v>0</v>
      </c>
      <c r="G52" s="22">
        <f ca="1">정리!K45</f>
        <v>0</v>
      </c>
      <c r="H52" s="22"/>
      <c r="I52" s="22"/>
      <c r="J52" s="22"/>
      <c r="K52" s="23" t="str">
        <f ca="1">정리!L45</f>
        <v>0</v>
      </c>
      <c r="L52" s="23"/>
      <c r="M52" s="23"/>
      <c r="N52" s="23"/>
      <c r="O52" s="23"/>
      <c r="P52" s="1" t="str">
        <f ca="1">정리!C45</f>
        <v>000000</v>
      </c>
    </row>
    <row r="53" spans="1:16" ht="60" customHeight="1" x14ac:dyDescent="0.4">
      <c r="A53" s="4" t="str">
        <f ca="1">정리!D46&amp; CHAR(10) &amp;정리!E46</f>
        <v>0
0</v>
      </c>
      <c r="B53" s="4">
        <f ca="1">정리!B46</f>
        <v>0</v>
      </c>
      <c r="C53" s="4">
        <f ca="1">정리!G46</f>
        <v>0</v>
      </c>
      <c r="D53" s="5">
        <f ca="1">정리!H46</f>
        <v>0</v>
      </c>
      <c r="E53" s="6">
        <f ca="1">정리!I46</f>
        <v>0</v>
      </c>
      <c r="F53" s="6">
        <f ca="1">정리!J46</f>
        <v>0</v>
      </c>
      <c r="G53" s="24">
        <f ca="1">정리!K46</f>
        <v>0</v>
      </c>
      <c r="H53" s="24"/>
      <c r="I53" s="24"/>
      <c r="J53" s="24"/>
      <c r="K53" s="25" t="str">
        <f ca="1">정리!L46</f>
        <v>0</v>
      </c>
      <c r="L53" s="25"/>
      <c r="M53" s="25"/>
      <c r="N53" s="25"/>
      <c r="O53" s="25"/>
      <c r="P53" s="1" t="str">
        <f ca="1">정리!C46</f>
        <v>000000</v>
      </c>
    </row>
    <row r="54" spans="1:16" ht="60" customHeight="1" thickBot="1" x14ac:dyDescent="0.45">
      <c r="A54" s="2" t="str">
        <f ca="1">정리!D47&amp; CHAR(10) &amp;정리!E47</f>
        <v>0
0</v>
      </c>
      <c r="B54" s="2">
        <f ca="1">정리!B47</f>
        <v>0</v>
      </c>
      <c r="C54" s="2">
        <f ca="1">정리!G47</f>
        <v>0</v>
      </c>
      <c r="D54" s="5">
        <f ca="1">정리!H47</f>
        <v>0</v>
      </c>
      <c r="E54" s="3">
        <f ca="1">정리!I47</f>
        <v>0</v>
      </c>
      <c r="F54" s="3">
        <f ca="1">정리!J47</f>
        <v>0</v>
      </c>
      <c r="G54" s="22">
        <f ca="1">정리!K47</f>
        <v>0</v>
      </c>
      <c r="H54" s="22"/>
      <c r="I54" s="22"/>
      <c r="J54" s="22"/>
      <c r="K54" s="23" t="str">
        <f ca="1">정리!L47</f>
        <v>0</v>
      </c>
      <c r="L54" s="23"/>
      <c r="M54" s="23"/>
      <c r="N54" s="23"/>
      <c r="O54" s="23"/>
      <c r="P54" s="1" t="str">
        <f ca="1">정리!C47</f>
        <v>000000</v>
      </c>
    </row>
    <row r="55" spans="1:16" ht="60" customHeight="1" x14ac:dyDescent="0.4">
      <c r="A55" s="4" t="str">
        <f ca="1">정리!D48&amp; CHAR(10) &amp;정리!E48</f>
        <v>0
0</v>
      </c>
      <c r="B55" s="4">
        <f ca="1">정리!B48</f>
        <v>0</v>
      </c>
      <c r="C55" s="4">
        <f ca="1">정리!G48</f>
        <v>0</v>
      </c>
      <c r="D55" s="5">
        <f ca="1">정리!H48</f>
        <v>0</v>
      </c>
      <c r="E55" s="6">
        <f ca="1">정리!I48</f>
        <v>0</v>
      </c>
      <c r="F55" s="6">
        <f ca="1">정리!J48</f>
        <v>0</v>
      </c>
      <c r="G55" s="24">
        <f ca="1">정리!K48</f>
        <v>0</v>
      </c>
      <c r="H55" s="24"/>
      <c r="I55" s="24"/>
      <c r="J55" s="24"/>
      <c r="K55" s="25" t="str">
        <f ca="1">정리!L48</f>
        <v>0</v>
      </c>
      <c r="L55" s="25"/>
      <c r="M55" s="25"/>
      <c r="N55" s="25"/>
      <c r="O55" s="25"/>
      <c r="P55" s="1" t="str">
        <f ca="1">정리!C48</f>
        <v>000000</v>
      </c>
    </row>
    <row r="56" spans="1:16" ht="60" customHeight="1" thickBot="1" x14ac:dyDescent="0.45">
      <c r="A56" s="2" t="str">
        <f ca="1">정리!D49&amp; CHAR(10) &amp;정리!E49</f>
        <v>0
0</v>
      </c>
      <c r="B56" s="2">
        <f ca="1">정리!B49</f>
        <v>0</v>
      </c>
      <c r="C56" s="2">
        <f ca="1">정리!G49</f>
        <v>0</v>
      </c>
      <c r="D56" s="5">
        <f ca="1">정리!H49</f>
        <v>0</v>
      </c>
      <c r="E56" s="3">
        <f ca="1">정리!I49</f>
        <v>0</v>
      </c>
      <c r="F56" s="3">
        <f ca="1">정리!J49</f>
        <v>0</v>
      </c>
      <c r="G56" s="22">
        <f ca="1">정리!K49</f>
        <v>0</v>
      </c>
      <c r="H56" s="22"/>
      <c r="I56" s="22"/>
      <c r="J56" s="22"/>
      <c r="K56" s="23" t="str">
        <f ca="1">정리!L49</f>
        <v>0</v>
      </c>
      <c r="L56" s="23"/>
      <c r="M56" s="23"/>
      <c r="N56" s="23"/>
      <c r="O56" s="23"/>
      <c r="P56" s="1" t="str">
        <f ca="1">정리!C49</f>
        <v>000000</v>
      </c>
    </row>
    <row r="57" spans="1:16" ht="60" customHeight="1" x14ac:dyDescent="0.4">
      <c r="A57" s="4" t="str">
        <f ca="1">정리!D50&amp; CHAR(10) &amp;정리!E50</f>
        <v>0
0</v>
      </c>
      <c r="B57" s="4">
        <f ca="1">정리!B50</f>
        <v>0</v>
      </c>
      <c r="C57" s="4">
        <f ca="1">정리!G50</f>
        <v>0</v>
      </c>
      <c r="D57" s="5">
        <f ca="1">정리!H50</f>
        <v>0</v>
      </c>
      <c r="E57" s="6">
        <f ca="1">정리!I50</f>
        <v>0</v>
      </c>
      <c r="F57" s="6">
        <f ca="1">정리!J50</f>
        <v>0</v>
      </c>
      <c r="G57" s="24">
        <f ca="1">정리!K50</f>
        <v>0</v>
      </c>
      <c r="H57" s="24"/>
      <c r="I57" s="24"/>
      <c r="J57" s="24"/>
      <c r="K57" s="25" t="str">
        <f ca="1">정리!L50</f>
        <v>0</v>
      </c>
      <c r="L57" s="25"/>
      <c r="M57" s="25"/>
      <c r="N57" s="25"/>
      <c r="O57" s="25"/>
      <c r="P57" s="1" t="str">
        <f ca="1">정리!C50</f>
        <v>000000</v>
      </c>
    </row>
    <row r="58" spans="1:16" ht="60" customHeight="1" thickBot="1" x14ac:dyDescent="0.45">
      <c r="A58" s="2" t="str">
        <f ca="1">정리!D51&amp; CHAR(10) &amp;정리!E51</f>
        <v>0
0</v>
      </c>
      <c r="B58" s="2">
        <f ca="1">정리!B51</f>
        <v>0</v>
      </c>
      <c r="C58" s="2">
        <f ca="1">정리!G51</f>
        <v>0</v>
      </c>
      <c r="D58" s="5">
        <f ca="1">정리!H51</f>
        <v>0</v>
      </c>
      <c r="E58" s="3">
        <f ca="1">정리!I51</f>
        <v>0</v>
      </c>
      <c r="F58" s="3">
        <f ca="1">정리!J51</f>
        <v>0</v>
      </c>
      <c r="G58" s="22">
        <f ca="1">정리!K51</f>
        <v>0</v>
      </c>
      <c r="H58" s="22"/>
      <c r="I58" s="22"/>
      <c r="J58" s="22"/>
      <c r="K58" s="23" t="str">
        <f ca="1">정리!L51</f>
        <v>0</v>
      </c>
      <c r="L58" s="23"/>
      <c r="M58" s="23"/>
      <c r="N58" s="23"/>
      <c r="O58" s="23"/>
      <c r="P58" s="1" t="str">
        <f ca="1">정리!C51</f>
        <v>000000</v>
      </c>
    </row>
    <row r="59" spans="1:16" ht="60" customHeight="1" x14ac:dyDescent="0.4">
      <c r="A59" s="4" t="str">
        <f ca="1">정리!D52&amp; CHAR(10) &amp;정리!E52</f>
        <v>0
0</v>
      </c>
      <c r="B59" s="4">
        <f ca="1">정리!B52</f>
        <v>0</v>
      </c>
      <c r="C59" s="4">
        <f ca="1">정리!G52</f>
        <v>0</v>
      </c>
      <c r="D59" s="5">
        <f ca="1">정리!H52</f>
        <v>0</v>
      </c>
      <c r="E59" s="6">
        <f ca="1">정리!I52</f>
        <v>0</v>
      </c>
      <c r="F59" s="6">
        <f ca="1">정리!J52</f>
        <v>0</v>
      </c>
      <c r="G59" s="24">
        <f ca="1">정리!K52</f>
        <v>0</v>
      </c>
      <c r="H59" s="24"/>
      <c r="I59" s="24"/>
      <c r="J59" s="24"/>
      <c r="K59" s="25" t="str">
        <f ca="1">정리!L52</f>
        <v>0</v>
      </c>
      <c r="L59" s="25"/>
      <c r="M59" s="25"/>
      <c r="N59" s="25"/>
      <c r="O59" s="25"/>
      <c r="P59" s="1" t="str">
        <f ca="1">정리!C52</f>
        <v>000000</v>
      </c>
    </row>
    <row r="60" spans="1:16" ht="60" customHeight="1" thickBot="1" x14ac:dyDescent="0.45">
      <c r="A60" s="2" t="str">
        <f ca="1">정리!D53&amp; CHAR(10) &amp;정리!E53</f>
        <v>0
0</v>
      </c>
      <c r="B60" s="2">
        <f ca="1">정리!B53</f>
        <v>0</v>
      </c>
      <c r="C60" s="2">
        <f ca="1">정리!G53</f>
        <v>0</v>
      </c>
      <c r="D60" s="5">
        <f ca="1">정리!H53</f>
        <v>0</v>
      </c>
      <c r="E60" s="3">
        <f ca="1">정리!I53</f>
        <v>0</v>
      </c>
      <c r="F60" s="3">
        <f ca="1">정리!J53</f>
        <v>0</v>
      </c>
      <c r="G60" s="22">
        <f ca="1">정리!K53</f>
        <v>0</v>
      </c>
      <c r="H60" s="22"/>
      <c r="I60" s="22"/>
      <c r="J60" s="22"/>
      <c r="K60" s="23" t="str">
        <f ca="1">정리!L53</f>
        <v>0</v>
      </c>
      <c r="L60" s="23"/>
      <c r="M60" s="23"/>
      <c r="N60" s="23"/>
      <c r="O60" s="23"/>
      <c r="P60" s="1" t="str">
        <f ca="1">정리!C53</f>
        <v>000000</v>
      </c>
    </row>
    <row r="61" spans="1:16" ht="60" customHeight="1" x14ac:dyDescent="0.4">
      <c r="A61" s="4" t="str">
        <f ca="1">정리!D54&amp; CHAR(10) &amp;정리!E54</f>
        <v>0
0</v>
      </c>
      <c r="B61" s="4">
        <f ca="1">정리!B54</f>
        <v>0</v>
      </c>
      <c r="C61" s="4">
        <f ca="1">정리!G54</f>
        <v>0</v>
      </c>
      <c r="D61" s="5">
        <f ca="1">정리!H54</f>
        <v>0</v>
      </c>
      <c r="E61" s="6">
        <f ca="1">정리!I54</f>
        <v>0</v>
      </c>
      <c r="F61" s="6">
        <f ca="1">정리!J54</f>
        <v>0</v>
      </c>
      <c r="G61" s="24">
        <f ca="1">정리!K54</f>
        <v>0</v>
      </c>
      <c r="H61" s="24"/>
      <c r="I61" s="24"/>
      <c r="J61" s="24"/>
      <c r="K61" s="25" t="str">
        <f ca="1">정리!L54</f>
        <v>0</v>
      </c>
      <c r="L61" s="25"/>
      <c r="M61" s="25"/>
      <c r="N61" s="25"/>
      <c r="O61" s="25"/>
      <c r="P61" s="1" t="str">
        <f ca="1">정리!C54</f>
        <v>000000</v>
      </c>
    </row>
    <row r="62" spans="1:16" ht="60" customHeight="1" thickBot="1" x14ac:dyDescent="0.45">
      <c r="A62" s="2" t="str">
        <f ca="1">정리!D55&amp; CHAR(10) &amp;정리!E55</f>
        <v>0
0</v>
      </c>
      <c r="B62" s="2">
        <f ca="1">정리!B55</f>
        <v>0</v>
      </c>
      <c r="C62" s="2">
        <f ca="1">정리!G55</f>
        <v>0</v>
      </c>
      <c r="D62" s="5">
        <f ca="1">정리!H55</f>
        <v>0</v>
      </c>
      <c r="E62" s="3">
        <f ca="1">정리!I55</f>
        <v>0</v>
      </c>
      <c r="F62" s="3">
        <f ca="1">정리!J55</f>
        <v>0</v>
      </c>
      <c r="G62" s="22">
        <f ca="1">정리!K55</f>
        <v>0</v>
      </c>
      <c r="H62" s="22"/>
      <c r="I62" s="22"/>
      <c r="J62" s="22"/>
      <c r="K62" s="23" t="str">
        <f ca="1">정리!L55</f>
        <v>0</v>
      </c>
      <c r="L62" s="23"/>
      <c r="M62" s="23"/>
      <c r="N62" s="23"/>
      <c r="O62" s="23"/>
      <c r="P62" s="1" t="str">
        <f ca="1">정리!C55</f>
        <v>000000</v>
      </c>
    </row>
    <row r="63" spans="1:16" ht="60" customHeight="1" x14ac:dyDescent="0.4">
      <c r="A63" s="4" t="str">
        <f ca="1">정리!D56&amp; CHAR(10) &amp;정리!E56</f>
        <v>0
0</v>
      </c>
      <c r="B63" s="4">
        <f ca="1">정리!B56</f>
        <v>0</v>
      </c>
      <c r="C63" s="4">
        <f ca="1">정리!G56</f>
        <v>0</v>
      </c>
      <c r="D63" s="5">
        <f ca="1">정리!H56</f>
        <v>0</v>
      </c>
      <c r="E63" s="6">
        <f ca="1">정리!I56</f>
        <v>0</v>
      </c>
      <c r="F63" s="6">
        <f ca="1">정리!J56</f>
        <v>0</v>
      </c>
      <c r="G63" s="24">
        <f ca="1">정리!K56</f>
        <v>0</v>
      </c>
      <c r="H63" s="24"/>
      <c r="I63" s="24"/>
      <c r="J63" s="24"/>
      <c r="K63" s="25" t="str">
        <f ca="1">정리!L56</f>
        <v>0</v>
      </c>
      <c r="L63" s="25"/>
      <c r="M63" s="25"/>
      <c r="N63" s="25"/>
      <c r="O63" s="25"/>
      <c r="P63" s="1" t="str">
        <f ca="1">정리!C56</f>
        <v>000000</v>
      </c>
    </row>
    <row r="64" spans="1:16" ht="60" customHeight="1" thickBot="1" x14ac:dyDescent="0.45">
      <c r="A64" s="2" t="str">
        <f ca="1">정리!D57&amp; CHAR(10) &amp;정리!E57</f>
        <v>0
0</v>
      </c>
      <c r="B64" s="2">
        <f ca="1">정리!B57</f>
        <v>0</v>
      </c>
      <c r="C64" s="2">
        <f ca="1">정리!G57</f>
        <v>0</v>
      </c>
      <c r="D64" s="5">
        <f ca="1">정리!H57</f>
        <v>0</v>
      </c>
      <c r="E64" s="3">
        <f ca="1">정리!I57</f>
        <v>0</v>
      </c>
      <c r="F64" s="3">
        <f ca="1">정리!J57</f>
        <v>0</v>
      </c>
      <c r="G64" s="22">
        <f ca="1">정리!K57</f>
        <v>0</v>
      </c>
      <c r="H64" s="22"/>
      <c r="I64" s="22"/>
      <c r="J64" s="22"/>
      <c r="K64" s="23" t="str">
        <f ca="1">정리!L57</f>
        <v>0</v>
      </c>
      <c r="L64" s="23"/>
      <c r="M64" s="23"/>
      <c r="N64" s="23"/>
      <c r="O64" s="23"/>
      <c r="P64" s="1" t="str">
        <f ca="1">정리!C57</f>
        <v>000000</v>
      </c>
    </row>
    <row r="65" spans="1:16" ht="60" customHeight="1" x14ac:dyDescent="0.4">
      <c r="A65" s="4" t="str">
        <f ca="1">정리!D58&amp; CHAR(10) &amp;정리!E58</f>
        <v>0
0</v>
      </c>
      <c r="B65" s="4">
        <f ca="1">정리!B58</f>
        <v>0</v>
      </c>
      <c r="C65" s="4">
        <f ca="1">정리!G58</f>
        <v>0</v>
      </c>
      <c r="D65" s="5">
        <f ca="1">정리!H58</f>
        <v>0</v>
      </c>
      <c r="E65" s="6">
        <f ca="1">정리!I58</f>
        <v>0</v>
      </c>
      <c r="F65" s="6">
        <f ca="1">정리!J58</f>
        <v>0</v>
      </c>
      <c r="G65" s="24">
        <f ca="1">정리!K58</f>
        <v>0</v>
      </c>
      <c r="H65" s="24"/>
      <c r="I65" s="24"/>
      <c r="J65" s="24"/>
      <c r="K65" s="25" t="str">
        <f ca="1">정리!L58</f>
        <v>0</v>
      </c>
      <c r="L65" s="25"/>
      <c r="M65" s="25"/>
      <c r="N65" s="25"/>
      <c r="O65" s="25"/>
      <c r="P65" s="1" t="str">
        <f ca="1">정리!C58</f>
        <v>000000</v>
      </c>
    </row>
    <row r="66" spans="1:16" ht="60" customHeight="1" thickBot="1" x14ac:dyDescent="0.45">
      <c r="A66" s="2" t="str">
        <f ca="1">정리!D59&amp; CHAR(10) &amp;정리!E59</f>
        <v>0
0</v>
      </c>
      <c r="B66" s="2">
        <f ca="1">정리!B59</f>
        <v>0</v>
      </c>
      <c r="C66" s="2">
        <f ca="1">정리!G59</f>
        <v>0</v>
      </c>
      <c r="D66" s="5">
        <f ca="1">정리!H59</f>
        <v>0</v>
      </c>
      <c r="E66" s="3">
        <f ca="1">정리!I59</f>
        <v>0</v>
      </c>
      <c r="F66" s="3">
        <f ca="1">정리!J59</f>
        <v>0</v>
      </c>
      <c r="G66" s="22">
        <f ca="1">정리!K59</f>
        <v>0</v>
      </c>
      <c r="H66" s="22"/>
      <c r="I66" s="22"/>
      <c r="J66" s="22"/>
      <c r="K66" s="23" t="str">
        <f ca="1">정리!L59</f>
        <v>0</v>
      </c>
      <c r="L66" s="23"/>
      <c r="M66" s="23"/>
      <c r="N66" s="23"/>
      <c r="O66" s="23"/>
      <c r="P66" s="1" t="str">
        <f ca="1">정리!C59</f>
        <v>000000</v>
      </c>
    </row>
    <row r="67" spans="1:16" ht="60" customHeight="1" x14ac:dyDescent="0.4">
      <c r="A67" s="4" t="str">
        <f ca="1">정리!D60&amp; CHAR(10) &amp;정리!E60</f>
        <v>0
0</v>
      </c>
      <c r="B67" s="4">
        <f ca="1">정리!B60</f>
        <v>0</v>
      </c>
      <c r="C67" s="4">
        <f ca="1">정리!G60</f>
        <v>0</v>
      </c>
      <c r="D67" s="5">
        <f ca="1">정리!H60</f>
        <v>0</v>
      </c>
      <c r="E67" s="6">
        <f ca="1">정리!I60</f>
        <v>0</v>
      </c>
      <c r="F67" s="6">
        <f ca="1">정리!J60</f>
        <v>0</v>
      </c>
      <c r="G67" s="24">
        <f ca="1">정리!K60</f>
        <v>0</v>
      </c>
      <c r="H67" s="24"/>
      <c r="I67" s="24"/>
      <c r="J67" s="24"/>
      <c r="K67" s="25" t="str">
        <f ca="1">정리!L60</f>
        <v>0</v>
      </c>
      <c r="L67" s="25"/>
      <c r="M67" s="25"/>
      <c r="N67" s="25"/>
      <c r="O67" s="25"/>
      <c r="P67" s="1" t="str">
        <f ca="1">정리!C60</f>
        <v>000000</v>
      </c>
    </row>
    <row r="68" spans="1:16" ht="60" customHeight="1" thickBot="1" x14ac:dyDescent="0.45">
      <c r="A68" s="2" t="str">
        <f ca="1">정리!D61&amp; CHAR(10) &amp;정리!E61</f>
        <v>0
0</v>
      </c>
      <c r="B68" s="2">
        <f ca="1">정리!B61</f>
        <v>0</v>
      </c>
      <c r="C68" s="2">
        <f ca="1">정리!G61</f>
        <v>0</v>
      </c>
      <c r="D68" s="5">
        <f ca="1">정리!H61</f>
        <v>0</v>
      </c>
      <c r="E68" s="3">
        <f ca="1">정리!I61</f>
        <v>0</v>
      </c>
      <c r="F68" s="3">
        <f ca="1">정리!J61</f>
        <v>0</v>
      </c>
      <c r="G68" s="22">
        <f ca="1">정리!K61</f>
        <v>0</v>
      </c>
      <c r="H68" s="22"/>
      <c r="I68" s="22"/>
      <c r="J68" s="22"/>
      <c r="K68" s="23" t="str">
        <f ca="1">정리!L61</f>
        <v>0</v>
      </c>
      <c r="L68" s="23"/>
      <c r="M68" s="23"/>
      <c r="N68" s="23"/>
      <c r="O68" s="23"/>
      <c r="P68" s="1" t="str">
        <f ca="1">정리!C61</f>
        <v>000000</v>
      </c>
    </row>
    <row r="69" spans="1:16" ht="60" customHeight="1" x14ac:dyDescent="0.4">
      <c r="A69" s="4" t="str">
        <f ca="1">정리!D62&amp; CHAR(10) &amp;정리!E62</f>
        <v>0
0</v>
      </c>
      <c r="B69" s="4">
        <f ca="1">정리!B62</f>
        <v>0</v>
      </c>
      <c r="C69" s="4">
        <f ca="1">정리!G62</f>
        <v>0</v>
      </c>
      <c r="D69" s="5">
        <f ca="1">정리!H62</f>
        <v>0</v>
      </c>
      <c r="E69" s="6">
        <f ca="1">정리!I62</f>
        <v>0</v>
      </c>
      <c r="F69" s="6">
        <f ca="1">정리!J62</f>
        <v>0</v>
      </c>
      <c r="G69" s="24">
        <f ca="1">정리!K62</f>
        <v>0</v>
      </c>
      <c r="H69" s="24"/>
      <c r="I69" s="24"/>
      <c r="J69" s="24"/>
      <c r="K69" s="25" t="str">
        <f ca="1">정리!L62</f>
        <v>0</v>
      </c>
      <c r="L69" s="25"/>
      <c r="M69" s="25"/>
      <c r="N69" s="25"/>
      <c r="O69" s="25"/>
      <c r="P69" s="1" t="str">
        <f ca="1">정리!C62</f>
        <v>000000</v>
      </c>
    </row>
    <row r="70" spans="1:16" ht="60" customHeight="1" thickBot="1" x14ac:dyDescent="0.45">
      <c r="A70" s="2" t="str">
        <f ca="1">정리!D63&amp; CHAR(10) &amp;정리!E63</f>
        <v>0
0</v>
      </c>
      <c r="B70" s="2">
        <f ca="1">정리!B63</f>
        <v>0</v>
      </c>
      <c r="C70" s="2">
        <f ca="1">정리!G63</f>
        <v>0</v>
      </c>
      <c r="D70" s="5">
        <f ca="1">정리!H63</f>
        <v>0</v>
      </c>
      <c r="E70" s="3">
        <f ca="1">정리!I63</f>
        <v>0</v>
      </c>
      <c r="F70" s="3">
        <f ca="1">정리!J63</f>
        <v>0</v>
      </c>
      <c r="G70" s="22">
        <f ca="1">정리!K63</f>
        <v>0</v>
      </c>
      <c r="H70" s="22"/>
      <c r="I70" s="22"/>
      <c r="J70" s="22"/>
      <c r="K70" s="23" t="str">
        <f ca="1">정리!L63</f>
        <v>0</v>
      </c>
      <c r="L70" s="23"/>
      <c r="M70" s="23"/>
      <c r="N70" s="23"/>
      <c r="O70" s="23"/>
      <c r="P70" s="1" t="str">
        <f ca="1">정리!C63</f>
        <v>000000</v>
      </c>
    </row>
    <row r="71" spans="1:16" ht="60" customHeight="1" x14ac:dyDescent="0.4">
      <c r="A71" s="4" t="str">
        <f ca="1">정리!D64&amp; CHAR(10) &amp;정리!E64</f>
        <v>0
0</v>
      </c>
      <c r="B71" s="4">
        <f ca="1">정리!B64</f>
        <v>0</v>
      </c>
      <c r="C71" s="4">
        <f ca="1">정리!G64</f>
        <v>0</v>
      </c>
      <c r="D71" s="5">
        <f ca="1">정리!H64</f>
        <v>0</v>
      </c>
      <c r="E71" s="6">
        <f ca="1">정리!I64</f>
        <v>0</v>
      </c>
      <c r="F71" s="6">
        <f ca="1">정리!J64</f>
        <v>0</v>
      </c>
      <c r="G71" s="24">
        <f ca="1">정리!K64</f>
        <v>0</v>
      </c>
      <c r="H71" s="24"/>
      <c r="I71" s="24"/>
      <c r="J71" s="24"/>
      <c r="K71" s="25" t="str">
        <f ca="1">정리!L64</f>
        <v>0</v>
      </c>
      <c r="L71" s="25"/>
      <c r="M71" s="25"/>
      <c r="N71" s="25"/>
      <c r="O71" s="25"/>
      <c r="P71" s="1" t="str">
        <f ca="1">정리!C64</f>
        <v>000000</v>
      </c>
    </row>
    <row r="72" spans="1:16" ht="60" customHeight="1" thickBot="1" x14ac:dyDescent="0.45">
      <c r="A72" s="2" t="str">
        <f ca="1">정리!D65&amp; CHAR(10) &amp;정리!E65</f>
        <v>0
0</v>
      </c>
      <c r="B72" s="2">
        <f ca="1">정리!B65</f>
        <v>0</v>
      </c>
      <c r="C72" s="2">
        <f ca="1">정리!G65</f>
        <v>0</v>
      </c>
      <c r="D72" s="5">
        <f ca="1">정리!H65</f>
        <v>0</v>
      </c>
      <c r="E72" s="3">
        <f ca="1">정리!I65</f>
        <v>0</v>
      </c>
      <c r="F72" s="3">
        <f ca="1">정리!J65</f>
        <v>0</v>
      </c>
      <c r="G72" s="22">
        <f ca="1">정리!K65</f>
        <v>0</v>
      </c>
      <c r="H72" s="22"/>
      <c r="I72" s="22"/>
      <c r="J72" s="22"/>
      <c r="K72" s="23" t="str">
        <f ca="1">정리!L65</f>
        <v>0</v>
      </c>
      <c r="L72" s="23"/>
      <c r="M72" s="23"/>
      <c r="N72" s="23"/>
      <c r="O72" s="23"/>
      <c r="P72" s="1" t="str">
        <f ca="1">정리!C65</f>
        <v>000000</v>
      </c>
    </row>
    <row r="73" spans="1:16" ht="60" customHeight="1" x14ac:dyDescent="0.4">
      <c r="A73" s="4" t="str">
        <f ca="1">정리!D66&amp; CHAR(10) &amp;정리!E66</f>
        <v>0
0</v>
      </c>
      <c r="B73" s="4">
        <f ca="1">정리!B66</f>
        <v>0</v>
      </c>
      <c r="C73" s="4">
        <f ca="1">정리!G66</f>
        <v>0</v>
      </c>
      <c r="D73" s="5">
        <f ca="1">정리!H66</f>
        <v>0</v>
      </c>
      <c r="E73" s="6">
        <f ca="1">정리!I66</f>
        <v>0</v>
      </c>
      <c r="F73" s="6">
        <f ca="1">정리!J66</f>
        <v>0</v>
      </c>
      <c r="G73" s="24">
        <f ca="1">정리!K66</f>
        <v>0</v>
      </c>
      <c r="H73" s="24"/>
      <c r="I73" s="24"/>
      <c r="J73" s="24"/>
      <c r="K73" s="25" t="str">
        <f ca="1">정리!L66</f>
        <v>0</v>
      </c>
      <c r="L73" s="25"/>
      <c r="M73" s="25"/>
      <c r="N73" s="25"/>
      <c r="O73" s="25"/>
      <c r="P73" s="1" t="str">
        <f ca="1">정리!C66</f>
        <v>000000</v>
      </c>
    </row>
    <row r="74" spans="1:16" ht="60" customHeight="1" thickBot="1" x14ac:dyDescent="0.45">
      <c r="A74" s="2" t="str">
        <f ca="1">정리!D67&amp; CHAR(10) &amp;정리!E67</f>
        <v>0
0</v>
      </c>
      <c r="B74" s="2">
        <f ca="1">정리!B67</f>
        <v>0</v>
      </c>
      <c r="C74" s="2">
        <f ca="1">정리!G67</f>
        <v>0</v>
      </c>
      <c r="D74" s="5">
        <f ca="1">정리!H67</f>
        <v>0</v>
      </c>
      <c r="E74" s="3">
        <f ca="1">정리!I67</f>
        <v>0</v>
      </c>
      <c r="F74" s="3">
        <f ca="1">정리!J67</f>
        <v>0</v>
      </c>
      <c r="G74" s="22">
        <f ca="1">정리!K67</f>
        <v>0</v>
      </c>
      <c r="H74" s="22"/>
      <c r="I74" s="22"/>
      <c r="J74" s="22"/>
      <c r="K74" s="23" t="str">
        <f ca="1">정리!L67</f>
        <v>0</v>
      </c>
      <c r="L74" s="23"/>
      <c r="M74" s="23"/>
      <c r="N74" s="23"/>
      <c r="O74" s="23"/>
      <c r="P74" s="1" t="str">
        <f ca="1">정리!C67</f>
        <v>000000</v>
      </c>
    </row>
    <row r="75" spans="1:16" ht="60" customHeight="1" x14ac:dyDescent="0.4">
      <c r="A75" s="4" t="str">
        <f ca="1">정리!D68&amp; CHAR(10) &amp;정리!E68</f>
        <v>0
0</v>
      </c>
      <c r="B75" s="4">
        <f ca="1">정리!B68</f>
        <v>0</v>
      </c>
      <c r="C75" s="4">
        <f ca="1">정리!G68</f>
        <v>0</v>
      </c>
      <c r="D75" s="5">
        <f ca="1">정리!H68</f>
        <v>0</v>
      </c>
      <c r="E75" s="6">
        <f ca="1">정리!I68</f>
        <v>0</v>
      </c>
      <c r="F75" s="6">
        <f ca="1">정리!J68</f>
        <v>0</v>
      </c>
      <c r="G75" s="24">
        <f ca="1">정리!K68</f>
        <v>0</v>
      </c>
      <c r="H75" s="24"/>
      <c r="I75" s="24"/>
      <c r="J75" s="24"/>
      <c r="K75" s="25" t="str">
        <f ca="1">정리!L68</f>
        <v>0</v>
      </c>
      <c r="L75" s="25"/>
      <c r="M75" s="25"/>
      <c r="N75" s="25"/>
      <c r="O75" s="25"/>
      <c r="P75" s="1" t="str">
        <f ca="1">정리!C68</f>
        <v>000000</v>
      </c>
    </row>
    <row r="76" spans="1:16" ht="60" customHeight="1" thickBot="1" x14ac:dyDescent="0.45">
      <c r="A76" s="2" t="str">
        <f ca="1">정리!D69&amp; CHAR(10) &amp;정리!E69</f>
        <v>0
0</v>
      </c>
      <c r="B76" s="2">
        <f ca="1">정리!B69</f>
        <v>0</v>
      </c>
      <c r="C76" s="2">
        <f ca="1">정리!G69</f>
        <v>0</v>
      </c>
      <c r="D76" s="5">
        <f ca="1">정리!H69</f>
        <v>0</v>
      </c>
      <c r="E76" s="3">
        <f ca="1">정리!I69</f>
        <v>0</v>
      </c>
      <c r="F76" s="3">
        <f ca="1">정리!J69</f>
        <v>0</v>
      </c>
      <c r="G76" s="22">
        <f ca="1">정리!K69</f>
        <v>0</v>
      </c>
      <c r="H76" s="22"/>
      <c r="I76" s="22"/>
      <c r="J76" s="22"/>
      <c r="K76" s="23" t="str">
        <f ca="1">정리!L69</f>
        <v>0</v>
      </c>
      <c r="L76" s="23"/>
      <c r="M76" s="23"/>
      <c r="N76" s="23"/>
      <c r="O76" s="23"/>
      <c r="P76" s="1" t="str">
        <f ca="1">정리!C69</f>
        <v>000000</v>
      </c>
    </row>
    <row r="77" spans="1:16" ht="60" customHeight="1" x14ac:dyDescent="0.4">
      <c r="A77" s="4" t="str">
        <f ca="1">정리!D70&amp; CHAR(10) &amp;정리!E70</f>
        <v>0
0</v>
      </c>
      <c r="B77" s="4">
        <f ca="1">정리!B70</f>
        <v>0</v>
      </c>
      <c r="C77" s="4">
        <f ca="1">정리!G70</f>
        <v>0</v>
      </c>
      <c r="D77" s="5">
        <f ca="1">정리!H70</f>
        <v>0</v>
      </c>
      <c r="E77" s="6">
        <f ca="1">정리!I70</f>
        <v>0</v>
      </c>
      <c r="F77" s="6">
        <f ca="1">정리!J70</f>
        <v>0</v>
      </c>
      <c r="G77" s="24">
        <f ca="1">정리!K70</f>
        <v>0</v>
      </c>
      <c r="H77" s="24"/>
      <c r="I77" s="24"/>
      <c r="J77" s="24"/>
      <c r="K77" s="25" t="str">
        <f ca="1">정리!L70</f>
        <v>0</v>
      </c>
      <c r="L77" s="25"/>
      <c r="M77" s="25"/>
      <c r="N77" s="25"/>
      <c r="O77" s="25"/>
      <c r="P77" s="1" t="str">
        <f ca="1">정리!C70</f>
        <v>000000</v>
      </c>
    </row>
    <row r="78" spans="1:16" ht="60" customHeight="1" thickBot="1" x14ac:dyDescent="0.45">
      <c r="A78" s="2" t="str">
        <f ca="1">정리!D71&amp; CHAR(10) &amp;정리!E71</f>
        <v>0
0</v>
      </c>
      <c r="B78" s="2">
        <f ca="1">정리!B71</f>
        <v>0</v>
      </c>
      <c r="C78" s="2">
        <f ca="1">정리!G71</f>
        <v>0</v>
      </c>
      <c r="D78" s="5">
        <f ca="1">정리!H71</f>
        <v>0</v>
      </c>
      <c r="E78" s="3">
        <f ca="1">정리!I71</f>
        <v>0</v>
      </c>
      <c r="F78" s="3">
        <f ca="1">정리!J71</f>
        <v>0</v>
      </c>
      <c r="G78" s="22">
        <f ca="1">정리!K71</f>
        <v>0</v>
      </c>
      <c r="H78" s="22"/>
      <c r="I78" s="22"/>
      <c r="J78" s="22"/>
      <c r="K78" s="23" t="str">
        <f ca="1">정리!L71</f>
        <v>0</v>
      </c>
      <c r="L78" s="23"/>
      <c r="M78" s="23"/>
      <c r="N78" s="23"/>
      <c r="O78" s="23"/>
      <c r="P78" s="1" t="str">
        <f ca="1">정리!C71</f>
        <v>000000</v>
      </c>
    </row>
    <row r="79" spans="1:16" ht="60" customHeight="1" x14ac:dyDescent="0.4">
      <c r="A79" s="4" t="str">
        <f ca="1">정리!D72&amp; CHAR(10) &amp;정리!E72</f>
        <v>0
0</v>
      </c>
      <c r="B79" s="4">
        <f ca="1">정리!B72</f>
        <v>0</v>
      </c>
      <c r="C79" s="4">
        <f ca="1">정리!G72</f>
        <v>0</v>
      </c>
      <c r="D79" s="5">
        <f ca="1">정리!H72</f>
        <v>0</v>
      </c>
      <c r="E79" s="6">
        <f ca="1">정리!I72</f>
        <v>0</v>
      </c>
      <c r="F79" s="6">
        <f ca="1">정리!J72</f>
        <v>0</v>
      </c>
      <c r="G79" s="24">
        <f ca="1">정리!K72</f>
        <v>0</v>
      </c>
      <c r="H79" s="24"/>
      <c r="I79" s="24"/>
      <c r="J79" s="24"/>
      <c r="K79" s="25" t="str">
        <f ca="1">정리!L72</f>
        <v>0</v>
      </c>
      <c r="L79" s="25"/>
      <c r="M79" s="25"/>
      <c r="N79" s="25"/>
      <c r="O79" s="25"/>
      <c r="P79" s="1" t="str">
        <f ca="1">정리!C72</f>
        <v>000000</v>
      </c>
    </row>
    <row r="80" spans="1:16" ht="60" customHeight="1" thickBot="1" x14ac:dyDescent="0.45">
      <c r="A80" s="2" t="str">
        <f ca="1">정리!D73&amp; CHAR(10) &amp;정리!E73</f>
        <v>0
0</v>
      </c>
      <c r="B80" s="2">
        <f ca="1">정리!B73</f>
        <v>0</v>
      </c>
      <c r="C80" s="2">
        <f ca="1">정리!G73</f>
        <v>0</v>
      </c>
      <c r="D80" s="5">
        <f ca="1">정리!H73</f>
        <v>0</v>
      </c>
      <c r="E80" s="3">
        <f ca="1">정리!I73</f>
        <v>0</v>
      </c>
      <c r="F80" s="3">
        <f ca="1">정리!J73</f>
        <v>0</v>
      </c>
      <c r="G80" s="22">
        <f ca="1">정리!K73</f>
        <v>0</v>
      </c>
      <c r="H80" s="22"/>
      <c r="I80" s="22"/>
      <c r="J80" s="22"/>
      <c r="K80" s="23" t="str">
        <f ca="1">정리!L73</f>
        <v>0</v>
      </c>
      <c r="L80" s="23"/>
      <c r="M80" s="23"/>
      <c r="N80" s="23"/>
      <c r="O80" s="23"/>
      <c r="P80" s="1" t="str">
        <f ca="1">정리!C73</f>
        <v>000000</v>
      </c>
    </row>
    <row r="81" spans="1:16" ht="60" customHeight="1" x14ac:dyDescent="0.4">
      <c r="A81" s="4" t="str">
        <f ca="1">정리!D74&amp; CHAR(10) &amp;정리!E74</f>
        <v>0
0</v>
      </c>
      <c r="B81" s="4">
        <f ca="1">정리!B74</f>
        <v>0</v>
      </c>
      <c r="C81" s="4">
        <f ca="1">정리!G74</f>
        <v>0</v>
      </c>
      <c r="D81" s="5">
        <f ca="1">정리!H74</f>
        <v>0</v>
      </c>
      <c r="E81" s="6">
        <f ca="1">정리!I74</f>
        <v>0</v>
      </c>
      <c r="F81" s="6">
        <f ca="1">정리!J74</f>
        <v>0</v>
      </c>
      <c r="G81" s="24">
        <f ca="1">정리!K74</f>
        <v>0</v>
      </c>
      <c r="H81" s="24"/>
      <c r="I81" s="24"/>
      <c r="J81" s="24"/>
      <c r="K81" s="25" t="str">
        <f ca="1">정리!L74</f>
        <v>0</v>
      </c>
      <c r="L81" s="25"/>
      <c r="M81" s="25"/>
      <c r="N81" s="25"/>
      <c r="O81" s="25"/>
      <c r="P81" s="1" t="str">
        <f ca="1">정리!C74</f>
        <v>000000</v>
      </c>
    </row>
    <row r="82" spans="1:16" ht="60" customHeight="1" thickBot="1" x14ac:dyDescent="0.45">
      <c r="A82" s="2" t="str">
        <f ca="1">정리!D75&amp; CHAR(10) &amp;정리!E75</f>
        <v>0
0</v>
      </c>
      <c r="B82" s="2">
        <f ca="1">정리!B75</f>
        <v>0</v>
      </c>
      <c r="C82" s="2">
        <f ca="1">정리!G75</f>
        <v>0</v>
      </c>
      <c r="D82" s="5">
        <f ca="1">정리!H75</f>
        <v>0</v>
      </c>
      <c r="E82" s="3">
        <f ca="1">정리!I75</f>
        <v>0</v>
      </c>
      <c r="F82" s="3">
        <f ca="1">정리!J75</f>
        <v>0</v>
      </c>
      <c r="G82" s="22">
        <f ca="1">정리!K75</f>
        <v>0</v>
      </c>
      <c r="H82" s="22"/>
      <c r="I82" s="22"/>
      <c r="J82" s="22"/>
      <c r="K82" s="23" t="str">
        <f ca="1">정리!L75</f>
        <v>0</v>
      </c>
      <c r="L82" s="23"/>
      <c r="M82" s="23"/>
      <c r="N82" s="23"/>
      <c r="O82" s="23"/>
      <c r="P82" s="1" t="str">
        <f ca="1">정리!C75</f>
        <v>000000</v>
      </c>
    </row>
    <row r="83" spans="1:16" ht="60" customHeight="1" x14ac:dyDescent="0.4">
      <c r="A83" s="4" t="str">
        <f ca="1">정리!D76&amp; CHAR(10) &amp;정리!E76</f>
        <v>0
0</v>
      </c>
      <c r="B83" s="4">
        <f ca="1">정리!B76</f>
        <v>0</v>
      </c>
      <c r="C83" s="4">
        <f ca="1">정리!G76</f>
        <v>0</v>
      </c>
      <c r="D83" s="5">
        <f ca="1">정리!H76</f>
        <v>0</v>
      </c>
      <c r="E83" s="6">
        <f ca="1">정리!I76</f>
        <v>0</v>
      </c>
      <c r="F83" s="6">
        <f ca="1">정리!J76</f>
        <v>0</v>
      </c>
      <c r="G83" s="24">
        <f ca="1">정리!K76</f>
        <v>0</v>
      </c>
      <c r="H83" s="24"/>
      <c r="I83" s="24"/>
      <c r="J83" s="24"/>
      <c r="K83" s="25" t="str">
        <f ca="1">정리!L76</f>
        <v>0</v>
      </c>
      <c r="L83" s="25"/>
      <c r="M83" s="25"/>
      <c r="N83" s="25"/>
      <c r="O83" s="25"/>
      <c r="P83" s="1" t="str">
        <f ca="1">정리!C76</f>
        <v>000000</v>
      </c>
    </row>
    <row r="84" spans="1:16" ht="60" customHeight="1" thickBot="1" x14ac:dyDescent="0.45">
      <c r="A84" s="2" t="str">
        <f ca="1">정리!D77&amp; CHAR(10) &amp;정리!E77</f>
        <v>0
0</v>
      </c>
      <c r="B84" s="2">
        <f ca="1">정리!B77</f>
        <v>0</v>
      </c>
      <c r="C84" s="2">
        <f ca="1">정리!G77</f>
        <v>0</v>
      </c>
      <c r="D84" s="5">
        <f ca="1">정리!H77</f>
        <v>0</v>
      </c>
      <c r="E84" s="3">
        <f ca="1">정리!I77</f>
        <v>0</v>
      </c>
      <c r="F84" s="3">
        <f ca="1">정리!J77</f>
        <v>0</v>
      </c>
      <c r="G84" s="22">
        <f ca="1">정리!K77</f>
        <v>0</v>
      </c>
      <c r="H84" s="22"/>
      <c r="I84" s="22"/>
      <c r="J84" s="22"/>
      <c r="K84" s="23" t="str">
        <f ca="1">정리!L77</f>
        <v>0</v>
      </c>
      <c r="L84" s="23"/>
      <c r="M84" s="23"/>
      <c r="N84" s="23"/>
      <c r="O84" s="23"/>
      <c r="P84" s="1" t="str">
        <f ca="1">정리!C77</f>
        <v>000000</v>
      </c>
    </row>
    <row r="85" spans="1:16" ht="60" customHeight="1" x14ac:dyDescent="0.4">
      <c r="A85" s="4" t="str">
        <f ca="1">정리!D78&amp; CHAR(10) &amp;정리!E78</f>
        <v>0
0</v>
      </c>
      <c r="B85" s="4">
        <f ca="1">정리!B78</f>
        <v>0</v>
      </c>
      <c r="C85" s="4">
        <f ca="1">정리!G78</f>
        <v>0</v>
      </c>
      <c r="D85" s="5">
        <f ca="1">정리!H78</f>
        <v>0</v>
      </c>
      <c r="E85" s="6">
        <f ca="1">정리!I78</f>
        <v>0</v>
      </c>
      <c r="F85" s="6">
        <f ca="1">정리!J78</f>
        <v>0</v>
      </c>
      <c r="G85" s="24">
        <f ca="1">정리!K78</f>
        <v>0</v>
      </c>
      <c r="H85" s="24"/>
      <c r="I85" s="24"/>
      <c r="J85" s="24"/>
      <c r="K85" s="25" t="str">
        <f ca="1">정리!L78</f>
        <v>0</v>
      </c>
      <c r="L85" s="25"/>
      <c r="M85" s="25"/>
      <c r="N85" s="25"/>
      <c r="O85" s="25"/>
      <c r="P85" s="1" t="str">
        <f ca="1">정리!C78</f>
        <v>000000</v>
      </c>
    </row>
    <row r="86" spans="1:16" ht="60" customHeight="1" thickBot="1" x14ac:dyDescent="0.45">
      <c r="A86" s="2" t="str">
        <f ca="1">정리!D79&amp; CHAR(10) &amp;정리!E79</f>
        <v>0
0</v>
      </c>
      <c r="B86" s="2">
        <f ca="1">정리!B79</f>
        <v>0</v>
      </c>
      <c r="C86" s="2">
        <f ca="1">정리!G79</f>
        <v>0</v>
      </c>
      <c r="D86" s="5">
        <f ca="1">정리!H79</f>
        <v>0</v>
      </c>
      <c r="E86" s="3">
        <f ca="1">정리!I79</f>
        <v>0</v>
      </c>
      <c r="F86" s="3">
        <f ca="1">정리!J79</f>
        <v>0</v>
      </c>
      <c r="G86" s="22">
        <f ca="1">정리!K79</f>
        <v>0</v>
      </c>
      <c r="H86" s="22"/>
      <c r="I86" s="22"/>
      <c r="J86" s="22"/>
      <c r="K86" s="23" t="str">
        <f ca="1">정리!L79</f>
        <v>0</v>
      </c>
      <c r="L86" s="23"/>
      <c r="M86" s="23"/>
      <c r="N86" s="23"/>
      <c r="O86" s="23"/>
      <c r="P86" s="1" t="str">
        <f ca="1">정리!C79</f>
        <v>000000</v>
      </c>
    </row>
    <row r="87" spans="1:16" ht="60" customHeight="1" x14ac:dyDescent="0.4">
      <c r="A87" s="4" t="str">
        <f ca="1">정리!D80&amp; CHAR(10) &amp;정리!E80</f>
        <v>0
0</v>
      </c>
      <c r="B87" s="4">
        <f ca="1">정리!B80</f>
        <v>0</v>
      </c>
      <c r="C87" s="4">
        <f ca="1">정리!G80</f>
        <v>0</v>
      </c>
      <c r="D87" s="5">
        <f ca="1">정리!H80</f>
        <v>0</v>
      </c>
      <c r="E87" s="6">
        <f ca="1">정리!I80</f>
        <v>0</v>
      </c>
      <c r="F87" s="6">
        <f ca="1">정리!J80</f>
        <v>0</v>
      </c>
      <c r="G87" s="24">
        <f ca="1">정리!K80</f>
        <v>0</v>
      </c>
      <c r="H87" s="24"/>
      <c r="I87" s="24"/>
      <c r="J87" s="24"/>
      <c r="K87" s="25" t="str">
        <f ca="1">정리!L80</f>
        <v>0</v>
      </c>
      <c r="L87" s="25"/>
      <c r="M87" s="25"/>
      <c r="N87" s="25"/>
      <c r="O87" s="25"/>
      <c r="P87" s="1" t="str">
        <f ca="1">정리!C80</f>
        <v>000000</v>
      </c>
    </row>
    <row r="88" spans="1:16" ht="60" customHeight="1" thickBot="1" x14ac:dyDescent="0.45">
      <c r="A88" s="2" t="str">
        <f ca="1">정리!D81&amp; CHAR(10) &amp;정리!E81</f>
        <v>0
0</v>
      </c>
      <c r="B88" s="2">
        <f ca="1">정리!B81</f>
        <v>0</v>
      </c>
      <c r="C88" s="2">
        <f ca="1">정리!G81</f>
        <v>0</v>
      </c>
      <c r="D88" s="5">
        <f ca="1">정리!H81</f>
        <v>0</v>
      </c>
      <c r="E88" s="3">
        <f ca="1">정리!I81</f>
        <v>0</v>
      </c>
      <c r="F88" s="3">
        <f ca="1">정리!J81</f>
        <v>0</v>
      </c>
      <c r="G88" s="22">
        <f ca="1">정리!K81</f>
        <v>0</v>
      </c>
      <c r="H88" s="22"/>
      <c r="I88" s="22"/>
      <c r="J88" s="22"/>
      <c r="K88" s="23" t="str">
        <f ca="1">정리!L81</f>
        <v>0</v>
      </c>
      <c r="L88" s="23"/>
      <c r="M88" s="23"/>
      <c r="N88" s="23"/>
      <c r="O88" s="23"/>
      <c r="P88" s="1" t="str">
        <f ca="1">정리!C81</f>
        <v>000000</v>
      </c>
    </row>
    <row r="89" spans="1:16" ht="60" customHeight="1" x14ac:dyDescent="0.4">
      <c r="A89" s="4" t="str">
        <f ca="1">정리!D82&amp; CHAR(10) &amp;정리!E82</f>
        <v>0
0</v>
      </c>
      <c r="B89" s="4">
        <f ca="1">정리!B82</f>
        <v>0</v>
      </c>
      <c r="C89" s="4">
        <f ca="1">정리!G82</f>
        <v>0</v>
      </c>
      <c r="D89" s="5">
        <f ca="1">정리!H82</f>
        <v>0</v>
      </c>
      <c r="E89" s="6">
        <f ca="1">정리!I82</f>
        <v>0</v>
      </c>
      <c r="F89" s="6">
        <f ca="1">정리!J82</f>
        <v>0</v>
      </c>
      <c r="G89" s="24">
        <f ca="1">정리!K82</f>
        <v>0</v>
      </c>
      <c r="H89" s="24"/>
      <c r="I89" s="24"/>
      <c r="J89" s="24"/>
      <c r="K89" s="25" t="str">
        <f ca="1">정리!L82</f>
        <v>0</v>
      </c>
      <c r="L89" s="25"/>
      <c r="M89" s="25"/>
      <c r="N89" s="25"/>
      <c r="O89" s="25"/>
      <c r="P89" s="1" t="str">
        <f ca="1">정리!C82</f>
        <v>000000</v>
      </c>
    </row>
    <row r="90" spans="1:16" ht="60" customHeight="1" thickBot="1" x14ac:dyDescent="0.45">
      <c r="A90" s="2" t="str">
        <f ca="1">정리!D83&amp; CHAR(10) &amp;정리!E83</f>
        <v>0
0</v>
      </c>
      <c r="B90" s="2">
        <f ca="1">정리!B83</f>
        <v>0</v>
      </c>
      <c r="C90" s="2">
        <f ca="1">정리!G83</f>
        <v>0</v>
      </c>
      <c r="D90" s="5">
        <f ca="1">정리!H83</f>
        <v>0</v>
      </c>
      <c r="E90" s="3">
        <f ca="1">정리!I83</f>
        <v>0</v>
      </c>
      <c r="F90" s="3">
        <f ca="1">정리!J83</f>
        <v>0</v>
      </c>
      <c r="G90" s="22">
        <f ca="1">정리!K83</f>
        <v>0</v>
      </c>
      <c r="H90" s="22"/>
      <c r="I90" s="22"/>
      <c r="J90" s="22"/>
      <c r="K90" s="23" t="str">
        <f ca="1">정리!L83</f>
        <v>0</v>
      </c>
      <c r="L90" s="23"/>
      <c r="M90" s="23"/>
      <c r="N90" s="23"/>
      <c r="O90" s="23"/>
      <c r="P90" s="1" t="str">
        <f ca="1">정리!C83</f>
        <v>000000</v>
      </c>
    </row>
    <row r="91" spans="1:16" ht="60" customHeight="1" x14ac:dyDescent="0.4">
      <c r="A91" s="4" t="str">
        <f ca="1">정리!D84&amp; CHAR(10) &amp;정리!E84</f>
        <v>0
0</v>
      </c>
      <c r="B91" s="4">
        <f ca="1">정리!B84</f>
        <v>0</v>
      </c>
      <c r="C91" s="4">
        <f ca="1">정리!G84</f>
        <v>0</v>
      </c>
      <c r="D91" s="5">
        <f ca="1">정리!H84</f>
        <v>0</v>
      </c>
      <c r="E91" s="6">
        <f ca="1">정리!I84</f>
        <v>0</v>
      </c>
      <c r="F91" s="6">
        <f ca="1">정리!J84</f>
        <v>0</v>
      </c>
      <c r="G91" s="24">
        <f ca="1">정리!K84</f>
        <v>0</v>
      </c>
      <c r="H91" s="24"/>
      <c r="I91" s="24"/>
      <c r="J91" s="24"/>
      <c r="K91" s="25" t="str">
        <f ca="1">정리!L84</f>
        <v>0</v>
      </c>
      <c r="L91" s="25"/>
      <c r="M91" s="25"/>
      <c r="N91" s="25"/>
      <c r="O91" s="25"/>
      <c r="P91" s="1" t="str">
        <f ca="1">정리!C84</f>
        <v>000000</v>
      </c>
    </row>
    <row r="92" spans="1:16" ht="60" customHeight="1" thickBot="1" x14ac:dyDescent="0.45">
      <c r="A92" s="2" t="str">
        <f ca="1">정리!D85&amp; CHAR(10) &amp;정리!E85</f>
        <v>0
0</v>
      </c>
      <c r="B92" s="2">
        <f ca="1">정리!B85</f>
        <v>0</v>
      </c>
      <c r="C92" s="2">
        <f ca="1">정리!G85</f>
        <v>0</v>
      </c>
      <c r="D92" s="5">
        <f ca="1">정리!H85</f>
        <v>0</v>
      </c>
      <c r="E92" s="3">
        <f ca="1">정리!I85</f>
        <v>0</v>
      </c>
      <c r="F92" s="3">
        <f ca="1">정리!J85</f>
        <v>0</v>
      </c>
      <c r="G92" s="22">
        <f ca="1">정리!K85</f>
        <v>0</v>
      </c>
      <c r="H92" s="22"/>
      <c r="I92" s="22"/>
      <c r="J92" s="22"/>
      <c r="K92" s="23" t="str">
        <f ca="1">정리!L85</f>
        <v>0</v>
      </c>
      <c r="L92" s="23"/>
      <c r="M92" s="23"/>
      <c r="N92" s="23"/>
      <c r="O92" s="23"/>
      <c r="P92" s="1" t="str">
        <f ca="1">정리!C85</f>
        <v>000000</v>
      </c>
    </row>
    <row r="93" spans="1:16" ht="60" customHeight="1" x14ac:dyDescent="0.4">
      <c r="A93" s="4" t="str">
        <f ca="1">정리!D86&amp; CHAR(10) &amp;정리!E86</f>
        <v>0
0</v>
      </c>
      <c r="B93" s="4">
        <f ca="1">정리!B86</f>
        <v>0</v>
      </c>
      <c r="C93" s="4">
        <f ca="1">정리!G86</f>
        <v>0</v>
      </c>
      <c r="D93" s="5">
        <f ca="1">정리!H86</f>
        <v>0</v>
      </c>
      <c r="E93" s="6">
        <f ca="1">정리!I86</f>
        <v>0</v>
      </c>
      <c r="F93" s="6">
        <f ca="1">정리!J86</f>
        <v>0</v>
      </c>
      <c r="G93" s="24">
        <f ca="1">정리!K86</f>
        <v>0</v>
      </c>
      <c r="H93" s="24"/>
      <c r="I93" s="24"/>
      <c r="J93" s="24"/>
      <c r="K93" s="25" t="str">
        <f ca="1">정리!L86</f>
        <v>0</v>
      </c>
      <c r="L93" s="25"/>
      <c r="M93" s="25"/>
      <c r="N93" s="25"/>
      <c r="O93" s="25"/>
      <c r="P93" s="1" t="str">
        <f ca="1">정리!C86</f>
        <v>000000</v>
      </c>
    </row>
    <row r="94" spans="1:16" ht="60" customHeight="1" thickBot="1" x14ac:dyDescent="0.45">
      <c r="A94" s="2" t="str">
        <f ca="1">정리!D87&amp; CHAR(10) &amp;정리!E87</f>
        <v>0
0</v>
      </c>
      <c r="B94" s="2">
        <f ca="1">정리!B87</f>
        <v>0</v>
      </c>
      <c r="C94" s="2">
        <f ca="1">정리!G87</f>
        <v>0</v>
      </c>
      <c r="D94" s="5">
        <f ca="1">정리!H87</f>
        <v>0</v>
      </c>
      <c r="E94" s="3">
        <f ca="1">정리!I87</f>
        <v>0</v>
      </c>
      <c r="F94" s="3">
        <f ca="1">정리!J87</f>
        <v>0</v>
      </c>
      <c r="G94" s="22">
        <f ca="1">정리!K87</f>
        <v>0</v>
      </c>
      <c r="H94" s="22"/>
      <c r="I94" s="22"/>
      <c r="J94" s="22"/>
      <c r="K94" s="23" t="str">
        <f ca="1">정리!L87</f>
        <v>0</v>
      </c>
      <c r="L94" s="23"/>
      <c r="M94" s="23"/>
      <c r="N94" s="23"/>
      <c r="O94" s="23"/>
      <c r="P94" s="1" t="str">
        <f ca="1">정리!C87</f>
        <v>000000</v>
      </c>
    </row>
    <row r="95" spans="1:16" ht="60" customHeight="1" x14ac:dyDescent="0.4">
      <c r="A95" s="4" t="str">
        <f ca="1">정리!D88&amp; CHAR(10) &amp;정리!E88</f>
        <v>0
0</v>
      </c>
      <c r="B95" s="4">
        <f ca="1">정리!B88</f>
        <v>0</v>
      </c>
      <c r="C95" s="4">
        <f ca="1">정리!G88</f>
        <v>0</v>
      </c>
      <c r="D95" s="5">
        <f ca="1">정리!H88</f>
        <v>0</v>
      </c>
      <c r="E95" s="6">
        <f ca="1">정리!I88</f>
        <v>0</v>
      </c>
      <c r="F95" s="6">
        <f ca="1">정리!J88</f>
        <v>0</v>
      </c>
      <c r="G95" s="24">
        <f ca="1">정리!K88</f>
        <v>0</v>
      </c>
      <c r="H95" s="24"/>
      <c r="I95" s="24"/>
      <c r="J95" s="24"/>
      <c r="K95" s="25" t="str">
        <f ca="1">정리!L88</f>
        <v>0</v>
      </c>
      <c r="L95" s="25"/>
      <c r="M95" s="25"/>
      <c r="N95" s="25"/>
      <c r="O95" s="25"/>
      <c r="P95" s="1" t="str">
        <f ca="1">정리!C88</f>
        <v>000000</v>
      </c>
    </row>
    <row r="96" spans="1:16" ht="60" customHeight="1" thickBot="1" x14ac:dyDescent="0.45">
      <c r="A96" s="2" t="str">
        <f ca="1">정리!D89&amp; CHAR(10) &amp;정리!E89</f>
        <v>0
0</v>
      </c>
      <c r="B96" s="2">
        <f ca="1">정리!B89</f>
        <v>0</v>
      </c>
      <c r="C96" s="2">
        <f ca="1">정리!G89</f>
        <v>0</v>
      </c>
      <c r="D96" s="5">
        <f ca="1">정리!H89</f>
        <v>0</v>
      </c>
      <c r="E96" s="3">
        <f ca="1">정리!I89</f>
        <v>0</v>
      </c>
      <c r="F96" s="3">
        <f ca="1">정리!J89</f>
        <v>0</v>
      </c>
      <c r="G96" s="22">
        <f ca="1">정리!K89</f>
        <v>0</v>
      </c>
      <c r="H96" s="22"/>
      <c r="I96" s="22"/>
      <c r="J96" s="22"/>
      <c r="K96" s="23" t="str">
        <f ca="1">정리!L89</f>
        <v>0</v>
      </c>
      <c r="L96" s="23"/>
      <c r="M96" s="23"/>
      <c r="N96" s="23"/>
      <c r="O96" s="23"/>
      <c r="P96" s="1" t="str">
        <f ca="1">정리!C89</f>
        <v>000000</v>
      </c>
    </row>
    <row r="97" spans="1:16" ht="60" customHeight="1" x14ac:dyDescent="0.4">
      <c r="A97" s="4" t="str">
        <f ca="1">정리!D90&amp; CHAR(10) &amp;정리!E90</f>
        <v>0
0</v>
      </c>
      <c r="B97" s="4">
        <f ca="1">정리!B90</f>
        <v>0</v>
      </c>
      <c r="C97" s="4">
        <f ca="1">정리!G90</f>
        <v>0</v>
      </c>
      <c r="D97" s="5">
        <f ca="1">정리!H90</f>
        <v>0</v>
      </c>
      <c r="E97" s="6">
        <f ca="1">정리!I90</f>
        <v>0</v>
      </c>
      <c r="F97" s="6">
        <f ca="1">정리!J90</f>
        <v>0</v>
      </c>
      <c r="G97" s="24">
        <f ca="1">정리!K90</f>
        <v>0</v>
      </c>
      <c r="H97" s="24"/>
      <c r="I97" s="24"/>
      <c r="J97" s="24"/>
      <c r="K97" s="25" t="str">
        <f ca="1">정리!L90</f>
        <v>0</v>
      </c>
      <c r="L97" s="25"/>
      <c r="M97" s="25"/>
      <c r="N97" s="25"/>
      <c r="O97" s="25"/>
      <c r="P97" s="1" t="str">
        <f ca="1">정리!C90</f>
        <v>000000</v>
      </c>
    </row>
    <row r="98" spans="1:16" ht="60" customHeight="1" thickBot="1" x14ac:dyDescent="0.45">
      <c r="A98" s="2" t="str">
        <f ca="1">정리!D91&amp; CHAR(10) &amp;정리!E91</f>
        <v>0
0</v>
      </c>
      <c r="B98" s="2">
        <f ca="1">정리!B91</f>
        <v>0</v>
      </c>
      <c r="C98" s="2">
        <f ca="1">정리!G91</f>
        <v>0</v>
      </c>
      <c r="D98" s="5">
        <f ca="1">정리!H91</f>
        <v>0</v>
      </c>
      <c r="E98" s="3">
        <f ca="1">정리!I91</f>
        <v>0</v>
      </c>
      <c r="F98" s="3">
        <f ca="1">정리!J91</f>
        <v>0</v>
      </c>
      <c r="G98" s="22">
        <f ca="1">정리!K91</f>
        <v>0</v>
      </c>
      <c r="H98" s="22"/>
      <c r="I98" s="22"/>
      <c r="J98" s="22"/>
      <c r="K98" s="23" t="str">
        <f ca="1">정리!L91</f>
        <v>0</v>
      </c>
      <c r="L98" s="23"/>
      <c r="M98" s="23"/>
      <c r="N98" s="23"/>
      <c r="O98" s="23"/>
      <c r="P98" s="1" t="str">
        <f ca="1">정리!C91</f>
        <v>000000</v>
      </c>
    </row>
    <row r="99" spans="1:16" ht="31.5" customHeight="1" x14ac:dyDescent="0.4">
      <c r="A99" s="4" t="str">
        <f ca="1">정리!D92&amp; CHAR(10) &amp;정리!E92</f>
        <v>0
0</v>
      </c>
      <c r="B99" s="4">
        <f ca="1">정리!B92</f>
        <v>0</v>
      </c>
      <c r="C99" s="4">
        <f ca="1">정리!G92</f>
        <v>0</v>
      </c>
      <c r="D99" s="5">
        <f ca="1">정리!H92</f>
        <v>0</v>
      </c>
      <c r="E99" s="6">
        <f ca="1">정리!I92</f>
        <v>0</v>
      </c>
      <c r="F99" s="6">
        <f ca="1">정리!J92</f>
        <v>0</v>
      </c>
      <c r="G99" s="24">
        <f ca="1">정리!K92</f>
        <v>0</v>
      </c>
      <c r="H99" s="24"/>
      <c r="I99" s="24"/>
      <c r="J99" s="24"/>
      <c r="K99" s="25" t="str">
        <f ca="1">정리!L92</f>
        <v>0</v>
      </c>
      <c r="L99" s="25"/>
      <c r="M99" s="25"/>
      <c r="N99" s="25"/>
      <c r="O99" s="25"/>
      <c r="P99" s="1" t="str">
        <f ca="1">정리!C92</f>
        <v>000000</v>
      </c>
    </row>
    <row r="100" spans="1:16" ht="22.2" thickBot="1" x14ac:dyDescent="0.45">
      <c r="A100" s="2" t="str">
        <f ca="1">정리!D93&amp; CHAR(10) &amp;정리!E93</f>
        <v>0
0</v>
      </c>
      <c r="B100" s="2">
        <f ca="1">정리!B93</f>
        <v>0</v>
      </c>
      <c r="C100" s="2">
        <f ca="1">정리!G93</f>
        <v>0</v>
      </c>
      <c r="D100" s="5">
        <f ca="1">정리!H93</f>
        <v>0</v>
      </c>
      <c r="E100" s="3">
        <f ca="1">정리!I93</f>
        <v>0</v>
      </c>
      <c r="F100" s="3">
        <f ca="1">정리!J93</f>
        <v>0</v>
      </c>
      <c r="G100" s="22">
        <f ca="1">정리!K93</f>
        <v>0</v>
      </c>
      <c r="H100" s="22"/>
      <c r="I100" s="22"/>
      <c r="J100" s="22"/>
      <c r="K100" s="23" t="str">
        <f ca="1">정리!L93</f>
        <v>0</v>
      </c>
      <c r="L100" s="23"/>
      <c r="M100" s="23"/>
      <c r="N100" s="23"/>
      <c r="O100" s="23"/>
      <c r="P100" s="1" t="str">
        <f ca="1">정리!C93</f>
        <v>000000</v>
      </c>
    </row>
    <row r="101" spans="1:16" ht="31.5" customHeight="1" x14ac:dyDescent="0.4">
      <c r="A101" s="4" t="str">
        <f ca="1">정리!D94&amp; CHAR(10) &amp;정리!E94</f>
        <v>0
0</v>
      </c>
      <c r="B101" s="4">
        <f ca="1">정리!B94</f>
        <v>0</v>
      </c>
      <c r="C101" s="4">
        <f ca="1">정리!G94</f>
        <v>0</v>
      </c>
      <c r="D101" s="5">
        <f ca="1">정리!H94</f>
        <v>0</v>
      </c>
      <c r="E101" s="6">
        <f ca="1">정리!I94</f>
        <v>0</v>
      </c>
      <c r="F101" s="6">
        <f ca="1">정리!J94</f>
        <v>0</v>
      </c>
      <c r="G101" s="24">
        <f ca="1">정리!K94</f>
        <v>0</v>
      </c>
      <c r="H101" s="24"/>
      <c r="I101" s="24"/>
      <c r="J101" s="24"/>
      <c r="K101" s="25" t="str">
        <f ca="1">정리!L94</f>
        <v>0</v>
      </c>
      <c r="L101" s="25"/>
      <c r="M101" s="25"/>
      <c r="N101" s="25"/>
      <c r="O101" s="25"/>
      <c r="P101" s="1" t="str">
        <f ca="1">정리!C94</f>
        <v>000000</v>
      </c>
    </row>
    <row r="102" spans="1:16" ht="22.2" thickBot="1" x14ac:dyDescent="0.45">
      <c r="A102" s="2" t="str">
        <f ca="1">정리!D95&amp; CHAR(10) &amp;정리!E95</f>
        <v>0
0</v>
      </c>
      <c r="B102" s="2">
        <f ca="1">정리!B95</f>
        <v>0</v>
      </c>
      <c r="C102" s="2">
        <f ca="1">정리!G95</f>
        <v>0</v>
      </c>
      <c r="D102" s="5">
        <f ca="1">정리!H95</f>
        <v>0</v>
      </c>
      <c r="E102" s="3">
        <f ca="1">정리!I95</f>
        <v>0</v>
      </c>
      <c r="F102" s="3">
        <f ca="1">정리!J95</f>
        <v>0</v>
      </c>
      <c r="G102" s="22">
        <f ca="1">정리!K95</f>
        <v>0</v>
      </c>
      <c r="H102" s="22"/>
      <c r="I102" s="22"/>
      <c r="J102" s="22"/>
      <c r="K102" s="23" t="str">
        <f ca="1">정리!L95</f>
        <v>0</v>
      </c>
      <c r="L102" s="23"/>
      <c r="M102" s="23"/>
      <c r="N102" s="23"/>
      <c r="O102" s="23"/>
      <c r="P102" s="1" t="str">
        <f ca="1">정리!C95</f>
        <v>000000</v>
      </c>
    </row>
    <row r="103" spans="1:16" ht="21.6" x14ac:dyDescent="0.4">
      <c r="A103" s="4" t="str">
        <f ca="1">정리!D96&amp; CHAR(10) &amp;정리!E96</f>
        <v>0
0</v>
      </c>
      <c r="B103" s="4">
        <f ca="1">정리!B96</f>
        <v>0</v>
      </c>
      <c r="C103" s="4">
        <f ca="1">정리!G96</f>
        <v>0</v>
      </c>
      <c r="D103" s="5">
        <f ca="1">정리!H96</f>
        <v>0</v>
      </c>
      <c r="E103" s="6">
        <f ca="1">정리!I96</f>
        <v>0</v>
      </c>
      <c r="F103" s="6">
        <f ca="1">정리!J96</f>
        <v>0</v>
      </c>
      <c r="G103" s="24">
        <f ca="1">정리!K96</f>
        <v>0</v>
      </c>
      <c r="H103" s="24"/>
      <c r="I103" s="24"/>
      <c r="J103" s="24"/>
      <c r="K103" s="25" t="str">
        <f ca="1">정리!L96</f>
        <v>0</v>
      </c>
      <c r="L103" s="25"/>
      <c r="M103" s="25"/>
      <c r="N103" s="25"/>
      <c r="O103" s="25"/>
      <c r="P103" s="1" t="str">
        <f ca="1">정리!C96</f>
        <v>000000</v>
      </c>
    </row>
    <row r="104" spans="1:16" ht="22.2" thickBot="1" x14ac:dyDescent="0.45">
      <c r="A104" s="2" t="str">
        <f ca="1">정리!D97&amp; CHAR(10) &amp;정리!E97</f>
        <v>0
0</v>
      </c>
      <c r="B104" s="2">
        <f ca="1">정리!B97</f>
        <v>0</v>
      </c>
      <c r="C104" s="2">
        <f ca="1">정리!G97</f>
        <v>0</v>
      </c>
      <c r="D104" s="5">
        <f ca="1">정리!H97</f>
        <v>0</v>
      </c>
      <c r="E104" s="3">
        <f ca="1">정리!I97</f>
        <v>0</v>
      </c>
      <c r="F104" s="3">
        <f ca="1">정리!J97</f>
        <v>0</v>
      </c>
      <c r="G104" s="22">
        <f ca="1">정리!K97</f>
        <v>0</v>
      </c>
      <c r="H104" s="22"/>
      <c r="I104" s="22"/>
      <c r="J104" s="22"/>
      <c r="K104" s="23" t="str">
        <f ca="1">정리!L97</f>
        <v>0</v>
      </c>
      <c r="L104" s="23"/>
      <c r="M104" s="23"/>
      <c r="N104" s="23"/>
      <c r="O104" s="23"/>
      <c r="P104" s="1" t="str">
        <f ca="1">정리!C97</f>
        <v>000000</v>
      </c>
    </row>
    <row r="105" spans="1:16" ht="21.6" x14ac:dyDescent="0.4">
      <c r="A105" s="4" t="str">
        <f ca="1">정리!D98&amp; CHAR(10) &amp;정리!E98</f>
        <v>0
0</v>
      </c>
      <c r="B105" s="4">
        <f ca="1">정리!B98</f>
        <v>0</v>
      </c>
      <c r="C105" s="4">
        <f ca="1">정리!G98</f>
        <v>0</v>
      </c>
      <c r="D105" s="5">
        <f ca="1">정리!H98</f>
        <v>0</v>
      </c>
      <c r="E105" s="6">
        <f ca="1">정리!I98</f>
        <v>0</v>
      </c>
      <c r="F105" s="6">
        <f ca="1">정리!J98</f>
        <v>0</v>
      </c>
      <c r="G105" s="24">
        <f ca="1">정리!K98</f>
        <v>0</v>
      </c>
      <c r="H105" s="24"/>
      <c r="I105" s="24"/>
      <c r="J105" s="24"/>
      <c r="K105" s="25" t="str">
        <f ca="1">정리!L98</f>
        <v>0</v>
      </c>
      <c r="L105" s="25"/>
      <c r="M105" s="25"/>
      <c r="N105" s="25"/>
      <c r="O105" s="25"/>
      <c r="P105" s="1" t="str">
        <f ca="1">정리!C98</f>
        <v>000000</v>
      </c>
    </row>
    <row r="106" spans="1:16" ht="22.2" thickBot="1" x14ac:dyDescent="0.45">
      <c r="A106" s="2" t="str">
        <f ca="1">정리!D99&amp; CHAR(10) &amp;정리!E99</f>
        <v>0
0</v>
      </c>
      <c r="B106" s="2">
        <f ca="1">정리!B99</f>
        <v>0</v>
      </c>
      <c r="C106" s="2">
        <f ca="1">정리!G99</f>
        <v>0</v>
      </c>
      <c r="D106" s="5">
        <f ca="1">정리!H99</f>
        <v>0</v>
      </c>
      <c r="E106" s="3">
        <f ca="1">정리!I99</f>
        <v>0</v>
      </c>
      <c r="F106" s="3">
        <f ca="1">정리!J99</f>
        <v>0</v>
      </c>
      <c r="G106" s="22">
        <f ca="1">정리!K99</f>
        <v>0</v>
      </c>
      <c r="H106" s="22"/>
      <c r="I106" s="22"/>
      <c r="J106" s="22"/>
      <c r="K106" s="23" t="str">
        <f ca="1">정리!L99</f>
        <v>0</v>
      </c>
      <c r="L106" s="23"/>
      <c r="M106" s="23"/>
      <c r="N106" s="23"/>
      <c r="O106" s="23"/>
      <c r="P106" s="1" t="str">
        <f ca="1">정리!C99</f>
        <v>000000</v>
      </c>
    </row>
    <row r="107" spans="1:16" ht="21.6" x14ac:dyDescent="0.4">
      <c r="A107" s="4" t="str">
        <f ca="1">정리!D100&amp; CHAR(10) &amp;정리!E100</f>
        <v>0
0</v>
      </c>
      <c r="B107" s="4">
        <f ca="1">정리!B100</f>
        <v>0</v>
      </c>
      <c r="C107" s="4">
        <f ca="1">정리!G100</f>
        <v>0</v>
      </c>
      <c r="D107" s="5">
        <f ca="1">정리!H100</f>
        <v>0</v>
      </c>
      <c r="E107" s="6">
        <f ca="1">정리!I100</f>
        <v>0</v>
      </c>
      <c r="F107" s="6">
        <f ca="1">정리!J100</f>
        <v>0</v>
      </c>
      <c r="G107" s="24">
        <f ca="1">정리!K100</f>
        <v>0</v>
      </c>
      <c r="H107" s="24"/>
      <c r="I107" s="24"/>
      <c r="J107" s="24"/>
      <c r="K107" s="25" t="str">
        <f ca="1">정리!L100</f>
        <v>0</v>
      </c>
      <c r="L107" s="25"/>
      <c r="M107" s="25"/>
      <c r="N107" s="25"/>
      <c r="O107" s="25"/>
      <c r="P107" s="1" t="str">
        <f ca="1">정리!C100</f>
        <v>000000</v>
      </c>
    </row>
    <row r="108" spans="1:16" ht="22.2" thickBot="1" x14ac:dyDescent="0.45">
      <c r="A108" s="2" t="str">
        <f ca="1">정리!D101&amp; CHAR(10) &amp;정리!E101</f>
        <v>0
0</v>
      </c>
      <c r="B108" s="2">
        <f ca="1">정리!B101</f>
        <v>0</v>
      </c>
      <c r="C108" s="2">
        <f ca="1">정리!G101</f>
        <v>0</v>
      </c>
      <c r="D108" s="5">
        <f ca="1">정리!H101</f>
        <v>0</v>
      </c>
      <c r="E108" s="3">
        <f ca="1">정리!I101</f>
        <v>0</v>
      </c>
      <c r="F108" s="3">
        <f ca="1">정리!J101</f>
        <v>0</v>
      </c>
      <c r="G108" s="22">
        <f ca="1">정리!K101</f>
        <v>0</v>
      </c>
      <c r="H108" s="22"/>
      <c r="I108" s="22"/>
      <c r="J108" s="22"/>
      <c r="K108" s="23" t="str">
        <f ca="1">정리!L101</f>
        <v>0</v>
      </c>
      <c r="L108" s="23"/>
      <c r="M108" s="23"/>
      <c r="N108" s="23"/>
      <c r="O108" s="23"/>
      <c r="P108" s="1" t="str">
        <f ca="1">정리!C101</f>
        <v>000000</v>
      </c>
    </row>
    <row r="109" spans="1:16" ht="21.6" x14ac:dyDescent="0.4">
      <c r="A109" s="4" t="str">
        <f ca="1">정리!D102&amp; CHAR(10) &amp;정리!E102</f>
        <v>0
0</v>
      </c>
      <c r="B109" s="4">
        <f ca="1">정리!B102</f>
        <v>0</v>
      </c>
      <c r="C109" s="4">
        <f ca="1">정리!G102</f>
        <v>0</v>
      </c>
      <c r="D109" s="5">
        <f ca="1">정리!H102</f>
        <v>0</v>
      </c>
      <c r="E109" s="6">
        <f ca="1">정리!I102</f>
        <v>0</v>
      </c>
      <c r="F109" s="6">
        <f ca="1">정리!J102</f>
        <v>0</v>
      </c>
      <c r="G109" s="24">
        <f ca="1">정리!K102</f>
        <v>0</v>
      </c>
      <c r="H109" s="24"/>
      <c r="I109" s="24"/>
      <c r="J109" s="24"/>
      <c r="K109" s="25" t="str">
        <f ca="1">정리!L102</f>
        <v>0</v>
      </c>
      <c r="L109" s="25"/>
      <c r="M109" s="25"/>
      <c r="N109" s="25"/>
      <c r="O109" s="25"/>
      <c r="P109" s="1" t="str">
        <f ca="1">정리!C102</f>
        <v>000000</v>
      </c>
    </row>
    <row r="110" spans="1:16" ht="22.2" thickBot="1" x14ac:dyDescent="0.45">
      <c r="A110" s="2" t="str">
        <f ca="1">정리!D103&amp; CHAR(10) &amp;정리!E103</f>
        <v>0
0</v>
      </c>
      <c r="B110" s="2">
        <f ca="1">정리!B103</f>
        <v>0</v>
      </c>
      <c r="C110" s="2">
        <f ca="1">정리!G103</f>
        <v>0</v>
      </c>
      <c r="D110" s="5">
        <f ca="1">정리!H103</f>
        <v>0</v>
      </c>
      <c r="E110" s="3">
        <f ca="1">정리!I103</f>
        <v>0</v>
      </c>
      <c r="F110" s="3">
        <f ca="1">정리!J103</f>
        <v>0</v>
      </c>
      <c r="G110" s="22">
        <f ca="1">정리!K103</f>
        <v>0</v>
      </c>
      <c r="H110" s="22"/>
      <c r="I110" s="22"/>
      <c r="J110" s="22"/>
      <c r="K110" s="23" t="str">
        <f ca="1">정리!L103</f>
        <v>0</v>
      </c>
      <c r="L110" s="23"/>
      <c r="M110" s="23"/>
      <c r="N110" s="23"/>
      <c r="O110" s="23"/>
      <c r="P110" s="1" t="str">
        <f ca="1">정리!C103</f>
        <v>000000</v>
      </c>
    </row>
    <row r="111" spans="1:16" ht="21.6" x14ac:dyDescent="0.4">
      <c r="A111" s="4" t="str">
        <f ca="1">정리!D104&amp; CHAR(10) &amp;정리!E104</f>
        <v>0
0</v>
      </c>
      <c r="B111" s="4">
        <f ca="1">정리!B104</f>
        <v>0</v>
      </c>
      <c r="C111" s="4">
        <f ca="1">정리!G104</f>
        <v>0</v>
      </c>
      <c r="D111" s="5">
        <f ca="1">정리!H104</f>
        <v>0</v>
      </c>
      <c r="E111" s="6">
        <f ca="1">정리!I104</f>
        <v>0</v>
      </c>
      <c r="F111" s="6">
        <f ca="1">정리!J104</f>
        <v>0</v>
      </c>
      <c r="G111" s="24">
        <f ca="1">정리!K104</f>
        <v>0</v>
      </c>
      <c r="H111" s="24"/>
      <c r="I111" s="24"/>
      <c r="J111" s="24"/>
      <c r="K111" s="25" t="str">
        <f ca="1">정리!L104</f>
        <v>0</v>
      </c>
      <c r="L111" s="25"/>
      <c r="M111" s="25"/>
      <c r="N111" s="25"/>
      <c r="O111" s="25"/>
      <c r="P111" s="1" t="str">
        <f ca="1">정리!C104</f>
        <v>000000</v>
      </c>
    </row>
    <row r="112" spans="1:16" ht="22.2" thickBot="1" x14ac:dyDescent="0.45">
      <c r="A112" s="2" t="str">
        <f ca="1">정리!D105&amp; CHAR(10) &amp;정리!E105</f>
        <v>0
0</v>
      </c>
      <c r="B112" s="2">
        <f ca="1">정리!B105</f>
        <v>0</v>
      </c>
      <c r="C112" s="2">
        <f ca="1">정리!G105</f>
        <v>0</v>
      </c>
      <c r="D112" s="5">
        <f ca="1">정리!H105</f>
        <v>0</v>
      </c>
      <c r="E112" s="3">
        <f ca="1">정리!I105</f>
        <v>0</v>
      </c>
      <c r="F112" s="3">
        <f ca="1">정리!J105</f>
        <v>0</v>
      </c>
      <c r="G112" s="22">
        <f ca="1">정리!K105</f>
        <v>0</v>
      </c>
      <c r="H112" s="22"/>
      <c r="I112" s="22"/>
      <c r="J112" s="22"/>
      <c r="K112" s="23" t="str">
        <f ca="1">정리!L105</f>
        <v>0</v>
      </c>
      <c r="L112" s="23"/>
      <c r="M112" s="23"/>
      <c r="N112" s="23"/>
      <c r="O112" s="23"/>
      <c r="P112" s="1" t="str">
        <f ca="1">정리!C105</f>
        <v>000000</v>
      </c>
    </row>
    <row r="113" spans="1:16" ht="21.6" x14ac:dyDescent="0.4">
      <c r="A113" s="4" t="str">
        <f ca="1">정리!D106&amp; CHAR(10) &amp;정리!E106</f>
        <v>0
0</v>
      </c>
      <c r="B113" s="4">
        <f ca="1">정리!B106</f>
        <v>0</v>
      </c>
      <c r="C113" s="4">
        <f ca="1">정리!G106</f>
        <v>0</v>
      </c>
      <c r="D113" s="5">
        <f ca="1">정리!H106</f>
        <v>0</v>
      </c>
      <c r="E113" s="6">
        <f ca="1">정리!I106</f>
        <v>0</v>
      </c>
      <c r="F113" s="6">
        <f ca="1">정리!J106</f>
        <v>0</v>
      </c>
      <c r="G113" s="24">
        <f ca="1">정리!K106</f>
        <v>0</v>
      </c>
      <c r="H113" s="24"/>
      <c r="I113" s="24"/>
      <c r="J113" s="24"/>
      <c r="K113" s="25" t="str">
        <f ca="1">정리!L106</f>
        <v>0</v>
      </c>
      <c r="L113" s="25"/>
      <c r="M113" s="25"/>
      <c r="N113" s="25"/>
      <c r="O113" s="25"/>
      <c r="P113" s="1" t="str">
        <f ca="1">정리!C106</f>
        <v>000000</v>
      </c>
    </row>
    <row r="114" spans="1:16" ht="22.2" thickBot="1" x14ac:dyDescent="0.45">
      <c r="A114" s="2" t="str">
        <f ca="1">정리!D107&amp; CHAR(10) &amp;정리!E107</f>
        <v>0
0</v>
      </c>
      <c r="B114" s="2">
        <f ca="1">정리!B107</f>
        <v>0</v>
      </c>
      <c r="C114" s="2">
        <f ca="1">정리!G107</f>
        <v>0</v>
      </c>
      <c r="D114" s="5">
        <f ca="1">정리!H107</f>
        <v>0</v>
      </c>
      <c r="E114" s="3">
        <f ca="1">정리!I107</f>
        <v>0</v>
      </c>
      <c r="F114" s="3">
        <f ca="1">정리!J107</f>
        <v>0</v>
      </c>
      <c r="G114" s="22">
        <f ca="1">정리!K107</f>
        <v>0</v>
      </c>
      <c r="H114" s="22"/>
      <c r="I114" s="22"/>
      <c r="J114" s="22"/>
      <c r="K114" s="23" t="str">
        <f ca="1">정리!L107</f>
        <v>0</v>
      </c>
      <c r="L114" s="23"/>
      <c r="M114" s="23"/>
      <c r="N114" s="23"/>
      <c r="O114" s="23"/>
      <c r="P114" s="1" t="str">
        <f ca="1">정리!C107</f>
        <v>000000</v>
      </c>
    </row>
    <row r="115" spans="1:16" ht="21.6" x14ac:dyDescent="0.4">
      <c r="A115" s="4" t="str">
        <f ca="1">정리!D108&amp; CHAR(10) &amp;정리!E108</f>
        <v>0
0</v>
      </c>
      <c r="B115" s="4">
        <f ca="1">정리!B108</f>
        <v>0</v>
      </c>
      <c r="C115" s="4">
        <f ca="1">정리!G108</f>
        <v>0</v>
      </c>
      <c r="D115" s="5">
        <f ca="1">정리!H108</f>
        <v>0</v>
      </c>
      <c r="E115" s="6">
        <f ca="1">정리!I108</f>
        <v>0</v>
      </c>
      <c r="F115" s="6">
        <f ca="1">정리!J108</f>
        <v>0</v>
      </c>
      <c r="G115" s="24">
        <f ca="1">정리!K108</f>
        <v>0</v>
      </c>
      <c r="H115" s="24"/>
      <c r="I115" s="24"/>
      <c r="J115" s="24"/>
      <c r="K115" s="25" t="str">
        <f ca="1">정리!L108</f>
        <v>0</v>
      </c>
      <c r="L115" s="25"/>
      <c r="M115" s="25"/>
      <c r="N115" s="25"/>
      <c r="O115" s="25"/>
      <c r="P115" s="1" t="str">
        <f ca="1">정리!C108</f>
        <v>000000</v>
      </c>
    </row>
    <row r="116" spans="1:16" ht="22.2" thickBot="1" x14ac:dyDescent="0.45">
      <c r="A116" s="2" t="str">
        <f ca="1">정리!D109&amp; CHAR(10) &amp;정리!E109</f>
        <v>0
0</v>
      </c>
      <c r="B116" s="2">
        <f ca="1">정리!B109</f>
        <v>0</v>
      </c>
      <c r="C116" s="2">
        <f ca="1">정리!G109</f>
        <v>0</v>
      </c>
      <c r="D116" s="5">
        <f ca="1">정리!H109</f>
        <v>0</v>
      </c>
      <c r="E116" s="3">
        <f ca="1">정리!I109</f>
        <v>0</v>
      </c>
      <c r="F116" s="3">
        <f ca="1">정리!J109</f>
        <v>0</v>
      </c>
      <c r="G116" s="22">
        <f ca="1">정리!K109</f>
        <v>0</v>
      </c>
      <c r="H116" s="22"/>
      <c r="I116" s="22"/>
      <c r="J116" s="22"/>
      <c r="K116" s="23" t="str">
        <f ca="1">정리!L109</f>
        <v>0</v>
      </c>
      <c r="L116" s="23"/>
      <c r="M116" s="23"/>
      <c r="N116" s="23"/>
      <c r="O116" s="23"/>
      <c r="P116" s="1" t="str">
        <f ca="1">정리!C109</f>
        <v>000000</v>
      </c>
    </row>
    <row r="117" spans="1:16" ht="21.6" x14ac:dyDescent="0.4">
      <c r="A117" s="4" t="str">
        <f ca="1">정리!D110&amp; CHAR(10) &amp;정리!E110</f>
        <v>0
0</v>
      </c>
      <c r="B117" s="4">
        <f ca="1">정리!B110</f>
        <v>0</v>
      </c>
      <c r="C117" s="4">
        <f ca="1">정리!G110</f>
        <v>0</v>
      </c>
      <c r="D117" s="5">
        <f ca="1">정리!H110</f>
        <v>0</v>
      </c>
      <c r="E117" s="6">
        <f ca="1">정리!I110</f>
        <v>0</v>
      </c>
      <c r="F117" s="6">
        <f ca="1">정리!J110</f>
        <v>0</v>
      </c>
      <c r="G117" s="24">
        <f ca="1">정리!K110</f>
        <v>0</v>
      </c>
      <c r="H117" s="24"/>
      <c r="I117" s="24"/>
      <c r="J117" s="24"/>
      <c r="K117" s="25" t="str">
        <f ca="1">정리!L110</f>
        <v>0</v>
      </c>
      <c r="L117" s="25"/>
      <c r="M117" s="25"/>
      <c r="N117" s="25"/>
      <c r="O117" s="25"/>
      <c r="P117" s="1" t="str">
        <f ca="1">정리!C110</f>
        <v>000000</v>
      </c>
    </row>
    <row r="118" spans="1:16" ht="22.2" thickBot="1" x14ac:dyDescent="0.45">
      <c r="A118" s="2" t="str">
        <f ca="1">정리!D111&amp; CHAR(10) &amp;정리!E111</f>
        <v>0
0</v>
      </c>
      <c r="B118" s="2">
        <f ca="1">정리!B111</f>
        <v>0</v>
      </c>
      <c r="C118" s="2">
        <f ca="1">정리!G111</f>
        <v>0</v>
      </c>
      <c r="D118" s="5">
        <f ca="1">정리!H111</f>
        <v>0</v>
      </c>
      <c r="E118" s="3">
        <f ca="1">정리!I111</f>
        <v>0</v>
      </c>
      <c r="F118" s="3">
        <f ca="1">정리!J111</f>
        <v>0</v>
      </c>
      <c r="G118" s="22">
        <f ca="1">정리!K111</f>
        <v>0</v>
      </c>
      <c r="H118" s="22"/>
      <c r="I118" s="22"/>
      <c r="J118" s="22"/>
      <c r="K118" s="23" t="str">
        <f ca="1">정리!L111</f>
        <v>0</v>
      </c>
      <c r="L118" s="23"/>
      <c r="M118" s="23"/>
      <c r="N118" s="23"/>
      <c r="O118" s="23"/>
      <c r="P118" s="1" t="str">
        <f ca="1">정리!C111</f>
        <v>000000</v>
      </c>
    </row>
    <row r="119" spans="1:16" ht="21.6" x14ac:dyDescent="0.4">
      <c r="A119" s="4" t="str">
        <f ca="1">정리!D112&amp; CHAR(10) &amp;정리!E112</f>
        <v>0
0</v>
      </c>
      <c r="B119" s="4">
        <f ca="1">정리!B112</f>
        <v>0</v>
      </c>
      <c r="C119" s="4">
        <f ca="1">정리!G112</f>
        <v>0</v>
      </c>
      <c r="D119" s="5">
        <f ca="1">정리!H112</f>
        <v>0</v>
      </c>
      <c r="E119" s="6">
        <f ca="1">정리!I112</f>
        <v>0</v>
      </c>
      <c r="F119" s="6">
        <f ca="1">정리!J112</f>
        <v>0</v>
      </c>
      <c r="G119" s="24">
        <f ca="1">정리!K112</f>
        <v>0</v>
      </c>
      <c r="H119" s="24"/>
      <c r="I119" s="24"/>
      <c r="J119" s="24"/>
      <c r="K119" s="25" t="str">
        <f ca="1">정리!L112</f>
        <v>0</v>
      </c>
      <c r="L119" s="25"/>
      <c r="M119" s="25"/>
      <c r="N119" s="25"/>
      <c r="O119" s="25"/>
      <c r="P119" s="1" t="str">
        <f ca="1">정리!C112</f>
        <v>000000</v>
      </c>
    </row>
    <row r="120" spans="1:16" ht="22.2" thickBot="1" x14ac:dyDescent="0.45">
      <c r="A120" s="2" t="str">
        <f ca="1">정리!D113&amp; CHAR(10) &amp;정리!E113</f>
        <v>0
0</v>
      </c>
      <c r="B120" s="2">
        <f ca="1">정리!B113</f>
        <v>0</v>
      </c>
      <c r="C120" s="2">
        <f ca="1">정리!G113</f>
        <v>0</v>
      </c>
      <c r="D120" s="5">
        <f ca="1">정리!H113</f>
        <v>0</v>
      </c>
      <c r="E120" s="3">
        <f ca="1">정리!I113</f>
        <v>0</v>
      </c>
      <c r="F120" s="3">
        <f ca="1">정리!J113</f>
        <v>0</v>
      </c>
      <c r="G120" s="22">
        <f ca="1">정리!K113</f>
        <v>0</v>
      </c>
      <c r="H120" s="22"/>
      <c r="I120" s="22"/>
      <c r="J120" s="22"/>
      <c r="K120" s="23" t="str">
        <f ca="1">정리!L113</f>
        <v>0</v>
      </c>
      <c r="L120" s="23"/>
      <c r="M120" s="23"/>
      <c r="N120" s="23"/>
      <c r="O120" s="23"/>
      <c r="P120" s="1" t="str">
        <f ca="1">정리!C113</f>
        <v>000000</v>
      </c>
    </row>
    <row r="121" spans="1:16" ht="21.6" x14ac:dyDescent="0.4">
      <c r="A121" s="4" t="str">
        <f ca="1">정리!D114&amp; CHAR(10) &amp;정리!E114</f>
        <v>0
0</v>
      </c>
      <c r="B121" s="4">
        <f ca="1">정리!B114</f>
        <v>0</v>
      </c>
      <c r="C121" s="4">
        <f ca="1">정리!G114</f>
        <v>0</v>
      </c>
      <c r="D121" s="5">
        <f ca="1">정리!H114</f>
        <v>0</v>
      </c>
      <c r="E121" s="6">
        <f ca="1">정리!I114</f>
        <v>0</v>
      </c>
      <c r="F121" s="6">
        <f ca="1">정리!J114</f>
        <v>0</v>
      </c>
      <c r="G121" s="24">
        <f ca="1">정리!K114</f>
        <v>0</v>
      </c>
      <c r="H121" s="24"/>
      <c r="I121" s="24"/>
      <c r="J121" s="24"/>
      <c r="K121" s="25" t="str">
        <f ca="1">정리!L114</f>
        <v>0</v>
      </c>
      <c r="L121" s="25"/>
      <c r="M121" s="25"/>
      <c r="N121" s="25"/>
      <c r="O121" s="25"/>
      <c r="P121" s="1" t="str">
        <f ca="1">정리!C114</f>
        <v>000000</v>
      </c>
    </row>
    <row r="122" spans="1:16" ht="22.2" thickBot="1" x14ac:dyDescent="0.45">
      <c r="A122" s="2" t="str">
        <f ca="1">정리!D115&amp; CHAR(10) &amp;정리!E115</f>
        <v>0
0</v>
      </c>
      <c r="B122" s="2">
        <f ca="1">정리!B115</f>
        <v>0</v>
      </c>
      <c r="C122" s="2">
        <f ca="1">정리!G115</f>
        <v>0</v>
      </c>
      <c r="D122" s="5">
        <f ca="1">정리!H115</f>
        <v>0</v>
      </c>
      <c r="E122" s="3">
        <f ca="1">정리!I115</f>
        <v>0</v>
      </c>
      <c r="F122" s="3">
        <f ca="1">정리!J115</f>
        <v>0</v>
      </c>
      <c r="G122" s="22">
        <f ca="1">정리!K115</f>
        <v>0</v>
      </c>
      <c r="H122" s="22"/>
      <c r="I122" s="22"/>
      <c r="J122" s="22"/>
      <c r="K122" s="23" t="str">
        <f ca="1">정리!L115</f>
        <v>0</v>
      </c>
      <c r="L122" s="23"/>
      <c r="M122" s="23"/>
      <c r="N122" s="23"/>
      <c r="O122" s="23"/>
      <c r="P122" s="1" t="str">
        <f ca="1">정리!C115</f>
        <v>000000</v>
      </c>
    </row>
    <row r="123" spans="1:16" ht="21.6" x14ac:dyDescent="0.4">
      <c r="A123" s="4" t="str">
        <f ca="1">정리!D116&amp; CHAR(10) &amp;정리!E116</f>
        <v>0
0</v>
      </c>
      <c r="B123" s="4">
        <f ca="1">정리!B116</f>
        <v>0</v>
      </c>
      <c r="C123" s="4">
        <f ca="1">정리!G116</f>
        <v>0</v>
      </c>
      <c r="D123" s="5">
        <f ca="1">정리!H116</f>
        <v>0</v>
      </c>
      <c r="E123" s="6">
        <f ca="1">정리!I116</f>
        <v>0</v>
      </c>
      <c r="F123" s="6">
        <f ca="1">정리!J116</f>
        <v>0</v>
      </c>
      <c r="G123" s="24">
        <f ca="1">정리!K116</f>
        <v>0</v>
      </c>
      <c r="H123" s="24"/>
      <c r="I123" s="24"/>
      <c r="J123" s="24"/>
      <c r="K123" s="25" t="str">
        <f ca="1">정리!L116</f>
        <v>0</v>
      </c>
      <c r="L123" s="25"/>
      <c r="M123" s="25"/>
      <c r="N123" s="25"/>
      <c r="O123" s="25"/>
      <c r="P123" s="1" t="str">
        <f ca="1">정리!C116</f>
        <v>000000</v>
      </c>
    </row>
    <row r="124" spans="1:16" ht="22.2" thickBot="1" x14ac:dyDescent="0.45">
      <c r="A124" s="2" t="str">
        <f ca="1">정리!D117&amp; CHAR(10) &amp;정리!E117</f>
        <v>0
0</v>
      </c>
      <c r="B124" s="2">
        <f ca="1">정리!B117</f>
        <v>0</v>
      </c>
      <c r="C124" s="2">
        <f ca="1">정리!G117</f>
        <v>0</v>
      </c>
      <c r="D124" s="5">
        <f ca="1">정리!H117</f>
        <v>0</v>
      </c>
      <c r="E124" s="3">
        <f ca="1">정리!I117</f>
        <v>0</v>
      </c>
      <c r="F124" s="3">
        <f ca="1">정리!J117</f>
        <v>0</v>
      </c>
      <c r="G124" s="22">
        <f ca="1">정리!K117</f>
        <v>0</v>
      </c>
      <c r="H124" s="22"/>
      <c r="I124" s="22"/>
      <c r="J124" s="22"/>
      <c r="K124" s="23" t="str">
        <f ca="1">정리!L117</f>
        <v>0</v>
      </c>
      <c r="L124" s="23"/>
      <c r="M124" s="23"/>
      <c r="N124" s="23"/>
      <c r="O124" s="23"/>
      <c r="P124" s="1" t="str">
        <f ca="1">정리!C117</f>
        <v>000000</v>
      </c>
    </row>
    <row r="125" spans="1:16" ht="21.6" x14ac:dyDescent="0.4">
      <c r="A125" s="4" t="str">
        <f ca="1">정리!D118&amp; CHAR(10) &amp;정리!E118</f>
        <v>0
0</v>
      </c>
      <c r="B125" s="4">
        <f ca="1">정리!B118</f>
        <v>0</v>
      </c>
      <c r="C125" s="4">
        <f ca="1">정리!G118</f>
        <v>0</v>
      </c>
      <c r="D125" s="5">
        <f ca="1">정리!H118</f>
        <v>0</v>
      </c>
      <c r="E125" s="6">
        <f ca="1">정리!I118</f>
        <v>0</v>
      </c>
      <c r="F125" s="6">
        <f ca="1">정리!J118</f>
        <v>0</v>
      </c>
      <c r="G125" s="24">
        <f ca="1">정리!K118</f>
        <v>0</v>
      </c>
      <c r="H125" s="24"/>
      <c r="I125" s="24"/>
      <c r="J125" s="24"/>
      <c r="K125" s="25" t="str">
        <f ca="1">정리!L118</f>
        <v>0</v>
      </c>
      <c r="L125" s="25"/>
      <c r="M125" s="25"/>
      <c r="N125" s="25"/>
      <c r="O125" s="25"/>
      <c r="P125" s="1" t="str">
        <f ca="1">정리!C118</f>
        <v>000000</v>
      </c>
    </row>
    <row r="126" spans="1:16" ht="22.2" thickBot="1" x14ac:dyDescent="0.45">
      <c r="A126" s="2" t="str">
        <f ca="1">정리!D119&amp; CHAR(10) &amp;정리!E119</f>
        <v>0
0</v>
      </c>
      <c r="B126" s="2">
        <f ca="1">정리!B119</f>
        <v>0</v>
      </c>
      <c r="C126" s="2">
        <f ca="1">정리!G119</f>
        <v>0</v>
      </c>
      <c r="D126" s="5">
        <f ca="1">정리!H119</f>
        <v>0</v>
      </c>
      <c r="E126" s="3">
        <f ca="1">정리!I119</f>
        <v>0</v>
      </c>
      <c r="F126" s="3">
        <f ca="1">정리!J119</f>
        <v>0</v>
      </c>
      <c r="G126" s="22">
        <f ca="1">정리!K119</f>
        <v>0</v>
      </c>
      <c r="H126" s="22"/>
      <c r="I126" s="22"/>
      <c r="J126" s="22"/>
      <c r="K126" s="23" t="str">
        <f ca="1">정리!L119</f>
        <v>0</v>
      </c>
      <c r="L126" s="23"/>
      <c r="M126" s="23"/>
      <c r="N126" s="23"/>
      <c r="O126" s="23"/>
      <c r="P126" s="1" t="str">
        <f ca="1">정리!C119</f>
        <v>000000</v>
      </c>
    </row>
    <row r="127" spans="1:16" ht="21.6" x14ac:dyDescent="0.4">
      <c r="A127" s="4" t="str">
        <f ca="1">정리!D120&amp; CHAR(10) &amp;정리!E120</f>
        <v>0
0</v>
      </c>
      <c r="B127" s="4">
        <f ca="1">정리!B120</f>
        <v>0</v>
      </c>
      <c r="C127" s="4">
        <f ca="1">정리!G120</f>
        <v>0</v>
      </c>
      <c r="D127" s="5">
        <f ca="1">정리!H120</f>
        <v>0</v>
      </c>
      <c r="E127" s="6">
        <f ca="1">정리!I120</f>
        <v>0</v>
      </c>
      <c r="F127" s="6">
        <f ca="1">정리!J120</f>
        <v>0</v>
      </c>
      <c r="G127" s="24">
        <f ca="1">정리!K120</f>
        <v>0</v>
      </c>
      <c r="H127" s="24"/>
      <c r="I127" s="24"/>
      <c r="J127" s="24"/>
      <c r="K127" s="25" t="str">
        <f ca="1">정리!L120</f>
        <v>0</v>
      </c>
      <c r="L127" s="25"/>
      <c r="M127" s="25"/>
      <c r="N127" s="25"/>
      <c r="O127" s="25"/>
      <c r="P127" s="1" t="str">
        <f ca="1">정리!C120</f>
        <v>000000</v>
      </c>
    </row>
    <row r="128" spans="1:16" ht="22.2" thickBot="1" x14ac:dyDescent="0.45">
      <c r="A128" s="2" t="str">
        <f ca="1">정리!D121&amp; CHAR(10) &amp;정리!E121</f>
        <v>0
0</v>
      </c>
      <c r="B128" s="2">
        <f ca="1">정리!B121</f>
        <v>0</v>
      </c>
      <c r="C128" s="2">
        <f ca="1">정리!G121</f>
        <v>0</v>
      </c>
      <c r="D128" s="5">
        <f ca="1">정리!H121</f>
        <v>0</v>
      </c>
      <c r="E128" s="3">
        <f ca="1">정리!I121</f>
        <v>0</v>
      </c>
      <c r="F128" s="3">
        <f ca="1">정리!J121</f>
        <v>0</v>
      </c>
      <c r="G128" s="22">
        <f ca="1">정리!K121</f>
        <v>0</v>
      </c>
      <c r="H128" s="22"/>
      <c r="I128" s="22"/>
      <c r="J128" s="22"/>
      <c r="K128" s="23" t="str">
        <f ca="1">정리!L121</f>
        <v>0</v>
      </c>
      <c r="L128" s="23"/>
      <c r="M128" s="23"/>
      <c r="N128" s="23"/>
      <c r="O128" s="23"/>
      <c r="P128" s="1" t="str">
        <f ca="1">정리!C121</f>
        <v>000000</v>
      </c>
    </row>
    <row r="129" spans="1:16" ht="21.6" x14ac:dyDescent="0.4">
      <c r="A129" s="4" t="str">
        <f ca="1">정리!D122&amp; CHAR(10) &amp;정리!E122</f>
        <v>0
0</v>
      </c>
      <c r="B129" s="4">
        <f ca="1">정리!B122</f>
        <v>0</v>
      </c>
      <c r="C129" s="4">
        <f ca="1">정리!G122</f>
        <v>0</v>
      </c>
      <c r="D129" s="5">
        <f ca="1">정리!H122</f>
        <v>0</v>
      </c>
      <c r="E129" s="6">
        <f ca="1">정리!I122</f>
        <v>0</v>
      </c>
      <c r="F129" s="6">
        <f ca="1">정리!J122</f>
        <v>0</v>
      </c>
      <c r="G129" s="24">
        <f ca="1">정리!K122</f>
        <v>0</v>
      </c>
      <c r="H129" s="24"/>
      <c r="I129" s="24"/>
      <c r="J129" s="24"/>
      <c r="K129" s="25" t="str">
        <f ca="1">정리!L122</f>
        <v>0</v>
      </c>
      <c r="L129" s="25"/>
      <c r="M129" s="25"/>
      <c r="N129" s="25"/>
      <c r="O129" s="25"/>
      <c r="P129" s="1" t="str">
        <f ca="1">정리!C122</f>
        <v>000000</v>
      </c>
    </row>
    <row r="130" spans="1:16" ht="22.2" thickBot="1" x14ac:dyDescent="0.45">
      <c r="A130" s="2" t="str">
        <f ca="1">정리!D123&amp; CHAR(10) &amp;정리!E123</f>
        <v>0
0</v>
      </c>
      <c r="B130" s="2">
        <f ca="1">정리!B123</f>
        <v>0</v>
      </c>
      <c r="C130" s="2">
        <f ca="1">정리!G123</f>
        <v>0</v>
      </c>
      <c r="D130" s="5">
        <f ca="1">정리!H123</f>
        <v>0</v>
      </c>
      <c r="E130" s="3">
        <f ca="1">정리!I123</f>
        <v>0</v>
      </c>
      <c r="F130" s="3">
        <f ca="1">정리!J123</f>
        <v>0</v>
      </c>
      <c r="G130" s="22">
        <f ca="1">정리!K123</f>
        <v>0</v>
      </c>
      <c r="H130" s="22"/>
      <c r="I130" s="22"/>
      <c r="J130" s="22"/>
      <c r="K130" s="23" t="str">
        <f ca="1">정리!L123</f>
        <v>0</v>
      </c>
      <c r="L130" s="23"/>
      <c r="M130" s="23"/>
      <c r="N130" s="23"/>
      <c r="O130" s="23"/>
      <c r="P130" s="1" t="str">
        <f ca="1">정리!C123</f>
        <v>000000</v>
      </c>
    </row>
    <row r="131" spans="1:16" ht="21.6" x14ac:dyDescent="0.4">
      <c r="A131" s="4" t="str">
        <f ca="1">정리!D124&amp; CHAR(10) &amp;정리!E124</f>
        <v>0
0</v>
      </c>
      <c r="B131" s="4">
        <f ca="1">정리!B124</f>
        <v>0</v>
      </c>
      <c r="C131" s="4">
        <f ca="1">정리!G124</f>
        <v>0</v>
      </c>
      <c r="D131" s="5">
        <f ca="1">정리!H124</f>
        <v>0</v>
      </c>
      <c r="E131" s="6">
        <f ca="1">정리!I124</f>
        <v>0</v>
      </c>
      <c r="F131" s="6">
        <f ca="1">정리!J124</f>
        <v>0</v>
      </c>
      <c r="G131" s="24">
        <f ca="1">정리!K124</f>
        <v>0</v>
      </c>
      <c r="H131" s="24"/>
      <c r="I131" s="24"/>
      <c r="J131" s="24"/>
      <c r="K131" s="25" t="str">
        <f ca="1">정리!L124</f>
        <v>0</v>
      </c>
      <c r="L131" s="25"/>
      <c r="M131" s="25"/>
      <c r="N131" s="25"/>
      <c r="O131" s="25"/>
      <c r="P131" s="1" t="str">
        <f ca="1">정리!C124</f>
        <v>000000</v>
      </c>
    </row>
    <row r="132" spans="1:16" ht="22.2" thickBot="1" x14ac:dyDescent="0.45">
      <c r="A132" s="2" t="str">
        <f ca="1">정리!D125&amp; CHAR(10) &amp;정리!E125</f>
        <v>0
0</v>
      </c>
      <c r="B132" s="2">
        <f ca="1">정리!B125</f>
        <v>0</v>
      </c>
      <c r="C132" s="2">
        <f ca="1">정리!G125</f>
        <v>0</v>
      </c>
      <c r="D132" s="5">
        <f ca="1">정리!H125</f>
        <v>0</v>
      </c>
      <c r="E132" s="3">
        <f ca="1">정리!I125</f>
        <v>0</v>
      </c>
      <c r="F132" s="3">
        <f ca="1">정리!J125</f>
        <v>0</v>
      </c>
      <c r="G132" s="22">
        <f ca="1">정리!K125</f>
        <v>0</v>
      </c>
      <c r="H132" s="22"/>
      <c r="I132" s="22"/>
      <c r="J132" s="22"/>
      <c r="K132" s="23" t="str">
        <f ca="1">정리!L125</f>
        <v>0</v>
      </c>
      <c r="L132" s="23"/>
      <c r="M132" s="23"/>
      <c r="N132" s="23"/>
      <c r="O132" s="23"/>
      <c r="P132" s="1" t="str">
        <f ca="1">정리!C125</f>
        <v>000000</v>
      </c>
    </row>
    <row r="133" spans="1:16" ht="21.6" x14ac:dyDescent="0.4">
      <c r="A133" s="4" t="str">
        <f ca="1">정리!D126&amp; CHAR(10) &amp;정리!E126</f>
        <v>0
0</v>
      </c>
      <c r="B133" s="4">
        <f ca="1">정리!B126</f>
        <v>0</v>
      </c>
      <c r="C133" s="4">
        <f ca="1">정리!G126</f>
        <v>0</v>
      </c>
      <c r="D133" s="5">
        <f ca="1">정리!H126</f>
        <v>0</v>
      </c>
      <c r="E133" s="6">
        <f ca="1">정리!I126</f>
        <v>0</v>
      </c>
      <c r="F133" s="6">
        <f ca="1">정리!J126</f>
        <v>0</v>
      </c>
      <c r="G133" s="24">
        <f ca="1">정리!K126</f>
        <v>0</v>
      </c>
      <c r="H133" s="24"/>
      <c r="I133" s="24"/>
      <c r="J133" s="24"/>
      <c r="K133" s="25" t="str">
        <f ca="1">정리!L126</f>
        <v>0</v>
      </c>
      <c r="L133" s="25"/>
      <c r="M133" s="25"/>
      <c r="N133" s="25"/>
      <c r="O133" s="25"/>
      <c r="P133" s="1" t="str">
        <f ca="1">정리!C126</f>
        <v>000000</v>
      </c>
    </row>
    <row r="134" spans="1:16" ht="22.2" thickBot="1" x14ac:dyDescent="0.45">
      <c r="A134" s="2" t="str">
        <f ca="1">정리!D127&amp; CHAR(10) &amp;정리!E127</f>
        <v>0
0</v>
      </c>
      <c r="B134" s="2">
        <f ca="1">정리!B127</f>
        <v>0</v>
      </c>
      <c r="C134" s="2">
        <f ca="1">정리!G127</f>
        <v>0</v>
      </c>
      <c r="D134" s="5">
        <f ca="1">정리!H127</f>
        <v>0</v>
      </c>
      <c r="E134" s="3">
        <f ca="1">정리!I127</f>
        <v>0</v>
      </c>
      <c r="F134" s="3">
        <f ca="1">정리!J127</f>
        <v>0</v>
      </c>
      <c r="G134" s="22">
        <f ca="1">정리!K127</f>
        <v>0</v>
      </c>
      <c r="H134" s="22"/>
      <c r="I134" s="22"/>
      <c r="J134" s="22"/>
      <c r="K134" s="23" t="str">
        <f ca="1">정리!L127</f>
        <v>0</v>
      </c>
      <c r="L134" s="23"/>
      <c r="M134" s="23"/>
      <c r="N134" s="23"/>
      <c r="O134" s="23"/>
      <c r="P134" s="1" t="str">
        <f ca="1">정리!C127</f>
        <v>000000</v>
      </c>
    </row>
    <row r="135" spans="1:16" ht="21.6" x14ac:dyDescent="0.4">
      <c r="A135" s="4" t="str">
        <f ca="1">정리!D128&amp; CHAR(10) &amp;정리!E128</f>
        <v>0
0</v>
      </c>
      <c r="B135" s="4">
        <f ca="1">정리!B128</f>
        <v>0</v>
      </c>
      <c r="C135" s="4">
        <f ca="1">정리!G128</f>
        <v>0</v>
      </c>
      <c r="D135" s="5">
        <f ca="1">정리!H128</f>
        <v>0</v>
      </c>
      <c r="E135" s="6">
        <f ca="1">정리!I128</f>
        <v>0</v>
      </c>
      <c r="F135" s="6">
        <f ca="1">정리!J128</f>
        <v>0</v>
      </c>
      <c r="G135" s="24">
        <f ca="1">정리!K128</f>
        <v>0</v>
      </c>
      <c r="H135" s="24"/>
      <c r="I135" s="24"/>
      <c r="J135" s="24"/>
      <c r="K135" s="25" t="str">
        <f ca="1">정리!L128</f>
        <v>0</v>
      </c>
      <c r="L135" s="25"/>
      <c r="M135" s="25"/>
      <c r="N135" s="25"/>
      <c r="O135" s="25"/>
      <c r="P135" s="1" t="str">
        <f ca="1">정리!C128</f>
        <v>000000</v>
      </c>
    </row>
    <row r="136" spans="1:16" ht="22.2" thickBot="1" x14ac:dyDescent="0.45">
      <c r="A136" s="2" t="str">
        <f ca="1">정리!D129&amp; CHAR(10) &amp;정리!E129</f>
        <v>0
0</v>
      </c>
      <c r="B136" s="2">
        <f ca="1">정리!B129</f>
        <v>0</v>
      </c>
      <c r="C136" s="2">
        <f ca="1">정리!G129</f>
        <v>0</v>
      </c>
      <c r="D136" s="5">
        <f ca="1">정리!H129</f>
        <v>0</v>
      </c>
      <c r="E136" s="3">
        <f ca="1">정리!I129</f>
        <v>0</v>
      </c>
      <c r="F136" s="3">
        <f ca="1">정리!J129</f>
        <v>0</v>
      </c>
      <c r="G136" s="22">
        <f ca="1">정리!K129</f>
        <v>0</v>
      </c>
      <c r="H136" s="22"/>
      <c r="I136" s="22"/>
      <c r="J136" s="22"/>
      <c r="K136" s="23" t="str">
        <f ca="1">정리!L129</f>
        <v>0</v>
      </c>
      <c r="L136" s="23"/>
      <c r="M136" s="23"/>
      <c r="N136" s="23"/>
      <c r="O136" s="23"/>
      <c r="P136" s="1" t="str">
        <f ca="1">정리!C129</f>
        <v>000000</v>
      </c>
    </row>
    <row r="137" spans="1:16" ht="21.6" x14ac:dyDescent="0.4">
      <c r="A137" s="4" t="str">
        <f ca="1">정리!D130&amp; CHAR(10) &amp;정리!E130</f>
        <v>0
0</v>
      </c>
      <c r="B137" s="4">
        <f ca="1">정리!B130</f>
        <v>0</v>
      </c>
      <c r="C137" s="4">
        <f ca="1">정리!G130</f>
        <v>0</v>
      </c>
      <c r="D137" s="5">
        <f ca="1">정리!H130</f>
        <v>0</v>
      </c>
      <c r="E137" s="6">
        <f ca="1">정리!I130</f>
        <v>0</v>
      </c>
      <c r="F137" s="6">
        <f ca="1">정리!J130</f>
        <v>0</v>
      </c>
      <c r="G137" s="24">
        <f ca="1">정리!K130</f>
        <v>0</v>
      </c>
      <c r="H137" s="24"/>
      <c r="I137" s="24"/>
      <c r="J137" s="24"/>
      <c r="K137" s="25" t="str">
        <f ca="1">정리!L130</f>
        <v>0</v>
      </c>
      <c r="L137" s="25"/>
      <c r="M137" s="25"/>
      <c r="N137" s="25"/>
      <c r="O137" s="25"/>
      <c r="P137" s="1" t="str">
        <f ca="1">정리!C130</f>
        <v>000000</v>
      </c>
    </row>
    <row r="138" spans="1:16" ht="22.2" thickBot="1" x14ac:dyDescent="0.45">
      <c r="A138" s="2" t="str">
        <f ca="1">정리!D131&amp; CHAR(10) &amp;정리!E131</f>
        <v>0
0</v>
      </c>
      <c r="B138" s="2">
        <f ca="1">정리!B131</f>
        <v>0</v>
      </c>
      <c r="C138" s="2">
        <f ca="1">정리!G131</f>
        <v>0</v>
      </c>
      <c r="D138" s="5">
        <f ca="1">정리!H131</f>
        <v>0</v>
      </c>
      <c r="E138" s="3">
        <f ca="1">정리!I131</f>
        <v>0</v>
      </c>
      <c r="F138" s="3">
        <f ca="1">정리!J131</f>
        <v>0</v>
      </c>
      <c r="G138" s="22">
        <f ca="1">정리!K131</f>
        <v>0</v>
      </c>
      <c r="H138" s="22"/>
      <c r="I138" s="22"/>
      <c r="J138" s="22"/>
      <c r="K138" s="23" t="str">
        <f ca="1">정리!L131</f>
        <v>0</v>
      </c>
      <c r="L138" s="23"/>
      <c r="M138" s="23"/>
      <c r="N138" s="23"/>
      <c r="O138" s="23"/>
      <c r="P138" s="1" t="str">
        <f ca="1">정리!C131</f>
        <v>000000</v>
      </c>
    </row>
    <row r="139" spans="1:16" ht="21.6" x14ac:dyDescent="0.4">
      <c r="A139" s="4" t="str">
        <f ca="1">정리!D132&amp; CHAR(10) &amp;정리!E132</f>
        <v>0
0</v>
      </c>
      <c r="B139" s="4">
        <f ca="1">정리!B132</f>
        <v>0</v>
      </c>
      <c r="C139" s="4">
        <f ca="1">정리!G132</f>
        <v>0</v>
      </c>
      <c r="D139" s="5">
        <f ca="1">정리!H132</f>
        <v>0</v>
      </c>
      <c r="E139" s="6">
        <f ca="1">정리!I132</f>
        <v>0</v>
      </c>
      <c r="F139" s="6">
        <f ca="1">정리!J132</f>
        <v>0</v>
      </c>
      <c r="G139" s="24">
        <f ca="1">정리!K132</f>
        <v>0</v>
      </c>
      <c r="H139" s="24"/>
      <c r="I139" s="24"/>
      <c r="J139" s="24"/>
      <c r="K139" s="25" t="str">
        <f ca="1">정리!L132</f>
        <v>0</v>
      </c>
      <c r="L139" s="25"/>
      <c r="M139" s="25"/>
      <c r="N139" s="25"/>
      <c r="O139" s="25"/>
      <c r="P139" s="1" t="str">
        <f ca="1">정리!C132</f>
        <v>000000</v>
      </c>
    </row>
    <row r="140" spans="1:16" ht="22.2" thickBot="1" x14ac:dyDescent="0.45">
      <c r="A140" s="2" t="str">
        <f ca="1">정리!D133&amp; CHAR(10) &amp;정리!E133</f>
        <v>0
0</v>
      </c>
      <c r="B140" s="2">
        <f ca="1">정리!B133</f>
        <v>0</v>
      </c>
      <c r="C140" s="2">
        <f ca="1">정리!G133</f>
        <v>0</v>
      </c>
      <c r="D140" s="5">
        <f ca="1">정리!H133</f>
        <v>0</v>
      </c>
      <c r="E140" s="3">
        <f ca="1">정리!I133</f>
        <v>0</v>
      </c>
      <c r="F140" s="3">
        <f ca="1">정리!J133</f>
        <v>0</v>
      </c>
      <c r="G140" s="22">
        <f ca="1">정리!K133</f>
        <v>0</v>
      </c>
      <c r="H140" s="22"/>
      <c r="I140" s="22"/>
      <c r="J140" s="22"/>
      <c r="K140" s="23" t="str">
        <f ca="1">정리!L133</f>
        <v>0</v>
      </c>
      <c r="L140" s="23"/>
      <c r="M140" s="23"/>
      <c r="N140" s="23"/>
      <c r="O140" s="23"/>
      <c r="P140" s="1" t="str">
        <f ca="1">정리!C133</f>
        <v>000000</v>
      </c>
    </row>
    <row r="141" spans="1:16" ht="21.6" x14ac:dyDescent="0.4">
      <c r="A141" s="4" t="str">
        <f ca="1">정리!D134&amp; CHAR(10) &amp;정리!E134</f>
        <v>0
0</v>
      </c>
      <c r="B141" s="4">
        <f ca="1">정리!B134</f>
        <v>0</v>
      </c>
      <c r="C141" s="4">
        <f ca="1">정리!G134</f>
        <v>0</v>
      </c>
      <c r="D141" s="5">
        <f ca="1">정리!H134</f>
        <v>0</v>
      </c>
      <c r="E141" s="6">
        <f ca="1">정리!I134</f>
        <v>0</v>
      </c>
      <c r="F141" s="6">
        <f ca="1">정리!J134</f>
        <v>0</v>
      </c>
      <c r="G141" s="24">
        <f ca="1">정리!K134</f>
        <v>0</v>
      </c>
      <c r="H141" s="24"/>
      <c r="I141" s="24"/>
      <c r="J141" s="24"/>
      <c r="K141" s="25" t="str">
        <f ca="1">정리!L134</f>
        <v>0</v>
      </c>
      <c r="L141" s="25"/>
      <c r="M141" s="25"/>
      <c r="N141" s="25"/>
      <c r="O141" s="25"/>
      <c r="P141" s="1" t="str">
        <f ca="1">정리!C134</f>
        <v>000000</v>
      </c>
    </row>
    <row r="142" spans="1:16" ht="22.2" thickBot="1" x14ac:dyDescent="0.45">
      <c r="A142" s="2" t="str">
        <f ca="1">정리!D135&amp; CHAR(10) &amp;정리!E135</f>
        <v>0
0</v>
      </c>
      <c r="B142" s="2">
        <f ca="1">정리!B135</f>
        <v>0</v>
      </c>
      <c r="C142" s="2">
        <f ca="1">정리!G135</f>
        <v>0</v>
      </c>
      <c r="D142" s="5">
        <f ca="1">정리!H135</f>
        <v>0</v>
      </c>
      <c r="E142" s="3">
        <f ca="1">정리!I135</f>
        <v>0</v>
      </c>
      <c r="F142" s="3">
        <f ca="1">정리!J135</f>
        <v>0</v>
      </c>
      <c r="G142" s="22">
        <f ca="1">정리!K135</f>
        <v>0</v>
      </c>
      <c r="H142" s="22"/>
      <c r="I142" s="22"/>
      <c r="J142" s="22"/>
      <c r="K142" s="23" t="str">
        <f ca="1">정리!L135</f>
        <v>0</v>
      </c>
      <c r="L142" s="23"/>
      <c r="M142" s="23"/>
      <c r="N142" s="23"/>
      <c r="O142" s="23"/>
      <c r="P142" s="1" t="str">
        <f ca="1">정리!C135</f>
        <v>000000</v>
      </c>
    </row>
    <row r="143" spans="1:16" ht="21.6" x14ac:dyDescent="0.4">
      <c r="A143" s="4" t="str">
        <f ca="1">정리!D136&amp; CHAR(10) &amp;정리!E136</f>
        <v>0
0</v>
      </c>
      <c r="B143" s="4">
        <f ca="1">정리!B136</f>
        <v>0</v>
      </c>
      <c r="C143" s="4">
        <f ca="1">정리!G136</f>
        <v>0</v>
      </c>
      <c r="D143" s="5">
        <f ca="1">정리!H136</f>
        <v>0</v>
      </c>
      <c r="E143" s="6">
        <f ca="1">정리!I136</f>
        <v>0</v>
      </c>
      <c r="F143" s="6">
        <f ca="1">정리!J136</f>
        <v>0</v>
      </c>
      <c r="G143" s="24">
        <f ca="1">정리!K136</f>
        <v>0</v>
      </c>
      <c r="H143" s="24"/>
      <c r="I143" s="24"/>
      <c r="J143" s="24"/>
      <c r="K143" s="25" t="str">
        <f ca="1">정리!L136</f>
        <v>0</v>
      </c>
      <c r="L143" s="25"/>
      <c r="M143" s="25"/>
      <c r="N143" s="25"/>
      <c r="O143" s="25"/>
      <c r="P143" s="1" t="str">
        <f ca="1">정리!C136</f>
        <v>000000</v>
      </c>
    </row>
    <row r="144" spans="1:16" ht="22.2" thickBot="1" x14ac:dyDescent="0.45">
      <c r="A144" s="2" t="str">
        <f ca="1">정리!D137&amp; CHAR(10) &amp;정리!E137</f>
        <v>0
0</v>
      </c>
      <c r="B144" s="2">
        <f ca="1">정리!B137</f>
        <v>0</v>
      </c>
      <c r="C144" s="2">
        <f ca="1">정리!G137</f>
        <v>0</v>
      </c>
      <c r="D144" s="5">
        <f ca="1">정리!H137</f>
        <v>0</v>
      </c>
      <c r="E144" s="3">
        <f ca="1">정리!I137</f>
        <v>0</v>
      </c>
      <c r="F144" s="3">
        <f ca="1">정리!J137</f>
        <v>0</v>
      </c>
      <c r="G144" s="22">
        <f ca="1">정리!K137</f>
        <v>0</v>
      </c>
      <c r="H144" s="22"/>
      <c r="I144" s="22"/>
      <c r="J144" s="22"/>
      <c r="K144" s="23" t="str">
        <f ca="1">정리!L137</f>
        <v>0</v>
      </c>
      <c r="L144" s="23"/>
      <c r="M144" s="23"/>
      <c r="N144" s="23"/>
      <c r="O144" s="23"/>
      <c r="P144" s="1" t="str">
        <f ca="1">정리!C137</f>
        <v>000000</v>
      </c>
    </row>
    <row r="145" spans="1:16" ht="21.6" x14ac:dyDescent="0.4">
      <c r="A145" s="4" t="str">
        <f ca="1">정리!D138&amp; CHAR(10) &amp;정리!E138</f>
        <v>0
0</v>
      </c>
      <c r="B145" s="4">
        <f ca="1">정리!B138</f>
        <v>0</v>
      </c>
      <c r="C145" s="4">
        <f ca="1">정리!G138</f>
        <v>0</v>
      </c>
      <c r="D145" s="5">
        <f ca="1">정리!H138</f>
        <v>0</v>
      </c>
      <c r="E145" s="6">
        <f ca="1">정리!I138</f>
        <v>0</v>
      </c>
      <c r="F145" s="6">
        <f ca="1">정리!J138</f>
        <v>0</v>
      </c>
      <c r="G145" s="24">
        <f ca="1">정리!K138</f>
        <v>0</v>
      </c>
      <c r="H145" s="24"/>
      <c r="I145" s="24"/>
      <c r="J145" s="24"/>
      <c r="K145" s="25" t="str">
        <f ca="1">정리!L138</f>
        <v>0</v>
      </c>
      <c r="L145" s="25"/>
      <c r="M145" s="25"/>
      <c r="N145" s="25"/>
      <c r="O145" s="25"/>
      <c r="P145" s="1" t="str">
        <f ca="1">정리!C138</f>
        <v>000000</v>
      </c>
    </row>
    <row r="146" spans="1:16" ht="22.2" thickBot="1" x14ac:dyDescent="0.45">
      <c r="A146" s="2" t="str">
        <f ca="1">정리!D139&amp; CHAR(10) &amp;정리!E139</f>
        <v>0
0</v>
      </c>
      <c r="B146" s="2">
        <f ca="1">정리!B139</f>
        <v>0</v>
      </c>
      <c r="C146" s="2">
        <f ca="1">정리!G139</f>
        <v>0</v>
      </c>
      <c r="D146" s="5">
        <f ca="1">정리!H139</f>
        <v>0</v>
      </c>
      <c r="E146" s="3">
        <f ca="1">정리!I139</f>
        <v>0</v>
      </c>
      <c r="F146" s="3">
        <f ca="1">정리!J139</f>
        <v>0</v>
      </c>
      <c r="G146" s="22">
        <f ca="1">정리!K139</f>
        <v>0</v>
      </c>
      <c r="H146" s="22"/>
      <c r="I146" s="22"/>
      <c r="J146" s="22"/>
      <c r="K146" s="23" t="str">
        <f ca="1">정리!L139</f>
        <v>0</v>
      </c>
      <c r="L146" s="23"/>
      <c r="M146" s="23"/>
      <c r="N146" s="23"/>
      <c r="O146" s="23"/>
      <c r="P146" s="1" t="str">
        <f ca="1">정리!C139</f>
        <v>000000</v>
      </c>
    </row>
    <row r="147" spans="1:16" ht="21.6" x14ac:dyDescent="0.4">
      <c r="A147" s="4" t="str">
        <f ca="1">정리!D140&amp; CHAR(10) &amp;정리!E140</f>
        <v>0
0</v>
      </c>
      <c r="B147" s="4">
        <f ca="1">정리!B140</f>
        <v>0</v>
      </c>
      <c r="C147" s="4">
        <f ca="1">정리!G140</f>
        <v>0</v>
      </c>
      <c r="D147" s="5">
        <f ca="1">정리!H140</f>
        <v>0</v>
      </c>
      <c r="E147" s="6">
        <f ca="1">정리!I140</f>
        <v>0</v>
      </c>
      <c r="F147" s="6">
        <f ca="1">정리!J140</f>
        <v>0</v>
      </c>
      <c r="G147" s="24">
        <f ca="1">정리!K140</f>
        <v>0</v>
      </c>
      <c r="H147" s="24"/>
      <c r="I147" s="24"/>
      <c r="J147" s="24"/>
      <c r="K147" s="25" t="str">
        <f ca="1">정리!L140</f>
        <v>0</v>
      </c>
      <c r="L147" s="25"/>
      <c r="M147" s="25"/>
      <c r="N147" s="25"/>
      <c r="O147" s="25"/>
      <c r="P147" s="1" t="str">
        <f ca="1">정리!C140</f>
        <v>000000</v>
      </c>
    </row>
    <row r="148" spans="1:16" ht="22.2" thickBot="1" x14ac:dyDescent="0.45">
      <c r="A148" s="2" t="str">
        <f ca="1">정리!D141&amp; CHAR(10) &amp;정리!E141</f>
        <v>0
0</v>
      </c>
      <c r="B148" s="2">
        <f ca="1">정리!B141</f>
        <v>0</v>
      </c>
      <c r="C148" s="2">
        <f ca="1">정리!G141</f>
        <v>0</v>
      </c>
      <c r="D148" s="5">
        <f ca="1">정리!H141</f>
        <v>0</v>
      </c>
      <c r="E148" s="3">
        <f ca="1">정리!I141</f>
        <v>0</v>
      </c>
      <c r="F148" s="3">
        <f ca="1">정리!J141</f>
        <v>0</v>
      </c>
      <c r="G148" s="22">
        <f ca="1">정리!K141</f>
        <v>0</v>
      </c>
      <c r="H148" s="22"/>
      <c r="I148" s="22"/>
      <c r="J148" s="22"/>
      <c r="K148" s="23" t="str">
        <f ca="1">정리!L141</f>
        <v>0</v>
      </c>
      <c r="L148" s="23"/>
      <c r="M148" s="23"/>
      <c r="N148" s="23"/>
      <c r="O148" s="23"/>
      <c r="P148" s="1" t="str">
        <f ca="1">정리!C141</f>
        <v>000000</v>
      </c>
    </row>
    <row r="149" spans="1:16" ht="21.6" x14ac:dyDescent="0.4">
      <c r="A149" s="4" t="str">
        <f ca="1">정리!D142&amp; CHAR(10) &amp;정리!E142</f>
        <v>0
0</v>
      </c>
      <c r="B149" s="4">
        <f ca="1">정리!B142</f>
        <v>0</v>
      </c>
      <c r="C149" s="4">
        <f ca="1">정리!G142</f>
        <v>0</v>
      </c>
      <c r="D149" s="5">
        <f ca="1">정리!H142</f>
        <v>0</v>
      </c>
      <c r="E149" s="6">
        <f ca="1">정리!I142</f>
        <v>0</v>
      </c>
      <c r="F149" s="6">
        <f ca="1">정리!J142</f>
        <v>0</v>
      </c>
      <c r="G149" s="24">
        <f ca="1">정리!K142</f>
        <v>0</v>
      </c>
      <c r="H149" s="24"/>
      <c r="I149" s="24"/>
      <c r="J149" s="24"/>
      <c r="K149" s="25" t="str">
        <f ca="1">정리!L142</f>
        <v>0</v>
      </c>
      <c r="L149" s="25"/>
      <c r="M149" s="25"/>
      <c r="N149" s="25"/>
      <c r="O149" s="25"/>
      <c r="P149" s="1" t="str">
        <f ca="1">정리!C142</f>
        <v>000000</v>
      </c>
    </row>
    <row r="150" spans="1:16" ht="22.2" thickBot="1" x14ac:dyDescent="0.45">
      <c r="A150" s="2" t="str">
        <f ca="1">정리!D143&amp; CHAR(10) &amp;정리!E143</f>
        <v>0
0</v>
      </c>
      <c r="B150" s="2">
        <f ca="1">정리!B143</f>
        <v>0</v>
      </c>
      <c r="C150" s="2">
        <f ca="1">정리!G143</f>
        <v>0</v>
      </c>
      <c r="D150" s="5">
        <f ca="1">정리!H143</f>
        <v>0</v>
      </c>
      <c r="E150" s="3">
        <f ca="1">정리!I143</f>
        <v>0</v>
      </c>
      <c r="F150" s="3">
        <f ca="1">정리!J143</f>
        <v>0</v>
      </c>
      <c r="G150" s="22">
        <f ca="1">정리!K143</f>
        <v>0</v>
      </c>
      <c r="H150" s="22"/>
      <c r="I150" s="22"/>
      <c r="J150" s="22"/>
      <c r="K150" s="23" t="str">
        <f ca="1">정리!L143</f>
        <v>0</v>
      </c>
      <c r="L150" s="23"/>
      <c r="M150" s="23"/>
      <c r="N150" s="23"/>
      <c r="O150" s="23"/>
      <c r="P150" s="1" t="str">
        <f ca="1">정리!C143</f>
        <v>000000</v>
      </c>
    </row>
    <row r="151" spans="1:16" ht="21.6" x14ac:dyDescent="0.4">
      <c r="A151" s="4" t="str">
        <f ca="1">정리!D144&amp; CHAR(10) &amp;정리!E144</f>
        <v>0
0</v>
      </c>
      <c r="B151" s="4">
        <f ca="1">정리!B144</f>
        <v>0</v>
      </c>
      <c r="C151" s="4">
        <f ca="1">정리!G144</f>
        <v>0</v>
      </c>
      <c r="D151" s="5">
        <f ca="1">정리!H144</f>
        <v>0</v>
      </c>
      <c r="E151" s="6">
        <f ca="1">정리!I144</f>
        <v>0</v>
      </c>
      <c r="F151" s="6">
        <f ca="1">정리!J144</f>
        <v>0</v>
      </c>
      <c r="G151" s="24">
        <f ca="1">정리!K144</f>
        <v>0</v>
      </c>
      <c r="H151" s="24"/>
      <c r="I151" s="24"/>
      <c r="J151" s="24"/>
      <c r="K151" s="25" t="str">
        <f ca="1">정리!L144</f>
        <v>0</v>
      </c>
      <c r="L151" s="25"/>
      <c r="M151" s="25"/>
      <c r="N151" s="25"/>
      <c r="O151" s="25"/>
      <c r="P151" s="1" t="str">
        <f ca="1">정리!C144</f>
        <v>000000</v>
      </c>
    </row>
    <row r="152" spans="1:16" ht="22.2" thickBot="1" x14ac:dyDescent="0.45">
      <c r="A152" s="2" t="str">
        <f ca="1">정리!D145&amp; CHAR(10) &amp;정리!E145</f>
        <v>0
0</v>
      </c>
      <c r="B152" s="2">
        <f ca="1">정리!B145</f>
        <v>0</v>
      </c>
      <c r="C152" s="2">
        <f ca="1">정리!G145</f>
        <v>0</v>
      </c>
      <c r="D152" s="5">
        <f ca="1">정리!H145</f>
        <v>0</v>
      </c>
      <c r="E152" s="3">
        <f ca="1">정리!I145</f>
        <v>0</v>
      </c>
      <c r="F152" s="3">
        <f ca="1">정리!J145</f>
        <v>0</v>
      </c>
      <c r="G152" s="22">
        <f ca="1">정리!K145</f>
        <v>0</v>
      </c>
      <c r="H152" s="22"/>
      <c r="I152" s="22"/>
      <c r="J152" s="22"/>
      <c r="K152" s="23" t="str">
        <f ca="1">정리!L145</f>
        <v>0</v>
      </c>
      <c r="L152" s="23"/>
      <c r="M152" s="23"/>
      <c r="N152" s="23"/>
      <c r="O152" s="23"/>
      <c r="P152" s="1" t="str">
        <f ca="1">정리!C145</f>
        <v>000000</v>
      </c>
    </row>
    <row r="153" spans="1:16" ht="21.6" x14ac:dyDescent="0.4">
      <c r="A153" s="4" t="str">
        <f ca="1">정리!D146&amp; CHAR(10) &amp;정리!E146</f>
        <v>0
0</v>
      </c>
      <c r="B153" s="4">
        <f ca="1">정리!B146</f>
        <v>0</v>
      </c>
      <c r="C153" s="4">
        <f ca="1">정리!G146</f>
        <v>0</v>
      </c>
      <c r="D153" s="5">
        <f ca="1">정리!H146</f>
        <v>0</v>
      </c>
      <c r="E153" s="6">
        <f ca="1">정리!I146</f>
        <v>0</v>
      </c>
      <c r="F153" s="6">
        <f ca="1">정리!J146</f>
        <v>0</v>
      </c>
      <c r="G153" s="24">
        <f ca="1">정리!K146</f>
        <v>0</v>
      </c>
      <c r="H153" s="24"/>
      <c r="I153" s="24"/>
      <c r="J153" s="24"/>
      <c r="K153" s="25" t="str">
        <f ca="1">정리!L146</f>
        <v>0</v>
      </c>
      <c r="L153" s="25"/>
      <c r="M153" s="25"/>
      <c r="N153" s="25"/>
      <c r="O153" s="25"/>
      <c r="P153" s="1" t="str">
        <f ca="1">정리!C146</f>
        <v>000000</v>
      </c>
    </row>
    <row r="154" spans="1:16" ht="22.2" thickBot="1" x14ac:dyDescent="0.45">
      <c r="A154" s="2" t="str">
        <f ca="1">정리!D147&amp; CHAR(10) &amp;정리!E147</f>
        <v>0
0</v>
      </c>
      <c r="B154" s="2">
        <f ca="1">정리!B147</f>
        <v>0</v>
      </c>
      <c r="C154" s="2">
        <f ca="1">정리!G147</f>
        <v>0</v>
      </c>
      <c r="D154" s="5">
        <f ca="1">정리!H147</f>
        <v>0</v>
      </c>
      <c r="E154" s="3">
        <f ca="1">정리!I147</f>
        <v>0</v>
      </c>
      <c r="F154" s="3">
        <f ca="1">정리!J147</f>
        <v>0</v>
      </c>
      <c r="G154" s="22">
        <f ca="1">정리!K147</f>
        <v>0</v>
      </c>
      <c r="H154" s="22"/>
      <c r="I154" s="22"/>
      <c r="J154" s="22"/>
      <c r="K154" s="23" t="str">
        <f ca="1">정리!L147</f>
        <v>0</v>
      </c>
      <c r="L154" s="23"/>
      <c r="M154" s="23"/>
      <c r="N154" s="23"/>
      <c r="O154" s="23"/>
      <c r="P154" s="1" t="str">
        <f ca="1">정리!C147</f>
        <v>000000</v>
      </c>
    </row>
    <row r="155" spans="1:16" ht="21.6" x14ac:dyDescent="0.4">
      <c r="A155" s="4" t="str">
        <f ca="1">정리!D148&amp; CHAR(10) &amp;정리!E148</f>
        <v>0
0</v>
      </c>
      <c r="B155" s="4">
        <f ca="1">정리!B148</f>
        <v>0</v>
      </c>
      <c r="C155" s="4">
        <f ca="1">정리!G148</f>
        <v>0</v>
      </c>
      <c r="D155" s="5">
        <f ca="1">정리!H148</f>
        <v>0</v>
      </c>
      <c r="E155" s="6">
        <f ca="1">정리!I148</f>
        <v>0</v>
      </c>
      <c r="F155" s="6">
        <f ca="1">정리!J148</f>
        <v>0</v>
      </c>
      <c r="G155" s="24">
        <f ca="1">정리!K148</f>
        <v>0</v>
      </c>
      <c r="H155" s="24"/>
      <c r="I155" s="24"/>
      <c r="J155" s="24"/>
      <c r="K155" s="25" t="str">
        <f ca="1">정리!L148</f>
        <v>0</v>
      </c>
      <c r="L155" s="25"/>
      <c r="M155" s="25"/>
      <c r="N155" s="25"/>
      <c r="O155" s="25"/>
      <c r="P155" s="1" t="str">
        <f ca="1">정리!C148</f>
        <v>000000</v>
      </c>
    </row>
    <row r="156" spans="1:16" ht="22.2" thickBot="1" x14ac:dyDescent="0.45">
      <c r="A156" s="2" t="str">
        <f ca="1">정리!D149&amp; CHAR(10) &amp;정리!E149</f>
        <v>0
0</v>
      </c>
      <c r="B156" s="2">
        <f ca="1">정리!B149</f>
        <v>0</v>
      </c>
      <c r="C156" s="2">
        <f ca="1">정리!G149</f>
        <v>0</v>
      </c>
      <c r="D156" s="5">
        <f ca="1">정리!H149</f>
        <v>0</v>
      </c>
      <c r="E156" s="3">
        <f ca="1">정리!I149</f>
        <v>0</v>
      </c>
      <c r="F156" s="3">
        <f ca="1">정리!J149</f>
        <v>0</v>
      </c>
      <c r="G156" s="22">
        <f ca="1">정리!K149</f>
        <v>0</v>
      </c>
      <c r="H156" s="22"/>
      <c r="I156" s="22"/>
      <c r="J156" s="22"/>
      <c r="K156" s="23" t="str">
        <f ca="1">정리!L149</f>
        <v>0</v>
      </c>
      <c r="L156" s="23"/>
      <c r="M156" s="23"/>
      <c r="N156" s="23"/>
      <c r="O156" s="23"/>
      <c r="P156" s="1" t="str">
        <f ca="1">정리!C149</f>
        <v>000000</v>
      </c>
    </row>
    <row r="157" spans="1:16" ht="21.6" x14ac:dyDescent="0.4">
      <c r="A157" s="4" t="str">
        <f ca="1">정리!D150&amp; CHAR(10) &amp;정리!E150</f>
        <v>0
0</v>
      </c>
      <c r="B157" s="4">
        <f ca="1">정리!B150</f>
        <v>0</v>
      </c>
      <c r="C157" s="4">
        <f ca="1">정리!G150</f>
        <v>0</v>
      </c>
      <c r="D157" s="5">
        <f ca="1">정리!H150</f>
        <v>0</v>
      </c>
      <c r="E157" s="6">
        <f ca="1">정리!I150</f>
        <v>0</v>
      </c>
      <c r="F157" s="6">
        <f ca="1">정리!J150</f>
        <v>0</v>
      </c>
      <c r="G157" s="24">
        <f ca="1">정리!K150</f>
        <v>0</v>
      </c>
      <c r="H157" s="24"/>
      <c r="I157" s="24"/>
      <c r="J157" s="24"/>
      <c r="K157" s="25" t="str">
        <f ca="1">정리!L150</f>
        <v>0</v>
      </c>
      <c r="L157" s="25"/>
      <c r="M157" s="25"/>
      <c r="N157" s="25"/>
      <c r="O157" s="25"/>
      <c r="P157" s="1" t="str">
        <f ca="1">정리!C150</f>
        <v>000000</v>
      </c>
    </row>
    <row r="158" spans="1:16" ht="22.2" thickBot="1" x14ac:dyDescent="0.45">
      <c r="A158" s="2" t="str">
        <f ca="1">정리!D151&amp; CHAR(10) &amp;정리!E151</f>
        <v>0
0</v>
      </c>
      <c r="B158" s="2">
        <f ca="1">정리!B151</f>
        <v>0</v>
      </c>
      <c r="C158" s="2">
        <f ca="1">정리!G151</f>
        <v>0</v>
      </c>
      <c r="D158" s="5">
        <f ca="1">정리!H151</f>
        <v>0</v>
      </c>
      <c r="E158" s="3">
        <f ca="1">정리!I151</f>
        <v>0</v>
      </c>
      <c r="F158" s="3">
        <f ca="1">정리!J151</f>
        <v>0</v>
      </c>
      <c r="G158" s="22">
        <f ca="1">정리!K151</f>
        <v>0</v>
      </c>
      <c r="H158" s="22"/>
      <c r="I158" s="22"/>
      <c r="J158" s="22"/>
      <c r="K158" s="23" t="str">
        <f ca="1">정리!L151</f>
        <v>0</v>
      </c>
      <c r="L158" s="23"/>
      <c r="M158" s="23"/>
      <c r="N158" s="23"/>
      <c r="O158" s="23"/>
      <c r="P158" s="1" t="str">
        <f ca="1">정리!C151</f>
        <v>000000</v>
      </c>
    </row>
    <row r="159" spans="1:16" ht="21.6" x14ac:dyDescent="0.4">
      <c r="A159" s="4" t="str">
        <f ca="1">정리!D152&amp; CHAR(10) &amp;정리!E152</f>
        <v>0
0</v>
      </c>
      <c r="B159" s="4">
        <f ca="1">정리!B152</f>
        <v>0</v>
      </c>
      <c r="C159" s="4">
        <f ca="1">정리!G152</f>
        <v>0</v>
      </c>
      <c r="D159" s="5">
        <f ca="1">정리!H152</f>
        <v>0</v>
      </c>
      <c r="E159" s="6">
        <f ca="1">정리!I152</f>
        <v>0</v>
      </c>
      <c r="F159" s="6">
        <f ca="1">정리!J152</f>
        <v>0</v>
      </c>
      <c r="G159" s="24">
        <f ca="1">정리!K152</f>
        <v>0</v>
      </c>
      <c r="H159" s="24"/>
      <c r="I159" s="24"/>
      <c r="J159" s="24"/>
      <c r="K159" s="25" t="str">
        <f ca="1">정리!L152</f>
        <v>0</v>
      </c>
      <c r="L159" s="25"/>
      <c r="M159" s="25"/>
      <c r="N159" s="25"/>
      <c r="O159" s="25"/>
      <c r="P159" s="1" t="str">
        <f ca="1">정리!C152</f>
        <v>000000</v>
      </c>
    </row>
    <row r="160" spans="1:16" ht="22.2" thickBot="1" x14ac:dyDescent="0.45">
      <c r="A160" s="2" t="str">
        <f ca="1">정리!D153&amp; CHAR(10) &amp;정리!E153</f>
        <v>0
0</v>
      </c>
      <c r="B160" s="2">
        <f ca="1">정리!B153</f>
        <v>0</v>
      </c>
      <c r="C160" s="2">
        <f ca="1">정리!G153</f>
        <v>0</v>
      </c>
      <c r="D160" s="5">
        <f ca="1">정리!H153</f>
        <v>0</v>
      </c>
      <c r="E160" s="3">
        <f ca="1">정리!I153</f>
        <v>0</v>
      </c>
      <c r="F160" s="3">
        <f ca="1">정리!J153</f>
        <v>0</v>
      </c>
      <c r="G160" s="22">
        <f ca="1">정리!K153</f>
        <v>0</v>
      </c>
      <c r="H160" s="22"/>
      <c r="I160" s="22"/>
      <c r="J160" s="22"/>
      <c r="K160" s="23" t="str">
        <f ca="1">정리!L153</f>
        <v>0</v>
      </c>
      <c r="L160" s="23"/>
      <c r="M160" s="23"/>
      <c r="N160" s="23"/>
      <c r="O160" s="23"/>
      <c r="P160" s="1" t="str">
        <f ca="1">정리!C153</f>
        <v>000000</v>
      </c>
    </row>
    <row r="161" spans="1:16" ht="21.6" x14ac:dyDescent="0.4">
      <c r="A161" s="4" t="str">
        <f ca="1">정리!D154&amp; CHAR(10) &amp;정리!E154</f>
        <v>0
0</v>
      </c>
      <c r="B161" s="4">
        <f ca="1">정리!B154</f>
        <v>0</v>
      </c>
      <c r="C161" s="4">
        <f ca="1">정리!G154</f>
        <v>0</v>
      </c>
      <c r="D161" s="5">
        <f ca="1">정리!H154</f>
        <v>0</v>
      </c>
      <c r="E161" s="6">
        <f ca="1">정리!I154</f>
        <v>0</v>
      </c>
      <c r="F161" s="6">
        <f ca="1">정리!J154</f>
        <v>0</v>
      </c>
      <c r="G161" s="24">
        <f ca="1">정리!K154</f>
        <v>0</v>
      </c>
      <c r="H161" s="24"/>
      <c r="I161" s="24"/>
      <c r="J161" s="24"/>
      <c r="K161" s="25" t="str">
        <f ca="1">정리!L154</f>
        <v>0</v>
      </c>
      <c r="L161" s="25"/>
      <c r="M161" s="25"/>
      <c r="N161" s="25"/>
      <c r="O161" s="25"/>
      <c r="P161" s="1" t="str">
        <f ca="1">정리!C154</f>
        <v>000000</v>
      </c>
    </row>
    <row r="162" spans="1:16" ht="22.2" thickBot="1" x14ac:dyDescent="0.45">
      <c r="A162" s="2" t="str">
        <f ca="1">정리!D155&amp; CHAR(10) &amp;정리!E155</f>
        <v>0
0</v>
      </c>
      <c r="B162" s="2">
        <f ca="1">정리!B155</f>
        <v>0</v>
      </c>
      <c r="C162" s="2">
        <f ca="1">정리!G155</f>
        <v>0</v>
      </c>
      <c r="D162" s="5">
        <f ca="1">정리!H155</f>
        <v>0</v>
      </c>
      <c r="E162" s="3">
        <f ca="1">정리!I155</f>
        <v>0</v>
      </c>
      <c r="F162" s="3">
        <f ca="1">정리!J155</f>
        <v>0</v>
      </c>
      <c r="G162" s="22">
        <f ca="1">정리!K155</f>
        <v>0</v>
      </c>
      <c r="H162" s="22"/>
      <c r="I162" s="22"/>
      <c r="J162" s="22"/>
      <c r="K162" s="23" t="str">
        <f ca="1">정리!L155</f>
        <v>0</v>
      </c>
      <c r="L162" s="23"/>
      <c r="M162" s="23"/>
      <c r="N162" s="23"/>
      <c r="O162" s="23"/>
      <c r="P162" s="1" t="str">
        <f ca="1">정리!C155</f>
        <v>000000</v>
      </c>
    </row>
    <row r="163" spans="1:16" ht="21.6" x14ac:dyDescent="0.4">
      <c r="A163" s="4" t="str">
        <f ca="1">정리!D156&amp; CHAR(10) &amp;정리!E156</f>
        <v>0
0</v>
      </c>
      <c r="B163" s="4">
        <f ca="1">정리!B156</f>
        <v>0</v>
      </c>
      <c r="C163" s="4">
        <f ca="1">정리!G156</f>
        <v>0</v>
      </c>
      <c r="D163" s="5">
        <f ca="1">정리!H156</f>
        <v>0</v>
      </c>
      <c r="E163" s="6">
        <f ca="1">정리!I156</f>
        <v>0</v>
      </c>
      <c r="F163" s="6">
        <f ca="1">정리!J156</f>
        <v>0</v>
      </c>
      <c r="G163" s="24">
        <f ca="1">정리!K156</f>
        <v>0</v>
      </c>
      <c r="H163" s="24"/>
      <c r="I163" s="24"/>
      <c r="J163" s="24"/>
      <c r="K163" s="25" t="str">
        <f ca="1">정리!L156</f>
        <v>0</v>
      </c>
      <c r="L163" s="25"/>
      <c r="M163" s="25"/>
      <c r="N163" s="25"/>
      <c r="O163" s="25"/>
      <c r="P163" s="1" t="str">
        <f ca="1">정리!C156</f>
        <v>000000</v>
      </c>
    </row>
    <row r="164" spans="1:16" ht="21.6" x14ac:dyDescent="0.4">
      <c r="A164" s="2" t="str">
        <f ca="1">정리!D157&amp; CHAR(10) &amp;정리!E157</f>
        <v>0
0</v>
      </c>
      <c r="B164" s="2">
        <f ca="1">정리!B157</f>
        <v>0</v>
      </c>
      <c r="C164" s="2">
        <f ca="1">정리!G157</f>
        <v>0</v>
      </c>
      <c r="D164" s="5">
        <f ca="1">정리!H157</f>
        <v>0</v>
      </c>
      <c r="E164" s="3">
        <f ca="1">정리!I157</f>
        <v>0</v>
      </c>
      <c r="F164" s="3">
        <f ca="1">정리!J157</f>
        <v>0</v>
      </c>
      <c r="G164" s="22">
        <f ca="1">정리!K157</f>
        <v>0</v>
      </c>
      <c r="H164" s="22"/>
      <c r="I164" s="22"/>
      <c r="J164" s="22"/>
      <c r="K164" s="23" t="str">
        <f ca="1">정리!L157</f>
        <v>0</v>
      </c>
      <c r="L164" s="23"/>
      <c r="M164" s="23"/>
      <c r="N164" s="23"/>
      <c r="O164" s="23"/>
      <c r="P164" s="1" t="str">
        <f ca="1">정리!C157</f>
        <v>000000</v>
      </c>
    </row>
  </sheetData>
  <mergeCells count="316">
    <mergeCell ref="G161:J161"/>
    <mergeCell ref="K161:O161"/>
    <mergeCell ref="G162:J162"/>
    <mergeCell ref="K162:O162"/>
    <mergeCell ref="G163:J163"/>
    <mergeCell ref="K163:O163"/>
    <mergeCell ref="G164:J164"/>
    <mergeCell ref="K164:O164"/>
    <mergeCell ref="G156:J156"/>
    <mergeCell ref="K156:O156"/>
    <mergeCell ref="G157:J157"/>
    <mergeCell ref="K157:O157"/>
    <mergeCell ref="G158:J158"/>
    <mergeCell ref="K158:O158"/>
    <mergeCell ref="G159:J159"/>
    <mergeCell ref="K159:O159"/>
    <mergeCell ref="G160:J160"/>
    <mergeCell ref="K160:O160"/>
    <mergeCell ref="K153:O153"/>
    <mergeCell ref="G154:J154"/>
    <mergeCell ref="K154:O154"/>
    <mergeCell ref="G155:J155"/>
    <mergeCell ref="K155:O155"/>
    <mergeCell ref="G146:J146"/>
    <mergeCell ref="K146:O146"/>
    <mergeCell ref="G147:J147"/>
    <mergeCell ref="K147:O147"/>
    <mergeCell ref="G148:J148"/>
    <mergeCell ref="K148:O148"/>
    <mergeCell ref="G149:J149"/>
    <mergeCell ref="K149:O149"/>
    <mergeCell ref="G150:J150"/>
    <mergeCell ref="K150:O150"/>
    <mergeCell ref="G151:J151"/>
    <mergeCell ref="K151:O151"/>
    <mergeCell ref="G152:J152"/>
    <mergeCell ref="K152:O152"/>
    <mergeCell ref="G153:J153"/>
    <mergeCell ref="G141:J141"/>
    <mergeCell ref="K141:O141"/>
    <mergeCell ref="G142:J142"/>
    <mergeCell ref="K142:O142"/>
    <mergeCell ref="G143:J143"/>
    <mergeCell ref="K143:O143"/>
    <mergeCell ref="G144:J144"/>
    <mergeCell ref="K144:O144"/>
    <mergeCell ref="G145:J145"/>
    <mergeCell ref="K145:O145"/>
    <mergeCell ref="G136:J136"/>
    <mergeCell ref="K136:O136"/>
    <mergeCell ref="G137:J137"/>
    <mergeCell ref="K137:O137"/>
    <mergeCell ref="G138:J138"/>
    <mergeCell ref="K138:O138"/>
    <mergeCell ref="G139:J139"/>
    <mergeCell ref="K139:O139"/>
    <mergeCell ref="G140:J140"/>
    <mergeCell ref="K140:O140"/>
    <mergeCell ref="G131:J131"/>
    <mergeCell ref="K131:O131"/>
    <mergeCell ref="G132:J132"/>
    <mergeCell ref="K132:O132"/>
    <mergeCell ref="G133:J133"/>
    <mergeCell ref="K133:O133"/>
    <mergeCell ref="G134:J134"/>
    <mergeCell ref="K134:O134"/>
    <mergeCell ref="G135:J135"/>
    <mergeCell ref="K135:O135"/>
    <mergeCell ref="G126:J126"/>
    <mergeCell ref="K126:O126"/>
    <mergeCell ref="G127:J127"/>
    <mergeCell ref="K127:O127"/>
    <mergeCell ref="G128:J128"/>
    <mergeCell ref="K128:O128"/>
    <mergeCell ref="G129:J129"/>
    <mergeCell ref="K129:O129"/>
    <mergeCell ref="G130:J130"/>
    <mergeCell ref="K130:O130"/>
    <mergeCell ref="G121:J121"/>
    <mergeCell ref="K121:O121"/>
    <mergeCell ref="G122:J122"/>
    <mergeCell ref="K122:O122"/>
    <mergeCell ref="G123:J123"/>
    <mergeCell ref="K123:O123"/>
    <mergeCell ref="G124:J124"/>
    <mergeCell ref="K124:O124"/>
    <mergeCell ref="G125:J125"/>
    <mergeCell ref="K125:O125"/>
    <mergeCell ref="G116:J116"/>
    <mergeCell ref="K116:O116"/>
    <mergeCell ref="G117:J117"/>
    <mergeCell ref="K117:O117"/>
    <mergeCell ref="G118:J118"/>
    <mergeCell ref="K118:O118"/>
    <mergeCell ref="G119:J119"/>
    <mergeCell ref="K119:O119"/>
    <mergeCell ref="G120:J120"/>
    <mergeCell ref="K120:O120"/>
    <mergeCell ref="G111:J111"/>
    <mergeCell ref="K111:O111"/>
    <mergeCell ref="G112:J112"/>
    <mergeCell ref="K112:O112"/>
    <mergeCell ref="G113:J113"/>
    <mergeCell ref="K113:O113"/>
    <mergeCell ref="G114:J114"/>
    <mergeCell ref="K114:O114"/>
    <mergeCell ref="G115:J115"/>
    <mergeCell ref="K115:O115"/>
    <mergeCell ref="G106:J106"/>
    <mergeCell ref="K106:O106"/>
    <mergeCell ref="G107:J107"/>
    <mergeCell ref="K107:O107"/>
    <mergeCell ref="G108:J108"/>
    <mergeCell ref="K108:O108"/>
    <mergeCell ref="G109:J109"/>
    <mergeCell ref="K109:O109"/>
    <mergeCell ref="G110:J110"/>
    <mergeCell ref="K110:O110"/>
    <mergeCell ref="G101:J101"/>
    <mergeCell ref="K101:O101"/>
    <mergeCell ref="G102:J102"/>
    <mergeCell ref="K102:O102"/>
    <mergeCell ref="G103:J103"/>
    <mergeCell ref="K103:O103"/>
    <mergeCell ref="G104:J104"/>
    <mergeCell ref="K104:O104"/>
    <mergeCell ref="G105:J105"/>
    <mergeCell ref="K105:O105"/>
    <mergeCell ref="A6:K6"/>
    <mergeCell ref="A8:K8"/>
    <mergeCell ref="G7:J7"/>
    <mergeCell ref="G9:J9"/>
    <mergeCell ref="K9:O9"/>
    <mergeCell ref="K7:O7"/>
    <mergeCell ref="G99:J99"/>
    <mergeCell ref="K99:O99"/>
    <mergeCell ref="G100:J100"/>
    <mergeCell ref="K100:O100"/>
    <mergeCell ref="K10:O10"/>
    <mergeCell ref="K11:O11"/>
    <mergeCell ref="K12:O12"/>
    <mergeCell ref="K13:O13"/>
    <mergeCell ref="K14:O14"/>
    <mergeCell ref="G10:J10"/>
    <mergeCell ref="G11:J11"/>
    <mergeCell ref="G12:J12"/>
    <mergeCell ref="G13:J13"/>
    <mergeCell ref="G14:J14"/>
    <mergeCell ref="G18:J18"/>
    <mergeCell ref="K18:O18"/>
    <mergeCell ref="G19:J19"/>
    <mergeCell ref="K19:O19"/>
    <mergeCell ref="G20:J20"/>
    <mergeCell ref="K20:O20"/>
    <mergeCell ref="G15:J15"/>
    <mergeCell ref="K15:O15"/>
    <mergeCell ref="G16:J16"/>
    <mergeCell ref="K16:O16"/>
    <mergeCell ref="G17:J17"/>
    <mergeCell ref="K17:O17"/>
    <mergeCell ref="G24:J24"/>
    <mergeCell ref="K24:O24"/>
    <mergeCell ref="G25:J25"/>
    <mergeCell ref="K25:O25"/>
    <mergeCell ref="G26:J26"/>
    <mergeCell ref="K26:O26"/>
    <mergeCell ref="G21:J21"/>
    <mergeCell ref="K21:O21"/>
    <mergeCell ref="G22:J22"/>
    <mergeCell ref="K22:O22"/>
    <mergeCell ref="G23:J23"/>
    <mergeCell ref="K23:O23"/>
    <mergeCell ref="G30:J30"/>
    <mergeCell ref="K30:O30"/>
    <mergeCell ref="G31:J31"/>
    <mergeCell ref="K31:O31"/>
    <mergeCell ref="G32:J32"/>
    <mergeCell ref="K32:O32"/>
    <mergeCell ref="G27:J27"/>
    <mergeCell ref="K27:O27"/>
    <mergeCell ref="G28:J28"/>
    <mergeCell ref="K28:O28"/>
    <mergeCell ref="G29:J29"/>
    <mergeCell ref="K29:O29"/>
    <mergeCell ref="G36:J36"/>
    <mergeCell ref="K36:O36"/>
    <mergeCell ref="G37:J37"/>
    <mergeCell ref="K37:O37"/>
    <mergeCell ref="G38:J38"/>
    <mergeCell ref="K38:O38"/>
    <mergeCell ref="G33:J33"/>
    <mergeCell ref="K33:O33"/>
    <mergeCell ref="G34:J34"/>
    <mergeCell ref="K34:O34"/>
    <mergeCell ref="G35:J35"/>
    <mergeCell ref="K35:O35"/>
    <mergeCell ref="G42:J42"/>
    <mergeCell ref="K42:O42"/>
    <mergeCell ref="G43:J43"/>
    <mergeCell ref="K43:O43"/>
    <mergeCell ref="G44:J44"/>
    <mergeCell ref="K44:O44"/>
    <mergeCell ref="G39:J39"/>
    <mergeCell ref="K39:O39"/>
    <mergeCell ref="G40:J40"/>
    <mergeCell ref="K40:O40"/>
    <mergeCell ref="G41:J41"/>
    <mergeCell ref="K41:O41"/>
    <mergeCell ref="G48:J48"/>
    <mergeCell ref="K48:O48"/>
    <mergeCell ref="G49:J49"/>
    <mergeCell ref="K49:O49"/>
    <mergeCell ref="G50:J50"/>
    <mergeCell ref="K50:O50"/>
    <mergeCell ref="G45:J45"/>
    <mergeCell ref="K45:O45"/>
    <mergeCell ref="G46:J46"/>
    <mergeCell ref="K46:O46"/>
    <mergeCell ref="G47:J47"/>
    <mergeCell ref="K47:O47"/>
    <mergeCell ref="G54:J54"/>
    <mergeCell ref="K54:O54"/>
    <mergeCell ref="G55:J55"/>
    <mergeCell ref="K55:O55"/>
    <mergeCell ref="G56:J56"/>
    <mergeCell ref="K56:O56"/>
    <mergeCell ref="G51:J51"/>
    <mergeCell ref="K51:O51"/>
    <mergeCell ref="G52:J52"/>
    <mergeCell ref="K52:O52"/>
    <mergeCell ref="G53:J53"/>
    <mergeCell ref="K53:O53"/>
    <mergeCell ref="G60:J60"/>
    <mergeCell ref="K60:O60"/>
    <mergeCell ref="G61:J61"/>
    <mergeCell ref="K61:O61"/>
    <mergeCell ref="G62:J62"/>
    <mergeCell ref="K62:O62"/>
    <mergeCell ref="G57:J57"/>
    <mergeCell ref="K57:O57"/>
    <mergeCell ref="G58:J58"/>
    <mergeCell ref="K58:O58"/>
    <mergeCell ref="G59:J59"/>
    <mergeCell ref="K59:O59"/>
    <mergeCell ref="G66:J66"/>
    <mergeCell ref="K66:O66"/>
    <mergeCell ref="G67:J67"/>
    <mergeCell ref="K67:O67"/>
    <mergeCell ref="G68:J68"/>
    <mergeCell ref="K68:O68"/>
    <mergeCell ref="G63:J63"/>
    <mergeCell ref="K63:O63"/>
    <mergeCell ref="G64:J64"/>
    <mergeCell ref="K64:O64"/>
    <mergeCell ref="G65:J65"/>
    <mergeCell ref="K65:O65"/>
    <mergeCell ref="G72:J72"/>
    <mergeCell ref="K72:O72"/>
    <mergeCell ref="G73:J73"/>
    <mergeCell ref="K73:O73"/>
    <mergeCell ref="G74:J74"/>
    <mergeCell ref="K74:O74"/>
    <mergeCell ref="G69:J69"/>
    <mergeCell ref="K69:O69"/>
    <mergeCell ref="G70:J70"/>
    <mergeCell ref="K70:O70"/>
    <mergeCell ref="G71:J71"/>
    <mergeCell ref="K71:O71"/>
    <mergeCell ref="G78:J78"/>
    <mergeCell ref="K78:O78"/>
    <mergeCell ref="G79:J79"/>
    <mergeCell ref="K79:O79"/>
    <mergeCell ref="G80:J80"/>
    <mergeCell ref="K80:O80"/>
    <mergeCell ref="G75:J75"/>
    <mergeCell ref="K75:O75"/>
    <mergeCell ref="G76:J76"/>
    <mergeCell ref="K76:O76"/>
    <mergeCell ref="G77:J77"/>
    <mergeCell ref="K77:O77"/>
    <mergeCell ref="G84:J84"/>
    <mergeCell ref="K84:O84"/>
    <mergeCell ref="G85:J85"/>
    <mergeCell ref="K85:O85"/>
    <mergeCell ref="G86:J86"/>
    <mergeCell ref="K86:O86"/>
    <mergeCell ref="G81:J81"/>
    <mergeCell ref="K81:O81"/>
    <mergeCell ref="G82:J82"/>
    <mergeCell ref="K82:O82"/>
    <mergeCell ref="G83:J83"/>
    <mergeCell ref="K83:O83"/>
    <mergeCell ref="G90:J90"/>
    <mergeCell ref="K90:O90"/>
    <mergeCell ref="G91:J91"/>
    <mergeCell ref="K91:O91"/>
    <mergeCell ref="G92:J92"/>
    <mergeCell ref="K92:O92"/>
    <mergeCell ref="G87:J87"/>
    <mergeCell ref="K87:O87"/>
    <mergeCell ref="G88:J88"/>
    <mergeCell ref="K88:O88"/>
    <mergeCell ref="G89:J89"/>
    <mergeCell ref="K89:O89"/>
    <mergeCell ref="G96:J96"/>
    <mergeCell ref="K96:O96"/>
    <mergeCell ref="G97:J97"/>
    <mergeCell ref="K97:O97"/>
    <mergeCell ref="G98:J98"/>
    <mergeCell ref="K98:O98"/>
    <mergeCell ref="G93:J93"/>
    <mergeCell ref="K93:O93"/>
    <mergeCell ref="G94:J94"/>
    <mergeCell ref="K94:O94"/>
    <mergeCell ref="G95:J95"/>
    <mergeCell ref="K95:O95"/>
  </mergeCells>
  <phoneticPr fontId="23" type="noConversion"/>
  <conditionalFormatting sqref="K1:K5">
    <cfRule type="expression" dxfId="3" priority="10">
      <formula>BY1=1</formula>
    </cfRule>
  </conditionalFormatting>
  <conditionalFormatting sqref="L1:M5">
    <cfRule type="expression" dxfId="2" priority="8">
      <formula>BY1=1</formula>
    </cfRule>
  </conditionalFormatting>
  <conditionalFormatting sqref="N1:O5">
    <cfRule type="expression" dxfId="1" priority="6">
      <formula>BZ1=1</formula>
    </cfRule>
  </conditionalFormatting>
  <conditionalFormatting sqref="P1:P5">
    <cfRule type="expression" dxfId="0" priority="2">
      <formula>CA1=1</formula>
    </cfRule>
  </conditionalFormatting>
  <pageMargins left="0" right="0" top="0.5" bottom="0.4" header="0.31" footer="0.2"/>
  <pageSetup paperSize="9" scale="90" orientation="landscape" r:id="rId1"/>
  <headerFooter>
    <oddHeader>&amp;R리포트서머리</oddHeader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1027" r:id="rId4" name="Control 3">
          <controlPr defaultSize="0" r:id="rId5">
            <anchor moveWithCells="1">
              <from>
                <xdr:col>0</xdr:col>
                <xdr:colOff>0</xdr:colOff>
                <xdr:row>5</xdr:row>
                <xdr:rowOff>137160</xdr:rowOff>
              </from>
              <to>
                <xdr:col>0</xdr:col>
                <xdr:colOff>1051560</xdr:colOff>
                <xdr:row>6</xdr:row>
                <xdr:rowOff>38100</xdr:rowOff>
              </to>
            </anchor>
          </controlPr>
        </control>
      </mc:Choice>
      <mc:Fallback>
        <control shapeId="1027" r:id="rId4" name="Control 3"/>
      </mc:Fallback>
    </mc:AlternateContent>
    <mc:AlternateContent xmlns:mc="http://schemas.openxmlformats.org/markup-compatibility/2006">
      <mc:Choice Requires="x14">
        <control shapeId="1030" r:id="rId6" name="Control 6">
          <controlPr defaultSize="0" r:id="rId7">
            <anchor moveWithCells="1">
              <from>
                <xdr:col>0</xdr:col>
                <xdr:colOff>0</xdr:colOff>
                <xdr:row>5</xdr:row>
                <xdr:rowOff>251460</xdr:rowOff>
              </from>
              <to>
                <xdr:col>0</xdr:col>
                <xdr:colOff>1051560</xdr:colOff>
                <xdr:row>6</xdr:row>
                <xdr:rowOff>152400</xdr:rowOff>
              </to>
            </anchor>
          </controlPr>
        </control>
      </mc:Choice>
      <mc:Fallback>
        <control shapeId="1030" r:id="rId6" name="Control 6"/>
      </mc:Fallback>
    </mc:AlternateContent>
    <mc:AlternateContent xmlns:mc="http://schemas.openxmlformats.org/markup-compatibility/2006">
      <mc:Choice Requires="x14">
        <control shapeId="1031" r:id="rId8" name="Control 7">
          <controlPr defaultSize="0" r:id="rId9">
            <anchor moveWithCells="1">
              <from>
                <xdr:col>0</xdr:col>
                <xdr:colOff>0</xdr:colOff>
                <xdr:row>5</xdr:row>
                <xdr:rowOff>251460</xdr:rowOff>
              </from>
              <to>
                <xdr:col>0</xdr:col>
                <xdr:colOff>1051560</xdr:colOff>
                <xdr:row>6</xdr:row>
                <xdr:rowOff>152400</xdr:rowOff>
              </to>
            </anchor>
          </controlPr>
        </control>
      </mc:Choice>
      <mc:Fallback>
        <control shapeId="1031" r:id="rId8" name="Control 7"/>
      </mc:Fallback>
    </mc:AlternateContent>
    <mc:AlternateContent xmlns:mc="http://schemas.openxmlformats.org/markup-compatibility/2006">
      <mc:Choice Requires="x14">
        <control shapeId="1032" r:id="rId10" name="Control 8">
          <controlPr defaultSize="0" r:id="rId11">
            <anchor moveWithCells="1">
              <from>
                <xdr:col>0</xdr:col>
                <xdr:colOff>0</xdr:colOff>
                <xdr:row>5</xdr:row>
                <xdr:rowOff>251460</xdr:rowOff>
              </from>
              <to>
                <xdr:col>0</xdr:col>
                <xdr:colOff>1051560</xdr:colOff>
                <xdr:row>6</xdr:row>
                <xdr:rowOff>152400</xdr:rowOff>
              </to>
            </anchor>
          </controlPr>
        </control>
      </mc:Choice>
      <mc:Fallback>
        <control shapeId="1032" r:id="rId10" name="Control 8"/>
      </mc:Fallback>
    </mc:AlternateContent>
    <mc:AlternateContent xmlns:mc="http://schemas.openxmlformats.org/markup-compatibility/2006">
      <mc:Choice Requires="x14">
        <control shapeId="1033" r:id="rId12" name="Control 9">
          <controlPr defaultSize="0" r:id="rId13">
            <anchor moveWithCells="1">
              <from>
                <xdr:col>0</xdr:col>
                <xdr:colOff>0</xdr:colOff>
                <xdr:row>5</xdr:row>
                <xdr:rowOff>251460</xdr:rowOff>
              </from>
              <to>
                <xdr:col>0</xdr:col>
                <xdr:colOff>1051560</xdr:colOff>
                <xdr:row>6</xdr:row>
                <xdr:rowOff>152400</xdr:rowOff>
              </to>
            </anchor>
          </controlPr>
        </control>
      </mc:Choice>
      <mc:Fallback>
        <control shapeId="1033" r:id="rId12" name="Control 9"/>
      </mc:Fallback>
    </mc:AlternateContent>
    <mc:AlternateContent xmlns:mc="http://schemas.openxmlformats.org/markup-compatibility/2006">
      <mc:Choice Requires="x14">
        <control shapeId="1034" r:id="rId14" name="Control 10">
          <controlPr defaultSize="0" r:id="rId13">
            <anchor moveWithCells="1">
              <from>
                <xdr:col>0</xdr:col>
                <xdr:colOff>0</xdr:colOff>
                <xdr:row>5</xdr:row>
                <xdr:rowOff>251460</xdr:rowOff>
              </from>
              <to>
                <xdr:col>0</xdr:col>
                <xdr:colOff>1051560</xdr:colOff>
                <xdr:row>6</xdr:row>
                <xdr:rowOff>152400</xdr:rowOff>
              </to>
            </anchor>
          </controlPr>
        </control>
      </mc:Choice>
      <mc:Fallback>
        <control shapeId="1034" r:id="rId14" name="Control 10"/>
      </mc:Fallback>
    </mc:AlternateContent>
    <mc:AlternateContent xmlns:mc="http://schemas.openxmlformats.org/markup-compatibility/2006">
      <mc:Choice Requires="x14">
        <control shapeId="1042" r:id="rId15" name="Button 18">
          <controlPr defaultSize="0" print="0" autoFill="0" autoPict="0" macro="[0]!_xludf.code">
            <anchor moveWithCells="1" sizeWithCells="1">
              <from>
                <xdr:col>6</xdr:col>
                <xdr:colOff>594360</xdr:colOff>
                <xdr:row>0</xdr:row>
                <xdr:rowOff>144780</xdr:rowOff>
              </from>
              <to>
                <xdr:col>9</xdr:col>
                <xdr:colOff>487680</xdr:colOff>
                <xdr:row>2</xdr:row>
                <xdr:rowOff>83820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197"/>
  <sheetViews>
    <sheetView zoomScale="70" zoomScaleNormal="70" workbookViewId="0">
      <selection activeCell="C2" sqref="C2:C197"/>
    </sheetView>
  </sheetViews>
  <sheetFormatPr defaultRowHeight="17.399999999999999" x14ac:dyDescent="0.4"/>
  <cols>
    <col min="2" max="3" width="12.8984375" customWidth="1"/>
    <col min="4" max="4" width="14.59765625" customWidth="1"/>
    <col min="5" max="5" width="17.5" customWidth="1"/>
    <col min="6" max="6" width="16" customWidth="1"/>
    <col min="8" max="9" width="23.8984375" customWidth="1"/>
    <col min="10" max="10" width="22.19921875" customWidth="1"/>
    <col min="11" max="11" width="43.59765625" customWidth="1"/>
    <col min="12" max="12" width="90.59765625" customWidth="1"/>
    <col min="13" max="13" width="160" hidden="1" customWidth="1"/>
    <col min="14" max="14" width="12.8984375" hidden="1" customWidth="1"/>
  </cols>
  <sheetData>
    <row r="1" spans="1:14" x14ac:dyDescent="0.4">
      <c r="B1" t="s">
        <v>1</v>
      </c>
      <c r="C1" t="s">
        <v>26</v>
      </c>
      <c r="D1" t="s">
        <v>24</v>
      </c>
      <c r="E1" t="s">
        <v>23</v>
      </c>
      <c r="F1" t="s">
        <v>22</v>
      </c>
      <c r="G1" t="s">
        <v>2</v>
      </c>
      <c r="H1" t="s">
        <v>20</v>
      </c>
      <c r="I1" t="s">
        <v>21</v>
      </c>
      <c r="J1" t="s">
        <v>4</v>
      </c>
      <c r="K1" t="s">
        <v>5</v>
      </c>
      <c r="M1" t="s">
        <v>6</v>
      </c>
      <c r="N1" t="s">
        <v>25</v>
      </c>
    </row>
    <row r="2" spans="1:14" ht="99.9" customHeight="1" x14ac:dyDescent="0.4">
      <c r="A2">
        <v>1</v>
      </c>
      <c r="B2" t="str">
        <f ca="1">OFFSET(raw!$A$10,정리!A2,0)</f>
        <v>삼성E&amp;A</v>
      </c>
      <c r="C2" t="str">
        <f t="shared" ref="C2:C33" ca="1" si="0">SUBSTITUTE(TEXT(N2,"000000"),"-","A")</f>
        <v>A028050</v>
      </c>
      <c r="D2" t="str">
        <f ca="1">OFFSET(raw!$B$10,정리!A2,0)</f>
        <v>KB증권</v>
      </c>
      <c r="E2" t="str">
        <f ca="1">OFFSET(raw!$B$11,정리!A2,0)</f>
        <v>[장문준,강민창]</v>
      </c>
      <c r="F2" t="str">
        <f ca="1">OFFSET(raw!$C$10,정리!A2,0)</f>
        <v>변동없음</v>
      </c>
      <c r="G2" t="str">
        <f ca="1">OFFSET(raw!$C$11,정리!A2,0)</f>
        <v>BUY</v>
      </c>
      <c r="H2" t="str">
        <f ca="1">OFFSET(raw!$D$10,정리!A2,0)</f>
        <v>변동없음</v>
      </c>
      <c r="I2">
        <f ca="1">OFFSET(raw!$D$11,정리!A2,0)</f>
        <v>73500</v>
      </c>
      <c r="J2">
        <f ca="1">OFFSET(raw!$E$10,정리!A2,0)</f>
        <v>48350</v>
      </c>
      <c r="K2" t="str">
        <f ca="1">OFFSET(raw!$F$10,정리!A2,0)</f>
        <v>The First Call EPC: 고객도, 라이선서도 먼저 찾는다</v>
      </c>
      <c r="L2" s="9" t="str">
        <f t="shared" ref="L2:L33" ca="1" si="1">SUBSTITUTE(M2, " ▶ ", CHAR(10) &amp; "▶ ")</f>
        <v>▶ 고객이 먼저 찾는 EPC를 넘어 라이선서도 찾는 EPC로
▶ LNG 라이선서와 모듈러 강자. 중소형 LNG 시장을 공략하려 한다
▶ 폐쇄적인 LNG 시장을 정면 돌파하는 것이 아닌 라이선서와 새로운 시장을 여는 것
▶ 비중동 LNG 사업성 증가. 가시적인 성과 나올 것</v>
      </c>
      <c r="M2" t="str">
        <f ca="1">OFFSET(raw!$G$10,정리!A2,0)</f>
        <v>▶ 고객이 먼저 찾는 EPC를 넘어 라이선서도 찾는 EPC로 ▶ LNG 라이선서와 모듈러 강자. 중소형 LNG 시장을 공략하려 한다 ▶ 폐쇄적인 LNG 시장을 정면 돌파하는 것이 아닌 라이선서와 새로운 시장을 여는 것 ▶ 비중동 LNG 사업성 증가. 가시적인 성과 나올 것</v>
      </c>
      <c r="N2">
        <f ca="1">OFFSET(raw!$A$11,정리!A2,0)</f>
        <v>-28050</v>
      </c>
    </row>
    <row r="3" spans="1:14" ht="99.9" customHeight="1" x14ac:dyDescent="0.4">
      <c r="A3">
        <v>3</v>
      </c>
      <c r="B3" t="str">
        <f ca="1">OFFSET(raw!$A$10,정리!A3,0)</f>
        <v>삼성물산</v>
      </c>
      <c r="C3" t="str">
        <f t="shared" ca="1" si="0"/>
        <v>A028260</v>
      </c>
      <c r="D3" t="str">
        <f ca="1">OFFSET(raw!$B$10,정리!A3,0)</f>
        <v>하나증권</v>
      </c>
      <c r="E3" t="str">
        <f ca="1">OFFSET(raw!$B$11,정리!A3,0)</f>
        <v>[김승준]</v>
      </c>
      <c r="F3" t="str">
        <f ca="1">OFFSET(raw!$C$10,정리!A3,0)</f>
        <v>변동없음</v>
      </c>
      <c r="G3" t="str">
        <f ca="1">OFFSET(raw!$C$11,정리!A3,0)</f>
        <v>BUY</v>
      </c>
      <c r="H3" t="str">
        <f ca="1">OFFSET(raw!$D$10,정리!A3,0)</f>
        <v>목표주가 상향</v>
      </c>
      <c r="I3">
        <f ca="1">OFFSET(raw!$D$11,정리!A3,0)</f>
        <v>650000</v>
      </c>
      <c r="J3">
        <f ca="1">OFFSET(raw!$E$10,정리!A3,0)</f>
        <v>460500</v>
      </c>
      <c r="K3" t="str">
        <f ca="1">OFFSET(raw!$F$10,정리!A3,0)</f>
        <v>의심할 필요가 없는 PBR 0.7배 저렴한 주가</v>
      </c>
      <c r="L3" s="9" t="str">
        <f t="shared" ca="1" si="1"/>
        <v>▶ 투자의견 Buy 유지, 목표주가 650,000원으로 상향, TOP PICK으로 추천
▶ PBR 0.7배는 여전히 싸다
▶ 3분기, 4분기 원전 스토리도 존재</v>
      </c>
      <c r="M3" t="str">
        <f ca="1">OFFSET(raw!$G$10,정리!A3,0)</f>
        <v>▶ 투자의견 Buy 유지, 목표주가 650,000원으로 상향, TOP PICK으로 추천 ▶ PBR 0.7배는 여전히 싸다 ▶ 3분기, 4분기 원전 스토리도 존재</v>
      </c>
      <c r="N3">
        <f ca="1">OFFSET(raw!$A$11,정리!A3,0)</f>
        <v>-28260</v>
      </c>
    </row>
    <row r="4" spans="1:14" ht="99.9" customHeight="1" x14ac:dyDescent="0.4">
      <c r="A4">
        <v>5</v>
      </c>
      <c r="B4" t="str">
        <f ca="1">OFFSET(raw!$A$10,정리!A4,0)</f>
        <v>피에스케이홀딩스</v>
      </c>
      <c r="C4" t="str">
        <f t="shared" ca="1" si="0"/>
        <v>A031980</v>
      </c>
      <c r="D4" t="str">
        <f ca="1">OFFSET(raw!$B$10,정리!A4,0)</f>
        <v>그로쓰리서치</v>
      </c>
      <c r="E4" t="str">
        <f ca="1">OFFSET(raw!$B$11,정리!A4,0)</f>
        <v>[한용희,성인제,정선우]</v>
      </c>
      <c r="F4" t="str">
        <f ca="1">OFFSET(raw!$C$10,정리!A4,0)</f>
        <v>투자의견 없음</v>
      </c>
      <c r="G4">
        <f ca="1">OFFSET(raw!$C$11,정리!A4,0)</f>
        <v>0</v>
      </c>
      <c r="H4" t="str">
        <f ca="1">OFFSET(raw!$D$10,정리!A4,0)</f>
        <v>목표주가 없음</v>
      </c>
      <c r="I4">
        <f ca="1">OFFSET(raw!$D$11,정리!A4,0)</f>
        <v>0</v>
      </c>
      <c r="J4">
        <f ca="1">OFFSET(raw!$E$10,정리!A4,0)</f>
        <v>126400</v>
      </c>
      <c r="K4" t="str">
        <f ca="1">OFFSET(raw!$F$10,정리!A4,0)</f>
        <v>AI HBM.CoWoS 투자 확대의 구조적 수혜 장비사</v>
      </c>
      <c r="L4" s="9" t="str">
        <f t="shared" ca="1" si="1"/>
        <v>▶ DRAM/HBM 미세화에 따라 일감이 늘어나는 스트립/세정 장비 업체
▶ 전공정 건식 스트립/세정 글로벌 탑티어, 증설 수혜 본격화
▶ CoWoSCAPA 증설에 따른 후공정 성장 축 확보</v>
      </c>
      <c r="M4" t="str">
        <f ca="1">OFFSET(raw!$G$10,정리!A4,0)</f>
        <v>▶ DRAM/HBM 미세화에 따라 일감이 늘어나는 스트립/세정 장비 업체 ▶ 전공정 건식 스트립/세정 글로벌 탑티어, 증설 수혜 본격화 ▶ CoWoSCAPA 증설에 따른 후공정 성장 축 확보</v>
      </c>
      <c r="N4">
        <f ca="1">OFFSET(raw!$A$11,정리!A4,0)</f>
        <v>-31980</v>
      </c>
    </row>
    <row r="5" spans="1:14" ht="99.9" customHeight="1" x14ac:dyDescent="0.4">
      <c r="A5">
        <v>7</v>
      </c>
      <c r="B5" t="str">
        <f ca="1">OFFSET(raw!$A$10,정리!A5,0)</f>
        <v>브이엠</v>
      </c>
      <c r="C5" t="str">
        <f t="shared" ca="1" si="0"/>
        <v>A089970</v>
      </c>
      <c r="D5" t="str">
        <f ca="1">OFFSET(raw!$B$10,정리!A5,0)</f>
        <v>그로쓰리서치</v>
      </c>
      <c r="E5" t="str">
        <f ca="1">OFFSET(raw!$B$11,정리!A5,0)</f>
        <v>[한용희,성인제,정선우]</v>
      </c>
      <c r="F5" t="str">
        <f ca="1">OFFSET(raw!$C$10,정리!A5,0)</f>
        <v>투자의견 없음</v>
      </c>
      <c r="G5">
        <f ca="1">OFFSET(raw!$C$11,정리!A5,0)</f>
        <v>0</v>
      </c>
      <c r="H5" t="str">
        <f ca="1">OFFSET(raw!$D$10,정리!A5,0)</f>
        <v>목표주가 없음</v>
      </c>
      <c r="I5">
        <f ca="1">OFFSET(raw!$D$11,정리!A5,0)</f>
        <v>0</v>
      </c>
      <c r="J5">
        <f ca="1">OFFSET(raw!$E$10,정리!A5,0)</f>
        <v>68000</v>
      </c>
      <c r="K5" t="str">
        <f ca="1">OFFSET(raw!$F$10,정리!A5,0)</f>
        <v>DARM 투자 회복의 최대 수혜</v>
      </c>
      <c r="L5" s="9" t="str">
        <f t="shared" ca="1" si="1"/>
        <v>▶ 선단 식각 국산화로 증설 사이클 수혜가 기대되는 전공정 장비사
▶ DRAM 투자 회복, 식각 장비 레버리지 확대
▶ 신규 공정 진입이 만드는 장비 ASP 레버리지</v>
      </c>
      <c r="M5" t="str">
        <f ca="1">OFFSET(raw!$G$10,정리!A5,0)</f>
        <v>▶ 선단 식각 국산화로 증설 사이클 수혜가 기대되는 전공정 장비사 ▶ DRAM 투자 회복, 식각 장비 레버리지 확대 ▶ 신규 공정 진입이 만드는 장비 ASP 레버리지</v>
      </c>
      <c r="N5">
        <f ca="1">OFFSET(raw!$A$11,정리!A5,0)</f>
        <v>-89970</v>
      </c>
    </row>
    <row r="6" spans="1:14" ht="99.9" customHeight="1" x14ac:dyDescent="0.4">
      <c r="A6">
        <v>9</v>
      </c>
      <c r="B6" t="str">
        <f ca="1">OFFSET(raw!$A$10,정리!A6,0)</f>
        <v>한미약품</v>
      </c>
      <c r="C6" t="str">
        <f t="shared" ca="1" si="0"/>
        <v>A128940</v>
      </c>
      <c r="D6" t="str">
        <f ca="1">OFFSET(raw!$B$10,정리!A6,0)</f>
        <v>하나증권</v>
      </c>
      <c r="E6" t="str">
        <f ca="1">OFFSET(raw!$B$11,정리!A6,0)</f>
        <v>[김선아]</v>
      </c>
      <c r="F6" t="str">
        <f ca="1">OFFSET(raw!$C$10,정리!A6,0)</f>
        <v>변동없음</v>
      </c>
      <c r="G6" t="str">
        <f ca="1">OFFSET(raw!$C$11,정리!A6,0)</f>
        <v>BUY</v>
      </c>
      <c r="H6" t="str">
        <f ca="1">OFFSET(raw!$D$10,정리!A6,0)</f>
        <v>목표주가 상향</v>
      </c>
      <c r="I6">
        <f ca="1">OFFSET(raw!$D$11,정리!A6,0)</f>
        <v>710000</v>
      </c>
      <c r="J6">
        <f ca="1">OFFSET(raw!$E$10,정리!A6,0)</f>
        <v>494000</v>
      </c>
      <c r="K6" t="str">
        <f ca="1">OFFSET(raw!$F$10,정리!A6,0)</f>
        <v>L/O 가이던스 달성, 그러나 아직 몇 발 더 남았다</v>
      </c>
      <c r="L6" s="9" t="str">
        <f t="shared" ca="1" si="1"/>
        <v>▶ 소네페글루타이드가 기술이전 될 줄은, Lilly일 줄은
▶ 여전히 추가 기술이전을 기대할 만 하다
▶ 목표주가 71만원 상향, 전체적인 파이프라인 가치 조정</v>
      </c>
      <c r="M6" t="str">
        <f ca="1">OFFSET(raw!$G$10,정리!A6,0)</f>
        <v>▶ 소네페글루타이드가 기술이전 될 줄은, Lilly일 줄은 ▶ 여전히 추가 기술이전을 기대할 만 하다 ▶ 목표주가 71만원 상향, 전체적인 파이프라인 가치 조정</v>
      </c>
      <c r="N6">
        <f ca="1">OFFSET(raw!$A$11,정리!A6,0)</f>
        <v>-128940</v>
      </c>
    </row>
    <row r="7" spans="1:14" ht="99.9" customHeight="1" x14ac:dyDescent="0.4">
      <c r="A7">
        <v>11</v>
      </c>
      <c r="B7" t="str">
        <f ca="1">OFFSET(raw!$A$10,정리!A7,0)</f>
        <v>이마트</v>
      </c>
      <c r="C7" t="str">
        <f t="shared" ca="1" si="0"/>
        <v>A139480</v>
      </c>
      <c r="D7" t="str">
        <f ca="1">OFFSET(raw!$B$10,정리!A7,0)</f>
        <v>키움증권</v>
      </c>
      <c r="E7" t="str">
        <f ca="1">OFFSET(raw!$B$11,정리!A7,0)</f>
        <v>[박상준,권용일]</v>
      </c>
      <c r="F7" t="str">
        <f ca="1">OFFSET(raw!$C$10,정리!A7,0)</f>
        <v>변동없음</v>
      </c>
      <c r="G7" t="str">
        <f ca="1">OFFSET(raw!$C$11,정리!A7,0)</f>
        <v>BUY</v>
      </c>
      <c r="H7" t="str">
        <f ca="1">OFFSET(raw!$D$10,정리!A7,0)</f>
        <v>변동없음</v>
      </c>
      <c r="I7">
        <f ca="1">OFFSET(raw!$D$11,정리!A7,0)</f>
        <v>120000</v>
      </c>
      <c r="J7">
        <f ca="1">OFFSET(raw!$E$10,정리!A7,0)</f>
        <v>89200</v>
      </c>
      <c r="K7" t="str">
        <f ca="1">OFFSET(raw!$F$10,정리!A7,0)</f>
        <v>추가로 나올 악재가 있을까</v>
      </c>
      <c r="L7" s="9" t="str">
        <f t="shared" ca="1" si="1"/>
        <v>▶ 2분기 실적 전망치 하향 조정
▶ 할인점 기존점 성장률은 점차 반등할 전망
▶ 투자의견 BUY, 목표주가 12만원 유지</v>
      </c>
      <c r="M7" t="str">
        <f ca="1">OFFSET(raw!$G$10,정리!A7,0)</f>
        <v>▶ 2분기 실적 전망치 하향 조정 ▶ 할인점 기존점 성장률은 점차 반등할 전망 ▶ 투자의견 BUY, 목표주가 12만원 유지</v>
      </c>
      <c r="N7">
        <f ca="1">OFFSET(raw!$A$11,정리!A7,0)</f>
        <v>-139480</v>
      </c>
    </row>
    <row r="8" spans="1:14" ht="99.9" customHeight="1" x14ac:dyDescent="0.4">
      <c r="A8">
        <v>13</v>
      </c>
      <c r="B8" t="str">
        <f ca="1">OFFSET(raw!$A$10,정리!A8,0)</f>
        <v>지씨셀</v>
      </c>
      <c r="C8" t="str">
        <f t="shared" ca="1" si="0"/>
        <v>A144510</v>
      </c>
      <c r="D8" t="str">
        <f ca="1">OFFSET(raw!$B$10,정리!A8,0)</f>
        <v>상상인증권</v>
      </c>
      <c r="E8" t="str">
        <f ca="1">OFFSET(raw!$B$11,정리!A8,0)</f>
        <v>[하태기]</v>
      </c>
      <c r="F8" t="str">
        <f ca="1">OFFSET(raw!$C$10,정리!A8,0)</f>
        <v>투자의견 없음</v>
      </c>
      <c r="G8">
        <f ca="1">OFFSET(raw!$C$11,정리!A8,0)</f>
        <v>0</v>
      </c>
      <c r="H8" t="str">
        <f ca="1">OFFSET(raw!$D$10,정리!A8,0)</f>
        <v>목표주가 없음</v>
      </c>
      <c r="I8">
        <f ca="1">OFFSET(raw!$D$11,정리!A8,0)</f>
        <v>0</v>
      </c>
      <c r="J8">
        <f ca="1">OFFSET(raw!$E$10,정리!A8,0)</f>
        <v>17180</v>
      </c>
      <c r="K8" t="str">
        <f ca="1">OFFSET(raw!$F$10,정리!A8,0)</f>
        <v>최근 영업 실적 및 신약개발 현황 Update</v>
      </c>
      <c r="L8" s="9" t="str">
        <f t="shared" ca="1" si="1"/>
        <v>▶ 최근 영업실적은 매출 감소, 영업적자 지속
▶ CD5 CAR-NK 2026년 내 임상 1b상 진입 예정, 푸카소 수입품목 허가 신청
▶ 관계사를 통한 신약개발도 진행 중이다</v>
      </c>
      <c r="M8" t="str">
        <f ca="1">OFFSET(raw!$G$10,정리!A8,0)</f>
        <v>▶ 최근 영업실적은 매출 감소, 영업적자 지속 ▶ CD5 CAR-NK 2026년 내 임상 1b상 진입 예정, 푸카소 수입품목 허가 신청 ▶ 관계사를 통한 신약개발도 진행 중이다</v>
      </c>
      <c r="N8">
        <f ca="1">OFFSET(raw!$A$11,정리!A8,0)</f>
        <v>-144510</v>
      </c>
    </row>
    <row r="9" spans="1:14" ht="99.9" customHeight="1" x14ac:dyDescent="0.4">
      <c r="A9">
        <v>15</v>
      </c>
      <c r="B9" t="str">
        <f ca="1">OFFSET(raw!$A$10,정리!A9,0)</f>
        <v>져스텍</v>
      </c>
      <c r="C9" t="str">
        <f t="shared" ca="1" si="0"/>
        <v>A153890</v>
      </c>
      <c r="D9" t="str">
        <f ca="1">OFFSET(raw!$B$10,정리!A9,0)</f>
        <v>다인자산운용</v>
      </c>
      <c r="E9" t="str">
        <f ca="1">OFFSET(raw!$B$11,정리!A9,0)</f>
        <v>[김성환]</v>
      </c>
      <c r="F9" t="str">
        <f ca="1">OFFSET(raw!$C$10,정리!A9,0)</f>
        <v>투자의견 없음</v>
      </c>
      <c r="G9">
        <f ca="1">OFFSET(raw!$C$11,정리!A9,0)</f>
        <v>0</v>
      </c>
      <c r="H9" t="str">
        <f ca="1">OFFSET(raw!$D$10,정리!A9,0)</f>
        <v>목표주가 없음</v>
      </c>
      <c r="I9">
        <f ca="1">OFFSET(raw!$D$11,정리!A9,0)</f>
        <v>0</v>
      </c>
      <c r="J9">
        <f ca="1">OFFSET(raw!$E$10,정리!A9,0)</f>
        <v>0</v>
      </c>
      <c r="K9" t="str">
        <f ca="1">OFFSET(raw!$F$10,정리!A9,0)</f>
        <v>IPO 기업 보고서</v>
      </c>
      <c r="L9" s="9" t="str">
        <f t="shared" ca="1" si="1"/>
        <v>▶ 국내 최초로 리니어 모터를 자체 개발한 원천 기술을 바탕으로 모터, 센서, 드라이버, 제어기를 포함한 부품부터 시스템까지초정밀 모션과 관련된 구성요소를 수직 계열화
▶ HBM 고단화로 후공정 장비에서는 정밀한 위치 제어와 반복 안정성이 핵심 성능 변수로 부상
▶ 2025년 기준 약 42% 수준이었던 반도체 매출 비중은 2028년 60%대 수준으로 확대되며 동사의 성장을 이끌 것으로 예상 중</v>
      </c>
      <c r="M9" t="str">
        <f ca="1">OFFSET(raw!$G$10,정리!A9,0)</f>
        <v>▶ 국내 최초로 리니어 모터를 자체 개발한 원천 기술을 바탕으로 모터, 센서, 드라이버, 제어기를 포함한 부품부터 시스템까지초정밀 모션과 관련된 구성요소를 수직 계열화 ▶ HBM 고단화로 후공정 장비에서는 정밀한 위치 제어와 반복 안정성이 핵심 성능 변수로 부상 ▶ 2025년 기준 약 42% 수준이었던 반도체 매출 비중은 2028년 60%대 수준으로 확대되며 동사의 성장을 이끌 것으로 예상 중</v>
      </c>
      <c r="N9">
        <f ca="1">OFFSET(raw!$A$11,정리!A9,0)</f>
        <v>-153890</v>
      </c>
    </row>
    <row r="10" spans="1:14" ht="99.9" customHeight="1" x14ac:dyDescent="0.4">
      <c r="A10">
        <v>17</v>
      </c>
      <c r="B10" t="str">
        <f ca="1">OFFSET(raw!$A$10,정리!A10,0)</f>
        <v>노브메타파마</v>
      </c>
      <c r="C10" t="str">
        <f t="shared" ca="1" si="0"/>
        <v>A229500</v>
      </c>
      <c r="D10" t="str">
        <f ca="1">OFFSET(raw!$B$10,정리!A10,0)</f>
        <v>한국IR협의회(리서치센터)</v>
      </c>
      <c r="E10" t="str">
        <f ca="1">OFFSET(raw!$B$11,정리!A10,0)</f>
        <v>[김승준,이금민]</v>
      </c>
      <c r="F10" t="str">
        <f ca="1">OFFSET(raw!$C$10,정리!A10,0)</f>
        <v>투자의견 없음</v>
      </c>
      <c r="G10">
        <f ca="1">OFFSET(raw!$C$11,정리!A10,0)</f>
        <v>0</v>
      </c>
      <c r="H10" t="str">
        <f ca="1">OFFSET(raw!$D$10,정리!A10,0)</f>
        <v>목표주가 없음</v>
      </c>
      <c r="I10">
        <f ca="1">OFFSET(raw!$D$11,정리!A10,0)</f>
        <v>0</v>
      </c>
      <c r="J10">
        <f ca="1">OFFSET(raw!$E$10,정리!A10,0)</f>
        <v>7800</v>
      </c>
      <c r="K10" t="str">
        <f ca="1">OFFSET(raw!$F$10,정리!A10,0)</f>
        <v>Cyclo-Z의 재발견, 검증된 내약성 위에 확장되는 적응증</v>
      </c>
      <c r="L10" s="9" t="str">
        <f t="shared" ca="1" si="1"/>
        <v>▶ CHP/Cyclo-Z 기반 신약개발 기업, 적응증 확장과 비신약 사업 병행
▶ Cyclo-Z 적응증 재배치, FSHD 계약과 임상 2상이 핵심 모멘텀
▶ 2026년, 신약 임상 진입과 비신약 매출 시작의 원년</v>
      </c>
      <c r="M10" t="str">
        <f ca="1">OFFSET(raw!$G$10,정리!A10,0)</f>
        <v>▶ CHP/Cyclo-Z 기반 신약개발 기업, 적응증 확장과 비신약 사업 병행 ▶ Cyclo-Z 적응증 재배치, FSHD 계약과 임상 2상이 핵심 모멘텀 ▶ 2026년, 신약 임상 진입과 비신약 매출 시작의 원년</v>
      </c>
      <c r="N10">
        <f ca="1">OFFSET(raw!$A$11,정리!A10,0)</f>
        <v>-229500</v>
      </c>
    </row>
    <row r="11" spans="1:14" ht="99.9" customHeight="1" x14ac:dyDescent="0.4">
      <c r="A11">
        <v>19</v>
      </c>
      <c r="B11" t="str">
        <f ca="1">OFFSET(raw!$A$10,정리!A11,0)</f>
        <v>팸텍</v>
      </c>
      <c r="C11" t="str">
        <f t="shared" ca="1" si="0"/>
        <v>A271830</v>
      </c>
      <c r="D11" t="str">
        <f ca="1">OFFSET(raw!$B$10,정리!A11,0)</f>
        <v>하나증권</v>
      </c>
      <c r="E11" t="str">
        <f ca="1">OFFSET(raw!$B$11,정리!A11,0)</f>
        <v>[박찬솔,윤채리]</v>
      </c>
      <c r="F11" t="str">
        <f ca="1">OFFSET(raw!$C$10,정리!A11,0)</f>
        <v>투자의견 없음</v>
      </c>
      <c r="G11">
        <f ca="1">OFFSET(raw!$C$11,정리!A11,0)</f>
        <v>0</v>
      </c>
      <c r="H11" t="str">
        <f ca="1">OFFSET(raw!$D$10,정리!A11,0)</f>
        <v>목표주가 없음</v>
      </c>
      <c r="I11">
        <f ca="1">OFFSET(raw!$D$11,정리!A11,0)</f>
        <v>0</v>
      </c>
      <c r="J11">
        <f ca="1">OFFSET(raw!$E$10,정리!A11,0)</f>
        <v>2085</v>
      </c>
      <c r="K11" t="str">
        <f ca="1">OFFSET(raw!$F$10,정리!A11,0)</f>
        <v>IPO 주관사 업데이트: 반도체 주도 성장</v>
      </c>
      <c r="L11" s="9" t="str">
        <f t="shared" ca="1" si="1"/>
        <v>▶ 카메라모듈/반도체 장비 비중이 높은 자동화 업체
▶ 기대할 것은 반도체 주도 성장
▶ 2026년 실적 전망 및 밸류에이션</v>
      </c>
      <c r="M11" t="str">
        <f ca="1">OFFSET(raw!$G$10,정리!A11,0)</f>
        <v>▶ 카메라모듈/반도체 장비 비중이 높은 자동화 업체 ▶ 기대할 것은 반도체 주도 성장 ▶ 2026년 실적 전망 및 밸류에이션</v>
      </c>
      <c r="N11">
        <f ca="1">OFFSET(raw!$A$11,정리!A11,0)</f>
        <v>-271830</v>
      </c>
    </row>
    <row r="12" spans="1:14" ht="99.9" customHeight="1" x14ac:dyDescent="0.4">
      <c r="A12">
        <v>21</v>
      </c>
      <c r="B12" t="str">
        <f ca="1">OFFSET(raw!$A$10,정리!A12,0)</f>
        <v>케이씨텍</v>
      </c>
      <c r="C12" t="str">
        <f t="shared" ca="1" si="0"/>
        <v>A281820</v>
      </c>
      <c r="D12" t="str">
        <f ca="1">OFFSET(raw!$B$10,정리!A12,0)</f>
        <v>그로쓰리서치</v>
      </c>
      <c r="E12" t="str">
        <f ca="1">OFFSET(raw!$B$11,정리!A12,0)</f>
        <v>[한용희,성인제,정선우]</v>
      </c>
      <c r="F12" t="str">
        <f ca="1">OFFSET(raw!$C$10,정리!A12,0)</f>
        <v>투자의견 없음</v>
      </c>
      <c r="G12">
        <f ca="1">OFFSET(raw!$C$11,정리!A12,0)</f>
        <v>0</v>
      </c>
      <c r="H12" t="str">
        <f ca="1">OFFSET(raw!$D$10,정리!A12,0)</f>
        <v>목표주가 없음</v>
      </c>
      <c r="I12">
        <f ca="1">OFFSET(raw!$D$11,정리!A12,0)</f>
        <v>0</v>
      </c>
      <c r="J12">
        <f ca="1">OFFSET(raw!$E$10,정리!A12,0)</f>
        <v>65300</v>
      </c>
      <c r="K12" t="str">
        <f ca="1">OFFSET(raw!$F$10,정리!A12,0)</f>
        <v>국내 유일 웨이퍼 CMP 장비사, 메모리 투자 회복 수혜 본격화</v>
      </c>
      <c r="L12" s="9" t="str">
        <f t="shared" ca="1" si="1"/>
        <v>▶ 국내 유일 CMP 장비 양산 업체, 선단 공정 투자 수혜 기대
▶ CMP 중심 포트폴리오로 메모리 설비투자 레버리지
▶ 전분기 대비 130% 늘어난 수주잔고에 주목</v>
      </c>
      <c r="M12" t="str">
        <f ca="1">OFFSET(raw!$G$10,정리!A12,0)</f>
        <v>▶ 국내 유일 CMP 장비 양산 업체, 선단 공정 투자 수혜 기대 ▶ CMP 중심 포트폴리오로 메모리 설비투자 레버리지 ▶ 전분기 대비 130% 늘어난 수주잔고에 주목</v>
      </c>
      <c r="N12">
        <f ca="1">OFFSET(raw!$A$11,정리!A12,0)</f>
        <v>-281820</v>
      </c>
    </row>
    <row r="13" spans="1:14" ht="99.9" customHeight="1" x14ac:dyDescent="0.4">
      <c r="A13">
        <v>23</v>
      </c>
      <c r="B13" t="str">
        <f ca="1">OFFSET(raw!$A$10,정리!A13,0)</f>
        <v>디앤디파마텍</v>
      </c>
      <c r="C13" t="str">
        <f t="shared" ca="1" si="0"/>
        <v>A347850</v>
      </c>
      <c r="D13" t="str">
        <f ca="1">OFFSET(raw!$B$10,정리!A13,0)</f>
        <v>하나증권</v>
      </c>
      <c r="E13" t="str">
        <f ca="1">OFFSET(raw!$B$11,정리!A13,0)</f>
        <v>[김선아]</v>
      </c>
      <c r="F13" t="str">
        <f ca="1">OFFSET(raw!$C$10,정리!A13,0)</f>
        <v>투자의견 없음</v>
      </c>
      <c r="G13">
        <f ca="1">OFFSET(raw!$C$11,정리!A13,0)</f>
        <v>0</v>
      </c>
      <c r="H13" t="str">
        <f ca="1">OFFSET(raw!$D$10,정리!A13,0)</f>
        <v>목표주가 없음</v>
      </c>
      <c r="I13">
        <f ca="1">OFFSET(raw!$D$11,정리!A13,0)</f>
        <v>0</v>
      </c>
      <c r="J13">
        <f ca="1">OFFSET(raw!$E$10,정리!A13,0)</f>
        <v>92300</v>
      </c>
      <c r="K13" t="str">
        <f ca="1">OFFSET(raw!$F$10,정리!A13,0)</f>
        <v>성공적인 MASH 결과 들고 다음 스텝으로 (NDR 후기)</v>
      </c>
      <c r="L13" s="9" t="str">
        <f t="shared" ca="1" si="1"/>
        <v>▶ 48주차 조직생검 결과 공개 ? 개선 수치와 통계적 유의성 모두 우수
▶ 기술이전 논의 중, 기존 사례 대비 빠르게 진행될 것
▶ GSK가 Efimosfermin를 인수한 사례 참고 (총 계약 규모 약 3조원)</v>
      </c>
      <c r="M13" t="str">
        <f ca="1">OFFSET(raw!$G$10,정리!A13,0)</f>
        <v>▶ 48주차 조직생검 결과 공개 ? 개선 수치와 통계적 유의성 모두 우수 ▶ 기술이전 논의 중, 기존 사례 대비 빠르게 진행될 것 ▶ GSK가 Efimosfermin를 인수한 사례 참고 (총 계약 규모 약 3조원)</v>
      </c>
      <c r="N13">
        <f ca="1">OFFSET(raw!$A$11,정리!A13,0)</f>
        <v>-347850</v>
      </c>
    </row>
    <row r="14" spans="1:14" ht="99.9" customHeight="1" x14ac:dyDescent="0.4">
      <c r="A14">
        <v>25</v>
      </c>
      <c r="B14" t="str">
        <f ca="1">OFFSET(raw!$A$10,정리!A14,0)</f>
        <v>대한조선</v>
      </c>
      <c r="C14" t="str">
        <f t="shared" ca="1" si="0"/>
        <v>A439260</v>
      </c>
      <c r="D14" t="str">
        <f ca="1">OFFSET(raw!$B$10,정리!A14,0)</f>
        <v>한국투자증권</v>
      </c>
      <c r="E14" t="str">
        <f ca="1">OFFSET(raw!$B$11,정리!A14,0)</f>
        <v>[강경태,황현정]</v>
      </c>
      <c r="F14" t="str">
        <f ca="1">OFFSET(raw!$C$10,정리!A14,0)</f>
        <v>투자의견 없음</v>
      </c>
      <c r="G14">
        <f ca="1">OFFSET(raw!$C$11,정리!A14,0)</f>
        <v>0</v>
      </c>
      <c r="H14" t="str">
        <f ca="1">OFFSET(raw!$D$10,정리!A14,0)</f>
        <v>목표주가 없음</v>
      </c>
      <c r="I14">
        <f ca="1">OFFSET(raw!$D$11,정리!A14,0)</f>
        <v>0</v>
      </c>
      <c r="J14">
        <f ca="1">OFFSET(raw!$E$10,정리!A14,0)</f>
        <v>60000</v>
      </c>
      <c r="K14" t="str">
        <f ca="1">OFFSET(raw!$F$10,정리!A14,0)</f>
        <v>전세계 최상위 수에즈막스 플랫폼을 P/E 7배에 매수할 기회</v>
      </c>
      <c r="L14" s="9" t="str">
        <f t="shared" ca="1" si="1"/>
        <v>▶ 2028년 기준 P/E 7배, 기초체력에 비해 극심한 저평가
▶ 2026년 3월 유조선 스팟 운임 고점 이후 나타난 조정
▶ 유조선 발주 사이클 지속될 것, 탄탄한 수주잔량은 호실적으로 연결</v>
      </c>
      <c r="M14" t="str">
        <f ca="1">OFFSET(raw!$G$10,정리!A14,0)</f>
        <v>▶ 2028년 기준 P/E 7배, 기초체력에 비해 극심한 저평가 ▶ 2026년 3월 유조선 스팟 운임 고점 이후 나타난 조정 ▶ 유조선 발주 사이클 지속될 것, 탄탄한 수주잔량은 호실적으로 연결</v>
      </c>
      <c r="N14">
        <f ca="1">OFFSET(raw!$A$11,정리!A14,0)</f>
        <v>-439260</v>
      </c>
    </row>
    <row r="15" spans="1:14" ht="99.9" customHeight="1" x14ac:dyDescent="0.4">
      <c r="A15">
        <v>27</v>
      </c>
      <c r="B15" t="str">
        <f ca="1">OFFSET(raw!$A$10,정리!A15,0)</f>
        <v>코오롱티슈진</v>
      </c>
      <c r="C15" t="str">
        <f t="shared" ca="1" si="0"/>
        <v>A950160</v>
      </c>
      <c r="D15" t="str">
        <f ca="1">OFFSET(raw!$B$10,정리!A15,0)</f>
        <v>다올투자증권</v>
      </c>
      <c r="E15" t="str">
        <f ca="1">OFFSET(raw!$B$11,정리!A15,0)</f>
        <v>[이지수]</v>
      </c>
      <c r="F15" t="str">
        <f ca="1">OFFSET(raw!$C$10,정리!A15,0)</f>
        <v>투자의견 없음</v>
      </c>
      <c r="G15">
        <f ca="1">OFFSET(raw!$C$11,정리!A15,0)</f>
        <v>0</v>
      </c>
      <c r="H15" t="str">
        <f ca="1">OFFSET(raw!$D$10,정리!A15,0)</f>
        <v>목표주가 없음</v>
      </c>
      <c r="I15">
        <f ca="1">OFFSET(raw!$D$11,정리!A15,0)</f>
        <v>0</v>
      </c>
      <c r="J15">
        <f ca="1">OFFSET(raw!$E$10,정리!A15,0)</f>
        <v>99200</v>
      </c>
      <c r="K15" t="str">
        <f ca="1">OFFSET(raw!$F$10,정리!A15,0)</f>
        <v>카운트다운 시작</v>
      </c>
      <c r="L15" s="9" t="str">
        <f t="shared" ca="1" si="1"/>
        <v>▶ 7월 TG-C(골관절염) 미국 임상3상 탑라인 발표 예정
▶ 미국 2상, 국내 3상에서 통증/기능성 개선 일관되게 확인된 만큼 성공 가능성 높다고 판단
▶ 구조적 개선까지 입증 시 세계 최초 DMOAD로 독점적 시장 지위 확보 가능</v>
      </c>
      <c r="M15" t="str">
        <f ca="1">OFFSET(raw!$G$10,정리!A15,0)</f>
        <v>▶ 7월 TG-C(골관절염) 미국 임상3상 탑라인 발표 예정 ▶ 미국 2상, 국내 3상에서 통증/기능성 개선 일관되게 확인된 만큼 성공 가능성 높다고 판단 ▶ 구조적 개선까지 입증 시 세계 최초 DMOAD로 독점적 시장 지위 확보 가능</v>
      </c>
      <c r="N15">
        <f ca="1">OFFSET(raw!$A$11,정리!A15,0)</f>
        <v>-950160</v>
      </c>
    </row>
    <row r="16" spans="1:14" ht="99.9" customHeight="1" x14ac:dyDescent="0.4">
      <c r="A16">
        <v>29</v>
      </c>
      <c r="B16">
        <f ca="1">OFFSET(raw!$A$10,정리!A16,0)</f>
        <v>0</v>
      </c>
      <c r="C16" t="str">
        <f t="shared" ca="1" si="0"/>
        <v>변동없음(변동없음), 신규(신규), 이전대비상향(이전대비상향), 이전대비하향(이전대비하향)</v>
      </c>
      <c r="D16">
        <f ca="1">OFFSET(raw!$B$10,정리!A16,0)</f>
        <v>0</v>
      </c>
      <c r="E16">
        <f ca="1">OFFSET(raw!$B$11,정리!A16,0)</f>
        <v>0</v>
      </c>
      <c r="F16">
        <f ca="1">OFFSET(raw!$C$10,정리!A16,0)</f>
        <v>0</v>
      </c>
      <c r="G16">
        <f ca="1">OFFSET(raw!$C$11,정리!A16,0)</f>
        <v>0</v>
      </c>
      <c r="H16">
        <f ca="1">OFFSET(raw!$D$10,정리!A16,0)</f>
        <v>0</v>
      </c>
      <c r="I16">
        <f ca="1">OFFSET(raw!$D$11,정리!A16,0)</f>
        <v>0</v>
      </c>
      <c r="J16">
        <f ca="1">OFFSET(raw!$E$10,정리!A16,0)</f>
        <v>0</v>
      </c>
      <c r="K16">
        <f ca="1">OFFSET(raw!$F$10,정리!A16,0)</f>
        <v>0</v>
      </c>
      <c r="L16" s="9" t="str">
        <f t="shared" ca="1" si="1"/>
        <v>0</v>
      </c>
      <c r="M16">
        <f ca="1">OFFSET(raw!$G$10,정리!A16,0)</f>
        <v>0</v>
      </c>
      <c r="N16" t="str">
        <f ca="1">OFFSET(raw!$A$11,정리!A16,0)</f>
        <v>변동없음(변동없음), 신규(신규), 이전대비상향(이전대비상향), 이전대비하향(이전대비하향)</v>
      </c>
    </row>
    <row r="17" spans="1:14" ht="99.9" customHeight="1" x14ac:dyDescent="0.4">
      <c r="A17">
        <v>31</v>
      </c>
      <c r="B17" t="str">
        <f ca="1">OFFSET(raw!$A$10,정리!A17,0)</f>
        <v>© Copyright FnGuide Inc. All Rights Reserved.</v>
      </c>
      <c r="C17" t="str">
        <f t="shared" ca="1" si="0"/>
        <v>000000</v>
      </c>
      <c r="D17">
        <f ca="1">OFFSET(raw!$B$10,정리!A17,0)</f>
        <v>0</v>
      </c>
      <c r="E17">
        <f ca="1">OFFSET(raw!$B$11,정리!A17,0)</f>
        <v>0</v>
      </c>
      <c r="F17">
        <f ca="1">OFFSET(raw!$C$10,정리!A17,0)</f>
        <v>0</v>
      </c>
      <c r="G17">
        <f ca="1">OFFSET(raw!$C$11,정리!A17,0)</f>
        <v>0</v>
      </c>
      <c r="H17">
        <f ca="1">OFFSET(raw!$D$10,정리!A17,0)</f>
        <v>0</v>
      </c>
      <c r="I17">
        <f ca="1">OFFSET(raw!$D$11,정리!A17,0)</f>
        <v>0</v>
      </c>
      <c r="J17">
        <f ca="1">OFFSET(raw!$E$10,정리!A17,0)</f>
        <v>0</v>
      </c>
      <c r="K17">
        <f ca="1">OFFSET(raw!$F$10,정리!A17,0)</f>
        <v>0</v>
      </c>
      <c r="L17" s="9" t="str">
        <f t="shared" ca="1" si="1"/>
        <v>0</v>
      </c>
      <c r="M17">
        <f ca="1">OFFSET(raw!$G$10,정리!A17,0)</f>
        <v>0</v>
      </c>
      <c r="N17">
        <f ca="1">OFFSET(raw!$A$11,정리!A17,0)</f>
        <v>0</v>
      </c>
    </row>
    <row r="18" spans="1:14" ht="99.9" customHeight="1" x14ac:dyDescent="0.4">
      <c r="A18">
        <v>33</v>
      </c>
      <c r="B18">
        <f ca="1">OFFSET(raw!$A$10,정리!A18,0)</f>
        <v>0</v>
      </c>
      <c r="C18" t="str">
        <f t="shared" ca="1" si="0"/>
        <v>000000</v>
      </c>
      <c r="D18">
        <f ca="1">OFFSET(raw!$B$10,정리!A18,0)</f>
        <v>0</v>
      </c>
      <c r="E18">
        <f ca="1">OFFSET(raw!$B$11,정리!A18,0)</f>
        <v>0</v>
      </c>
      <c r="F18">
        <f ca="1">OFFSET(raw!$C$10,정리!A18,0)</f>
        <v>0</v>
      </c>
      <c r="G18">
        <f ca="1">OFFSET(raw!$C$11,정리!A18,0)</f>
        <v>0</v>
      </c>
      <c r="H18">
        <f ca="1">OFFSET(raw!$D$10,정리!A18,0)</f>
        <v>0</v>
      </c>
      <c r="I18">
        <f ca="1">OFFSET(raw!$D$11,정리!A18,0)</f>
        <v>0</v>
      </c>
      <c r="J18">
        <f ca="1">OFFSET(raw!$E$10,정리!A18,0)</f>
        <v>0</v>
      </c>
      <c r="K18">
        <f ca="1">OFFSET(raw!$F$10,정리!A18,0)</f>
        <v>0</v>
      </c>
      <c r="L18" s="9" t="str">
        <f t="shared" ca="1" si="1"/>
        <v>0</v>
      </c>
      <c r="M18">
        <f ca="1">OFFSET(raw!$G$10,정리!A18,0)</f>
        <v>0</v>
      </c>
      <c r="N18">
        <f ca="1">OFFSET(raw!$A$11,정리!A18,0)</f>
        <v>0</v>
      </c>
    </row>
    <row r="19" spans="1:14" ht="99.9" customHeight="1" x14ac:dyDescent="0.4">
      <c r="A19">
        <v>35</v>
      </c>
      <c r="B19">
        <f ca="1">OFFSET(raw!$A$10,정리!A19,0)</f>
        <v>0</v>
      </c>
      <c r="C19" t="str">
        <f t="shared" ca="1" si="0"/>
        <v>000000</v>
      </c>
      <c r="D19">
        <f ca="1">OFFSET(raw!$B$10,정리!A19,0)</f>
        <v>0</v>
      </c>
      <c r="E19">
        <f ca="1">OFFSET(raw!$B$11,정리!A19,0)</f>
        <v>0</v>
      </c>
      <c r="F19">
        <f ca="1">OFFSET(raw!$C$10,정리!A19,0)</f>
        <v>0</v>
      </c>
      <c r="G19">
        <f ca="1">OFFSET(raw!$C$11,정리!A19,0)</f>
        <v>0</v>
      </c>
      <c r="H19">
        <f ca="1">OFFSET(raw!$D$10,정리!A19,0)</f>
        <v>0</v>
      </c>
      <c r="I19">
        <f ca="1">OFFSET(raw!$D$11,정리!A19,0)</f>
        <v>0</v>
      </c>
      <c r="J19">
        <f ca="1">OFFSET(raw!$E$10,정리!A19,0)</f>
        <v>0</v>
      </c>
      <c r="K19">
        <f ca="1">OFFSET(raw!$F$10,정리!A19,0)</f>
        <v>0</v>
      </c>
      <c r="L19" s="9" t="str">
        <f t="shared" ca="1" si="1"/>
        <v>0</v>
      </c>
      <c r="M19">
        <f ca="1">OFFSET(raw!$G$10,정리!A19,0)</f>
        <v>0</v>
      </c>
      <c r="N19">
        <f ca="1">OFFSET(raw!$A$11,정리!A19,0)</f>
        <v>0</v>
      </c>
    </row>
    <row r="20" spans="1:14" ht="99.9" customHeight="1" x14ac:dyDescent="0.4">
      <c r="A20">
        <v>37</v>
      </c>
      <c r="B20">
        <f ca="1">OFFSET(raw!$A$10,정리!A20,0)</f>
        <v>0</v>
      </c>
      <c r="C20" t="str">
        <f t="shared" ca="1" si="0"/>
        <v>000000</v>
      </c>
      <c r="D20">
        <f ca="1">OFFSET(raw!$B$10,정리!A20,0)</f>
        <v>0</v>
      </c>
      <c r="E20">
        <f ca="1">OFFSET(raw!$B$11,정리!A20,0)</f>
        <v>0</v>
      </c>
      <c r="F20">
        <f ca="1">OFFSET(raw!$C$10,정리!A20,0)</f>
        <v>0</v>
      </c>
      <c r="G20">
        <f ca="1">OFFSET(raw!$C$11,정리!A20,0)</f>
        <v>0</v>
      </c>
      <c r="H20">
        <f ca="1">OFFSET(raw!$D$10,정리!A20,0)</f>
        <v>0</v>
      </c>
      <c r="I20">
        <f ca="1">OFFSET(raw!$D$11,정리!A20,0)</f>
        <v>0</v>
      </c>
      <c r="J20">
        <f ca="1">OFFSET(raw!$E$10,정리!A20,0)</f>
        <v>0</v>
      </c>
      <c r="K20">
        <f ca="1">OFFSET(raw!$F$10,정리!A20,0)</f>
        <v>0</v>
      </c>
      <c r="L20" s="9" t="str">
        <f t="shared" ca="1" si="1"/>
        <v>0</v>
      </c>
      <c r="M20">
        <f ca="1">OFFSET(raw!$G$10,정리!A20,0)</f>
        <v>0</v>
      </c>
      <c r="N20">
        <f ca="1">OFFSET(raw!$A$11,정리!A20,0)</f>
        <v>0</v>
      </c>
    </row>
    <row r="21" spans="1:14" ht="99.9" customHeight="1" x14ac:dyDescent="0.4">
      <c r="A21">
        <v>39</v>
      </c>
      <c r="B21">
        <f ca="1">OFFSET(raw!$A$10,정리!A21,0)</f>
        <v>0</v>
      </c>
      <c r="C21" t="str">
        <f t="shared" ca="1" si="0"/>
        <v>000000</v>
      </c>
      <c r="D21">
        <f ca="1">OFFSET(raw!$B$10,정리!A21,0)</f>
        <v>0</v>
      </c>
      <c r="E21">
        <f ca="1">OFFSET(raw!$B$11,정리!A21,0)</f>
        <v>0</v>
      </c>
      <c r="F21">
        <f ca="1">OFFSET(raw!$C$10,정리!A21,0)</f>
        <v>0</v>
      </c>
      <c r="G21">
        <f ca="1">OFFSET(raw!$C$11,정리!A21,0)</f>
        <v>0</v>
      </c>
      <c r="H21">
        <f ca="1">OFFSET(raw!$D$10,정리!A21,0)</f>
        <v>0</v>
      </c>
      <c r="I21">
        <f ca="1">OFFSET(raw!$D$11,정리!A21,0)</f>
        <v>0</v>
      </c>
      <c r="J21">
        <f ca="1">OFFSET(raw!$E$10,정리!A21,0)</f>
        <v>0</v>
      </c>
      <c r="K21">
        <f ca="1">OFFSET(raw!$F$10,정리!A21,0)</f>
        <v>0</v>
      </c>
      <c r="L21" s="9" t="str">
        <f t="shared" ca="1" si="1"/>
        <v>0</v>
      </c>
      <c r="M21">
        <f ca="1">OFFSET(raw!$G$10,정리!A21,0)</f>
        <v>0</v>
      </c>
      <c r="N21">
        <f ca="1">OFFSET(raw!$A$11,정리!A21,0)</f>
        <v>0</v>
      </c>
    </row>
    <row r="22" spans="1:14" ht="99.9" customHeight="1" x14ac:dyDescent="0.4">
      <c r="A22">
        <v>41</v>
      </c>
      <c r="B22">
        <f ca="1">OFFSET(raw!$A$10,정리!A22,0)</f>
        <v>0</v>
      </c>
      <c r="C22" t="str">
        <f t="shared" ca="1" si="0"/>
        <v>000000</v>
      </c>
      <c r="D22">
        <f ca="1">OFFSET(raw!$B$10,정리!A22,0)</f>
        <v>0</v>
      </c>
      <c r="E22">
        <f ca="1">OFFSET(raw!$B$11,정리!A22,0)</f>
        <v>0</v>
      </c>
      <c r="F22">
        <f ca="1">OFFSET(raw!$C$10,정리!A22,0)</f>
        <v>0</v>
      </c>
      <c r="G22">
        <f ca="1">OFFSET(raw!$C$11,정리!A22,0)</f>
        <v>0</v>
      </c>
      <c r="H22">
        <f ca="1">OFFSET(raw!$D$10,정리!A22,0)</f>
        <v>0</v>
      </c>
      <c r="I22">
        <f ca="1">OFFSET(raw!$D$11,정리!A22,0)</f>
        <v>0</v>
      </c>
      <c r="J22">
        <f ca="1">OFFSET(raw!$E$10,정리!A22,0)</f>
        <v>0</v>
      </c>
      <c r="K22">
        <f ca="1">OFFSET(raw!$F$10,정리!A22,0)</f>
        <v>0</v>
      </c>
      <c r="L22" s="9" t="str">
        <f t="shared" ca="1" si="1"/>
        <v>0</v>
      </c>
      <c r="M22">
        <f ca="1">OFFSET(raw!$G$10,정리!A22,0)</f>
        <v>0</v>
      </c>
      <c r="N22">
        <f ca="1">OFFSET(raw!$A$11,정리!A22,0)</f>
        <v>0</v>
      </c>
    </row>
    <row r="23" spans="1:14" ht="99.9" customHeight="1" x14ac:dyDescent="0.4">
      <c r="A23">
        <v>43</v>
      </c>
      <c r="B23">
        <f ca="1">OFFSET(raw!$A$10,정리!A23,0)</f>
        <v>0</v>
      </c>
      <c r="C23" t="str">
        <f t="shared" ca="1" si="0"/>
        <v>000000</v>
      </c>
      <c r="D23">
        <f ca="1">OFFSET(raw!$B$10,정리!A23,0)</f>
        <v>0</v>
      </c>
      <c r="E23">
        <f ca="1">OFFSET(raw!$B$11,정리!A23,0)</f>
        <v>0</v>
      </c>
      <c r="F23">
        <f ca="1">OFFSET(raw!$C$10,정리!A23,0)</f>
        <v>0</v>
      </c>
      <c r="G23">
        <f ca="1">OFFSET(raw!$C$11,정리!A23,0)</f>
        <v>0</v>
      </c>
      <c r="H23">
        <f ca="1">OFFSET(raw!$D$10,정리!A23,0)</f>
        <v>0</v>
      </c>
      <c r="I23">
        <f ca="1">OFFSET(raw!$D$11,정리!A23,0)</f>
        <v>0</v>
      </c>
      <c r="J23">
        <f ca="1">OFFSET(raw!$E$10,정리!A23,0)</f>
        <v>0</v>
      </c>
      <c r="K23">
        <f ca="1">OFFSET(raw!$F$10,정리!A23,0)</f>
        <v>0</v>
      </c>
      <c r="L23" s="9" t="str">
        <f t="shared" ca="1" si="1"/>
        <v>0</v>
      </c>
      <c r="M23">
        <f ca="1">OFFSET(raw!$G$10,정리!A23,0)</f>
        <v>0</v>
      </c>
      <c r="N23">
        <f ca="1">OFFSET(raw!$A$11,정리!A23,0)</f>
        <v>0</v>
      </c>
    </row>
    <row r="24" spans="1:14" ht="99.9" customHeight="1" x14ac:dyDescent="0.4">
      <c r="A24">
        <v>45</v>
      </c>
      <c r="B24">
        <f ca="1">OFFSET(raw!$A$10,정리!A24,0)</f>
        <v>0</v>
      </c>
      <c r="C24" t="str">
        <f t="shared" ca="1" si="0"/>
        <v>000000</v>
      </c>
      <c r="D24">
        <f ca="1">OFFSET(raw!$B$10,정리!A24,0)</f>
        <v>0</v>
      </c>
      <c r="E24">
        <f ca="1">OFFSET(raw!$B$11,정리!A24,0)</f>
        <v>0</v>
      </c>
      <c r="F24">
        <f ca="1">OFFSET(raw!$C$10,정리!A24,0)</f>
        <v>0</v>
      </c>
      <c r="G24">
        <f ca="1">OFFSET(raw!$C$11,정리!A24,0)</f>
        <v>0</v>
      </c>
      <c r="H24">
        <f ca="1">OFFSET(raw!$D$10,정리!A24,0)</f>
        <v>0</v>
      </c>
      <c r="I24">
        <f ca="1">OFFSET(raw!$D$11,정리!A24,0)</f>
        <v>0</v>
      </c>
      <c r="J24">
        <f ca="1">OFFSET(raw!$E$10,정리!A24,0)</f>
        <v>0</v>
      </c>
      <c r="K24">
        <f ca="1">OFFSET(raw!$F$10,정리!A24,0)</f>
        <v>0</v>
      </c>
      <c r="L24" s="9" t="str">
        <f t="shared" ca="1" si="1"/>
        <v>0</v>
      </c>
      <c r="M24">
        <f ca="1">OFFSET(raw!$G$10,정리!A24,0)</f>
        <v>0</v>
      </c>
      <c r="N24">
        <f ca="1">OFFSET(raw!$A$11,정리!A24,0)</f>
        <v>0</v>
      </c>
    </row>
    <row r="25" spans="1:14" ht="99.9" customHeight="1" x14ac:dyDescent="0.4">
      <c r="A25">
        <v>47</v>
      </c>
      <c r="B25">
        <f ca="1">OFFSET(raw!$A$10,정리!A25,0)</f>
        <v>0</v>
      </c>
      <c r="C25" t="str">
        <f t="shared" ca="1" si="0"/>
        <v>000000</v>
      </c>
      <c r="D25">
        <f ca="1">OFFSET(raw!$B$10,정리!A25,0)</f>
        <v>0</v>
      </c>
      <c r="E25">
        <f ca="1">OFFSET(raw!$B$11,정리!A25,0)</f>
        <v>0</v>
      </c>
      <c r="F25">
        <f ca="1">OFFSET(raw!$C$10,정리!A25,0)</f>
        <v>0</v>
      </c>
      <c r="G25">
        <f ca="1">OFFSET(raw!$C$11,정리!A25,0)</f>
        <v>0</v>
      </c>
      <c r="H25">
        <f ca="1">OFFSET(raw!$D$10,정리!A25,0)</f>
        <v>0</v>
      </c>
      <c r="I25">
        <f ca="1">OFFSET(raw!$D$11,정리!A25,0)</f>
        <v>0</v>
      </c>
      <c r="J25">
        <f ca="1">OFFSET(raw!$E$10,정리!A25,0)</f>
        <v>0</v>
      </c>
      <c r="K25">
        <f ca="1">OFFSET(raw!$F$10,정리!A25,0)</f>
        <v>0</v>
      </c>
      <c r="L25" s="9" t="str">
        <f t="shared" ca="1" si="1"/>
        <v>0</v>
      </c>
      <c r="M25">
        <f ca="1">OFFSET(raw!$G$10,정리!A25,0)</f>
        <v>0</v>
      </c>
      <c r="N25">
        <f ca="1">OFFSET(raw!$A$11,정리!A25,0)</f>
        <v>0</v>
      </c>
    </row>
    <row r="26" spans="1:14" ht="99.9" customHeight="1" x14ac:dyDescent="0.4">
      <c r="A26">
        <v>49</v>
      </c>
      <c r="B26">
        <f ca="1">OFFSET(raw!$A$10,정리!A26,0)</f>
        <v>0</v>
      </c>
      <c r="C26" t="str">
        <f t="shared" ca="1" si="0"/>
        <v>000000</v>
      </c>
      <c r="D26">
        <f ca="1">OFFSET(raw!$B$10,정리!A26,0)</f>
        <v>0</v>
      </c>
      <c r="E26">
        <f ca="1">OFFSET(raw!$B$11,정리!A26,0)</f>
        <v>0</v>
      </c>
      <c r="F26">
        <f ca="1">OFFSET(raw!$C$10,정리!A26,0)</f>
        <v>0</v>
      </c>
      <c r="G26">
        <f ca="1">OFFSET(raw!$C$11,정리!A26,0)</f>
        <v>0</v>
      </c>
      <c r="H26">
        <f ca="1">OFFSET(raw!$D$10,정리!A26,0)</f>
        <v>0</v>
      </c>
      <c r="I26">
        <f ca="1">OFFSET(raw!$D$11,정리!A26,0)</f>
        <v>0</v>
      </c>
      <c r="J26">
        <f ca="1">OFFSET(raw!$E$10,정리!A26,0)</f>
        <v>0</v>
      </c>
      <c r="K26">
        <f ca="1">OFFSET(raw!$F$10,정리!A26,0)</f>
        <v>0</v>
      </c>
      <c r="L26" s="9" t="str">
        <f t="shared" ca="1" si="1"/>
        <v>0</v>
      </c>
      <c r="M26">
        <f ca="1">OFFSET(raw!$G$10,정리!A26,0)</f>
        <v>0</v>
      </c>
      <c r="N26">
        <f ca="1">OFFSET(raw!$A$11,정리!A26,0)</f>
        <v>0</v>
      </c>
    </row>
    <row r="27" spans="1:14" ht="99.9" customHeight="1" x14ac:dyDescent="0.4">
      <c r="A27">
        <v>51</v>
      </c>
      <c r="B27">
        <f ca="1">OFFSET(raw!$A$10,정리!A27,0)</f>
        <v>0</v>
      </c>
      <c r="C27" t="str">
        <f t="shared" ca="1" si="0"/>
        <v>000000</v>
      </c>
      <c r="D27">
        <f ca="1">OFFSET(raw!$B$10,정리!A27,0)</f>
        <v>0</v>
      </c>
      <c r="E27">
        <f ca="1">OFFSET(raw!$B$11,정리!A27,0)</f>
        <v>0</v>
      </c>
      <c r="F27">
        <f ca="1">OFFSET(raw!$C$10,정리!A27,0)</f>
        <v>0</v>
      </c>
      <c r="G27">
        <f ca="1">OFFSET(raw!$C$11,정리!A27,0)</f>
        <v>0</v>
      </c>
      <c r="H27">
        <f ca="1">OFFSET(raw!$D$10,정리!A27,0)</f>
        <v>0</v>
      </c>
      <c r="I27">
        <f ca="1">OFFSET(raw!$D$11,정리!A27,0)</f>
        <v>0</v>
      </c>
      <c r="J27">
        <f ca="1">OFFSET(raw!$E$10,정리!A27,0)</f>
        <v>0</v>
      </c>
      <c r="K27">
        <f ca="1">OFFSET(raw!$F$10,정리!A27,0)</f>
        <v>0</v>
      </c>
      <c r="L27" s="9" t="str">
        <f t="shared" ca="1" si="1"/>
        <v>0</v>
      </c>
      <c r="M27">
        <f ca="1">OFFSET(raw!$G$10,정리!A27,0)</f>
        <v>0</v>
      </c>
      <c r="N27">
        <f ca="1">OFFSET(raw!$A$11,정리!A27,0)</f>
        <v>0</v>
      </c>
    </row>
    <row r="28" spans="1:14" ht="99.9" customHeight="1" x14ac:dyDescent="0.4">
      <c r="A28">
        <v>53</v>
      </c>
      <c r="B28">
        <f ca="1">OFFSET(raw!$A$10,정리!A28,0)</f>
        <v>0</v>
      </c>
      <c r="C28" t="str">
        <f t="shared" ca="1" si="0"/>
        <v>000000</v>
      </c>
      <c r="D28">
        <f ca="1">OFFSET(raw!$B$10,정리!A28,0)</f>
        <v>0</v>
      </c>
      <c r="E28">
        <f ca="1">OFFSET(raw!$B$11,정리!A28,0)</f>
        <v>0</v>
      </c>
      <c r="F28">
        <f ca="1">OFFSET(raw!$C$10,정리!A28,0)</f>
        <v>0</v>
      </c>
      <c r="G28">
        <f ca="1">OFFSET(raw!$C$11,정리!A28,0)</f>
        <v>0</v>
      </c>
      <c r="H28">
        <f ca="1">OFFSET(raw!$D$10,정리!A28,0)</f>
        <v>0</v>
      </c>
      <c r="I28">
        <f ca="1">OFFSET(raw!$D$11,정리!A28,0)</f>
        <v>0</v>
      </c>
      <c r="J28">
        <f ca="1">OFFSET(raw!$E$10,정리!A28,0)</f>
        <v>0</v>
      </c>
      <c r="K28">
        <f ca="1">OFFSET(raw!$F$10,정리!A28,0)</f>
        <v>0</v>
      </c>
      <c r="L28" s="9" t="str">
        <f t="shared" ca="1" si="1"/>
        <v>0</v>
      </c>
      <c r="M28">
        <f ca="1">OFFSET(raw!$G$10,정리!A28,0)</f>
        <v>0</v>
      </c>
      <c r="N28">
        <f ca="1">OFFSET(raw!$A$11,정리!A28,0)</f>
        <v>0</v>
      </c>
    </row>
    <row r="29" spans="1:14" ht="99.9" customHeight="1" x14ac:dyDescent="0.4">
      <c r="A29">
        <v>55</v>
      </c>
      <c r="B29">
        <f ca="1">OFFSET(raw!$A$10,정리!A29,0)</f>
        <v>0</v>
      </c>
      <c r="C29" t="str">
        <f t="shared" ca="1" si="0"/>
        <v>000000</v>
      </c>
      <c r="D29">
        <f ca="1">OFFSET(raw!$B$10,정리!A29,0)</f>
        <v>0</v>
      </c>
      <c r="E29">
        <f ca="1">OFFSET(raw!$B$11,정리!A29,0)</f>
        <v>0</v>
      </c>
      <c r="F29">
        <f ca="1">OFFSET(raw!$C$10,정리!A29,0)</f>
        <v>0</v>
      </c>
      <c r="G29">
        <f ca="1">OFFSET(raw!$C$11,정리!A29,0)</f>
        <v>0</v>
      </c>
      <c r="H29">
        <f ca="1">OFFSET(raw!$D$10,정리!A29,0)</f>
        <v>0</v>
      </c>
      <c r="I29">
        <f ca="1">OFFSET(raw!$D$11,정리!A29,0)</f>
        <v>0</v>
      </c>
      <c r="J29">
        <f ca="1">OFFSET(raw!$E$10,정리!A29,0)</f>
        <v>0</v>
      </c>
      <c r="K29">
        <f ca="1">OFFSET(raw!$F$10,정리!A29,0)</f>
        <v>0</v>
      </c>
      <c r="L29" s="9" t="str">
        <f t="shared" ca="1" si="1"/>
        <v>0</v>
      </c>
      <c r="M29">
        <f ca="1">OFFSET(raw!$G$10,정리!A29,0)</f>
        <v>0</v>
      </c>
      <c r="N29">
        <f ca="1">OFFSET(raw!$A$11,정리!A29,0)</f>
        <v>0</v>
      </c>
    </row>
    <row r="30" spans="1:14" ht="99.9" customHeight="1" x14ac:dyDescent="0.4">
      <c r="A30">
        <v>57</v>
      </c>
      <c r="B30">
        <f ca="1">OFFSET(raw!$A$10,정리!A30,0)</f>
        <v>0</v>
      </c>
      <c r="C30" t="str">
        <f t="shared" ca="1" si="0"/>
        <v>000000</v>
      </c>
      <c r="D30">
        <f ca="1">OFFSET(raw!$B$10,정리!A30,0)</f>
        <v>0</v>
      </c>
      <c r="E30">
        <f ca="1">OFFSET(raw!$B$11,정리!A30,0)</f>
        <v>0</v>
      </c>
      <c r="F30">
        <f ca="1">OFFSET(raw!$C$10,정리!A30,0)</f>
        <v>0</v>
      </c>
      <c r="G30">
        <f ca="1">OFFSET(raw!$C$11,정리!A30,0)</f>
        <v>0</v>
      </c>
      <c r="H30">
        <f ca="1">OFFSET(raw!$D$10,정리!A30,0)</f>
        <v>0</v>
      </c>
      <c r="I30">
        <f ca="1">OFFSET(raw!$D$11,정리!A30,0)</f>
        <v>0</v>
      </c>
      <c r="J30">
        <f ca="1">OFFSET(raw!$E$10,정리!A30,0)</f>
        <v>0</v>
      </c>
      <c r="K30">
        <f ca="1">OFFSET(raw!$F$10,정리!A30,0)</f>
        <v>0</v>
      </c>
      <c r="L30" s="9" t="str">
        <f t="shared" ca="1" si="1"/>
        <v>0</v>
      </c>
      <c r="M30">
        <f ca="1">OFFSET(raw!$G$10,정리!A30,0)</f>
        <v>0</v>
      </c>
      <c r="N30">
        <f ca="1">OFFSET(raw!$A$11,정리!A30,0)</f>
        <v>0</v>
      </c>
    </row>
    <row r="31" spans="1:14" ht="99.9" customHeight="1" x14ac:dyDescent="0.4">
      <c r="A31">
        <v>59</v>
      </c>
      <c r="B31">
        <f ca="1">OFFSET(raw!$A$10,정리!A31,0)</f>
        <v>0</v>
      </c>
      <c r="C31" t="str">
        <f t="shared" ca="1" si="0"/>
        <v>000000</v>
      </c>
      <c r="D31">
        <f ca="1">OFFSET(raw!$B$10,정리!A31,0)</f>
        <v>0</v>
      </c>
      <c r="E31">
        <f ca="1">OFFSET(raw!$B$11,정리!A31,0)</f>
        <v>0</v>
      </c>
      <c r="F31">
        <f ca="1">OFFSET(raw!$C$10,정리!A31,0)</f>
        <v>0</v>
      </c>
      <c r="G31">
        <f ca="1">OFFSET(raw!$C$11,정리!A31,0)</f>
        <v>0</v>
      </c>
      <c r="H31">
        <f ca="1">OFFSET(raw!$D$10,정리!A31,0)</f>
        <v>0</v>
      </c>
      <c r="I31">
        <f ca="1">OFFSET(raw!$D$11,정리!A31,0)</f>
        <v>0</v>
      </c>
      <c r="J31">
        <f ca="1">OFFSET(raw!$E$10,정리!A31,0)</f>
        <v>0</v>
      </c>
      <c r="K31">
        <f ca="1">OFFSET(raw!$F$10,정리!A31,0)</f>
        <v>0</v>
      </c>
      <c r="L31" s="9" t="str">
        <f t="shared" ca="1" si="1"/>
        <v>0</v>
      </c>
      <c r="M31">
        <f ca="1">OFFSET(raw!$G$10,정리!A31,0)</f>
        <v>0</v>
      </c>
      <c r="N31">
        <f ca="1">OFFSET(raw!$A$11,정리!A31,0)</f>
        <v>0</v>
      </c>
    </row>
    <row r="32" spans="1:14" ht="99.9" customHeight="1" x14ac:dyDescent="0.4">
      <c r="A32">
        <v>61</v>
      </c>
      <c r="B32">
        <f ca="1">OFFSET(raw!$A$10,정리!A32,0)</f>
        <v>0</v>
      </c>
      <c r="C32" t="str">
        <f t="shared" ca="1" si="0"/>
        <v>000000</v>
      </c>
      <c r="D32">
        <f ca="1">OFFSET(raw!$B$10,정리!A32,0)</f>
        <v>0</v>
      </c>
      <c r="E32">
        <f ca="1">OFFSET(raw!$B$11,정리!A32,0)</f>
        <v>0</v>
      </c>
      <c r="F32">
        <f ca="1">OFFSET(raw!$C$10,정리!A32,0)</f>
        <v>0</v>
      </c>
      <c r="G32">
        <f ca="1">OFFSET(raw!$C$11,정리!A32,0)</f>
        <v>0</v>
      </c>
      <c r="H32">
        <f ca="1">OFFSET(raw!$D$10,정리!A32,0)</f>
        <v>0</v>
      </c>
      <c r="I32">
        <f ca="1">OFFSET(raw!$D$11,정리!A32,0)</f>
        <v>0</v>
      </c>
      <c r="J32">
        <f ca="1">OFFSET(raw!$E$10,정리!A32,0)</f>
        <v>0</v>
      </c>
      <c r="K32">
        <f ca="1">OFFSET(raw!$F$10,정리!A32,0)</f>
        <v>0</v>
      </c>
      <c r="L32" s="9" t="str">
        <f t="shared" ca="1" si="1"/>
        <v>0</v>
      </c>
      <c r="M32">
        <f ca="1">OFFSET(raw!$G$10,정리!A32,0)</f>
        <v>0</v>
      </c>
      <c r="N32">
        <f ca="1">OFFSET(raw!$A$11,정리!A32,0)</f>
        <v>0</v>
      </c>
    </row>
    <row r="33" spans="1:14" ht="99.9" customHeight="1" x14ac:dyDescent="0.4">
      <c r="A33">
        <v>63</v>
      </c>
      <c r="B33">
        <f ca="1">OFFSET(raw!$A$10,정리!A33,0)</f>
        <v>0</v>
      </c>
      <c r="C33" t="str">
        <f t="shared" ca="1" si="0"/>
        <v>000000</v>
      </c>
      <c r="D33">
        <f ca="1">OFFSET(raw!$B$10,정리!A33,0)</f>
        <v>0</v>
      </c>
      <c r="E33">
        <f ca="1">OFFSET(raw!$B$11,정리!A33,0)</f>
        <v>0</v>
      </c>
      <c r="F33">
        <f ca="1">OFFSET(raw!$C$10,정리!A33,0)</f>
        <v>0</v>
      </c>
      <c r="G33">
        <f ca="1">OFFSET(raw!$C$11,정리!A33,0)</f>
        <v>0</v>
      </c>
      <c r="H33">
        <f ca="1">OFFSET(raw!$D$10,정리!A33,0)</f>
        <v>0</v>
      </c>
      <c r="I33">
        <f ca="1">OFFSET(raw!$D$11,정리!A33,0)</f>
        <v>0</v>
      </c>
      <c r="J33">
        <f ca="1">OFFSET(raw!$E$10,정리!A33,0)</f>
        <v>0</v>
      </c>
      <c r="K33">
        <f ca="1">OFFSET(raw!$F$10,정리!A33,0)</f>
        <v>0</v>
      </c>
      <c r="L33" s="9" t="str">
        <f t="shared" ca="1" si="1"/>
        <v>0</v>
      </c>
      <c r="M33">
        <f ca="1">OFFSET(raw!$G$10,정리!A33,0)</f>
        <v>0</v>
      </c>
      <c r="N33">
        <f ca="1">OFFSET(raw!$A$11,정리!A33,0)</f>
        <v>0</v>
      </c>
    </row>
    <row r="34" spans="1:14" ht="99.9" customHeight="1" x14ac:dyDescent="0.4">
      <c r="A34">
        <v>65</v>
      </c>
      <c r="B34">
        <f ca="1">OFFSET(raw!$A$10,정리!A34,0)</f>
        <v>0</v>
      </c>
      <c r="C34" t="str">
        <f t="shared" ref="C34:C65" ca="1" si="2">SUBSTITUTE(TEXT(N34,"000000"),"-","A")</f>
        <v>000000</v>
      </c>
      <c r="D34">
        <f ca="1">OFFSET(raw!$B$10,정리!A34,0)</f>
        <v>0</v>
      </c>
      <c r="E34">
        <f ca="1">OFFSET(raw!$B$11,정리!A34,0)</f>
        <v>0</v>
      </c>
      <c r="F34">
        <f ca="1">OFFSET(raw!$C$10,정리!A34,0)</f>
        <v>0</v>
      </c>
      <c r="G34">
        <f ca="1">OFFSET(raw!$C$11,정리!A34,0)</f>
        <v>0</v>
      </c>
      <c r="H34">
        <f ca="1">OFFSET(raw!$D$10,정리!A34,0)</f>
        <v>0</v>
      </c>
      <c r="I34">
        <f ca="1">OFFSET(raw!$D$11,정리!A34,0)</f>
        <v>0</v>
      </c>
      <c r="J34">
        <f ca="1">OFFSET(raw!$E$10,정리!A34,0)</f>
        <v>0</v>
      </c>
      <c r="K34">
        <f ca="1">OFFSET(raw!$F$10,정리!A34,0)</f>
        <v>0</v>
      </c>
      <c r="L34" s="9" t="str">
        <f t="shared" ref="L34:L65" ca="1" si="3">SUBSTITUTE(M34, " ▶ ", CHAR(10) &amp; "▶ ")</f>
        <v>0</v>
      </c>
      <c r="M34">
        <f ca="1">OFFSET(raw!$G$10,정리!A34,0)</f>
        <v>0</v>
      </c>
      <c r="N34">
        <f ca="1">OFFSET(raw!$A$11,정리!A34,0)</f>
        <v>0</v>
      </c>
    </row>
    <row r="35" spans="1:14" ht="99.9" customHeight="1" x14ac:dyDescent="0.4">
      <c r="A35">
        <v>67</v>
      </c>
      <c r="B35">
        <f ca="1">OFFSET(raw!$A$10,정리!A35,0)</f>
        <v>0</v>
      </c>
      <c r="C35" t="str">
        <f t="shared" ca="1" si="2"/>
        <v>000000</v>
      </c>
      <c r="D35">
        <f ca="1">OFFSET(raw!$B$10,정리!A35,0)</f>
        <v>0</v>
      </c>
      <c r="E35">
        <f ca="1">OFFSET(raw!$B$11,정리!A35,0)</f>
        <v>0</v>
      </c>
      <c r="F35">
        <f ca="1">OFFSET(raw!$C$10,정리!A35,0)</f>
        <v>0</v>
      </c>
      <c r="G35">
        <f ca="1">OFFSET(raw!$C$11,정리!A35,0)</f>
        <v>0</v>
      </c>
      <c r="H35">
        <f ca="1">OFFSET(raw!$D$10,정리!A35,0)</f>
        <v>0</v>
      </c>
      <c r="I35">
        <f ca="1">OFFSET(raw!$D$11,정리!A35,0)</f>
        <v>0</v>
      </c>
      <c r="J35">
        <f ca="1">OFFSET(raw!$E$10,정리!A35,0)</f>
        <v>0</v>
      </c>
      <c r="K35">
        <f ca="1">OFFSET(raw!$F$10,정리!A35,0)</f>
        <v>0</v>
      </c>
      <c r="L35" s="9" t="str">
        <f t="shared" ca="1" si="3"/>
        <v>0</v>
      </c>
      <c r="M35">
        <f ca="1">OFFSET(raw!$G$10,정리!A35,0)</f>
        <v>0</v>
      </c>
      <c r="N35">
        <f ca="1">OFFSET(raw!$A$11,정리!A35,0)</f>
        <v>0</v>
      </c>
    </row>
    <row r="36" spans="1:14" ht="99.9" customHeight="1" x14ac:dyDescent="0.4">
      <c r="A36">
        <v>69</v>
      </c>
      <c r="B36">
        <f ca="1">OFFSET(raw!$A$10,정리!A36,0)</f>
        <v>0</v>
      </c>
      <c r="C36" t="str">
        <f t="shared" ca="1" si="2"/>
        <v>000000</v>
      </c>
      <c r="D36">
        <f ca="1">OFFSET(raw!$B$10,정리!A36,0)</f>
        <v>0</v>
      </c>
      <c r="E36">
        <f ca="1">OFFSET(raw!$B$11,정리!A36,0)</f>
        <v>0</v>
      </c>
      <c r="F36">
        <f ca="1">OFFSET(raw!$C$10,정리!A36,0)</f>
        <v>0</v>
      </c>
      <c r="G36">
        <f ca="1">OFFSET(raw!$C$11,정리!A36,0)</f>
        <v>0</v>
      </c>
      <c r="H36">
        <f ca="1">OFFSET(raw!$D$10,정리!A36,0)</f>
        <v>0</v>
      </c>
      <c r="I36">
        <f ca="1">OFFSET(raw!$D$11,정리!A36,0)</f>
        <v>0</v>
      </c>
      <c r="J36">
        <f ca="1">OFFSET(raw!$E$10,정리!A36,0)</f>
        <v>0</v>
      </c>
      <c r="K36">
        <f ca="1">OFFSET(raw!$F$10,정리!A36,0)</f>
        <v>0</v>
      </c>
      <c r="L36" s="9" t="str">
        <f t="shared" ca="1" si="3"/>
        <v>0</v>
      </c>
      <c r="M36">
        <f ca="1">OFFSET(raw!$G$10,정리!A36,0)</f>
        <v>0</v>
      </c>
      <c r="N36">
        <f ca="1">OFFSET(raw!$A$11,정리!A36,0)</f>
        <v>0</v>
      </c>
    </row>
    <row r="37" spans="1:14" ht="99.9" customHeight="1" x14ac:dyDescent="0.4">
      <c r="A37">
        <v>71</v>
      </c>
      <c r="B37">
        <f ca="1">OFFSET(raw!$A$10,정리!A37,0)</f>
        <v>0</v>
      </c>
      <c r="C37" t="str">
        <f t="shared" ca="1" si="2"/>
        <v>000000</v>
      </c>
      <c r="D37">
        <f ca="1">OFFSET(raw!$B$10,정리!A37,0)</f>
        <v>0</v>
      </c>
      <c r="E37">
        <f ca="1">OFFSET(raw!$B$11,정리!A37,0)</f>
        <v>0</v>
      </c>
      <c r="F37">
        <f ca="1">OFFSET(raw!$C$10,정리!A37,0)</f>
        <v>0</v>
      </c>
      <c r="G37">
        <f ca="1">OFFSET(raw!$C$11,정리!A37,0)</f>
        <v>0</v>
      </c>
      <c r="H37">
        <f ca="1">OFFSET(raw!$D$10,정리!A37,0)</f>
        <v>0</v>
      </c>
      <c r="I37">
        <f ca="1">OFFSET(raw!$D$11,정리!A37,0)</f>
        <v>0</v>
      </c>
      <c r="J37">
        <f ca="1">OFFSET(raw!$E$10,정리!A37,0)</f>
        <v>0</v>
      </c>
      <c r="K37">
        <f ca="1">OFFSET(raw!$F$10,정리!A37,0)</f>
        <v>0</v>
      </c>
      <c r="L37" s="9" t="str">
        <f t="shared" ca="1" si="3"/>
        <v>0</v>
      </c>
      <c r="M37">
        <f ca="1">OFFSET(raw!$G$10,정리!A37,0)</f>
        <v>0</v>
      </c>
      <c r="N37">
        <f ca="1">OFFSET(raw!$A$11,정리!A37,0)</f>
        <v>0</v>
      </c>
    </row>
    <row r="38" spans="1:14" ht="99.9" customHeight="1" x14ac:dyDescent="0.4">
      <c r="A38">
        <v>73</v>
      </c>
      <c r="B38">
        <f ca="1">OFFSET(raw!$A$10,정리!A38,0)</f>
        <v>0</v>
      </c>
      <c r="C38" t="str">
        <f t="shared" ca="1" si="2"/>
        <v>000000</v>
      </c>
      <c r="D38">
        <f ca="1">OFFSET(raw!$B$10,정리!A38,0)</f>
        <v>0</v>
      </c>
      <c r="E38">
        <f ca="1">OFFSET(raw!$B$11,정리!A38,0)</f>
        <v>0</v>
      </c>
      <c r="F38">
        <f ca="1">OFFSET(raw!$C$10,정리!A38,0)</f>
        <v>0</v>
      </c>
      <c r="G38">
        <f ca="1">OFFSET(raw!$C$11,정리!A38,0)</f>
        <v>0</v>
      </c>
      <c r="H38">
        <f ca="1">OFFSET(raw!$D$10,정리!A38,0)</f>
        <v>0</v>
      </c>
      <c r="I38">
        <f ca="1">OFFSET(raw!$D$11,정리!A38,0)</f>
        <v>0</v>
      </c>
      <c r="J38">
        <f ca="1">OFFSET(raw!$E$10,정리!A38,0)</f>
        <v>0</v>
      </c>
      <c r="K38">
        <f ca="1">OFFSET(raw!$F$10,정리!A38,0)</f>
        <v>0</v>
      </c>
      <c r="L38" s="9" t="str">
        <f t="shared" ca="1" si="3"/>
        <v>0</v>
      </c>
      <c r="M38">
        <f ca="1">OFFSET(raw!$G$10,정리!A38,0)</f>
        <v>0</v>
      </c>
      <c r="N38">
        <f ca="1">OFFSET(raw!$A$11,정리!A38,0)</f>
        <v>0</v>
      </c>
    </row>
    <row r="39" spans="1:14" ht="99.9" customHeight="1" x14ac:dyDescent="0.4">
      <c r="A39">
        <v>75</v>
      </c>
      <c r="B39">
        <f ca="1">OFFSET(raw!$A$10,정리!A39,0)</f>
        <v>0</v>
      </c>
      <c r="C39" t="str">
        <f t="shared" ca="1" si="2"/>
        <v>000000</v>
      </c>
      <c r="D39">
        <f ca="1">OFFSET(raw!$B$10,정리!A39,0)</f>
        <v>0</v>
      </c>
      <c r="E39">
        <f ca="1">OFFSET(raw!$B$11,정리!A39,0)</f>
        <v>0</v>
      </c>
      <c r="F39">
        <f ca="1">OFFSET(raw!$C$10,정리!A39,0)</f>
        <v>0</v>
      </c>
      <c r="G39">
        <f ca="1">OFFSET(raw!$C$11,정리!A39,0)</f>
        <v>0</v>
      </c>
      <c r="H39">
        <f ca="1">OFFSET(raw!$D$10,정리!A39,0)</f>
        <v>0</v>
      </c>
      <c r="I39">
        <f ca="1">OFFSET(raw!$D$11,정리!A39,0)</f>
        <v>0</v>
      </c>
      <c r="J39">
        <f ca="1">OFFSET(raw!$E$10,정리!A39,0)</f>
        <v>0</v>
      </c>
      <c r="K39">
        <f ca="1">OFFSET(raw!$F$10,정리!A39,0)</f>
        <v>0</v>
      </c>
      <c r="L39" s="9" t="str">
        <f t="shared" ca="1" si="3"/>
        <v>0</v>
      </c>
      <c r="M39">
        <f ca="1">OFFSET(raw!$G$10,정리!A39,0)</f>
        <v>0</v>
      </c>
      <c r="N39">
        <f ca="1">OFFSET(raw!$A$11,정리!A39,0)</f>
        <v>0</v>
      </c>
    </row>
    <row r="40" spans="1:14" ht="99.9" customHeight="1" x14ac:dyDescent="0.4">
      <c r="A40">
        <v>77</v>
      </c>
      <c r="B40">
        <f ca="1">OFFSET(raw!$A$10,정리!A40,0)</f>
        <v>0</v>
      </c>
      <c r="C40" t="str">
        <f t="shared" ca="1" si="2"/>
        <v>000000</v>
      </c>
      <c r="D40">
        <f ca="1">OFFSET(raw!$B$10,정리!A40,0)</f>
        <v>0</v>
      </c>
      <c r="E40">
        <f ca="1">OFFSET(raw!$B$11,정리!A40,0)</f>
        <v>0</v>
      </c>
      <c r="F40">
        <f ca="1">OFFSET(raw!$C$10,정리!A40,0)</f>
        <v>0</v>
      </c>
      <c r="G40">
        <f ca="1">OFFSET(raw!$C$11,정리!A40,0)</f>
        <v>0</v>
      </c>
      <c r="H40">
        <f ca="1">OFFSET(raw!$D$10,정리!A40,0)</f>
        <v>0</v>
      </c>
      <c r="I40">
        <f ca="1">OFFSET(raw!$D$11,정리!A40,0)</f>
        <v>0</v>
      </c>
      <c r="J40">
        <f ca="1">OFFSET(raw!$E$10,정리!A40,0)</f>
        <v>0</v>
      </c>
      <c r="K40">
        <f ca="1">OFFSET(raw!$F$10,정리!A40,0)</f>
        <v>0</v>
      </c>
      <c r="L40" s="9" t="str">
        <f t="shared" ca="1" si="3"/>
        <v>0</v>
      </c>
      <c r="M40">
        <f ca="1">OFFSET(raw!$G$10,정리!A40,0)</f>
        <v>0</v>
      </c>
      <c r="N40">
        <f ca="1">OFFSET(raw!$A$11,정리!A40,0)</f>
        <v>0</v>
      </c>
    </row>
    <row r="41" spans="1:14" ht="99.9" customHeight="1" x14ac:dyDescent="0.4">
      <c r="A41">
        <v>79</v>
      </c>
      <c r="B41">
        <f ca="1">OFFSET(raw!$A$10,정리!A41,0)</f>
        <v>0</v>
      </c>
      <c r="C41" t="str">
        <f t="shared" ca="1" si="2"/>
        <v>000000</v>
      </c>
      <c r="D41">
        <f ca="1">OFFSET(raw!$B$10,정리!A41,0)</f>
        <v>0</v>
      </c>
      <c r="E41">
        <f ca="1">OFFSET(raw!$B$11,정리!A41,0)</f>
        <v>0</v>
      </c>
      <c r="F41">
        <f ca="1">OFFSET(raw!$C$10,정리!A41,0)</f>
        <v>0</v>
      </c>
      <c r="G41">
        <f ca="1">OFFSET(raw!$C$11,정리!A41,0)</f>
        <v>0</v>
      </c>
      <c r="H41">
        <f ca="1">OFFSET(raw!$D$10,정리!A41,0)</f>
        <v>0</v>
      </c>
      <c r="I41">
        <f ca="1">OFFSET(raw!$D$11,정리!A41,0)</f>
        <v>0</v>
      </c>
      <c r="J41">
        <f ca="1">OFFSET(raw!$E$10,정리!A41,0)</f>
        <v>0</v>
      </c>
      <c r="K41">
        <f ca="1">OFFSET(raw!$F$10,정리!A41,0)</f>
        <v>0</v>
      </c>
      <c r="L41" s="9" t="str">
        <f t="shared" ca="1" si="3"/>
        <v>0</v>
      </c>
      <c r="M41">
        <f ca="1">OFFSET(raw!$G$10,정리!A41,0)</f>
        <v>0</v>
      </c>
      <c r="N41">
        <f ca="1">OFFSET(raw!$A$11,정리!A41,0)</f>
        <v>0</v>
      </c>
    </row>
    <row r="42" spans="1:14" ht="99.9" customHeight="1" x14ac:dyDescent="0.4">
      <c r="A42">
        <v>81</v>
      </c>
      <c r="B42">
        <f ca="1">OFFSET(raw!$A$10,정리!A42,0)</f>
        <v>0</v>
      </c>
      <c r="C42" t="str">
        <f t="shared" ca="1" si="2"/>
        <v>000000</v>
      </c>
      <c r="D42">
        <f ca="1">OFFSET(raw!$B$10,정리!A42,0)</f>
        <v>0</v>
      </c>
      <c r="E42">
        <f ca="1">OFFSET(raw!$B$11,정리!A42,0)</f>
        <v>0</v>
      </c>
      <c r="F42">
        <f ca="1">OFFSET(raw!$C$10,정리!A42,0)</f>
        <v>0</v>
      </c>
      <c r="G42">
        <f ca="1">OFFSET(raw!$C$11,정리!A42,0)</f>
        <v>0</v>
      </c>
      <c r="H42">
        <f ca="1">OFFSET(raw!$D$10,정리!A42,0)</f>
        <v>0</v>
      </c>
      <c r="I42">
        <f ca="1">OFFSET(raw!$D$11,정리!A42,0)</f>
        <v>0</v>
      </c>
      <c r="J42">
        <f ca="1">OFFSET(raw!$E$10,정리!A42,0)</f>
        <v>0</v>
      </c>
      <c r="K42">
        <f ca="1">OFFSET(raw!$F$10,정리!A42,0)</f>
        <v>0</v>
      </c>
      <c r="L42" s="9" t="str">
        <f t="shared" ca="1" si="3"/>
        <v>0</v>
      </c>
      <c r="M42">
        <f ca="1">OFFSET(raw!$G$10,정리!A42,0)</f>
        <v>0</v>
      </c>
      <c r="N42">
        <f ca="1">OFFSET(raw!$A$11,정리!A42,0)</f>
        <v>0</v>
      </c>
    </row>
    <row r="43" spans="1:14" ht="99.9" customHeight="1" x14ac:dyDescent="0.4">
      <c r="A43">
        <v>83</v>
      </c>
      <c r="B43">
        <f ca="1">OFFSET(raw!$A$10,정리!A43,0)</f>
        <v>0</v>
      </c>
      <c r="C43" t="str">
        <f t="shared" ca="1" si="2"/>
        <v>000000</v>
      </c>
      <c r="D43">
        <f ca="1">OFFSET(raw!$B$10,정리!A43,0)</f>
        <v>0</v>
      </c>
      <c r="E43">
        <f ca="1">OFFSET(raw!$B$11,정리!A43,0)</f>
        <v>0</v>
      </c>
      <c r="F43">
        <f ca="1">OFFSET(raw!$C$10,정리!A43,0)</f>
        <v>0</v>
      </c>
      <c r="G43">
        <f ca="1">OFFSET(raw!$C$11,정리!A43,0)</f>
        <v>0</v>
      </c>
      <c r="H43">
        <f ca="1">OFFSET(raw!$D$10,정리!A43,0)</f>
        <v>0</v>
      </c>
      <c r="I43">
        <f ca="1">OFFSET(raw!$D$11,정리!A43,0)</f>
        <v>0</v>
      </c>
      <c r="J43">
        <f ca="1">OFFSET(raw!$E$10,정리!A43,0)</f>
        <v>0</v>
      </c>
      <c r="K43">
        <f ca="1">OFFSET(raw!$F$10,정리!A43,0)</f>
        <v>0</v>
      </c>
      <c r="L43" s="9" t="str">
        <f t="shared" ca="1" si="3"/>
        <v>0</v>
      </c>
      <c r="M43">
        <f ca="1">OFFSET(raw!$G$10,정리!A43,0)</f>
        <v>0</v>
      </c>
      <c r="N43">
        <f ca="1">OFFSET(raw!$A$11,정리!A43,0)</f>
        <v>0</v>
      </c>
    </row>
    <row r="44" spans="1:14" ht="99.9" customHeight="1" x14ac:dyDescent="0.4">
      <c r="A44">
        <v>85</v>
      </c>
      <c r="B44">
        <f ca="1">OFFSET(raw!$A$10,정리!A44,0)</f>
        <v>0</v>
      </c>
      <c r="C44" t="str">
        <f t="shared" ca="1" si="2"/>
        <v>000000</v>
      </c>
      <c r="D44">
        <f ca="1">OFFSET(raw!$B$10,정리!A44,0)</f>
        <v>0</v>
      </c>
      <c r="E44">
        <f ca="1">OFFSET(raw!$B$11,정리!A44,0)</f>
        <v>0</v>
      </c>
      <c r="F44">
        <f ca="1">OFFSET(raw!$C$10,정리!A44,0)</f>
        <v>0</v>
      </c>
      <c r="G44">
        <f ca="1">OFFSET(raw!$C$11,정리!A44,0)</f>
        <v>0</v>
      </c>
      <c r="H44">
        <f ca="1">OFFSET(raw!$D$10,정리!A44,0)</f>
        <v>0</v>
      </c>
      <c r="I44">
        <f ca="1">OFFSET(raw!$D$11,정리!A44,0)</f>
        <v>0</v>
      </c>
      <c r="J44">
        <f ca="1">OFFSET(raw!$E$10,정리!A44,0)</f>
        <v>0</v>
      </c>
      <c r="K44">
        <f ca="1">OFFSET(raw!$F$10,정리!A44,0)</f>
        <v>0</v>
      </c>
      <c r="L44" s="9" t="str">
        <f t="shared" ca="1" si="3"/>
        <v>0</v>
      </c>
      <c r="M44">
        <f ca="1">OFFSET(raw!$G$10,정리!A44,0)</f>
        <v>0</v>
      </c>
      <c r="N44">
        <f ca="1">OFFSET(raw!$A$11,정리!A44,0)</f>
        <v>0</v>
      </c>
    </row>
    <row r="45" spans="1:14" ht="99.9" customHeight="1" x14ac:dyDescent="0.4">
      <c r="A45">
        <v>87</v>
      </c>
      <c r="B45">
        <f ca="1">OFFSET(raw!$A$10,정리!A45,0)</f>
        <v>0</v>
      </c>
      <c r="C45" t="str">
        <f t="shared" ca="1" si="2"/>
        <v>000000</v>
      </c>
      <c r="D45">
        <f ca="1">OFFSET(raw!$B$10,정리!A45,0)</f>
        <v>0</v>
      </c>
      <c r="E45">
        <f ca="1">OFFSET(raw!$B$11,정리!A45,0)</f>
        <v>0</v>
      </c>
      <c r="F45">
        <f ca="1">OFFSET(raw!$C$10,정리!A45,0)</f>
        <v>0</v>
      </c>
      <c r="G45">
        <f ca="1">OFFSET(raw!$C$11,정리!A45,0)</f>
        <v>0</v>
      </c>
      <c r="H45">
        <f ca="1">OFFSET(raw!$D$10,정리!A45,0)</f>
        <v>0</v>
      </c>
      <c r="I45">
        <f ca="1">OFFSET(raw!$D$11,정리!A45,0)</f>
        <v>0</v>
      </c>
      <c r="J45">
        <f ca="1">OFFSET(raw!$E$10,정리!A45,0)</f>
        <v>0</v>
      </c>
      <c r="K45">
        <f ca="1">OFFSET(raw!$F$10,정리!A45,0)</f>
        <v>0</v>
      </c>
      <c r="L45" s="9" t="str">
        <f t="shared" ca="1" si="3"/>
        <v>0</v>
      </c>
      <c r="M45">
        <f ca="1">OFFSET(raw!$G$10,정리!A45,0)</f>
        <v>0</v>
      </c>
      <c r="N45">
        <f ca="1">OFFSET(raw!$A$11,정리!A45,0)</f>
        <v>0</v>
      </c>
    </row>
    <row r="46" spans="1:14" ht="99.9" customHeight="1" x14ac:dyDescent="0.4">
      <c r="A46">
        <v>89</v>
      </c>
      <c r="B46">
        <f ca="1">OFFSET(raw!$A$10,정리!A46,0)</f>
        <v>0</v>
      </c>
      <c r="C46" t="str">
        <f t="shared" ca="1" si="2"/>
        <v>000000</v>
      </c>
      <c r="D46">
        <f ca="1">OFFSET(raw!$B$10,정리!A46,0)</f>
        <v>0</v>
      </c>
      <c r="E46">
        <f ca="1">OFFSET(raw!$B$11,정리!A46,0)</f>
        <v>0</v>
      </c>
      <c r="F46">
        <f ca="1">OFFSET(raw!$C$10,정리!A46,0)</f>
        <v>0</v>
      </c>
      <c r="G46">
        <f ca="1">OFFSET(raw!$C$11,정리!A46,0)</f>
        <v>0</v>
      </c>
      <c r="H46">
        <f ca="1">OFFSET(raw!$D$10,정리!A46,0)</f>
        <v>0</v>
      </c>
      <c r="I46">
        <f ca="1">OFFSET(raw!$D$11,정리!A46,0)</f>
        <v>0</v>
      </c>
      <c r="J46">
        <f ca="1">OFFSET(raw!$E$10,정리!A46,0)</f>
        <v>0</v>
      </c>
      <c r="K46">
        <f ca="1">OFFSET(raw!$F$10,정리!A46,0)</f>
        <v>0</v>
      </c>
      <c r="L46" s="9" t="str">
        <f t="shared" ca="1" si="3"/>
        <v>0</v>
      </c>
      <c r="M46">
        <f ca="1">OFFSET(raw!$G$10,정리!A46,0)</f>
        <v>0</v>
      </c>
      <c r="N46">
        <f ca="1">OFFSET(raw!$A$11,정리!A46,0)</f>
        <v>0</v>
      </c>
    </row>
    <row r="47" spans="1:14" ht="99.9" customHeight="1" x14ac:dyDescent="0.4">
      <c r="A47">
        <v>91</v>
      </c>
      <c r="B47">
        <f ca="1">OFFSET(raw!$A$10,정리!A47,0)</f>
        <v>0</v>
      </c>
      <c r="C47" t="str">
        <f t="shared" ca="1" si="2"/>
        <v>000000</v>
      </c>
      <c r="D47">
        <f ca="1">OFFSET(raw!$B$10,정리!A47,0)</f>
        <v>0</v>
      </c>
      <c r="E47">
        <f ca="1">OFFSET(raw!$B$11,정리!A47,0)</f>
        <v>0</v>
      </c>
      <c r="F47">
        <f ca="1">OFFSET(raw!$C$10,정리!A47,0)</f>
        <v>0</v>
      </c>
      <c r="G47">
        <f ca="1">OFFSET(raw!$C$11,정리!A47,0)</f>
        <v>0</v>
      </c>
      <c r="H47">
        <f ca="1">OFFSET(raw!$D$10,정리!A47,0)</f>
        <v>0</v>
      </c>
      <c r="I47">
        <f ca="1">OFFSET(raw!$D$11,정리!A47,0)</f>
        <v>0</v>
      </c>
      <c r="J47">
        <f ca="1">OFFSET(raw!$E$10,정리!A47,0)</f>
        <v>0</v>
      </c>
      <c r="K47">
        <f ca="1">OFFSET(raw!$F$10,정리!A47,0)</f>
        <v>0</v>
      </c>
      <c r="L47" s="9" t="str">
        <f t="shared" ca="1" si="3"/>
        <v>0</v>
      </c>
      <c r="M47">
        <f ca="1">OFFSET(raw!$G$10,정리!A47,0)</f>
        <v>0</v>
      </c>
      <c r="N47">
        <f ca="1">OFFSET(raw!$A$11,정리!A47,0)</f>
        <v>0</v>
      </c>
    </row>
    <row r="48" spans="1:14" ht="99.9" customHeight="1" x14ac:dyDescent="0.4">
      <c r="A48">
        <v>93</v>
      </c>
      <c r="B48">
        <f ca="1">OFFSET(raw!$A$10,정리!A48,0)</f>
        <v>0</v>
      </c>
      <c r="C48" t="str">
        <f t="shared" ca="1" si="2"/>
        <v>000000</v>
      </c>
      <c r="D48">
        <f ca="1">OFFSET(raw!$B$10,정리!A48,0)</f>
        <v>0</v>
      </c>
      <c r="E48">
        <f ca="1">OFFSET(raw!$B$11,정리!A48,0)</f>
        <v>0</v>
      </c>
      <c r="F48">
        <f ca="1">OFFSET(raw!$C$10,정리!A48,0)</f>
        <v>0</v>
      </c>
      <c r="G48">
        <f ca="1">OFFSET(raw!$C$11,정리!A48,0)</f>
        <v>0</v>
      </c>
      <c r="H48">
        <f ca="1">OFFSET(raw!$D$10,정리!A48,0)</f>
        <v>0</v>
      </c>
      <c r="I48">
        <f ca="1">OFFSET(raw!$D$11,정리!A48,0)</f>
        <v>0</v>
      </c>
      <c r="J48">
        <f ca="1">OFFSET(raw!$E$10,정리!A48,0)</f>
        <v>0</v>
      </c>
      <c r="K48">
        <f ca="1">OFFSET(raw!$F$10,정리!A48,0)</f>
        <v>0</v>
      </c>
      <c r="L48" s="9" t="str">
        <f t="shared" ca="1" si="3"/>
        <v>0</v>
      </c>
      <c r="M48">
        <f ca="1">OFFSET(raw!$G$10,정리!A48,0)</f>
        <v>0</v>
      </c>
      <c r="N48">
        <f ca="1">OFFSET(raw!$A$11,정리!A48,0)</f>
        <v>0</v>
      </c>
    </row>
    <row r="49" spans="1:14" ht="99.9" customHeight="1" x14ac:dyDescent="0.4">
      <c r="A49">
        <v>95</v>
      </c>
      <c r="B49">
        <f ca="1">OFFSET(raw!$A$10,정리!A49,0)</f>
        <v>0</v>
      </c>
      <c r="C49" t="str">
        <f t="shared" ca="1" si="2"/>
        <v>000000</v>
      </c>
      <c r="D49">
        <f ca="1">OFFSET(raw!$B$10,정리!A49,0)</f>
        <v>0</v>
      </c>
      <c r="E49">
        <f ca="1">OFFSET(raw!$B$11,정리!A49,0)</f>
        <v>0</v>
      </c>
      <c r="F49">
        <f ca="1">OFFSET(raw!$C$10,정리!A49,0)</f>
        <v>0</v>
      </c>
      <c r="G49">
        <f ca="1">OFFSET(raw!$C$11,정리!A49,0)</f>
        <v>0</v>
      </c>
      <c r="H49">
        <f ca="1">OFFSET(raw!$D$10,정리!A49,0)</f>
        <v>0</v>
      </c>
      <c r="I49">
        <f ca="1">OFFSET(raw!$D$11,정리!A49,0)</f>
        <v>0</v>
      </c>
      <c r="J49">
        <f ca="1">OFFSET(raw!$E$10,정리!A49,0)</f>
        <v>0</v>
      </c>
      <c r="K49">
        <f ca="1">OFFSET(raw!$F$10,정리!A49,0)</f>
        <v>0</v>
      </c>
      <c r="L49" s="9" t="str">
        <f t="shared" ca="1" si="3"/>
        <v>0</v>
      </c>
      <c r="M49">
        <f ca="1">OFFSET(raw!$G$10,정리!A49,0)</f>
        <v>0</v>
      </c>
      <c r="N49">
        <f ca="1">OFFSET(raw!$A$11,정리!A49,0)</f>
        <v>0</v>
      </c>
    </row>
    <row r="50" spans="1:14" ht="99.9" customHeight="1" x14ac:dyDescent="0.4">
      <c r="A50">
        <v>97</v>
      </c>
      <c r="B50">
        <f ca="1">OFFSET(raw!$A$10,정리!A50,0)</f>
        <v>0</v>
      </c>
      <c r="C50" t="str">
        <f t="shared" ca="1" si="2"/>
        <v>000000</v>
      </c>
      <c r="D50">
        <f ca="1">OFFSET(raw!$B$10,정리!A50,0)</f>
        <v>0</v>
      </c>
      <c r="E50">
        <f ca="1">OFFSET(raw!$B$11,정리!A50,0)</f>
        <v>0</v>
      </c>
      <c r="F50">
        <f ca="1">OFFSET(raw!$C$10,정리!A50,0)</f>
        <v>0</v>
      </c>
      <c r="G50">
        <f ca="1">OFFSET(raw!$C$11,정리!A50,0)</f>
        <v>0</v>
      </c>
      <c r="H50">
        <f ca="1">OFFSET(raw!$D$10,정리!A50,0)</f>
        <v>0</v>
      </c>
      <c r="I50">
        <f ca="1">OFFSET(raw!$D$11,정리!A50,0)</f>
        <v>0</v>
      </c>
      <c r="J50">
        <f ca="1">OFFSET(raw!$E$10,정리!A50,0)</f>
        <v>0</v>
      </c>
      <c r="K50">
        <f ca="1">OFFSET(raw!$F$10,정리!A50,0)</f>
        <v>0</v>
      </c>
      <c r="L50" s="9" t="str">
        <f t="shared" ca="1" si="3"/>
        <v>0</v>
      </c>
      <c r="M50">
        <f ca="1">OFFSET(raw!$G$10,정리!A50,0)</f>
        <v>0</v>
      </c>
      <c r="N50">
        <f ca="1">OFFSET(raw!$A$11,정리!A50,0)</f>
        <v>0</v>
      </c>
    </row>
    <row r="51" spans="1:14" ht="99.9" customHeight="1" x14ac:dyDescent="0.4">
      <c r="A51">
        <v>99</v>
      </c>
      <c r="B51">
        <f ca="1">OFFSET(raw!$A$10,정리!A51,0)</f>
        <v>0</v>
      </c>
      <c r="C51" t="str">
        <f t="shared" ca="1" si="2"/>
        <v>000000</v>
      </c>
      <c r="D51">
        <f ca="1">OFFSET(raw!$B$10,정리!A51,0)</f>
        <v>0</v>
      </c>
      <c r="E51">
        <f ca="1">OFFSET(raw!$B$11,정리!A51,0)</f>
        <v>0</v>
      </c>
      <c r="F51">
        <f ca="1">OFFSET(raw!$C$10,정리!A51,0)</f>
        <v>0</v>
      </c>
      <c r="G51">
        <f ca="1">OFFSET(raw!$C$11,정리!A51,0)</f>
        <v>0</v>
      </c>
      <c r="H51">
        <f ca="1">OFFSET(raw!$D$10,정리!A51,0)</f>
        <v>0</v>
      </c>
      <c r="I51">
        <f ca="1">OFFSET(raw!$D$11,정리!A51,0)</f>
        <v>0</v>
      </c>
      <c r="J51">
        <f ca="1">OFFSET(raw!$E$10,정리!A51,0)</f>
        <v>0</v>
      </c>
      <c r="K51">
        <f ca="1">OFFSET(raw!$F$10,정리!A51,0)</f>
        <v>0</v>
      </c>
      <c r="L51" s="9" t="str">
        <f t="shared" ca="1" si="3"/>
        <v>0</v>
      </c>
      <c r="M51">
        <f ca="1">OFFSET(raw!$G$10,정리!A51,0)</f>
        <v>0</v>
      </c>
      <c r="N51">
        <f ca="1">OFFSET(raw!$A$11,정리!A51,0)</f>
        <v>0</v>
      </c>
    </row>
    <row r="52" spans="1:14" ht="99.9" customHeight="1" x14ac:dyDescent="0.4">
      <c r="A52">
        <v>101</v>
      </c>
      <c r="B52">
        <f ca="1">OFFSET(raw!$A$10,정리!A52,0)</f>
        <v>0</v>
      </c>
      <c r="C52" t="str">
        <f t="shared" ca="1" si="2"/>
        <v>000000</v>
      </c>
      <c r="D52">
        <f ca="1">OFFSET(raw!$B$10,정리!A52,0)</f>
        <v>0</v>
      </c>
      <c r="E52">
        <f ca="1">OFFSET(raw!$B$11,정리!A52,0)</f>
        <v>0</v>
      </c>
      <c r="F52">
        <f ca="1">OFFSET(raw!$C$10,정리!A52,0)</f>
        <v>0</v>
      </c>
      <c r="G52">
        <f ca="1">OFFSET(raw!$C$11,정리!A52,0)</f>
        <v>0</v>
      </c>
      <c r="H52">
        <f ca="1">OFFSET(raw!$D$10,정리!A52,0)</f>
        <v>0</v>
      </c>
      <c r="I52">
        <f ca="1">OFFSET(raw!$D$11,정리!A52,0)</f>
        <v>0</v>
      </c>
      <c r="J52">
        <f ca="1">OFFSET(raw!$E$10,정리!A52,0)</f>
        <v>0</v>
      </c>
      <c r="K52">
        <f ca="1">OFFSET(raw!$F$10,정리!A52,0)</f>
        <v>0</v>
      </c>
      <c r="L52" s="9" t="str">
        <f t="shared" ca="1" si="3"/>
        <v>0</v>
      </c>
      <c r="M52">
        <f ca="1">OFFSET(raw!$G$10,정리!A52,0)</f>
        <v>0</v>
      </c>
      <c r="N52">
        <f ca="1">OFFSET(raw!$A$11,정리!A52,0)</f>
        <v>0</v>
      </c>
    </row>
    <row r="53" spans="1:14" ht="99.9" customHeight="1" x14ac:dyDescent="0.4">
      <c r="A53">
        <v>103</v>
      </c>
      <c r="B53">
        <f ca="1">OFFSET(raw!$A$10,정리!A53,0)</f>
        <v>0</v>
      </c>
      <c r="C53" t="str">
        <f t="shared" ca="1" si="2"/>
        <v>000000</v>
      </c>
      <c r="D53">
        <f ca="1">OFFSET(raw!$B$10,정리!A53,0)</f>
        <v>0</v>
      </c>
      <c r="E53">
        <f ca="1">OFFSET(raw!$B$11,정리!A53,0)</f>
        <v>0</v>
      </c>
      <c r="F53">
        <f ca="1">OFFSET(raw!$C$10,정리!A53,0)</f>
        <v>0</v>
      </c>
      <c r="G53">
        <f ca="1">OFFSET(raw!$C$11,정리!A53,0)</f>
        <v>0</v>
      </c>
      <c r="H53">
        <f ca="1">OFFSET(raw!$D$10,정리!A53,0)</f>
        <v>0</v>
      </c>
      <c r="I53">
        <f ca="1">OFFSET(raw!$D$11,정리!A53,0)</f>
        <v>0</v>
      </c>
      <c r="J53">
        <f ca="1">OFFSET(raw!$E$10,정리!A53,0)</f>
        <v>0</v>
      </c>
      <c r="K53">
        <f ca="1">OFFSET(raw!$F$10,정리!A53,0)</f>
        <v>0</v>
      </c>
      <c r="L53" s="9" t="str">
        <f t="shared" ca="1" si="3"/>
        <v>0</v>
      </c>
      <c r="M53">
        <f ca="1">OFFSET(raw!$G$10,정리!A53,0)</f>
        <v>0</v>
      </c>
      <c r="N53">
        <f ca="1">OFFSET(raw!$A$11,정리!A53,0)</f>
        <v>0</v>
      </c>
    </row>
    <row r="54" spans="1:14" ht="99.9" customHeight="1" x14ac:dyDescent="0.4">
      <c r="A54">
        <v>105</v>
      </c>
      <c r="B54">
        <f ca="1">OFFSET(raw!$A$10,정리!A54,0)</f>
        <v>0</v>
      </c>
      <c r="C54" t="str">
        <f t="shared" ca="1" si="2"/>
        <v>000000</v>
      </c>
      <c r="D54">
        <f ca="1">OFFSET(raw!$B$10,정리!A54,0)</f>
        <v>0</v>
      </c>
      <c r="E54">
        <f ca="1">OFFSET(raw!$B$11,정리!A54,0)</f>
        <v>0</v>
      </c>
      <c r="F54">
        <f ca="1">OFFSET(raw!$C$10,정리!A54,0)</f>
        <v>0</v>
      </c>
      <c r="G54">
        <f ca="1">OFFSET(raw!$C$11,정리!A54,0)</f>
        <v>0</v>
      </c>
      <c r="H54">
        <f ca="1">OFFSET(raw!$D$10,정리!A54,0)</f>
        <v>0</v>
      </c>
      <c r="I54">
        <f ca="1">OFFSET(raw!$D$11,정리!A54,0)</f>
        <v>0</v>
      </c>
      <c r="J54">
        <f ca="1">OFFSET(raw!$E$10,정리!A54,0)</f>
        <v>0</v>
      </c>
      <c r="K54">
        <f ca="1">OFFSET(raw!$F$10,정리!A54,0)</f>
        <v>0</v>
      </c>
      <c r="L54" s="9" t="str">
        <f t="shared" ca="1" si="3"/>
        <v>0</v>
      </c>
      <c r="M54">
        <f ca="1">OFFSET(raw!$G$10,정리!A54,0)</f>
        <v>0</v>
      </c>
      <c r="N54">
        <f ca="1">OFFSET(raw!$A$11,정리!A54,0)</f>
        <v>0</v>
      </c>
    </row>
    <row r="55" spans="1:14" ht="99.9" customHeight="1" x14ac:dyDescent="0.4">
      <c r="A55">
        <v>107</v>
      </c>
      <c r="B55">
        <f ca="1">OFFSET(raw!$A$10,정리!A55,0)</f>
        <v>0</v>
      </c>
      <c r="C55" t="str">
        <f t="shared" ca="1" si="2"/>
        <v>000000</v>
      </c>
      <c r="D55">
        <f ca="1">OFFSET(raw!$B$10,정리!A55,0)</f>
        <v>0</v>
      </c>
      <c r="E55">
        <f ca="1">OFFSET(raw!$B$11,정리!A55,0)</f>
        <v>0</v>
      </c>
      <c r="F55">
        <f ca="1">OFFSET(raw!$C$10,정리!A55,0)</f>
        <v>0</v>
      </c>
      <c r="G55">
        <f ca="1">OFFSET(raw!$C$11,정리!A55,0)</f>
        <v>0</v>
      </c>
      <c r="H55">
        <f ca="1">OFFSET(raw!$D$10,정리!A55,0)</f>
        <v>0</v>
      </c>
      <c r="I55">
        <f ca="1">OFFSET(raw!$D$11,정리!A55,0)</f>
        <v>0</v>
      </c>
      <c r="J55">
        <f ca="1">OFFSET(raw!$E$10,정리!A55,0)</f>
        <v>0</v>
      </c>
      <c r="K55">
        <f ca="1">OFFSET(raw!$F$10,정리!A55,0)</f>
        <v>0</v>
      </c>
      <c r="L55" s="9" t="str">
        <f t="shared" ca="1" si="3"/>
        <v>0</v>
      </c>
      <c r="M55">
        <f ca="1">OFFSET(raw!$G$10,정리!A55,0)</f>
        <v>0</v>
      </c>
      <c r="N55">
        <f ca="1">OFFSET(raw!$A$11,정리!A55,0)</f>
        <v>0</v>
      </c>
    </row>
    <row r="56" spans="1:14" ht="99.9" customHeight="1" x14ac:dyDescent="0.4">
      <c r="A56">
        <v>109</v>
      </c>
      <c r="B56">
        <f ca="1">OFFSET(raw!$A$10,정리!A56,0)</f>
        <v>0</v>
      </c>
      <c r="C56" t="str">
        <f t="shared" ca="1" si="2"/>
        <v>000000</v>
      </c>
      <c r="D56">
        <f ca="1">OFFSET(raw!$B$10,정리!A56,0)</f>
        <v>0</v>
      </c>
      <c r="E56">
        <f ca="1">OFFSET(raw!$B$11,정리!A56,0)</f>
        <v>0</v>
      </c>
      <c r="F56">
        <f ca="1">OFFSET(raw!$C$10,정리!A56,0)</f>
        <v>0</v>
      </c>
      <c r="G56">
        <f ca="1">OFFSET(raw!$C$11,정리!A56,0)</f>
        <v>0</v>
      </c>
      <c r="H56">
        <f ca="1">OFFSET(raw!$D$10,정리!A56,0)</f>
        <v>0</v>
      </c>
      <c r="I56">
        <f ca="1">OFFSET(raw!$D$11,정리!A56,0)</f>
        <v>0</v>
      </c>
      <c r="J56">
        <f ca="1">OFFSET(raw!$E$10,정리!A56,0)</f>
        <v>0</v>
      </c>
      <c r="K56">
        <f ca="1">OFFSET(raw!$F$10,정리!A56,0)</f>
        <v>0</v>
      </c>
      <c r="L56" s="9" t="str">
        <f t="shared" ca="1" si="3"/>
        <v>0</v>
      </c>
      <c r="M56">
        <f ca="1">OFFSET(raw!$G$10,정리!A56,0)</f>
        <v>0</v>
      </c>
      <c r="N56">
        <f ca="1">OFFSET(raw!$A$11,정리!A56,0)</f>
        <v>0</v>
      </c>
    </row>
    <row r="57" spans="1:14" ht="99.9" customHeight="1" x14ac:dyDescent="0.4">
      <c r="A57">
        <v>111</v>
      </c>
      <c r="B57">
        <f ca="1">OFFSET(raw!$A$10,정리!A57,0)</f>
        <v>0</v>
      </c>
      <c r="C57" t="str">
        <f t="shared" ca="1" si="2"/>
        <v>000000</v>
      </c>
      <c r="D57">
        <f ca="1">OFFSET(raw!$B$10,정리!A57,0)</f>
        <v>0</v>
      </c>
      <c r="E57">
        <f ca="1">OFFSET(raw!$B$11,정리!A57,0)</f>
        <v>0</v>
      </c>
      <c r="F57">
        <f ca="1">OFFSET(raw!$C$10,정리!A57,0)</f>
        <v>0</v>
      </c>
      <c r="G57">
        <f ca="1">OFFSET(raw!$C$11,정리!A57,0)</f>
        <v>0</v>
      </c>
      <c r="H57">
        <f ca="1">OFFSET(raw!$D$10,정리!A57,0)</f>
        <v>0</v>
      </c>
      <c r="I57">
        <f ca="1">OFFSET(raw!$D$11,정리!A57,0)</f>
        <v>0</v>
      </c>
      <c r="J57">
        <f ca="1">OFFSET(raw!$E$10,정리!A57,0)</f>
        <v>0</v>
      </c>
      <c r="K57">
        <f ca="1">OFFSET(raw!$F$10,정리!A57,0)</f>
        <v>0</v>
      </c>
      <c r="L57" s="9" t="str">
        <f t="shared" ca="1" si="3"/>
        <v>0</v>
      </c>
      <c r="M57">
        <f ca="1">OFFSET(raw!$G$10,정리!A57,0)</f>
        <v>0</v>
      </c>
      <c r="N57">
        <f ca="1">OFFSET(raw!$A$11,정리!A57,0)</f>
        <v>0</v>
      </c>
    </row>
    <row r="58" spans="1:14" ht="99.9" customHeight="1" x14ac:dyDescent="0.4">
      <c r="A58">
        <v>113</v>
      </c>
      <c r="B58">
        <f ca="1">OFFSET(raw!$A$10,정리!A58,0)</f>
        <v>0</v>
      </c>
      <c r="C58" t="str">
        <f t="shared" ca="1" si="2"/>
        <v>000000</v>
      </c>
      <c r="D58">
        <f ca="1">OFFSET(raw!$B$10,정리!A58,0)</f>
        <v>0</v>
      </c>
      <c r="E58">
        <f ca="1">OFFSET(raw!$B$11,정리!A58,0)</f>
        <v>0</v>
      </c>
      <c r="F58">
        <f ca="1">OFFSET(raw!$C$10,정리!A58,0)</f>
        <v>0</v>
      </c>
      <c r="G58">
        <f ca="1">OFFSET(raw!$C$11,정리!A58,0)</f>
        <v>0</v>
      </c>
      <c r="H58">
        <f ca="1">OFFSET(raw!$D$10,정리!A58,0)</f>
        <v>0</v>
      </c>
      <c r="I58">
        <f ca="1">OFFSET(raw!$D$11,정리!A58,0)</f>
        <v>0</v>
      </c>
      <c r="J58">
        <f ca="1">OFFSET(raw!$E$10,정리!A58,0)</f>
        <v>0</v>
      </c>
      <c r="K58">
        <f ca="1">OFFSET(raw!$F$10,정리!A58,0)</f>
        <v>0</v>
      </c>
      <c r="L58" s="9" t="str">
        <f t="shared" ca="1" si="3"/>
        <v>0</v>
      </c>
      <c r="M58">
        <f ca="1">OFFSET(raw!$G$10,정리!A58,0)</f>
        <v>0</v>
      </c>
      <c r="N58">
        <f ca="1">OFFSET(raw!$A$11,정리!A58,0)</f>
        <v>0</v>
      </c>
    </row>
    <row r="59" spans="1:14" ht="99.9" customHeight="1" x14ac:dyDescent="0.4">
      <c r="A59">
        <v>115</v>
      </c>
      <c r="B59">
        <f ca="1">OFFSET(raw!$A$10,정리!A59,0)</f>
        <v>0</v>
      </c>
      <c r="C59" t="str">
        <f t="shared" ca="1" si="2"/>
        <v>000000</v>
      </c>
      <c r="D59">
        <f ca="1">OFFSET(raw!$B$10,정리!A59,0)</f>
        <v>0</v>
      </c>
      <c r="E59">
        <f ca="1">OFFSET(raw!$B$11,정리!A59,0)</f>
        <v>0</v>
      </c>
      <c r="F59">
        <f ca="1">OFFSET(raw!$C$10,정리!A59,0)</f>
        <v>0</v>
      </c>
      <c r="G59">
        <f ca="1">OFFSET(raw!$C$11,정리!A59,0)</f>
        <v>0</v>
      </c>
      <c r="H59">
        <f ca="1">OFFSET(raw!$D$10,정리!A59,0)</f>
        <v>0</v>
      </c>
      <c r="I59">
        <f ca="1">OFFSET(raw!$D$11,정리!A59,0)</f>
        <v>0</v>
      </c>
      <c r="J59">
        <f ca="1">OFFSET(raw!$E$10,정리!A59,0)</f>
        <v>0</v>
      </c>
      <c r="K59">
        <f ca="1">OFFSET(raw!$F$10,정리!A59,0)</f>
        <v>0</v>
      </c>
      <c r="L59" s="9" t="str">
        <f t="shared" ca="1" si="3"/>
        <v>0</v>
      </c>
      <c r="M59">
        <f ca="1">OFFSET(raw!$G$10,정리!A59,0)</f>
        <v>0</v>
      </c>
      <c r="N59">
        <f ca="1">OFFSET(raw!$A$11,정리!A59,0)</f>
        <v>0</v>
      </c>
    </row>
    <row r="60" spans="1:14" ht="99.9" customHeight="1" x14ac:dyDescent="0.4">
      <c r="A60">
        <v>117</v>
      </c>
      <c r="B60">
        <f ca="1">OFFSET(raw!$A$10,정리!A60,0)</f>
        <v>0</v>
      </c>
      <c r="C60" t="str">
        <f t="shared" ca="1" si="2"/>
        <v>000000</v>
      </c>
      <c r="D60">
        <f ca="1">OFFSET(raw!$B$10,정리!A60,0)</f>
        <v>0</v>
      </c>
      <c r="E60">
        <f ca="1">OFFSET(raw!$B$11,정리!A60,0)</f>
        <v>0</v>
      </c>
      <c r="F60">
        <f ca="1">OFFSET(raw!$C$10,정리!A60,0)</f>
        <v>0</v>
      </c>
      <c r="G60">
        <f ca="1">OFFSET(raw!$C$11,정리!A60,0)</f>
        <v>0</v>
      </c>
      <c r="H60">
        <f ca="1">OFFSET(raw!$D$10,정리!A60,0)</f>
        <v>0</v>
      </c>
      <c r="I60">
        <f ca="1">OFFSET(raw!$D$11,정리!A60,0)</f>
        <v>0</v>
      </c>
      <c r="J60">
        <f ca="1">OFFSET(raw!$E$10,정리!A60,0)</f>
        <v>0</v>
      </c>
      <c r="K60">
        <f ca="1">OFFSET(raw!$F$10,정리!A60,0)</f>
        <v>0</v>
      </c>
      <c r="L60" s="9" t="str">
        <f t="shared" ca="1" si="3"/>
        <v>0</v>
      </c>
      <c r="M60">
        <f ca="1">OFFSET(raw!$G$10,정리!A60,0)</f>
        <v>0</v>
      </c>
      <c r="N60">
        <f ca="1">OFFSET(raw!$A$11,정리!A60,0)</f>
        <v>0</v>
      </c>
    </row>
    <row r="61" spans="1:14" ht="99.9" customHeight="1" x14ac:dyDescent="0.4">
      <c r="A61">
        <v>119</v>
      </c>
      <c r="B61">
        <f ca="1">OFFSET(raw!$A$10,정리!A61,0)</f>
        <v>0</v>
      </c>
      <c r="C61" t="str">
        <f t="shared" ca="1" si="2"/>
        <v>000000</v>
      </c>
      <c r="D61">
        <f ca="1">OFFSET(raw!$B$10,정리!A61,0)</f>
        <v>0</v>
      </c>
      <c r="E61">
        <f ca="1">OFFSET(raw!$B$11,정리!A61,0)</f>
        <v>0</v>
      </c>
      <c r="F61">
        <f ca="1">OFFSET(raw!$C$10,정리!A61,0)</f>
        <v>0</v>
      </c>
      <c r="G61">
        <f ca="1">OFFSET(raw!$C$11,정리!A61,0)</f>
        <v>0</v>
      </c>
      <c r="H61">
        <f ca="1">OFFSET(raw!$D$10,정리!A61,0)</f>
        <v>0</v>
      </c>
      <c r="I61">
        <f ca="1">OFFSET(raw!$D$11,정리!A61,0)</f>
        <v>0</v>
      </c>
      <c r="J61">
        <f ca="1">OFFSET(raw!$E$10,정리!A61,0)</f>
        <v>0</v>
      </c>
      <c r="K61">
        <f ca="1">OFFSET(raw!$F$10,정리!A61,0)</f>
        <v>0</v>
      </c>
      <c r="L61" s="9" t="str">
        <f t="shared" ca="1" si="3"/>
        <v>0</v>
      </c>
      <c r="M61">
        <f ca="1">OFFSET(raw!$G$10,정리!A61,0)</f>
        <v>0</v>
      </c>
      <c r="N61">
        <f ca="1">OFFSET(raw!$A$11,정리!A61,0)</f>
        <v>0</v>
      </c>
    </row>
    <row r="62" spans="1:14" ht="99.9" customHeight="1" x14ac:dyDescent="0.4">
      <c r="A62">
        <v>121</v>
      </c>
      <c r="B62">
        <f ca="1">OFFSET(raw!$A$10,정리!A62,0)</f>
        <v>0</v>
      </c>
      <c r="C62" t="str">
        <f t="shared" ca="1" si="2"/>
        <v>000000</v>
      </c>
      <c r="D62">
        <f ca="1">OFFSET(raw!$B$10,정리!A62,0)</f>
        <v>0</v>
      </c>
      <c r="E62">
        <f ca="1">OFFSET(raw!$B$11,정리!A62,0)</f>
        <v>0</v>
      </c>
      <c r="F62">
        <f ca="1">OFFSET(raw!$C$10,정리!A62,0)</f>
        <v>0</v>
      </c>
      <c r="G62">
        <f ca="1">OFFSET(raw!$C$11,정리!A62,0)</f>
        <v>0</v>
      </c>
      <c r="H62">
        <f ca="1">OFFSET(raw!$D$10,정리!A62,0)</f>
        <v>0</v>
      </c>
      <c r="I62">
        <f ca="1">OFFSET(raw!$D$11,정리!A62,0)</f>
        <v>0</v>
      </c>
      <c r="J62">
        <f ca="1">OFFSET(raw!$E$10,정리!A62,0)</f>
        <v>0</v>
      </c>
      <c r="K62">
        <f ca="1">OFFSET(raw!$F$10,정리!A62,0)</f>
        <v>0</v>
      </c>
      <c r="L62" s="9" t="str">
        <f t="shared" ca="1" si="3"/>
        <v>0</v>
      </c>
      <c r="M62">
        <f ca="1">OFFSET(raw!$G$10,정리!A62,0)</f>
        <v>0</v>
      </c>
      <c r="N62">
        <f ca="1">OFFSET(raw!$A$11,정리!A62,0)</f>
        <v>0</v>
      </c>
    </row>
    <row r="63" spans="1:14" ht="99.9" customHeight="1" x14ac:dyDescent="0.4">
      <c r="A63">
        <v>123</v>
      </c>
      <c r="B63">
        <f ca="1">OFFSET(raw!$A$10,정리!A63,0)</f>
        <v>0</v>
      </c>
      <c r="C63" t="str">
        <f t="shared" ca="1" si="2"/>
        <v>000000</v>
      </c>
      <c r="D63">
        <f ca="1">OFFSET(raw!$B$10,정리!A63,0)</f>
        <v>0</v>
      </c>
      <c r="E63">
        <f ca="1">OFFSET(raw!$B$11,정리!A63,0)</f>
        <v>0</v>
      </c>
      <c r="F63">
        <f ca="1">OFFSET(raw!$C$10,정리!A63,0)</f>
        <v>0</v>
      </c>
      <c r="G63">
        <f ca="1">OFFSET(raw!$C$11,정리!A63,0)</f>
        <v>0</v>
      </c>
      <c r="H63">
        <f ca="1">OFFSET(raw!$D$10,정리!A63,0)</f>
        <v>0</v>
      </c>
      <c r="I63">
        <f ca="1">OFFSET(raw!$D$11,정리!A63,0)</f>
        <v>0</v>
      </c>
      <c r="J63">
        <f ca="1">OFFSET(raw!$E$10,정리!A63,0)</f>
        <v>0</v>
      </c>
      <c r="K63">
        <f ca="1">OFFSET(raw!$F$10,정리!A63,0)</f>
        <v>0</v>
      </c>
      <c r="L63" s="9" t="str">
        <f t="shared" ca="1" si="3"/>
        <v>0</v>
      </c>
      <c r="M63">
        <f ca="1">OFFSET(raw!$G$10,정리!A63,0)</f>
        <v>0</v>
      </c>
      <c r="N63">
        <f ca="1">OFFSET(raw!$A$11,정리!A63,0)</f>
        <v>0</v>
      </c>
    </row>
    <row r="64" spans="1:14" ht="99.9" customHeight="1" x14ac:dyDescent="0.4">
      <c r="A64">
        <v>125</v>
      </c>
      <c r="B64">
        <f ca="1">OFFSET(raw!$A$10,정리!A64,0)</f>
        <v>0</v>
      </c>
      <c r="C64" t="str">
        <f t="shared" ca="1" si="2"/>
        <v>000000</v>
      </c>
      <c r="D64">
        <f ca="1">OFFSET(raw!$B$10,정리!A64,0)</f>
        <v>0</v>
      </c>
      <c r="E64">
        <f ca="1">OFFSET(raw!$B$11,정리!A64,0)</f>
        <v>0</v>
      </c>
      <c r="F64">
        <f ca="1">OFFSET(raw!$C$10,정리!A64,0)</f>
        <v>0</v>
      </c>
      <c r="G64">
        <f ca="1">OFFSET(raw!$C$11,정리!A64,0)</f>
        <v>0</v>
      </c>
      <c r="H64">
        <f ca="1">OFFSET(raw!$D$10,정리!A64,0)</f>
        <v>0</v>
      </c>
      <c r="I64">
        <f ca="1">OFFSET(raw!$D$11,정리!A64,0)</f>
        <v>0</v>
      </c>
      <c r="J64">
        <f ca="1">OFFSET(raw!$E$10,정리!A64,0)</f>
        <v>0</v>
      </c>
      <c r="K64">
        <f ca="1">OFFSET(raw!$F$10,정리!A64,0)</f>
        <v>0</v>
      </c>
      <c r="L64" s="9" t="str">
        <f t="shared" ca="1" si="3"/>
        <v>0</v>
      </c>
      <c r="M64">
        <f ca="1">OFFSET(raw!$G$10,정리!A64,0)</f>
        <v>0</v>
      </c>
      <c r="N64">
        <f ca="1">OFFSET(raw!$A$11,정리!A64,0)</f>
        <v>0</v>
      </c>
    </row>
    <row r="65" spans="1:14" ht="99.9" customHeight="1" x14ac:dyDescent="0.4">
      <c r="A65">
        <v>127</v>
      </c>
      <c r="B65">
        <f ca="1">OFFSET(raw!$A$10,정리!A65,0)</f>
        <v>0</v>
      </c>
      <c r="C65" t="str">
        <f t="shared" ca="1" si="2"/>
        <v>000000</v>
      </c>
      <c r="D65">
        <f ca="1">OFFSET(raw!$B$10,정리!A65,0)</f>
        <v>0</v>
      </c>
      <c r="E65">
        <f ca="1">OFFSET(raw!$B$11,정리!A65,0)</f>
        <v>0</v>
      </c>
      <c r="F65">
        <f ca="1">OFFSET(raw!$C$10,정리!A65,0)</f>
        <v>0</v>
      </c>
      <c r="G65">
        <f ca="1">OFFSET(raw!$C$11,정리!A65,0)</f>
        <v>0</v>
      </c>
      <c r="H65">
        <f ca="1">OFFSET(raw!$D$10,정리!A65,0)</f>
        <v>0</v>
      </c>
      <c r="I65">
        <f ca="1">OFFSET(raw!$D$11,정리!A65,0)</f>
        <v>0</v>
      </c>
      <c r="J65">
        <f ca="1">OFFSET(raw!$E$10,정리!A65,0)</f>
        <v>0</v>
      </c>
      <c r="K65">
        <f ca="1">OFFSET(raw!$F$10,정리!A65,0)</f>
        <v>0</v>
      </c>
      <c r="L65" s="9" t="str">
        <f t="shared" ca="1" si="3"/>
        <v>0</v>
      </c>
      <c r="M65">
        <f ca="1">OFFSET(raw!$G$10,정리!A65,0)</f>
        <v>0</v>
      </c>
      <c r="N65">
        <f ca="1">OFFSET(raw!$A$11,정리!A65,0)</f>
        <v>0</v>
      </c>
    </row>
    <row r="66" spans="1:14" ht="99.9" customHeight="1" x14ac:dyDescent="0.4">
      <c r="A66">
        <v>129</v>
      </c>
      <c r="B66">
        <f ca="1">OFFSET(raw!$A$10,정리!A66,0)</f>
        <v>0</v>
      </c>
      <c r="C66" t="str">
        <f t="shared" ref="C66:C97" ca="1" si="4">SUBSTITUTE(TEXT(N66,"000000"),"-","A")</f>
        <v>000000</v>
      </c>
      <c r="D66">
        <f ca="1">OFFSET(raw!$B$10,정리!A66,0)</f>
        <v>0</v>
      </c>
      <c r="E66">
        <f ca="1">OFFSET(raw!$B$11,정리!A66,0)</f>
        <v>0</v>
      </c>
      <c r="F66">
        <f ca="1">OFFSET(raw!$C$10,정리!A66,0)</f>
        <v>0</v>
      </c>
      <c r="G66">
        <f ca="1">OFFSET(raw!$C$11,정리!A66,0)</f>
        <v>0</v>
      </c>
      <c r="H66">
        <f ca="1">OFFSET(raw!$D$10,정리!A66,0)</f>
        <v>0</v>
      </c>
      <c r="I66">
        <f ca="1">OFFSET(raw!$D$11,정리!A66,0)</f>
        <v>0</v>
      </c>
      <c r="J66">
        <f ca="1">OFFSET(raw!$E$10,정리!A66,0)</f>
        <v>0</v>
      </c>
      <c r="K66">
        <f ca="1">OFFSET(raw!$F$10,정리!A66,0)</f>
        <v>0</v>
      </c>
      <c r="L66" s="9" t="str">
        <f t="shared" ref="L66:L97" ca="1" si="5">SUBSTITUTE(M66, " ▶ ", CHAR(10) &amp; "▶ ")</f>
        <v>0</v>
      </c>
      <c r="M66">
        <f ca="1">OFFSET(raw!$G$10,정리!A66,0)</f>
        <v>0</v>
      </c>
      <c r="N66">
        <f ca="1">OFFSET(raw!$A$11,정리!A66,0)</f>
        <v>0</v>
      </c>
    </row>
    <row r="67" spans="1:14" ht="99.9" customHeight="1" x14ac:dyDescent="0.4">
      <c r="A67">
        <v>131</v>
      </c>
      <c r="B67">
        <f ca="1">OFFSET(raw!$A$10,정리!A67,0)</f>
        <v>0</v>
      </c>
      <c r="C67" t="str">
        <f t="shared" ca="1" si="4"/>
        <v>000000</v>
      </c>
      <c r="D67">
        <f ca="1">OFFSET(raw!$B$10,정리!A67,0)</f>
        <v>0</v>
      </c>
      <c r="E67">
        <f ca="1">OFFSET(raw!$B$11,정리!A67,0)</f>
        <v>0</v>
      </c>
      <c r="F67">
        <f ca="1">OFFSET(raw!$C$10,정리!A67,0)</f>
        <v>0</v>
      </c>
      <c r="G67">
        <f ca="1">OFFSET(raw!$C$11,정리!A67,0)</f>
        <v>0</v>
      </c>
      <c r="H67">
        <f ca="1">OFFSET(raw!$D$10,정리!A67,0)</f>
        <v>0</v>
      </c>
      <c r="I67">
        <f ca="1">OFFSET(raw!$D$11,정리!A67,0)</f>
        <v>0</v>
      </c>
      <c r="J67">
        <f ca="1">OFFSET(raw!$E$10,정리!A67,0)</f>
        <v>0</v>
      </c>
      <c r="K67">
        <f ca="1">OFFSET(raw!$F$10,정리!A67,0)</f>
        <v>0</v>
      </c>
      <c r="L67" s="9" t="str">
        <f t="shared" ca="1" si="5"/>
        <v>0</v>
      </c>
      <c r="M67">
        <f ca="1">OFFSET(raw!$G$10,정리!A67,0)</f>
        <v>0</v>
      </c>
      <c r="N67">
        <f ca="1">OFFSET(raw!$A$11,정리!A67,0)</f>
        <v>0</v>
      </c>
    </row>
    <row r="68" spans="1:14" ht="99.9" customHeight="1" x14ac:dyDescent="0.4">
      <c r="A68">
        <v>133</v>
      </c>
      <c r="B68">
        <f ca="1">OFFSET(raw!$A$10,정리!A68,0)</f>
        <v>0</v>
      </c>
      <c r="C68" t="str">
        <f t="shared" ca="1" si="4"/>
        <v>000000</v>
      </c>
      <c r="D68">
        <f ca="1">OFFSET(raw!$B$10,정리!A68,0)</f>
        <v>0</v>
      </c>
      <c r="E68">
        <f ca="1">OFFSET(raw!$B$11,정리!A68,0)</f>
        <v>0</v>
      </c>
      <c r="F68">
        <f ca="1">OFFSET(raw!$C$10,정리!A68,0)</f>
        <v>0</v>
      </c>
      <c r="G68">
        <f ca="1">OFFSET(raw!$C$11,정리!A68,0)</f>
        <v>0</v>
      </c>
      <c r="H68">
        <f ca="1">OFFSET(raw!$D$10,정리!A68,0)</f>
        <v>0</v>
      </c>
      <c r="I68">
        <f ca="1">OFFSET(raw!$D$11,정리!A68,0)</f>
        <v>0</v>
      </c>
      <c r="J68">
        <f ca="1">OFFSET(raw!$E$10,정리!A68,0)</f>
        <v>0</v>
      </c>
      <c r="K68">
        <f ca="1">OFFSET(raw!$F$10,정리!A68,0)</f>
        <v>0</v>
      </c>
      <c r="L68" s="9" t="str">
        <f t="shared" ca="1" si="5"/>
        <v>0</v>
      </c>
      <c r="M68">
        <f ca="1">OFFSET(raw!$G$10,정리!A68,0)</f>
        <v>0</v>
      </c>
      <c r="N68">
        <f ca="1">OFFSET(raw!$A$11,정리!A68,0)</f>
        <v>0</v>
      </c>
    </row>
    <row r="69" spans="1:14" ht="99.9" customHeight="1" x14ac:dyDescent="0.4">
      <c r="A69">
        <v>135</v>
      </c>
      <c r="B69">
        <f ca="1">OFFSET(raw!$A$10,정리!A69,0)</f>
        <v>0</v>
      </c>
      <c r="C69" t="str">
        <f t="shared" ca="1" si="4"/>
        <v>000000</v>
      </c>
      <c r="D69">
        <f ca="1">OFFSET(raw!$B$10,정리!A69,0)</f>
        <v>0</v>
      </c>
      <c r="E69">
        <f ca="1">OFFSET(raw!$B$11,정리!A69,0)</f>
        <v>0</v>
      </c>
      <c r="F69">
        <f ca="1">OFFSET(raw!$C$10,정리!A69,0)</f>
        <v>0</v>
      </c>
      <c r="G69">
        <f ca="1">OFFSET(raw!$C$11,정리!A69,0)</f>
        <v>0</v>
      </c>
      <c r="H69">
        <f ca="1">OFFSET(raw!$D$10,정리!A69,0)</f>
        <v>0</v>
      </c>
      <c r="I69">
        <f ca="1">OFFSET(raw!$D$11,정리!A69,0)</f>
        <v>0</v>
      </c>
      <c r="J69">
        <f ca="1">OFFSET(raw!$E$10,정리!A69,0)</f>
        <v>0</v>
      </c>
      <c r="K69">
        <f ca="1">OFFSET(raw!$F$10,정리!A69,0)</f>
        <v>0</v>
      </c>
      <c r="L69" s="9" t="str">
        <f t="shared" ca="1" si="5"/>
        <v>0</v>
      </c>
      <c r="M69">
        <f ca="1">OFFSET(raw!$G$10,정리!A69,0)</f>
        <v>0</v>
      </c>
      <c r="N69">
        <f ca="1">OFFSET(raw!$A$11,정리!A69,0)</f>
        <v>0</v>
      </c>
    </row>
    <row r="70" spans="1:14" ht="99.9" customHeight="1" x14ac:dyDescent="0.4">
      <c r="A70">
        <v>137</v>
      </c>
      <c r="B70">
        <f ca="1">OFFSET(raw!$A$10,정리!A70,0)</f>
        <v>0</v>
      </c>
      <c r="C70" t="str">
        <f t="shared" ca="1" si="4"/>
        <v>000000</v>
      </c>
      <c r="D70">
        <f ca="1">OFFSET(raw!$B$10,정리!A70,0)</f>
        <v>0</v>
      </c>
      <c r="E70">
        <f ca="1">OFFSET(raw!$B$11,정리!A70,0)</f>
        <v>0</v>
      </c>
      <c r="F70">
        <f ca="1">OFFSET(raw!$C$10,정리!A70,0)</f>
        <v>0</v>
      </c>
      <c r="G70">
        <f ca="1">OFFSET(raw!$C$11,정리!A70,0)</f>
        <v>0</v>
      </c>
      <c r="H70">
        <f ca="1">OFFSET(raw!$D$10,정리!A70,0)</f>
        <v>0</v>
      </c>
      <c r="I70">
        <f ca="1">OFFSET(raw!$D$11,정리!A70,0)</f>
        <v>0</v>
      </c>
      <c r="J70">
        <f ca="1">OFFSET(raw!$E$10,정리!A70,0)</f>
        <v>0</v>
      </c>
      <c r="K70">
        <f ca="1">OFFSET(raw!$F$10,정리!A70,0)</f>
        <v>0</v>
      </c>
      <c r="L70" s="9" t="str">
        <f t="shared" ca="1" si="5"/>
        <v>0</v>
      </c>
      <c r="M70">
        <f ca="1">OFFSET(raw!$G$10,정리!A70,0)</f>
        <v>0</v>
      </c>
      <c r="N70">
        <f ca="1">OFFSET(raw!$A$11,정리!A70,0)</f>
        <v>0</v>
      </c>
    </row>
    <row r="71" spans="1:14" ht="99.9" customHeight="1" x14ac:dyDescent="0.4">
      <c r="A71">
        <v>139</v>
      </c>
      <c r="B71">
        <f ca="1">OFFSET(raw!$A$10,정리!A71,0)</f>
        <v>0</v>
      </c>
      <c r="C71" t="str">
        <f t="shared" ca="1" si="4"/>
        <v>000000</v>
      </c>
      <c r="D71">
        <f ca="1">OFFSET(raw!$B$10,정리!A71,0)</f>
        <v>0</v>
      </c>
      <c r="E71">
        <f ca="1">OFFSET(raw!$B$11,정리!A71,0)</f>
        <v>0</v>
      </c>
      <c r="F71">
        <f ca="1">OFFSET(raw!$C$10,정리!A71,0)</f>
        <v>0</v>
      </c>
      <c r="G71">
        <f ca="1">OFFSET(raw!$C$11,정리!A71,0)</f>
        <v>0</v>
      </c>
      <c r="H71">
        <f ca="1">OFFSET(raw!$D$10,정리!A71,0)</f>
        <v>0</v>
      </c>
      <c r="I71">
        <f ca="1">OFFSET(raw!$D$11,정리!A71,0)</f>
        <v>0</v>
      </c>
      <c r="J71">
        <f ca="1">OFFSET(raw!$E$10,정리!A71,0)</f>
        <v>0</v>
      </c>
      <c r="K71">
        <f ca="1">OFFSET(raw!$F$10,정리!A71,0)</f>
        <v>0</v>
      </c>
      <c r="L71" s="9" t="str">
        <f t="shared" ca="1" si="5"/>
        <v>0</v>
      </c>
      <c r="M71">
        <f ca="1">OFFSET(raw!$G$10,정리!A71,0)</f>
        <v>0</v>
      </c>
      <c r="N71">
        <f ca="1">OFFSET(raw!$A$11,정리!A71,0)</f>
        <v>0</v>
      </c>
    </row>
    <row r="72" spans="1:14" ht="99.9" customHeight="1" x14ac:dyDescent="0.4">
      <c r="A72">
        <v>141</v>
      </c>
      <c r="B72">
        <f ca="1">OFFSET(raw!$A$10,정리!A72,0)</f>
        <v>0</v>
      </c>
      <c r="C72" t="str">
        <f t="shared" ca="1" si="4"/>
        <v>000000</v>
      </c>
      <c r="D72">
        <f ca="1">OFFSET(raw!$B$10,정리!A72,0)</f>
        <v>0</v>
      </c>
      <c r="E72">
        <f ca="1">OFFSET(raw!$B$11,정리!A72,0)</f>
        <v>0</v>
      </c>
      <c r="F72">
        <f ca="1">OFFSET(raw!$C$10,정리!A72,0)</f>
        <v>0</v>
      </c>
      <c r="G72">
        <f ca="1">OFFSET(raw!$C$11,정리!A72,0)</f>
        <v>0</v>
      </c>
      <c r="H72">
        <f ca="1">OFFSET(raw!$D$10,정리!A72,0)</f>
        <v>0</v>
      </c>
      <c r="I72">
        <f ca="1">OFFSET(raw!$D$11,정리!A72,0)</f>
        <v>0</v>
      </c>
      <c r="J72">
        <f ca="1">OFFSET(raw!$E$10,정리!A72,0)</f>
        <v>0</v>
      </c>
      <c r="K72">
        <f ca="1">OFFSET(raw!$F$10,정리!A72,0)</f>
        <v>0</v>
      </c>
      <c r="L72" s="9" t="str">
        <f t="shared" ca="1" si="5"/>
        <v>0</v>
      </c>
      <c r="M72">
        <f ca="1">OFFSET(raw!$G$10,정리!A72,0)</f>
        <v>0</v>
      </c>
      <c r="N72">
        <f ca="1">OFFSET(raw!$A$11,정리!A72,0)</f>
        <v>0</v>
      </c>
    </row>
    <row r="73" spans="1:14" ht="99.9" customHeight="1" x14ac:dyDescent="0.4">
      <c r="A73">
        <v>143</v>
      </c>
      <c r="B73">
        <f ca="1">OFFSET(raw!$A$10,정리!A73,0)</f>
        <v>0</v>
      </c>
      <c r="C73" t="str">
        <f t="shared" ca="1" si="4"/>
        <v>000000</v>
      </c>
      <c r="D73">
        <f ca="1">OFFSET(raw!$B$10,정리!A73,0)</f>
        <v>0</v>
      </c>
      <c r="E73">
        <f ca="1">OFFSET(raw!$B$11,정리!A73,0)</f>
        <v>0</v>
      </c>
      <c r="F73">
        <f ca="1">OFFSET(raw!$C$10,정리!A73,0)</f>
        <v>0</v>
      </c>
      <c r="G73">
        <f ca="1">OFFSET(raw!$C$11,정리!A73,0)</f>
        <v>0</v>
      </c>
      <c r="H73">
        <f ca="1">OFFSET(raw!$D$10,정리!A73,0)</f>
        <v>0</v>
      </c>
      <c r="I73">
        <f ca="1">OFFSET(raw!$D$11,정리!A73,0)</f>
        <v>0</v>
      </c>
      <c r="J73">
        <f ca="1">OFFSET(raw!$E$10,정리!A73,0)</f>
        <v>0</v>
      </c>
      <c r="K73">
        <f ca="1">OFFSET(raw!$F$10,정리!A73,0)</f>
        <v>0</v>
      </c>
      <c r="L73" s="9" t="str">
        <f t="shared" ca="1" si="5"/>
        <v>0</v>
      </c>
      <c r="M73">
        <f ca="1">OFFSET(raw!$G$10,정리!A73,0)</f>
        <v>0</v>
      </c>
      <c r="N73">
        <f ca="1">OFFSET(raw!$A$11,정리!A73,0)</f>
        <v>0</v>
      </c>
    </row>
    <row r="74" spans="1:14" ht="99.9" customHeight="1" x14ac:dyDescent="0.4">
      <c r="A74">
        <v>145</v>
      </c>
      <c r="B74">
        <f ca="1">OFFSET(raw!$A$10,정리!A74,0)</f>
        <v>0</v>
      </c>
      <c r="C74" t="str">
        <f t="shared" ca="1" si="4"/>
        <v>000000</v>
      </c>
      <c r="D74">
        <f ca="1">OFFSET(raw!$B$10,정리!A74,0)</f>
        <v>0</v>
      </c>
      <c r="E74">
        <f ca="1">OFFSET(raw!$B$11,정리!A74,0)</f>
        <v>0</v>
      </c>
      <c r="F74">
        <f ca="1">OFFSET(raw!$C$10,정리!A74,0)</f>
        <v>0</v>
      </c>
      <c r="G74">
        <f ca="1">OFFSET(raw!$C$11,정리!A74,0)</f>
        <v>0</v>
      </c>
      <c r="H74">
        <f ca="1">OFFSET(raw!$D$10,정리!A74,0)</f>
        <v>0</v>
      </c>
      <c r="I74">
        <f ca="1">OFFSET(raw!$D$11,정리!A74,0)</f>
        <v>0</v>
      </c>
      <c r="J74">
        <f ca="1">OFFSET(raw!$E$10,정리!A74,0)</f>
        <v>0</v>
      </c>
      <c r="K74">
        <f ca="1">OFFSET(raw!$F$10,정리!A74,0)</f>
        <v>0</v>
      </c>
      <c r="L74" s="9" t="str">
        <f t="shared" ca="1" si="5"/>
        <v>0</v>
      </c>
      <c r="M74">
        <f ca="1">OFFSET(raw!$G$10,정리!A74,0)</f>
        <v>0</v>
      </c>
      <c r="N74">
        <f ca="1">OFFSET(raw!$A$11,정리!A74,0)</f>
        <v>0</v>
      </c>
    </row>
    <row r="75" spans="1:14" ht="99.9" customHeight="1" x14ac:dyDescent="0.4">
      <c r="A75">
        <v>147</v>
      </c>
      <c r="B75">
        <f ca="1">OFFSET(raw!$A$10,정리!A75,0)</f>
        <v>0</v>
      </c>
      <c r="C75" t="str">
        <f t="shared" ca="1" si="4"/>
        <v>000000</v>
      </c>
      <c r="D75">
        <f ca="1">OFFSET(raw!$B$10,정리!A75,0)</f>
        <v>0</v>
      </c>
      <c r="E75">
        <f ca="1">OFFSET(raw!$B$11,정리!A75,0)</f>
        <v>0</v>
      </c>
      <c r="F75">
        <f ca="1">OFFSET(raw!$C$10,정리!A75,0)</f>
        <v>0</v>
      </c>
      <c r="G75">
        <f ca="1">OFFSET(raw!$C$11,정리!A75,0)</f>
        <v>0</v>
      </c>
      <c r="H75">
        <f ca="1">OFFSET(raw!$D$10,정리!A75,0)</f>
        <v>0</v>
      </c>
      <c r="I75">
        <f ca="1">OFFSET(raw!$D$11,정리!A75,0)</f>
        <v>0</v>
      </c>
      <c r="J75">
        <f ca="1">OFFSET(raw!$E$10,정리!A75,0)</f>
        <v>0</v>
      </c>
      <c r="K75">
        <f ca="1">OFFSET(raw!$F$10,정리!A75,0)</f>
        <v>0</v>
      </c>
      <c r="L75" s="9" t="str">
        <f t="shared" ca="1" si="5"/>
        <v>0</v>
      </c>
      <c r="M75">
        <f ca="1">OFFSET(raw!$G$10,정리!A75,0)</f>
        <v>0</v>
      </c>
      <c r="N75">
        <f ca="1">OFFSET(raw!$A$11,정리!A75,0)</f>
        <v>0</v>
      </c>
    </row>
    <row r="76" spans="1:14" ht="99.9" customHeight="1" x14ac:dyDescent="0.4">
      <c r="A76">
        <v>149</v>
      </c>
      <c r="B76">
        <f ca="1">OFFSET(raw!$A$10,정리!A76,0)</f>
        <v>0</v>
      </c>
      <c r="C76" t="str">
        <f t="shared" ca="1" si="4"/>
        <v>000000</v>
      </c>
      <c r="D76">
        <f ca="1">OFFSET(raw!$B$10,정리!A76,0)</f>
        <v>0</v>
      </c>
      <c r="E76">
        <f ca="1">OFFSET(raw!$B$11,정리!A76,0)</f>
        <v>0</v>
      </c>
      <c r="F76">
        <f ca="1">OFFSET(raw!$C$10,정리!A76,0)</f>
        <v>0</v>
      </c>
      <c r="G76">
        <f ca="1">OFFSET(raw!$C$11,정리!A76,0)</f>
        <v>0</v>
      </c>
      <c r="H76">
        <f ca="1">OFFSET(raw!$D$10,정리!A76,0)</f>
        <v>0</v>
      </c>
      <c r="I76">
        <f ca="1">OFFSET(raw!$D$11,정리!A76,0)</f>
        <v>0</v>
      </c>
      <c r="J76">
        <f ca="1">OFFSET(raw!$E$10,정리!A76,0)</f>
        <v>0</v>
      </c>
      <c r="K76">
        <f ca="1">OFFSET(raw!$F$10,정리!A76,0)</f>
        <v>0</v>
      </c>
      <c r="L76" s="9" t="str">
        <f t="shared" ca="1" si="5"/>
        <v>0</v>
      </c>
      <c r="M76">
        <f ca="1">OFFSET(raw!$G$10,정리!A76,0)</f>
        <v>0</v>
      </c>
      <c r="N76">
        <f ca="1">OFFSET(raw!$A$11,정리!A76,0)</f>
        <v>0</v>
      </c>
    </row>
    <row r="77" spans="1:14" ht="99.9" customHeight="1" x14ac:dyDescent="0.4">
      <c r="A77">
        <v>151</v>
      </c>
      <c r="B77">
        <f ca="1">OFFSET(raw!$A$10,정리!A77,0)</f>
        <v>0</v>
      </c>
      <c r="C77" t="str">
        <f t="shared" ca="1" si="4"/>
        <v>000000</v>
      </c>
      <c r="D77">
        <f ca="1">OFFSET(raw!$B$10,정리!A77,0)</f>
        <v>0</v>
      </c>
      <c r="E77">
        <f ca="1">OFFSET(raw!$B$11,정리!A77,0)</f>
        <v>0</v>
      </c>
      <c r="F77">
        <f ca="1">OFFSET(raw!$C$10,정리!A77,0)</f>
        <v>0</v>
      </c>
      <c r="G77">
        <f ca="1">OFFSET(raw!$C$11,정리!A77,0)</f>
        <v>0</v>
      </c>
      <c r="H77">
        <f ca="1">OFFSET(raw!$D$10,정리!A77,0)</f>
        <v>0</v>
      </c>
      <c r="I77">
        <f ca="1">OFFSET(raw!$D$11,정리!A77,0)</f>
        <v>0</v>
      </c>
      <c r="J77">
        <f ca="1">OFFSET(raw!$E$10,정리!A77,0)</f>
        <v>0</v>
      </c>
      <c r="K77">
        <f ca="1">OFFSET(raw!$F$10,정리!A77,0)</f>
        <v>0</v>
      </c>
      <c r="L77" s="9" t="str">
        <f t="shared" ca="1" si="5"/>
        <v>0</v>
      </c>
      <c r="M77">
        <f ca="1">OFFSET(raw!$G$10,정리!A77,0)</f>
        <v>0</v>
      </c>
      <c r="N77">
        <f ca="1">OFFSET(raw!$A$11,정리!A77,0)</f>
        <v>0</v>
      </c>
    </row>
    <row r="78" spans="1:14" ht="99.9" customHeight="1" x14ac:dyDescent="0.4">
      <c r="A78">
        <v>153</v>
      </c>
      <c r="B78">
        <f ca="1">OFFSET(raw!$A$10,정리!A78,0)</f>
        <v>0</v>
      </c>
      <c r="C78" t="str">
        <f t="shared" ca="1" si="4"/>
        <v>000000</v>
      </c>
      <c r="D78">
        <f ca="1">OFFSET(raw!$B$10,정리!A78,0)</f>
        <v>0</v>
      </c>
      <c r="E78">
        <f ca="1">OFFSET(raw!$B$11,정리!A78,0)</f>
        <v>0</v>
      </c>
      <c r="F78">
        <f ca="1">OFFSET(raw!$C$10,정리!A78,0)</f>
        <v>0</v>
      </c>
      <c r="G78">
        <f ca="1">OFFSET(raw!$C$11,정리!A78,0)</f>
        <v>0</v>
      </c>
      <c r="H78">
        <f ca="1">OFFSET(raw!$D$10,정리!A78,0)</f>
        <v>0</v>
      </c>
      <c r="I78">
        <f ca="1">OFFSET(raw!$D$11,정리!A78,0)</f>
        <v>0</v>
      </c>
      <c r="J78">
        <f ca="1">OFFSET(raw!$E$10,정리!A78,0)</f>
        <v>0</v>
      </c>
      <c r="K78">
        <f ca="1">OFFSET(raw!$F$10,정리!A78,0)</f>
        <v>0</v>
      </c>
      <c r="L78" s="9" t="str">
        <f t="shared" ca="1" si="5"/>
        <v>0</v>
      </c>
      <c r="M78">
        <f ca="1">OFFSET(raw!$G$10,정리!A78,0)</f>
        <v>0</v>
      </c>
      <c r="N78">
        <f ca="1">OFFSET(raw!$A$11,정리!A78,0)</f>
        <v>0</v>
      </c>
    </row>
    <row r="79" spans="1:14" ht="99.9" customHeight="1" x14ac:dyDescent="0.4">
      <c r="A79">
        <v>155</v>
      </c>
      <c r="B79">
        <f ca="1">OFFSET(raw!$A$10,정리!A79,0)</f>
        <v>0</v>
      </c>
      <c r="C79" t="str">
        <f t="shared" ca="1" si="4"/>
        <v>000000</v>
      </c>
      <c r="D79">
        <f ca="1">OFFSET(raw!$B$10,정리!A79,0)</f>
        <v>0</v>
      </c>
      <c r="E79">
        <f ca="1">OFFSET(raw!$B$11,정리!A79,0)</f>
        <v>0</v>
      </c>
      <c r="F79">
        <f ca="1">OFFSET(raw!$C$10,정리!A79,0)</f>
        <v>0</v>
      </c>
      <c r="G79">
        <f ca="1">OFFSET(raw!$C$11,정리!A79,0)</f>
        <v>0</v>
      </c>
      <c r="H79">
        <f ca="1">OFFSET(raw!$D$10,정리!A79,0)</f>
        <v>0</v>
      </c>
      <c r="I79">
        <f ca="1">OFFSET(raw!$D$11,정리!A79,0)</f>
        <v>0</v>
      </c>
      <c r="J79">
        <f ca="1">OFFSET(raw!$E$10,정리!A79,0)</f>
        <v>0</v>
      </c>
      <c r="K79">
        <f ca="1">OFFSET(raw!$F$10,정리!A79,0)</f>
        <v>0</v>
      </c>
      <c r="L79" s="9" t="str">
        <f t="shared" ca="1" si="5"/>
        <v>0</v>
      </c>
      <c r="M79">
        <f ca="1">OFFSET(raw!$G$10,정리!A79,0)</f>
        <v>0</v>
      </c>
      <c r="N79">
        <f ca="1">OFFSET(raw!$A$11,정리!A79,0)</f>
        <v>0</v>
      </c>
    </row>
    <row r="80" spans="1:14" ht="99.9" customHeight="1" x14ac:dyDescent="0.4">
      <c r="A80">
        <v>157</v>
      </c>
      <c r="B80">
        <f ca="1">OFFSET(raw!$A$10,정리!A80,0)</f>
        <v>0</v>
      </c>
      <c r="C80" t="str">
        <f t="shared" ca="1" si="4"/>
        <v>000000</v>
      </c>
      <c r="D80">
        <f ca="1">OFFSET(raw!$B$10,정리!A80,0)</f>
        <v>0</v>
      </c>
      <c r="E80">
        <f ca="1">OFFSET(raw!$B$11,정리!A80,0)</f>
        <v>0</v>
      </c>
      <c r="F80">
        <f ca="1">OFFSET(raw!$C$10,정리!A80,0)</f>
        <v>0</v>
      </c>
      <c r="G80">
        <f ca="1">OFFSET(raw!$C$11,정리!A80,0)</f>
        <v>0</v>
      </c>
      <c r="H80">
        <f ca="1">OFFSET(raw!$D$10,정리!A80,0)</f>
        <v>0</v>
      </c>
      <c r="I80">
        <f ca="1">OFFSET(raw!$D$11,정리!A80,0)</f>
        <v>0</v>
      </c>
      <c r="J80">
        <f ca="1">OFFSET(raw!$E$10,정리!A80,0)</f>
        <v>0</v>
      </c>
      <c r="K80">
        <f ca="1">OFFSET(raw!$F$10,정리!A80,0)</f>
        <v>0</v>
      </c>
      <c r="L80" s="9" t="str">
        <f t="shared" ca="1" si="5"/>
        <v>0</v>
      </c>
      <c r="M80">
        <f ca="1">OFFSET(raw!$G$10,정리!A80,0)</f>
        <v>0</v>
      </c>
      <c r="N80">
        <f ca="1">OFFSET(raw!$A$11,정리!A80,0)</f>
        <v>0</v>
      </c>
    </row>
    <row r="81" spans="1:14" ht="99.9" customHeight="1" x14ac:dyDescent="0.4">
      <c r="A81">
        <v>159</v>
      </c>
      <c r="B81">
        <f ca="1">OFFSET(raw!$A$10,정리!A81,0)</f>
        <v>0</v>
      </c>
      <c r="C81" t="str">
        <f t="shared" ca="1" si="4"/>
        <v>000000</v>
      </c>
      <c r="D81">
        <f ca="1">OFFSET(raw!$B$10,정리!A81,0)</f>
        <v>0</v>
      </c>
      <c r="E81">
        <f ca="1">OFFSET(raw!$B$11,정리!A81,0)</f>
        <v>0</v>
      </c>
      <c r="F81">
        <f ca="1">OFFSET(raw!$C$10,정리!A81,0)</f>
        <v>0</v>
      </c>
      <c r="G81">
        <f ca="1">OFFSET(raw!$C$11,정리!A81,0)</f>
        <v>0</v>
      </c>
      <c r="H81">
        <f ca="1">OFFSET(raw!$D$10,정리!A81,0)</f>
        <v>0</v>
      </c>
      <c r="I81">
        <f ca="1">OFFSET(raw!$D$11,정리!A81,0)</f>
        <v>0</v>
      </c>
      <c r="J81">
        <f ca="1">OFFSET(raw!$E$10,정리!A81,0)</f>
        <v>0</v>
      </c>
      <c r="K81">
        <f ca="1">OFFSET(raw!$F$10,정리!A81,0)</f>
        <v>0</v>
      </c>
      <c r="L81" s="9" t="str">
        <f t="shared" ca="1" si="5"/>
        <v>0</v>
      </c>
      <c r="M81">
        <f ca="1">OFFSET(raw!$G$10,정리!A81,0)</f>
        <v>0</v>
      </c>
      <c r="N81">
        <f ca="1">OFFSET(raw!$A$11,정리!A81,0)</f>
        <v>0</v>
      </c>
    </row>
    <row r="82" spans="1:14" ht="99.9" customHeight="1" x14ac:dyDescent="0.4">
      <c r="A82">
        <v>161</v>
      </c>
      <c r="B82">
        <f ca="1">OFFSET(raw!$A$10,정리!A82,0)</f>
        <v>0</v>
      </c>
      <c r="C82" t="str">
        <f t="shared" ca="1" si="4"/>
        <v>000000</v>
      </c>
      <c r="D82">
        <f ca="1">OFFSET(raw!$B$10,정리!A82,0)</f>
        <v>0</v>
      </c>
      <c r="E82">
        <f ca="1">OFFSET(raw!$B$11,정리!A82,0)</f>
        <v>0</v>
      </c>
      <c r="F82">
        <f ca="1">OFFSET(raw!$C$10,정리!A82,0)</f>
        <v>0</v>
      </c>
      <c r="G82">
        <f ca="1">OFFSET(raw!$C$11,정리!A82,0)</f>
        <v>0</v>
      </c>
      <c r="H82">
        <f ca="1">OFFSET(raw!$D$10,정리!A82,0)</f>
        <v>0</v>
      </c>
      <c r="I82">
        <f ca="1">OFFSET(raw!$D$11,정리!A82,0)</f>
        <v>0</v>
      </c>
      <c r="J82">
        <f ca="1">OFFSET(raw!$E$10,정리!A82,0)</f>
        <v>0</v>
      </c>
      <c r="K82">
        <f ca="1">OFFSET(raw!$F$10,정리!A82,0)</f>
        <v>0</v>
      </c>
      <c r="L82" s="9" t="str">
        <f t="shared" ca="1" si="5"/>
        <v>0</v>
      </c>
      <c r="M82">
        <f ca="1">OFFSET(raw!$G$10,정리!A82,0)</f>
        <v>0</v>
      </c>
      <c r="N82">
        <f ca="1">OFFSET(raw!$A$11,정리!A82,0)</f>
        <v>0</v>
      </c>
    </row>
    <row r="83" spans="1:14" ht="99.9" customHeight="1" x14ac:dyDescent="0.4">
      <c r="A83">
        <v>163</v>
      </c>
      <c r="B83">
        <f ca="1">OFFSET(raw!$A$10,정리!A83,0)</f>
        <v>0</v>
      </c>
      <c r="C83" t="str">
        <f t="shared" ca="1" si="4"/>
        <v>000000</v>
      </c>
      <c r="D83">
        <f ca="1">OFFSET(raw!$B$10,정리!A83,0)</f>
        <v>0</v>
      </c>
      <c r="E83">
        <f ca="1">OFFSET(raw!$B$11,정리!A83,0)</f>
        <v>0</v>
      </c>
      <c r="F83">
        <f ca="1">OFFSET(raw!$C$10,정리!A83,0)</f>
        <v>0</v>
      </c>
      <c r="G83">
        <f ca="1">OFFSET(raw!$C$11,정리!A83,0)</f>
        <v>0</v>
      </c>
      <c r="H83">
        <f ca="1">OFFSET(raw!$D$10,정리!A83,0)</f>
        <v>0</v>
      </c>
      <c r="I83">
        <f ca="1">OFFSET(raw!$D$11,정리!A83,0)</f>
        <v>0</v>
      </c>
      <c r="J83">
        <f ca="1">OFFSET(raw!$E$10,정리!A83,0)</f>
        <v>0</v>
      </c>
      <c r="K83">
        <f ca="1">OFFSET(raw!$F$10,정리!A83,0)</f>
        <v>0</v>
      </c>
      <c r="L83" s="9" t="str">
        <f t="shared" ca="1" si="5"/>
        <v>0</v>
      </c>
      <c r="M83">
        <f ca="1">OFFSET(raw!$G$10,정리!A83,0)</f>
        <v>0</v>
      </c>
      <c r="N83">
        <f ca="1">OFFSET(raw!$A$11,정리!A83,0)</f>
        <v>0</v>
      </c>
    </row>
    <row r="84" spans="1:14" ht="99.9" customHeight="1" x14ac:dyDescent="0.4">
      <c r="A84">
        <v>165</v>
      </c>
      <c r="B84">
        <f ca="1">OFFSET(raw!$A$10,정리!A84,0)</f>
        <v>0</v>
      </c>
      <c r="C84" t="str">
        <f t="shared" ca="1" si="4"/>
        <v>000000</v>
      </c>
      <c r="D84">
        <f ca="1">OFFSET(raw!$B$10,정리!A84,0)</f>
        <v>0</v>
      </c>
      <c r="E84">
        <f ca="1">OFFSET(raw!$B$11,정리!A84,0)</f>
        <v>0</v>
      </c>
      <c r="F84">
        <f ca="1">OFFSET(raw!$C$10,정리!A84,0)</f>
        <v>0</v>
      </c>
      <c r="G84">
        <f ca="1">OFFSET(raw!$C$11,정리!A84,0)</f>
        <v>0</v>
      </c>
      <c r="H84">
        <f ca="1">OFFSET(raw!$D$10,정리!A84,0)</f>
        <v>0</v>
      </c>
      <c r="I84">
        <f ca="1">OFFSET(raw!$D$11,정리!A84,0)</f>
        <v>0</v>
      </c>
      <c r="J84">
        <f ca="1">OFFSET(raw!$E$10,정리!A84,0)</f>
        <v>0</v>
      </c>
      <c r="K84">
        <f ca="1">OFFSET(raw!$F$10,정리!A84,0)</f>
        <v>0</v>
      </c>
      <c r="L84" s="9" t="str">
        <f t="shared" ca="1" si="5"/>
        <v>0</v>
      </c>
      <c r="M84">
        <f ca="1">OFFSET(raw!$G$10,정리!A84,0)</f>
        <v>0</v>
      </c>
      <c r="N84">
        <f ca="1">OFFSET(raw!$A$11,정리!A84,0)</f>
        <v>0</v>
      </c>
    </row>
    <row r="85" spans="1:14" ht="99.9" customHeight="1" x14ac:dyDescent="0.4">
      <c r="A85">
        <v>167</v>
      </c>
      <c r="B85">
        <f ca="1">OFFSET(raw!$A$10,정리!A85,0)</f>
        <v>0</v>
      </c>
      <c r="C85" t="str">
        <f t="shared" ca="1" si="4"/>
        <v>000000</v>
      </c>
      <c r="D85">
        <f ca="1">OFFSET(raw!$B$10,정리!A85,0)</f>
        <v>0</v>
      </c>
      <c r="E85">
        <f ca="1">OFFSET(raw!$B$11,정리!A85,0)</f>
        <v>0</v>
      </c>
      <c r="F85">
        <f ca="1">OFFSET(raw!$C$10,정리!A85,0)</f>
        <v>0</v>
      </c>
      <c r="G85">
        <f ca="1">OFFSET(raw!$C$11,정리!A85,0)</f>
        <v>0</v>
      </c>
      <c r="H85">
        <f ca="1">OFFSET(raw!$D$10,정리!A85,0)</f>
        <v>0</v>
      </c>
      <c r="I85">
        <f ca="1">OFFSET(raw!$D$11,정리!A85,0)</f>
        <v>0</v>
      </c>
      <c r="J85">
        <f ca="1">OFFSET(raw!$E$10,정리!A85,0)</f>
        <v>0</v>
      </c>
      <c r="K85">
        <f ca="1">OFFSET(raw!$F$10,정리!A85,0)</f>
        <v>0</v>
      </c>
      <c r="L85" s="9" t="str">
        <f t="shared" ca="1" si="5"/>
        <v>0</v>
      </c>
      <c r="M85">
        <f ca="1">OFFSET(raw!$G$10,정리!A85,0)</f>
        <v>0</v>
      </c>
      <c r="N85">
        <f ca="1">OFFSET(raw!$A$11,정리!A85,0)</f>
        <v>0</v>
      </c>
    </row>
    <row r="86" spans="1:14" ht="99.9" customHeight="1" x14ac:dyDescent="0.4">
      <c r="A86">
        <v>169</v>
      </c>
      <c r="B86">
        <f ca="1">OFFSET(raw!$A$10,정리!A86,0)</f>
        <v>0</v>
      </c>
      <c r="C86" t="str">
        <f t="shared" ca="1" si="4"/>
        <v>000000</v>
      </c>
      <c r="D86">
        <f ca="1">OFFSET(raw!$B$10,정리!A86,0)</f>
        <v>0</v>
      </c>
      <c r="E86">
        <f ca="1">OFFSET(raw!$B$11,정리!A86,0)</f>
        <v>0</v>
      </c>
      <c r="F86">
        <f ca="1">OFFSET(raw!$C$10,정리!A86,0)</f>
        <v>0</v>
      </c>
      <c r="G86">
        <f ca="1">OFFSET(raw!$C$11,정리!A86,0)</f>
        <v>0</v>
      </c>
      <c r="H86">
        <f ca="1">OFFSET(raw!$D$10,정리!A86,0)</f>
        <v>0</v>
      </c>
      <c r="I86">
        <f ca="1">OFFSET(raw!$D$11,정리!A86,0)</f>
        <v>0</v>
      </c>
      <c r="J86">
        <f ca="1">OFFSET(raw!$E$10,정리!A86,0)</f>
        <v>0</v>
      </c>
      <c r="K86">
        <f ca="1">OFFSET(raw!$F$10,정리!A86,0)</f>
        <v>0</v>
      </c>
      <c r="L86" s="9" t="str">
        <f t="shared" ca="1" si="5"/>
        <v>0</v>
      </c>
      <c r="M86">
        <f ca="1">OFFSET(raw!$G$10,정리!A86,0)</f>
        <v>0</v>
      </c>
      <c r="N86">
        <f ca="1">OFFSET(raw!$A$11,정리!A86,0)</f>
        <v>0</v>
      </c>
    </row>
    <row r="87" spans="1:14" ht="99.9" customHeight="1" x14ac:dyDescent="0.4">
      <c r="A87">
        <v>171</v>
      </c>
      <c r="B87">
        <f ca="1">OFFSET(raw!$A$10,정리!A87,0)</f>
        <v>0</v>
      </c>
      <c r="C87" t="str">
        <f t="shared" ca="1" si="4"/>
        <v>000000</v>
      </c>
      <c r="D87">
        <f ca="1">OFFSET(raw!$B$10,정리!A87,0)</f>
        <v>0</v>
      </c>
      <c r="E87">
        <f ca="1">OFFSET(raw!$B$11,정리!A87,0)</f>
        <v>0</v>
      </c>
      <c r="F87">
        <f ca="1">OFFSET(raw!$C$10,정리!A87,0)</f>
        <v>0</v>
      </c>
      <c r="G87">
        <f ca="1">OFFSET(raw!$C$11,정리!A87,0)</f>
        <v>0</v>
      </c>
      <c r="H87">
        <f ca="1">OFFSET(raw!$D$10,정리!A87,0)</f>
        <v>0</v>
      </c>
      <c r="I87">
        <f ca="1">OFFSET(raw!$D$11,정리!A87,0)</f>
        <v>0</v>
      </c>
      <c r="J87">
        <f ca="1">OFFSET(raw!$E$10,정리!A87,0)</f>
        <v>0</v>
      </c>
      <c r="K87">
        <f ca="1">OFFSET(raw!$F$10,정리!A87,0)</f>
        <v>0</v>
      </c>
      <c r="L87" s="9" t="str">
        <f t="shared" ca="1" si="5"/>
        <v>0</v>
      </c>
      <c r="M87">
        <f ca="1">OFFSET(raw!$G$10,정리!A87,0)</f>
        <v>0</v>
      </c>
      <c r="N87">
        <f ca="1">OFFSET(raw!$A$11,정리!A87,0)</f>
        <v>0</v>
      </c>
    </row>
    <row r="88" spans="1:14" ht="99.9" customHeight="1" x14ac:dyDescent="0.4">
      <c r="A88">
        <v>173</v>
      </c>
      <c r="B88">
        <f ca="1">OFFSET(raw!$A$10,정리!A88,0)</f>
        <v>0</v>
      </c>
      <c r="C88" t="str">
        <f t="shared" ca="1" si="4"/>
        <v>000000</v>
      </c>
      <c r="D88">
        <f ca="1">OFFSET(raw!$B$10,정리!A88,0)</f>
        <v>0</v>
      </c>
      <c r="E88">
        <f ca="1">OFFSET(raw!$B$11,정리!A88,0)</f>
        <v>0</v>
      </c>
      <c r="F88">
        <f ca="1">OFFSET(raw!$C$10,정리!A88,0)</f>
        <v>0</v>
      </c>
      <c r="G88">
        <f ca="1">OFFSET(raw!$C$11,정리!A88,0)</f>
        <v>0</v>
      </c>
      <c r="H88">
        <f ca="1">OFFSET(raw!$D$10,정리!A88,0)</f>
        <v>0</v>
      </c>
      <c r="I88">
        <f ca="1">OFFSET(raw!$D$11,정리!A88,0)</f>
        <v>0</v>
      </c>
      <c r="J88">
        <f ca="1">OFFSET(raw!$E$10,정리!A88,0)</f>
        <v>0</v>
      </c>
      <c r="K88">
        <f ca="1">OFFSET(raw!$F$10,정리!A88,0)</f>
        <v>0</v>
      </c>
      <c r="L88" s="9" t="str">
        <f t="shared" ca="1" si="5"/>
        <v>0</v>
      </c>
      <c r="M88">
        <f ca="1">OFFSET(raw!$G$10,정리!A88,0)</f>
        <v>0</v>
      </c>
      <c r="N88">
        <f ca="1">OFFSET(raw!$A$11,정리!A88,0)</f>
        <v>0</v>
      </c>
    </row>
    <row r="89" spans="1:14" ht="99.9" customHeight="1" x14ac:dyDescent="0.4">
      <c r="A89">
        <v>175</v>
      </c>
      <c r="B89">
        <f ca="1">OFFSET(raw!$A$10,정리!A89,0)</f>
        <v>0</v>
      </c>
      <c r="C89" t="str">
        <f t="shared" ca="1" si="4"/>
        <v>000000</v>
      </c>
      <c r="D89">
        <f ca="1">OFFSET(raw!$B$10,정리!A89,0)</f>
        <v>0</v>
      </c>
      <c r="E89">
        <f ca="1">OFFSET(raw!$B$11,정리!A89,0)</f>
        <v>0</v>
      </c>
      <c r="F89">
        <f ca="1">OFFSET(raw!$C$10,정리!A89,0)</f>
        <v>0</v>
      </c>
      <c r="G89">
        <f ca="1">OFFSET(raw!$C$11,정리!A89,0)</f>
        <v>0</v>
      </c>
      <c r="H89">
        <f ca="1">OFFSET(raw!$D$10,정리!A89,0)</f>
        <v>0</v>
      </c>
      <c r="I89">
        <f ca="1">OFFSET(raw!$D$11,정리!A89,0)</f>
        <v>0</v>
      </c>
      <c r="J89">
        <f ca="1">OFFSET(raw!$E$10,정리!A89,0)</f>
        <v>0</v>
      </c>
      <c r="K89">
        <f ca="1">OFFSET(raw!$F$10,정리!A89,0)</f>
        <v>0</v>
      </c>
      <c r="L89" s="9" t="str">
        <f t="shared" ca="1" si="5"/>
        <v>0</v>
      </c>
      <c r="M89">
        <f ca="1">OFFSET(raw!$G$10,정리!A89,0)</f>
        <v>0</v>
      </c>
      <c r="N89">
        <f ca="1">OFFSET(raw!$A$11,정리!A89,0)</f>
        <v>0</v>
      </c>
    </row>
    <row r="90" spans="1:14" ht="99.9" customHeight="1" x14ac:dyDescent="0.4">
      <c r="A90">
        <v>177</v>
      </c>
      <c r="B90">
        <f ca="1">OFFSET(raw!$A$10,정리!A90,0)</f>
        <v>0</v>
      </c>
      <c r="C90" t="str">
        <f t="shared" ca="1" si="4"/>
        <v>000000</v>
      </c>
      <c r="D90">
        <f ca="1">OFFSET(raw!$B$10,정리!A90,0)</f>
        <v>0</v>
      </c>
      <c r="E90">
        <f ca="1">OFFSET(raw!$B$11,정리!A90,0)</f>
        <v>0</v>
      </c>
      <c r="F90">
        <f ca="1">OFFSET(raw!$C$10,정리!A90,0)</f>
        <v>0</v>
      </c>
      <c r="G90">
        <f ca="1">OFFSET(raw!$C$11,정리!A90,0)</f>
        <v>0</v>
      </c>
      <c r="H90">
        <f ca="1">OFFSET(raw!$D$10,정리!A90,0)</f>
        <v>0</v>
      </c>
      <c r="I90">
        <f ca="1">OFFSET(raw!$D$11,정리!A90,0)</f>
        <v>0</v>
      </c>
      <c r="J90">
        <f ca="1">OFFSET(raw!$E$10,정리!A90,0)</f>
        <v>0</v>
      </c>
      <c r="K90">
        <f ca="1">OFFSET(raw!$F$10,정리!A90,0)</f>
        <v>0</v>
      </c>
      <c r="L90" s="9" t="str">
        <f t="shared" ca="1" si="5"/>
        <v>0</v>
      </c>
      <c r="M90">
        <f ca="1">OFFSET(raw!$G$10,정리!A90,0)</f>
        <v>0</v>
      </c>
      <c r="N90">
        <f ca="1">OFFSET(raw!$A$11,정리!A90,0)</f>
        <v>0</v>
      </c>
    </row>
    <row r="91" spans="1:14" ht="99.9" customHeight="1" x14ac:dyDescent="0.4">
      <c r="A91">
        <v>179</v>
      </c>
      <c r="B91">
        <f ca="1">OFFSET(raw!$A$10,정리!A91,0)</f>
        <v>0</v>
      </c>
      <c r="C91" t="str">
        <f t="shared" ca="1" si="4"/>
        <v>000000</v>
      </c>
      <c r="D91">
        <f ca="1">OFFSET(raw!$B$10,정리!A91,0)</f>
        <v>0</v>
      </c>
      <c r="E91">
        <f ca="1">OFFSET(raw!$B$11,정리!A91,0)</f>
        <v>0</v>
      </c>
      <c r="F91">
        <f ca="1">OFFSET(raw!$C$10,정리!A91,0)</f>
        <v>0</v>
      </c>
      <c r="G91">
        <f ca="1">OFFSET(raw!$C$11,정리!A91,0)</f>
        <v>0</v>
      </c>
      <c r="H91">
        <f ca="1">OFFSET(raw!$D$10,정리!A91,0)</f>
        <v>0</v>
      </c>
      <c r="I91">
        <f ca="1">OFFSET(raw!$D$11,정리!A91,0)</f>
        <v>0</v>
      </c>
      <c r="J91">
        <f ca="1">OFFSET(raw!$E$10,정리!A91,0)</f>
        <v>0</v>
      </c>
      <c r="K91">
        <f ca="1">OFFSET(raw!$F$10,정리!A91,0)</f>
        <v>0</v>
      </c>
      <c r="L91" s="9" t="str">
        <f t="shared" ca="1" si="5"/>
        <v>0</v>
      </c>
      <c r="M91">
        <f ca="1">OFFSET(raw!$G$10,정리!A91,0)</f>
        <v>0</v>
      </c>
      <c r="N91">
        <f ca="1">OFFSET(raw!$A$11,정리!A91,0)</f>
        <v>0</v>
      </c>
    </row>
    <row r="92" spans="1:14" ht="99.9" customHeight="1" x14ac:dyDescent="0.4">
      <c r="A92">
        <v>181</v>
      </c>
      <c r="B92">
        <f ca="1">OFFSET(raw!$A$10,정리!A92,0)</f>
        <v>0</v>
      </c>
      <c r="C92" t="str">
        <f t="shared" ca="1" si="4"/>
        <v>000000</v>
      </c>
      <c r="D92">
        <f ca="1">OFFSET(raw!$B$10,정리!A92,0)</f>
        <v>0</v>
      </c>
      <c r="E92">
        <f ca="1">OFFSET(raw!$B$11,정리!A92,0)</f>
        <v>0</v>
      </c>
      <c r="F92">
        <f ca="1">OFFSET(raw!$C$10,정리!A92,0)</f>
        <v>0</v>
      </c>
      <c r="G92">
        <f ca="1">OFFSET(raw!$C$11,정리!A92,0)</f>
        <v>0</v>
      </c>
      <c r="H92">
        <f ca="1">OFFSET(raw!$D$10,정리!A92,0)</f>
        <v>0</v>
      </c>
      <c r="I92">
        <f ca="1">OFFSET(raw!$D$11,정리!A92,0)</f>
        <v>0</v>
      </c>
      <c r="J92">
        <f ca="1">OFFSET(raw!$E$10,정리!A92,0)</f>
        <v>0</v>
      </c>
      <c r="K92">
        <f ca="1">OFFSET(raw!$F$10,정리!A92,0)</f>
        <v>0</v>
      </c>
      <c r="L92" s="9" t="str">
        <f t="shared" ca="1" si="5"/>
        <v>0</v>
      </c>
      <c r="M92">
        <f ca="1">OFFSET(raw!$G$10,정리!A92,0)</f>
        <v>0</v>
      </c>
      <c r="N92">
        <f ca="1">OFFSET(raw!$A$11,정리!A92,0)</f>
        <v>0</v>
      </c>
    </row>
    <row r="93" spans="1:14" ht="99.9" customHeight="1" x14ac:dyDescent="0.4">
      <c r="A93">
        <v>183</v>
      </c>
      <c r="B93">
        <f ca="1">OFFSET(raw!$A$10,정리!A93,0)</f>
        <v>0</v>
      </c>
      <c r="C93" t="str">
        <f t="shared" ca="1" si="4"/>
        <v>000000</v>
      </c>
      <c r="D93">
        <f ca="1">OFFSET(raw!$B$10,정리!A93,0)</f>
        <v>0</v>
      </c>
      <c r="E93">
        <f ca="1">OFFSET(raw!$B$11,정리!A93,0)</f>
        <v>0</v>
      </c>
      <c r="F93">
        <f ca="1">OFFSET(raw!$C$10,정리!A93,0)</f>
        <v>0</v>
      </c>
      <c r="G93">
        <f ca="1">OFFSET(raw!$C$11,정리!A93,0)</f>
        <v>0</v>
      </c>
      <c r="H93">
        <f ca="1">OFFSET(raw!$D$10,정리!A93,0)</f>
        <v>0</v>
      </c>
      <c r="I93">
        <f ca="1">OFFSET(raw!$D$11,정리!A93,0)</f>
        <v>0</v>
      </c>
      <c r="J93">
        <f ca="1">OFFSET(raw!$E$10,정리!A93,0)</f>
        <v>0</v>
      </c>
      <c r="K93">
        <f ca="1">OFFSET(raw!$F$10,정리!A93,0)</f>
        <v>0</v>
      </c>
      <c r="L93" s="9" t="str">
        <f t="shared" ca="1" si="5"/>
        <v>0</v>
      </c>
      <c r="M93">
        <f ca="1">OFFSET(raw!$G$10,정리!A93,0)</f>
        <v>0</v>
      </c>
      <c r="N93">
        <f ca="1">OFFSET(raw!$A$11,정리!A93,0)</f>
        <v>0</v>
      </c>
    </row>
    <row r="94" spans="1:14" ht="99.9" customHeight="1" x14ac:dyDescent="0.4">
      <c r="A94">
        <v>185</v>
      </c>
      <c r="B94">
        <f ca="1">OFFSET(raw!$A$10,정리!A94,0)</f>
        <v>0</v>
      </c>
      <c r="C94" t="str">
        <f t="shared" ca="1" si="4"/>
        <v>000000</v>
      </c>
      <c r="D94">
        <f ca="1">OFFSET(raw!$B$10,정리!A94,0)</f>
        <v>0</v>
      </c>
      <c r="E94">
        <f ca="1">OFFSET(raw!$B$11,정리!A94,0)</f>
        <v>0</v>
      </c>
      <c r="F94">
        <f ca="1">OFFSET(raw!$C$10,정리!A94,0)</f>
        <v>0</v>
      </c>
      <c r="G94">
        <f ca="1">OFFSET(raw!$C$11,정리!A94,0)</f>
        <v>0</v>
      </c>
      <c r="H94">
        <f ca="1">OFFSET(raw!$D$10,정리!A94,0)</f>
        <v>0</v>
      </c>
      <c r="I94">
        <f ca="1">OFFSET(raw!$D$11,정리!A94,0)</f>
        <v>0</v>
      </c>
      <c r="J94">
        <f ca="1">OFFSET(raw!$E$10,정리!A94,0)</f>
        <v>0</v>
      </c>
      <c r="K94">
        <f ca="1">OFFSET(raw!$F$10,정리!A94,0)</f>
        <v>0</v>
      </c>
      <c r="L94" s="9" t="str">
        <f t="shared" ca="1" si="5"/>
        <v>0</v>
      </c>
      <c r="M94">
        <f ca="1">OFFSET(raw!$G$10,정리!A94,0)</f>
        <v>0</v>
      </c>
      <c r="N94">
        <f ca="1">OFFSET(raw!$A$11,정리!A94,0)</f>
        <v>0</v>
      </c>
    </row>
    <row r="95" spans="1:14" ht="99.9" customHeight="1" x14ac:dyDescent="0.4">
      <c r="A95">
        <v>187</v>
      </c>
      <c r="B95">
        <f ca="1">OFFSET(raw!$A$10,정리!A95,0)</f>
        <v>0</v>
      </c>
      <c r="C95" t="str">
        <f t="shared" ca="1" si="4"/>
        <v>000000</v>
      </c>
      <c r="D95">
        <f ca="1">OFFSET(raw!$B$10,정리!A95,0)</f>
        <v>0</v>
      </c>
      <c r="E95">
        <f ca="1">OFFSET(raw!$B$11,정리!A95,0)</f>
        <v>0</v>
      </c>
      <c r="F95">
        <f ca="1">OFFSET(raw!$C$10,정리!A95,0)</f>
        <v>0</v>
      </c>
      <c r="G95">
        <f ca="1">OFFSET(raw!$C$11,정리!A95,0)</f>
        <v>0</v>
      </c>
      <c r="H95">
        <f ca="1">OFFSET(raw!$D$10,정리!A95,0)</f>
        <v>0</v>
      </c>
      <c r="I95">
        <f ca="1">OFFSET(raw!$D$11,정리!A95,0)</f>
        <v>0</v>
      </c>
      <c r="J95">
        <f ca="1">OFFSET(raw!$E$10,정리!A95,0)</f>
        <v>0</v>
      </c>
      <c r="K95">
        <f ca="1">OFFSET(raw!$F$10,정리!A95,0)</f>
        <v>0</v>
      </c>
      <c r="L95" s="9" t="str">
        <f t="shared" ca="1" si="5"/>
        <v>0</v>
      </c>
      <c r="M95">
        <f ca="1">OFFSET(raw!$G$10,정리!A95,0)</f>
        <v>0</v>
      </c>
      <c r="N95">
        <f ca="1">OFFSET(raw!$A$11,정리!A95,0)</f>
        <v>0</v>
      </c>
    </row>
    <row r="96" spans="1:14" ht="99.9" customHeight="1" x14ac:dyDescent="0.4">
      <c r="A96">
        <v>189</v>
      </c>
      <c r="B96">
        <f ca="1">OFFSET(raw!$A$10,정리!A96,0)</f>
        <v>0</v>
      </c>
      <c r="C96" t="str">
        <f t="shared" ca="1" si="4"/>
        <v>000000</v>
      </c>
      <c r="D96">
        <f ca="1">OFFSET(raw!$B$10,정리!A96,0)</f>
        <v>0</v>
      </c>
      <c r="E96">
        <f ca="1">OFFSET(raw!$B$11,정리!A96,0)</f>
        <v>0</v>
      </c>
      <c r="F96">
        <f ca="1">OFFSET(raw!$C$10,정리!A96,0)</f>
        <v>0</v>
      </c>
      <c r="G96">
        <f ca="1">OFFSET(raw!$C$11,정리!A96,0)</f>
        <v>0</v>
      </c>
      <c r="H96">
        <f ca="1">OFFSET(raw!$D$10,정리!A96,0)</f>
        <v>0</v>
      </c>
      <c r="I96">
        <f ca="1">OFFSET(raw!$D$11,정리!A96,0)</f>
        <v>0</v>
      </c>
      <c r="J96">
        <f ca="1">OFFSET(raw!$E$10,정리!A96,0)</f>
        <v>0</v>
      </c>
      <c r="K96">
        <f ca="1">OFFSET(raw!$F$10,정리!A96,0)</f>
        <v>0</v>
      </c>
      <c r="L96" s="9" t="str">
        <f t="shared" ca="1" si="5"/>
        <v>0</v>
      </c>
      <c r="M96">
        <f ca="1">OFFSET(raw!$G$10,정리!A96,0)</f>
        <v>0</v>
      </c>
      <c r="N96">
        <f ca="1">OFFSET(raw!$A$11,정리!A96,0)</f>
        <v>0</v>
      </c>
    </row>
    <row r="97" spans="1:14" ht="99.9" customHeight="1" x14ac:dyDescent="0.4">
      <c r="A97">
        <v>191</v>
      </c>
      <c r="B97">
        <f ca="1">OFFSET(raw!$A$10,정리!A97,0)</f>
        <v>0</v>
      </c>
      <c r="C97" t="str">
        <f t="shared" ca="1" si="4"/>
        <v>000000</v>
      </c>
      <c r="D97">
        <f ca="1">OFFSET(raw!$B$10,정리!A97,0)</f>
        <v>0</v>
      </c>
      <c r="E97">
        <f ca="1">OFFSET(raw!$B$11,정리!A97,0)</f>
        <v>0</v>
      </c>
      <c r="F97">
        <f ca="1">OFFSET(raw!$C$10,정리!A97,0)</f>
        <v>0</v>
      </c>
      <c r="G97">
        <f ca="1">OFFSET(raw!$C$11,정리!A97,0)</f>
        <v>0</v>
      </c>
      <c r="H97">
        <f ca="1">OFFSET(raw!$D$10,정리!A97,0)</f>
        <v>0</v>
      </c>
      <c r="I97">
        <f ca="1">OFFSET(raw!$D$11,정리!A97,0)</f>
        <v>0</v>
      </c>
      <c r="J97">
        <f ca="1">OFFSET(raw!$E$10,정리!A97,0)</f>
        <v>0</v>
      </c>
      <c r="K97">
        <f ca="1">OFFSET(raw!$F$10,정리!A97,0)</f>
        <v>0</v>
      </c>
      <c r="L97" s="9" t="str">
        <f t="shared" ca="1" si="5"/>
        <v>0</v>
      </c>
      <c r="M97">
        <f ca="1">OFFSET(raw!$G$10,정리!A97,0)</f>
        <v>0</v>
      </c>
      <c r="N97">
        <f ca="1">OFFSET(raw!$A$11,정리!A97,0)</f>
        <v>0</v>
      </c>
    </row>
    <row r="98" spans="1:14" ht="99.9" customHeight="1" x14ac:dyDescent="0.4">
      <c r="A98">
        <v>193</v>
      </c>
      <c r="B98">
        <f ca="1">OFFSET(raw!$A$10,정리!A98,0)</f>
        <v>0</v>
      </c>
      <c r="C98" t="str">
        <f t="shared" ref="C98:C129" ca="1" si="6">SUBSTITUTE(TEXT(N98,"000000"),"-","A")</f>
        <v>000000</v>
      </c>
      <c r="D98">
        <f ca="1">OFFSET(raw!$B$10,정리!A98,0)</f>
        <v>0</v>
      </c>
      <c r="E98">
        <f ca="1">OFFSET(raw!$B$11,정리!A98,0)</f>
        <v>0</v>
      </c>
      <c r="F98">
        <f ca="1">OFFSET(raw!$C$10,정리!A98,0)</f>
        <v>0</v>
      </c>
      <c r="G98">
        <f ca="1">OFFSET(raw!$C$11,정리!A98,0)</f>
        <v>0</v>
      </c>
      <c r="H98">
        <f ca="1">OFFSET(raw!$D$10,정리!A98,0)</f>
        <v>0</v>
      </c>
      <c r="I98">
        <f ca="1">OFFSET(raw!$D$11,정리!A98,0)</f>
        <v>0</v>
      </c>
      <c r="J98">
        <f ca="1">OFFSET(raw!$E$10,정리!A98,0)</f>
        <v>0</v>
      </c>
      <c r="K98">
        <f ca="1">OFFSET(raw!$F$10,정리!A98,0)</f>
        <v>0</v>
      </c>
      <c r="L98" s="9" t="str">
        <f t="shared" ref="L98:L129" ca="1" si="7">SUBSTITUTE(M98, " ▶ ", CHAR(10) &amp; "▶ ")</f>
        <v>0</v>
      </c>
      <c r="M98">
        <f ca="1">OFFSET(raw!$G$10,정리!A98,0)</f>
        <v>0</v>
      </c>
      <c r="N98">
        <f ca="1">OFFSET(raw!$A$11,정리!A98,0)</f>
        <v>0</v>
      </c>
    </row>
    <row r="99" spans="1:14" ht="99.9" customHeight="1" x14ac:dyDescent="0.4">
      <c r="A99">
        <v>195</v>
      </c>
      <c r="B99">
        <f ca="1">OFFSET(raw!$A$10,정리!A99,0)</f>
        <v>0</v>
      </c>
      <c r="C99" t="str">
        <f t="shared" ca="1" si="6"/>
        <v>000000</v>
      </c>
      <c r="D99">
        <f ca="1">OFFSET(raw!$B$10,정리!A99,0)</f>
        <v>0</v>
      </c>
      <c r="E99">
        <f ca="1">OFFSET(raw!$B$11,정리!A99,0)</f>
        <v>0</v>
      </c>
      <c r="F99">
        <f ca="1">OFFSET(raw!$C$10,정리!A99,0)</f>
        <v>0</v>
      </c>
      <c r="G99">
        <f ca="1">OFFSET(raw!$C$11,정리!A99,0)</f>
        <v>0</v>
      </c>
      <c r="H99">
        <f ca="1">OFFSET(raw!$D$10,정리!A99,0)</f>
        <v>0</v>
      </c>
      <c r="I99">
        <f ca="1">OFFSET(raw!$D$11,정리!A99,0)</f>
        <v>0</v>
      </c>
      <c r="J99">
        <f ca="1">OFFSET(raw!$E$10,정리!A99,0)</f>
        <v>0</v>
      </c>
      <c r="K99">
        <f ca="1">OFFSET(raw!$F$10,정리!A99,0)</f>
        <v>0</v>
      </c>
      <c r="L99" s="9" t="str">
        <f t="shared" ca="1" si="7"/>
        <v>0</v>
      </c>
      <c r="M99">
        <f ca="1">OFFSET(raw!$G$10,정리!A99,0)</f>
        <v>0</v>
      </c>
      <c r="N99">
        <f ca="1">OFFSET(raw!$A$11,정리!A99,0)</f>
        <v>0</v>
      </c>
    </row>
    <row r="100" spans="1:14" ht="99.9" customHeight="1" x14ac:dyDescent="0.4">
      <c r="A100">
        <v>197</v>
      </c>
      <c r="B100">
        <f ca="1">OFFSET(raw!$A$10,정리!A100,0)</f>
        <v>0</v>
      </c>
      <c r="C100" t="str">
        <f t="shared" ca="1" si="6"/>
        <v>000000</v>
      </c>
      <c r="D100">
        <f ca="1">OFFSET(raw!$B$10,정리!A100,0)</f>
        <v>0</v>
      </c>
      <c r="E100">
        <f ca="1">OFFSET(raw!$B$11,정리!A100,0)</f>
        <v>0</v>
      </c>
      <c r="F100">
        <f ca="1">OFFSET(raw!$C$10,정리!A100,0)</f>
        <v>0</v>
      </c>
      <c r="G100">
        <f ca="1">OFFSET(raw!$C$11,정리!A100,0)</f>
        <v>0</v>
      </c>
      <c r="H100">
        <f ca="1">OFFSET(raw!$D$10,정리!A100,0)</f>
        <v>0</v>
      </c>
      <c r="I100">
        <f ca="1">OFFSET(raw!$D$11,정리!A100,0)</f>
        <v>0</v>
      </c>
      <c r="J100">
        <f ca="1">OFFSET(raw!$E$10,정리!A100,0)</f>
        <v>0</v>
      </c>
      <c r="K100">
        <f ca="1">OFFSET(raw!$F$10,정리!A100,0)</f>
        <v>0</v>
      </c>
      <c r="L100" s="9" t="str">
        <f t="shared" ca="1" si="7"/>
        <v>0</v>
      </c>
      <c r="M100">
        <f ca="1">OFFSET(raw!$G$10,정리!A100,0)</f>
        <v>0</v>
      </c>
      <c r="N100">
        <f ca="1">OFFSET(raw!$A$11,정리!A100,0)</f>
        <v>0</v>
      </c>
    </row>
    <row r="101" spans="1:14" ht="99.9" customHeight="1" x14ac:dyDescent="0.4">
      <c r="A101">
        <v>199</v>
      </c>
      <c r="B101">
        <f ca="1">OFFSET(raw!$A$10,정리!A101,0)</f>
        <v>0</v>
      </c>
      <c r="C101" t="str">
        <f t="shared" ca="1" si="6"/>
        <v>000000</v>
      </c>
      <c r="D101">
        <f ca="1">OFFSET(raw!$B$10,정리!A101,0)</f>
        <v>0</v>
      </c>
      <c r="E101">
        <f ca="1">OFFSET(raw!$B$11,정리!A101,0)</f>
        <v>0</v>
      </c>
      <c r="F101">
        <f ca="1">OFFSET(raw!$C$10,정리!A101,0)</f>
        <v>0</v>
      </c>
      <c r="G101">
        <f ca="1">OFFSET(raw!$C$11,정리!A101,0)</f>
        <v>0</v>
      </c>
      <c r="H101">
        <f ca="1">OFFSET(raw!$D$10,정리!A101,0)</f>
        <v>0</v>
      </c>
      <c r="I101">
        <f ca="1">OFFSET(raw!$D$11,정리!A101,0)</f>
        <v>0</v>
      </c>
      <c r="J101">
        <f ca="1">OFFSET(raw!$E$10,정리!A101,0)</f>
        <v>0</v>
      </c>
      <c r="K101">
        <f ca="1">OFFSET(raw!$F$10,정리!A101,0)</f>
        <v>0</v>
      </c>
      <c r="L101" s="9" t="str">
        <f t="shared" ca="1" si="7"/>
        <v>0</v>
      </c>
      <c r="M101">
        <f ca="1">OFFSET(raw!$G$10,정리!A101,0)</f>
        <v>0</v>
      </c>
      <c r="N101">
        <f ca="1">OFFSET(raw!$A$11,정리!A101,0)</f>
        <v>0</v>
      </c>
    </row>
    <row r="102" spans="1:14" ht="99.9" customHeight="1" x14ac:dyDescent="0.4">
      <c r="A102">
        <v>201</v>
      </c>
      <c r="B102">
        <f ca="1">OFFSET(raw!$A$10,정리!A102,0)</f>
        <v>0</v>
      </c>
      <c r="C102" t="str">
        <f t="shared" ca="1" si="6"/>
        <v>000000</v>
      </c>
      <c r="D102">
        <f ca="1">OFFSET(raw!$B$10,정리!A102,0)</f>
        <v>0</v>
      </c>
      <c r="E102">
        <f ca="1">OFFSET(raw!$B$11,정리!A102,0)</f>
        <v>0</v>
      </c>
      <c r="F102">
        <f ca="1">OFFSET(raw!$C$10,정리!A102,0)</f>
        <v>0</v>
      </c>
      <c r="G102">
        <f ca="1">OFFSET(raw!$C$11,정리!A102,0)</f>
        <v>0</v>
      </c>
      <c r="H102">
        <f ca="1">OFFSET(raw!$D$10,정리!A102,0)</f>
        <v>0</v>
      </c>
      <c r="I102">
        <f ca="1">OFFSET(raw!$D$11,정리!A102,0)</f>
        <v>0</v>
      </c>
      <c r="J102">
        <f ca="1">OFFSET(raw!$E$10,정리!A102,0)</f>
        <v>0</v>
      </c>
      <c r="K102">
        <f ca="1">OFFSET(raw!$F$10,정리!A102,0)</f>
        <v>0</v>
      </c>
      <c r="L102" s="9" t="str">
        <f t="shared" ca="1" si="7"/>
        <v>0</v>
      </c>
      <c r="M102">
        <f ca="1">OFFSET(raw!$G$10,정리!A102,0)</f>
        <v>0</v>
      </c>
      <c r="N102">
        <f ca="1">OFFSET(raw!$A$11,정리!A102,0)</f>
        <v>0</v>
      </c>
    </row>
    <row r="103" spans="1:14" ht="99.9" customHeight="1" x14ac:dyDescent="0.4">
      <c r="A103">
        <v>203</v>
      </c>
      <c r="B103">
        <f ca="1">OFFSET(raw!$A$10,정리!A103,0)</f>
        <v>0</v>
      </c>
      <c r="C103" t="str">
        <f t="shared" ca="1" si="6"/>
        <v>000000</v>
      </c>
      <c r="D103">
        <f ca="1">OFFSET(raw!$B$10,정리!A103,0)</f>
        <v>0</v>
      </c>
      <c r="E103">
        <f ca="1">OFFSET(raw!$B$11,정리!A103,0)</f>
        <v>0</v>
      </c>
      <c r="F103">
        <f ca="1">OFFSET(raw!$C$10,정리!A103,0)</f>
        <v>0</v>
      </c>
      <c r="G103">
        <f ca="1">OFFSET(raw!$C$11,정리!A103,0)</f>
        <v>0</v>
      </c>
      <c r="H103">
        <f ca="1">OFFSET(raw!$D$10,정리!A103,0)</f>
        <v>0</v>
      </c>
      <c r="I103">
        <f ca="1">OFFSET(raw!$D$11,정리!A103,0)</f>
        <v>0</v>
      </c>
      <c r="J103">
        <f ca="1">OFFSET(raw!$E$10,정리!A103,0)</f>
        <v>0</v>
      </c>
      <c r="K103">
        <f ca="1">OFFSET(raw!$F$10,정리!A103,0)</f>
        <v>0</v>
      </c>
      <c r="L103" s="9" t="str">
        <f t="shared" ca="1" si="7"/>
        <v>0</v>
      </c>
      <c r="M103">
        <f ca="1">OFFSET(raw!$G$10,정리!A103,0)</f>
        <v>0</v>
      </c>
      <c r="N103">
        <f ca="1">OFFSET(raw!$A$11,정리!A103,0)</f>
        <v>0</v>
      </c>
    </row>
    <row r="104" spans="1:14" ht="99.9" customHeight="1" x14ac:dyDescent="0.4">
      <c r="A104">
        <v>205</v>
      </c>
      <c r="B104">
        <f ca="1">OFFSET(raw!$A$10,정리!A104,0)</f>
        <v>0</v>
      </c>
      <c r="C104" t="str">
        <f t="shared" ca="1" si="6"/>
        <v>000000</v>
      </c>
      <c r="D104">
        <f ca="1">OFFSET(raw!$B$10,정리!A104,0)</f>
        <v>0</v>
      </c>
      <c r="E104">
        <f ca="1">OFFSET(raw!$B$11,정리!A104,0)</f>
        <v>0</v>
      </c>
      <c r="F104">
        <f ca="1">OFFSET(raw!$C$10,정리!A104,0)</f>
        <v>0</v>
      </c>
      <c r="G104">
        <f ca="1">OFFSET(raw!$C$11,정리!A104,0)</f>
        <v>0</v>
      </c>
      <c r="H104">
        <f ca="1">OFFSET(raw!$D$10,정리!A104,0)</f>
        <v>0</v>
      </c>
      <c r="I104">
        <f ca="1">OFFSET(raw!$D$11,정리!A104,0)</f>
        <v>0</v>
      </c>
      <c r="J104">
        <f ca="1">OFFSET(raw!$E$10,정리!A104,0)</f>
        <v>0</v>
      </c>
      <c r="K104">
        <f ca="1">OFFSET(raw!$F$10,정리!A104,0)</f>
        <v>0</v>
      </c>
      <c r="L104" s="9" t="str">
        <f t="shared" ca="1" si="7"/>
        <v>0</v>
      </c>
      <c r="M104">
        <f ca="1">OFFSET(raw!$G$10,정리!A104,0)</f>
        <v>0</v>
      </c>
      <c r="N104">
        <f ca="1">OFFSET(raw!$A$11,정리!A104,0)</f>
        <v>0</v>
      </c>
    </row>
    <row r="105" spans="1:14" ht="99.9" customHeight="1" x14ac:dyDescent="0.4">
      <c r="A105">
        <v>207</v>
      </c>
      <c r="B105">
        <f ca="1">OFFSET(raw!$A$10,정리!A105,0)</f>
        <v>0</v>
      </c>
      <c r="C105" t="str">
        <f t="shared" ca="1" si="6"/>
        <v>000000</v>
      </c>
      <c r="D105">
        <f ca="1">OFFSET(raw!$B$10,정리!A105,0)</f>
        <v>0</v>
      </c>
      <c r="E105">
        <f ca="1">OFFSET(raw!$B$11,정리!A105,0)</f>
        <v>0</v>
      </c>
      <c r="F105">
        <f ca="1">OFFSET(raw!$C$10,정리!A105,0)</f>
        <v>0</v>
      </c>
      <c r="G105">
        <f ca="1">OFFSET(raw!$C$11,정리!A105,0)</f>
        <v>0</v>
      </c>
      <c r="H105">
        <f ca="1">OFFSET(raw!$D$10,정리!A105,0)</f>
        <v>0</v>
      </c>
      <c r="I105">
        <f ca="1">OFFSET(raw!$D$11,정리!A105,0)</f>
        <v>0</v>
      </c>
      <c r="J105">
        <f ca="1">OFFSET(raw!$E$10,정리!A105,0)</f>
        <v>0</v>
      </c>
      <c r="K105">
        <f ca="1">OFFSET(raw!$F$10,정리!A105,0)</f>
        <v>0</v>
      </c>
      <c r="L105" s="9" t="str">
        <f t="shared" ca="1" si="7"/>
        <v>0</v>
      </c>
      <c r="M105">
        <f ca="1">OFFSET(raw!$G$10,정리!A105,0)</f>
        <v>0</v>
      </c>
      <c r="N105">
        <f ca="1">OFFSET(raw!$A$11,정리!A105,0)</f>
        <v>0</v>
      </c>
    </row>
    <row r="106" spans="1:14" ht="99.9" customHeight="1" x14ac:dyDescent="0.4">
      <c r="A106">
        <v>209</v>
      </c>
      <c r="B106">
        <f ca="1">OFFSET(raw!$A$10,정리!A106,0)</f>
        <v>0</v>
      </c>
      <c r="C106" t="str">
        <f t="shared" ca="1" si="6"/>
        <v>000000</v>
      </c>
      <c r="D106">
        <f ca="1">OFFSET(raw!$B$10,정리!A106,0)</f>
        <v>0</v>
      </c>
      <c r="E106">
        <f ca="1">OFFSET(raw!$B$11,정리!A106,0)</f>
        <v>0</v>
      </c>
      <c r="F106">
        <f ca="1">OFFSET(raw!$C$10,정리!A106,0)</f>
        <v>0</v>
      </c>
      <c r="G106">
        <f ca="1">OFFSET(raw!$C$11,정리!A106,0)</f>
        <v>0</v>
      </c>
      <c r="H106">
        <f ca="1">OFFSET(raw!$D$10,정리!A106,0)</f>
        <v>0</v>
      </c>
      <c r="I106">
        <f ca="1">OFFSET(raw!$D$11,정리!A106,0)</f>
        <v>0</v>
      </c>
      <c r="J106">
        <f ca="1">OFFSET(raw!$E$10,정리!A106,0)</f>
        <v>0</v>
      </c>
      <c r="K106">
        <f ca="1">OFFSET(raw!$F$10,정리!A106,0)</f>
        <v>0</v>
      </c>
      <c r="L106" s="9" t="str">
        <f t="shared" ca="1" si="7"/>
        <v>0</v>
      </c>
      <c r="M106">
        <f ca="1">OFFSET(raw!$G$10,정리!A106,0)</f>
        <v>0</v>
      </c>
      <c r="N106">
        <f ca="1">OFFSET(raw!$A$11,정리!A106,0)</f>
        <v>0</v>
      </c>
    </row>
    <row r="107" spans="1:14" ht="99.9" customHeight="1" x14ac:dyDescent="0.4">
      <c r="A107">
        <v>211</v>
      </c>
      <c r="B107">
        <f ca="1">OFFSET(raw!$A$10,정리!A107,0)</f>
        <v>0</v>
      </c>
      <c r="C107" t="str">
        <f t="shared" ca="1" si="6"/>
        <v>000000</v>
      </c>
      <c r="D107">
        <f ca="1">OFFSET(raw!$B$10,정리!A107,0)</f>
        <v>0</v>
      </c>
      <c r="E107">
        <f ca="1">OFFSET(raw!$B$11,정리!A107,0)</f>
        <v>0</v>
      </c>
      <c r="F107">
        <f ca="1">OFFSET(raw!$C$10,정리!A107,0)</f>
        <v>0</v>
      </c>
      <c r="G107">
        <f ca="1">OFFSET(raw!$C$11,정리!A107,0)</f>
        <v>0</v>
      </c>
      <c r="H107">
        <f ca="1">OFFSET(raw!$D$10,정리!A107,0)</f>
        <v>0</v>
      </c>
      <c r="I107">
        <f ca="1">OFFSET(raw!$D$11,정리!A107,0)</f>
        <v>0</v>
      </c>
      <c r="J107">
        <f ca="1">OFFSET(raw!$E$10,정리!A107,0)</f>
        <v>0</v>
      </c>
      <c r="K107">
        <f ca="1">OFFSET(raw!$F$10,정리!A107,0)</f>
        <v>0</v>
      </c>
      <c r="L107" s="9" t="str">
        <f t="shared" ca="1" si="7"/>
        <v>0</v>
      </c>
      <c r="M107">
        <f ca="1">OFFSET(raw!$G$10,정리!A107,0)</f>
        <v>0</v>
      </c>
      <c r="N107">
        <f ca="1">OFFSET(raw!$A$11,정리!A107,0)</f>
        <v>0</v>
      </c>
    </row>
    <row r="108" spans="1:14" ht="99.9" customHeight="1" x14ac:dyDescent="0.4">
      <c r="A108">
        <v>213</v>
      </c>
      <c r="B108">
        <f ca="1">OFFSET(raw!$A$10,정리!A108,0)</f>
        <v>0</v>
      </c>
      <c r="C108" t="str">
        <f t="shared" ca="1" si="6"/>
        <v>000000</v>
      </c>
      <c r="D108">
        <f ca="1">OFFSET(raw!$B$10,정리!A108,0)</f>
        <v>0</v>
      </c>
      <c r="E108">
        <f ca="1">OFFSET(raw!$B$11,정리!A108,0)</f>
        <v>0</v>
      </c>
      <c r="F108">
        <f ca="1">OFFSET(raw!$C$10,정리!A108,0)</f>
        <v>0</v>
      </c>
      <c r="G108">
        <f ca="1">OFFSET(raw!$C$11,정리!A108,0)</f>
        <v>0</v>
      </c>
      <c r="H108">
        <f ca="1">OFFSET(raw!$D$10,정리!A108,0)</f>
        <v>0</v>
      </c>
      <c r="I108">
        <f ca="1">OFFSET(raw!$D$11,정리!A108,0)</f>
        <v>0</v>
      </c>
      <c r="J108">
        <f ca="1">OFFSET(raw!$E$10,정리!A108,0)</f>
        <v>0</v>
      </c>
      <c r="K108">
        <f ca="1">OFFSET(raw!$F$10,정리!A108,0)</f>
        <v>0</v>
      </c>
      <c r="L108" s="9" t="str">
        <f t="shared" ca="1" si="7"/>
        <v>0</v>
      </c>
      <c r="M108">
        <f ca="1">OFFSET(raw!$G$10,정리!A108,0)</f>
        <v>0</v>
      </c>
      <c r="N108">
        <f ca="1">OFFSET(raw!$A$11,정리!A108,0)</f>
        <v>0</v>
      </c>
    </row>
    <row r="109" spans="1:14" ht="99.9" customHeight="1" x14ac:dyDescent="0.4">
      <c r="A109">
        <v>215</v>
      </c>
      <c r="B109">
        <f ca="1">OFFSET(raw!$A$10,정리!A109,0)</f>
        <v>0</v>
      </c>
      <c r="C109" t="str">
        <f t="shared" ca="1" si="6"/>
        <v>000000</v>
      </c>
      <c r="D109">
        <f ca="1">OFFSET(raw!$B$10,정리!A109,0)</f>
        <v>0</v>
      </c>
      <c r="E109">
        <f ca="1">OFFSET(raw!$B$11,정리!A109,0)</f>
        <v>0</v>
      </c>
      <c r="F109">
        <f ca="1">OFFSET(raw!$C$10,정리!A109,0)</f>
        <v>0</v>
      </c>
      <c r="G109">
        <f ca="1">OFFSET(raw!$C$11,정리!A109,0)</f>
        <v>0</v>
      </c>
      <c r="H109">
        <f ca="1">OFFSET(raw!$D$10,정리!A109,0)</f>
        <v>0</v>
      </c>
      <c r="I109">
        <f ca="1">OFFSET(raw!$D$11,정리!A109,0)</f>
        <v>0</v>
      </c>
      <c r="J109">
        <f ca="1">OFFSET(raw!$E$10,정리!A109,0)</f>
        <v>0</v>
      </c>
      <c r="K109">
        <f ca="1">OFFSET(raw!$F$10,정리!A109,0)</f>
        <v>0</v>
      </c>
      <c r="L109" s="9" t="str">
        <f t="shared" ca="1" si="7"/>
        <v>0</v>
      </c>
      <c r="M109">
        <f ca="1">OFFSET(raw!$G$10,정리!A109,0)</f>
        <v>0</v>
      </c>
      <c r="N109">
        <f ca="1">OFFSET(raw!$A$11,정리!A109,0)</f>
        <v>0</v>
      </c>
    </row>
    <row r="110" spans="1:14" ht="99.9" customHeight="1" x14ac:dyDescent="0.4">
      <c r="A110">
        <v>217</v>
      </c>
      <c r="B110">
        <f ca="1">OFFSET(raw!$A$10,정리!A110,0)</f>
        <v>0</v>
      </c>
      <c r="C110" t="str">
        <f t="shared" ca="1" si="6"/>
        <v>000000</v>
      </c>
      <c r="D110">
        <f ca="1">OFFSET(raw!$B$10,정리!A110,0)</f>
        <v>0</v>
      </c>
      <c r="E110">
        <f ca="1">OFFSET(raw!$B$11,정리!A110,0)</f>
        <v>0</v>
      </c>
      <c r="F110">
        <f ca="1">OFFSET(raw!$C$10,정리!A110,0)</f>
        <v>0</v>
      </c>
      <c r="G110">
        <f ca="1">OFFSET(raw!$C$11,정리!A110,0)</f>
        <v>0</v>
      </c>
      <c r="H110">
        <f ca="1">OFFSET(raw!$D$10,정리!A110,0)</f>
        <v>0</v>
      </c>
      <c r="I110">
        <f ca="1">OFFSET(raw!$D$11,정리!A110,0)</f>
        <v>0</v>
      </c>
      <c r="J110">
        <f ca="1">OFFSET(raw!$E$10,정리!A110,0)</f>
        <v>0</v>
      </c>
      <c r="K110">
        <f ca="1">OFFSET(raw!$F$10,정리!A110,0)</f>
        <v>0</v>
      </c>
      <c r="L110" s="9" t="str">
        <f t="shared" ca="1" si="7"/>
        <v>0</v>
      </c>
      <c r="M110">
        <f ca="1">OFFSET(raw!$G$10,정리!A110,0)</f>
        <v>0</v>
      </c>
      <c r="N110">
        <f ca="1">OFFSET(raw!$A$11,정리!A110,0)</f>
        <v>0</v>
      </c>
    </row>
    <row r="111" spans="1:14" ht="99.9" customHeight="1" x14ac:dyDescent="0.4">
      <c r="A111">
        <v>219</v>
      </c>
      <c r="B111">
        <f ca="1">OFFSET(raw!$A$10,정리!A111,0)</f>
        <v>0</v>
      </c>
      <c r="C111" t="str">
        <f t="shared" ca="1" si="6"/>
        <v>000000</v>
      </c>
      <c r="D111">
        <f ca="1">OFFSET(raw!$B$10,정리!A111,0)</f>
        <v>0</v>
      </c>
      <c r="E111">
        <f ca="1">OFFSET(raw!$B$11,정리!A111,0)</f>
        <v>0</v>
      </c>
      <c r="F111">
        <f ca="1">OFFSET(raw!$C$10,정리!A111,0)</f>
        <v>0</v>
      </c>
      <c r="G111">
        <f ca="1">OFFSET(raw!$C$11,정리!A111,0)</f>
        <v>0</v>
      </c>
      <c r="H111">
        <f ca="1">OFFSET(raw!$D$10,정리!A111,0)</f>
        <v>0</v>
      </c>
      <c r="I111">
        <f ca="1">OFFSET(raw!$D$11,정리!A111,0)</f>
        <v>0</v>
      </c>
      <c r="J111">
        <f ca="1">OFFSET(raw!$E$10,정리!A111,0)</f>
        <v>0</v>
      </c>
      <c r="K111">
        <f ca="1">OFFSET(raw!$F$10,정리!A111,0)</f>
        <v>0</v>
      </c>
      <c r="L111" s="9" t="str">
        <f t="shared" ca="1" si="7"/>
        <v>0</v>
      </c>
      <c r="M111">
        <f ca="1">OFFSET(raw!$G$10,정리!A111,0)</f>
        <v>0</v>
      </c>
      <c r="N111">
        <f ca="1">OFFSET(raw!$A$11,정리!A111,0)</f>
        <v>0</v>
      </c>
    </row>
    <row r="112" spans="1:14" ht="99.9" customHeight="1" x14ac:dyDescent="0.4">
      <c r="A112">
        <v>221</v>
      </c>
      <c r="B112">
        <f ca="1">OFFSET(raw!$A$10,정리!A112,0)</f>
        <v>0</v>
      </c>
      <c r="C112" t="str">
        <f t="shared" ca="1" si="6"/>
        <v>000000</v>
      </c>
      <c r="D112">
        <f ca="1">OFFSET(raw!$B$10,정리!A112,0)</f>
        <v>0</v>
      </c>
      <c r="E112">
        <f ca="1">OFFSET(raw!$B$11,정리!A112,0)</f>
        <v>0</v>
      </c>
      <c r="F112">
        <f ca="1">OFFSET(raw!$C$10,정리!A112,0)</f>
        <v>0</v>
      </c>
      <c r="G112">
        <f ca="1">OFFSET(raw!$C$11,정리!A112,0)</f>
        <v>0</v>
      </c>
      <c r="H112">
        <f ca="1">OFFSET(raw!$D$10,정리!A112,0)</f>
        <v>0</v>
      </c>
      <c r="I112">
        <f ca="1">OFFSET(raw!$D$11,정리!A112,0)</f>
        <v>0</v>
      </c>
      <c r="J112">
        <f ca="1">OFFSET(raw!$E$10,정리!A112,0)</f>
        <v>0</v>
      </c>
      <c r="K112">
        <f ca="1">OFFSET(raw!$F$10,정리!A112,0)</f>
        <v>0</v>
      </c>
      <c r="L112" s="9" t="str">
        <f t="shared" ca="1" si="7"/>
        <v>0</v>
      </c>
      <c r="M112">
        <f ca="1">OFFSET(raw!$G$10,정리!A112,0)</f>
        <v>0</v>
      </c>
      <c r="N112">
        <f ca="1">OFFSET(raw!$A$11,정리!A112,0)</f>
        <v>0</v>
      </c>
    </row>
    <row r="113" spans="1:14" ht="99.9" customHeight="1" x14ac:dyDescent="0.4">
      <c r="A113">
        <v>223</v>
      </c>
      <c r="B113">
        <f ca="1">OFFSET(raw!$A$10,정리!A113,0)</f>
        <v>0</v>
      </c>
      <c r="C113" t="str">
        <f t="shared" ca="1" si="6"/>
        <v>000000</v>
      </c>
      <c r="D113">
        <f ca="1">OFFSET(raw!$B$10,정리!A113,0)</f>
        <v>0</v>
      </c>
      <c r="E113">
        <f ca="1">OFFSET(raw!$B$11,정리!A113,0)</f>
        <v>0</v>
      </c>
      <c r="F113">
        <f ca="1">OFFSET(raw!$C$10,정리!A113,0)</f>
        <v>0</v>
      </c>
      <c r="G113">
        <f ca="1">OFFSET(raw!$C$11,정리!A113,0)</f>
        <v>0</v>
      </c>
      <c r="H113">
        <f ca="1">OFFSET(raw!$D$10,정리!A113,0)</f>
        <v>0</v>
      </c>
      <c r="I113">
        <f ca="1">OFFSET(raw!$D$11,정리!A113,0)</f>
        <v>0</v>
      </c>
      <c r="J113">
        <f ca="1">OFFSET(raw!$E$10,정리!A113,0)</f>
        <v>0</v>
      </c>
      <c r="K113">
        <f ca="1">OFFSET(raw!$F$10,정리!A113,0)</f>
        <v>0</v>
      </c>
      <c r="L113" s="9" t="str">
        <f t="shared" ca="1" si="7"/>
        <v>0</v>
      </c>
      <c r="M113">
        <f ca="1">OFFSET(raw!$G$10,정리!A113,0)</f>
        <v>0</v>
      </c>
      <c r="N113">
        <f ca="1">OFFSET(raw!$A$11,정리!A113,0)</f>
        <v>0</v>
      </c>
    </row>
    <row r="114" spans="1:14" ht="99.9" customHeight="1" x14ac:dyDescent="0.4">
      <c r="A114">
        <v>225</v>
      </c>
      <c r="B114">
        <f ca="1">OFFSET(raw!$A$10,정리!A114,0)</f>
        <v>0</v>
      </c>
      <c r="C114" t="str">
        <f t="shared" ca="1" si="6"/>
        <v>000000</v>
      </c>
      <c r="D114">
        <f ca="1">OFFSET(raw!$B$10,정리!A114,0)</f>
        <v>0</v>
      </c>
      <c r="E114">
        <f ca="1">OFFSET(raw!$B$11,정리!A114,0)</f>
        <v>0</v>
      </c>
      <c r="F114">
        <f ca="1">OFFSET(raw!$C$10,정리!A114,0)</f>
        <v>0</v>
      </c>
      <c r="G114">
        <f ca="1">OFFSET(raw!$C$11,정리!A114,0)</f>
        <v>0</v>
      </c>
      <c r="H114">
        <f ca="1">OFFSET(raw!$D$10,정리!A114,0)</f>
        <v>0</v>
      </c>
      <c r="I114">
        <f ca="1">OFFSET(raw!$D$11,정리!A114,0)</f>
        <v>0</v>
      </c>
      <c r="J114">
        <f ca="1">OFFSET(raw!$E$10,정리!A114,0)</f>
        <v>0</v>
      </c>
      <c r="K114">
        <f ca="1">OFFSET(raw!$F$10,정리!A114,0)</f>
        <v>0</v>
      </c>
      <c r="L114" s="9" t="str">
        <f t="shared" ca="1" si="7"/>
        <v>0</v>
      </c>
      <c r="M114">
        <f ca="1">OFFSET(raw!$G$10,정리!A114,0)</f>
        <v>0</v>
      </c>
      <c r="N114">
        <f ca="1">OFFSET(raw!$A$11,정리!A114,0)</f>
        <v>0</v>
      </c>
    </row>
    <row r="115" spans="1:14" ht="99.9" customHeight="1" x14ac:dyDescent="0.4">
      <c r="A115">
        <v>227</v>
      </c>
      <c r="B115">
        <f ca="1">OFFSET(raw!$A$10,정리!A115,0)</f>
        <v>0</v>
      </c>
      <c r="C115" t="str">
        <f t="shared" ca="1" si="6"/>
        <v>000000</v>
      </c>
      <c r="D115">
        <f ca="1">OFFSET(raw!$B$10,정리!A115,0)</f>
        <v>0</v>
      </c>
      <c r="E115">
        <f ca="1">OFFSET(raw!$B$11,정리!A115,0)</f>
        <v>0</v>
      </c>
      <c r="F115">
        <f ca="1">OFFSET(raw!$C$10,정리!A115,0)</f>
        <v>0</v>
      </c>
      <c r="G115">
        <f ca="1">OFFSET(raw!$C$11,정리!A115,0)</f>
        <v>0</v>
      </c>
      <c r="H115">
        <f ca="1">OFFSET(raw!$D$10,정리!A115,0)</f>
        <v>0</v>
      </c>
      <c r="I115">
        <f ca="1">OFFSET(raw!$D$11,정리!A115,0)</f>
        <v>0</v>
      </c>
      <c r="J115">
        <f ca="1">OFFSET(raw!$E$10,정리!A115,0)</f>
        <v>0</v>
      </c>
      <c r="K115">
        <f ca="1">OFFSET(raw!$F$10,정리!A115,0)</f>
        <v>0</v>
      </c>
      <c r="L115" s="9" t="str">
        <f t="shared" ca="1" si="7"/>
        <v>0</v>
      </c>
      <c r="M115">
        <f ca="1">OFFSET(raw!$G$10,정리!A115,0)</f>
        <v>0</v>
      </c>
      <c r="N115">
        <f ca="1">OFFSET(raw!$A$11,정리!A115,0)</f>
        <v>0</v>
      </c>
    </row>
    <row r="116" spans="1:14" ht="99.9" customHeight="1" x14ac:dyDescent="0.4">
      <c r="A116">
        <v>229</v>
      </c>
      <c r="B116">
        <f ca="1">OFFSET(raw!$A$10,정리!A116,0)</f>
        <v>0</v>
      </c>
      <c r="C116" t="str">
        <f t="shared" ca="1" si="6"/>
        <v>000000</v>
      </c>
      <c r="D116">
        <f ca="1">OFFSET(raw!$B$10,정리!A116,0)</f>
        <v>0</v>
      </c>
      <c r="E116">
        <f ca="1">OFFSET(raw!$B$11,정리!A116,0)</f>
        <v>0</v>
      </c>
      <c r="F116">
        <f ca="1">OFFSET(raw!$C$10,정리!A116,0)</f>
        <v>0</v>
      </c>
      <c r="G116">
        <f ca="1">OFFSET(raw!$C$11,정리!A116,0)</f>
        <v>0</v>
      </c>
      <c r="H116">
        <f ca="1">OFFSET(raw!$D$10,정리!A116,0)</f>
        <v>0</v>
      </c>
      <c r="I116">
        <f ca="1">OFFSET(raw!$D$11,정리!A116,0)</f>
        <v>0</v>
      </c>
      <c r="J116">
        <f ca="1">OFFSET(raw!$E$10,정리!A116,0)</f>
        <v>0</v>
      </c>
      <c r="K116">
        <f ca="1">OFFSET(raw!$F$10,정리!A116,0)</f>
        <v>0</v>
      </c>
      <c r="L116" s="9" t="str">
        <f t="shared" ca="1" si="7"/>
        <v>0</v>
      </c>
      <c r="M116">
        <f ca="1">OFFSET(raw!$G$10,정리!A116,0)</f>
        <v>0</v>
      </c>
      <c r="N116">
        <f ca="1">OFFSET(raw!$A$11,정리!A116,0)</f>
        <v>0</v>
      </c>
    </row>
    <row r="117" spans="1:14" ht="99.9" customHeight="1" x14ac:dyDescent="0.4">
      <c r="A117">
        <v>231</v>
      </c>
      <c r="B117">
        <f ca="1">OFFSET(raw!$A$10,정리!A117,0)</f>
        <v>0</v>
      </c>
      <c r="C117" t="str">
        <f t="shared" ca="1" si="6"/>
        <v>000000</v>
      </c>
      <c r="D117">
        <f ca="1">OFFSET(raw!$B$10,정리!A117,0)</f>
        <v>0</v>
      </c>
      <c r="E117">
        <f ca="1">OFFSET(raw!$B$11,정리!A117,0)</f>
        <v>0</v>
      </c>
      <c r="F117">
        <f ca="1">OFFSET(raw!$C$10,정리!A117,0)</f>
        <v>0</v>
      </c>
      <c r="G117">
        <f ca="1">OFFSET(raw!$C$11,정리!A117,0)</f>
        <v>0</v>
      </c>
      <c r="H117">
        <f ca="1">OFFSET(raw!$D$10,정리!A117,0)</f>
        <v>0</v>
      </c>
      <c r="I117">
        <f ca="1">OFFSET(raw!$D$11,정리!A117,0)</f>
        <v>0</v>
      </c>
      <c r="J117">
        <f ca="1">OFFSET(raw!$E$10,정리!A117,0)</f>
        <v>0</v>
      </c>
      <c r="K117">
        <f ca="1">OFFSET(raw!$F$10,정리!A117,0)</f>
        <v>0</v>
      </c>
      <c r="L117" s="9" t="str">
        <f t="shared" ca="1" si="7"/>
        <v>0</v>
      </c>
      <c r="M117">
        <f ca="1">OFFSET(raw!$G$10,정리!A117,0)</f>
        <v>0</v>
      </c>
      <c r="N117">
        <f ca="1">OFFSET(raw!$A$11,정리!A117,0)</f>
        <v>0</v>
      </c>
    </row>
    <row r="118" spans="1:14" ht="99.9" customHeight="1" x14ac:dyDescent="0.4">
      <c r="A118">
        <v>233</v>
      </c>
      <c r="B118">
        <f ca="1">OFFSET(raw!$A$10,정리!A118,0)</f>
        <v>0</v>
      </c>
      <c r="C118" t="str">
        <f t="shared" ca="1" si="6"/>
        <v>000000</v>
      </c>
      <c r="D118">
        <f ca="1">OFFSET(raw!$B$10,정리!A118,0)</f>
        <v>0</v>
      </c>
      <c r="E118">
        <f ca="1">OFFSET(raw!$B$11,정리!A118,0)</f>
        <v>0</v>
      </c>
      <c r="F118">
        <f ca="1">OFFSET(raw!$C$10,정리!A118,0)</f>
        <v>0</v>
      </c>
      <c r="G118">
        <f ca="1">OFFSET(raw!$C$11,정리!A118,0)</f>
        <v>0</v>
      </c>
      <c r="H118">
        <f ca="1">OFFSET(raw!$D$10,정리!A118,0)</f>
        <v>0</v>
      </c>
      <c r="I118">
        <f ca="1">OFFSET(raw!$D$11,정리!A118,0)</f>
        <v>0</v>
      </c>
      <c r="J118">
        <f ca="1">OFFSET(raw!$E$10,정리!A118,0)</f>
        <v>0</v>
      </c>
      <c r="K118">
        <f ca="1">OFFSET(raw!$F$10,정리!A118,0)</f>
        <v>0</v>
      </c>
      <c r="L118" s="9" t="str">
        <f t="shared" ca="1" si="7"/>
        <v>0</v>
      </c>
      <c r="M118">
        <f ca="1">OFFSET(raw!$G$10,정리!A118,0)</f>
        <v>0</v>
      </c>
      <c r="N118">
        <f ca="1">OFFSET(raw!$A$11,정리!A118,0)</f>
        <v>0</v>
      </c>
    </row>
    <row r="119" spans="1:14" ht="99.9" customHeight="1" x14ac:dyDescent="0.4">
      <c r="A119">
        <v>235</v>
      </c>
      <c r="B119">
        <f ca="1">OFFSET(raw!$A$10,정리!A119,0)</f>
        <v>0</v>
      </c>
      <c r="C119" t="str">
        <f t="shared" ca="1" si="6"/>
        <v>000000</v>
      </c>
      <c r="D119">
        <f ca="1">OFFSET(raw!$B$10,정리!A119,0)</f>
        <v>0</v>
      </c>
      <c r="E119">
        <f ca="1">OFFSET(raw!$B$11,정리!A119,0)</f>
        <v>0</v>
      </c>
      <c r="F119">
        <f ca="1">OFFSET(raw!$C$10,정리!A119,0)</f>
        <v>0</v>
      </c>
      <c r="G119">
        <f ca="1">OFFSET(raw!$C$11,정리!A119,0)</f>
        <v>0</v>
      </c>
      <c r="H119">
        <f ca="1">OFFSET(raw!$D$10,정리!A119,0)</f>
        <v>0</v>
      </c>
      <c r="I119">
        <f ca="1">OFFSET(raw!$D$11,정리!A119,0)</f>
        <v>0</v>
      </c>
      <c r="J119">
        <f ca="1">OFFSET(raw!$E$10,정리!A119,0)</f>
        <v>0</v>
      </c>
      <c r="K119">
        <f ca="1">OFFSET(raw!$F$10,정리!A119,0)</f>
        <v>0</v>
      </c>
      <c r="L119" s="9" t="str">
        <f t="shared" ca="1" si="7"/>
        <v>0</v>
      </c>
      <c r="M119">
        <f ca="1">OFFSET(raw!$G$10,정리!A119,0)</f>
        <v>0</v>
      </c>
      <c r="N119">
        <f ca="1">OFFSET(raw!$A$11,정리!A119,0)</f>
        <v>0</v>
      </c>
    </row>
    <row r="120" spans="1:14" ht="99.9" customHeight="1" x14ac:dyDescent="0.4">
      <c r="A120">
        <v>237</v>
      </c>
      <c r="B120">
        <f ca="1">OFFSET(raw!$A$10,정리!A120,0)</f>
        <v>0</v>
      </c>
      <c r="C120" t="str">
        <f t="shared" ca="1" si="6"/>
        <v>000000</v>
      </c>
      <c r="D120">
        <f ca="1">OFFSET(raw!$B$10,정리!A120,0)</f>
        <v>0</v>
      </c>
      <c r="E120">
        <f ca="1">OFFSET(raw!$B$11,정리!A120,0)</f>
        <v>0</v>
      </c>
      <c r="F120">
        <f ca="1">OFFSET(raw!$C$10,정리!A120,0)</f>
        <v>0</v>
      </c>
      <c r="G120">
        <f ca="1">OFFSET(raw!$C$11,정리!A120,0)</f>
        <v>0</v>
      </c>
      <c r="H120">
        <f ca="1">OFFSET(raw!$D$10,정리!A120,0)</f>
        <v>0</v>
      </c>
      <c r="I120">
        <f ca="1">OFFSET(raw!$D$11,정리!A120,0)</f>
        <v>0</v>
      </c>
      <c r="J120">
        <f ca="1">OFFSET(raw!$E$10,정리!A120,0)</f>
        <v>0</v>
      </c>
      <c r="K120">
        <f ca="1">OFFSET(raw!$F$10,정리!A120,0)</f>
        <v>0</v>
      </c>
      <c r="L120" s="9" t="str">
        <f t="shared" ca="1" si="7"/>
        <v>0</v>
      </c>
      <c r="M120">
        <f ca="1">OFFSET(raw!$G$10,정리!A120,0)</f>
        <v>0</v>
      </c>
      <c r="N120">
        <f ca="1">OFFSET(raw!$A$11,정리!A120,0)</f>
        <v>0</v>
      </c>
    </row>
    <row r="121" spans="1:14" ht="99.9" customHeight="1" x14ac:dyDescent="0.4">
      <c r="A121">
        <v>239</v>
      </c>
      <c r="B121">
        <f ca="1">OFFSET(raw!$A$10,정리!A121,0)</f>
        <v>0</v>
      </c>
      <c r="C121" t="str">
        <f t="shared" ca="1" si="6"/>
        <v>000000</v>
      </c>
      <c r="D121">
        <f ca="1">OFFSET(raw!$B$10,정리!A121,0)</f>
        <v>0</v>
      </c>
      <c r="E121">
        <f ca="1">OFFSET(raw!$B$11,정리!A121,0)</f>
        <v>0</v>
      </c>
      <c r="F121">
        <f ca="1">OFFSET(raw!$C$10,정리!A121,0)</f>
        <v>0</v>
      </c>
      <c r="G121">
        <f ca="1">OFFSET(raw!$C$11,정리!A121,0)</f>
        <v>0</v>
      </c>
      <c r="H121">
        <f ca="1">OFFSET(raw!$D$10,정리!A121,0)</f>
        <v>0</v>
      </c>
      <c r="I121">
        <f ca="1">OFFSET(raw!$D$11,정리!A121,0)</f>
        <v>0</v>
      </c>
      <c r="J121">
        <f ca="1">OFFSET(raw!$E$10,정리!A121,0)</f>
        <v>0</v>
      </c>
      <c r="K121">
        <f ca="1">OFFSET(raw!$F$10,정리!A121,0)</f>
        <v>0</v>
      </c>
      <c r="L121" s="9" t="str">
        <f t="shared" ca="1" si="7"/>
        <v>0</v>
      </c>
      <c r="M121">
        <f ca="1">OFFSET(raw!$G$10,정리!A121,0)</f>
        <v>0</v>
      </c>
      <c r="N121">
        <f ca="1">OFFSET(raw!$A$11,정리!A121,0)</f>
        <v>0</v>
      </c>
    </row>
    <row r="122" spans="1:14" ht="99.9" customHeight="1" x14ac:dyDescent="0.4">
      <c r="A122">
        <v>241</v>
      </c>
      <c r="B122">
        <f ca="1">OFFSET(raw!$A$10,정리!A122,0)</f>
        <v>0</v>
      </c>
      <c r="C122" t="str">
        <f t="shared" ca="1" si="6"/>
        <v>000000</v>
      </c>
      <c r="D122">
        <f ca="1">OFFSET(raw!$B$10,정리!A122,0)</f>
        <v>0</v>
      </c>
      <c r="E122">
        <f ca="1">OFFSET(raw!$B$11,정리!A122,0)</f>
        <v>0</v>
      </c>
      <c r="F122">
        <f ca="1">OFFSET(raw!$C$10,정리!A122,0)</f>
        <v>0</v>
      </c>
      <c r="G122">
        <f ca="1">OFFSET(raw!$C$11,정리!A122,0)</f>
        <v>0</v>
      </c>
      <c r="H122">
        <f ca="1">OFFSET(raw!$D$10,정리!A122,0)</f>
        <v>0</v>
      </c>
      <c r="I122">
        <f ca="1">OFFSET(raw!$D$11,정리!A122,0)</f>
        <v>0</v>
      </c>
      <c r="J122">
        <f ca="1">OFFSET(raw!$E$10,정리!A122,0)</f>
        <v>0</v>
      </c>
      <c r="K122">
        <f ca="1">OFFSET(raw!$F$10,정리!A122,0)</f>
        <v>0</v>
      </c>
      <c r="L122" s="9" t="str">
        <f t="shared" ca="1" si="7"/>
        <v>0</v>
      </c>
      <c r="M122">
        <f ca="1">OFFSET(raw!$G$10,정리!A122,0)</f>
        <v>0</v>
      </c>
      <c r="N122">
        <f ca="1">OFFSET(raw!$A$11,정리!A122,0)</f>
        <v>0</v>
      </c>
    </row>
    <row r="123" spans="1:14" ht="99.9" customHeight="1" x14ac:dyDescent="0.4">
      <c r="A123">
        <v>243</v>
      </c>
      <c r="B123">
        <f ca="1">OFFSET(raw!$A$10,정리!A123,0)</f>
        <v>0</v>
      </c>
      <c r="C123" t="str">
        <f t="shared" ca="1" si="6"/>
        <v>000000</v>
      </c>
      <c r="D123">
        <f ca="1">OFFSET(raw!$B$10,정리!A123,0)</f>
        <v>0</v>
      </c>
      <c r="E123">
        <f ca="1">OFFSET(raw!$B$11,정리!A123,0)</f>
        <v>0</v>
      </c>
      <c r="F123">
        <f ca="1">OFFSET(raw!$C$10,정리!A123,0)</f>
        <v>0</v>
      </c>
      <c r="G123">
        <f ca="1">OFFSET(raw!$C$11,정리!A123,0)</f>
        <v>0</v>
      </c>
      <c r="H123">
        <f ca="1">OFFSET(raw!$D$10,정리!A123,0)</f>
        <v>0</v>
      </c>
      <c r="I123">
        <f ca="1">OFFSET(raw!$D$11,정리!A123,0)</f>
        <v>0</v>
      </c>
      <c r="J123">
        <f ca="1">OFFSET(raw!$E$10,정리!A123,0)</f>
        <v>0</v>
      </c>
      <c r="K123">
        <f ca="1">OFFSET(raw!$F$10,정리!A123,0)</f>
        <v>0</v>
      </c>
      <c r="L123" s="9" t="str">
        <f t="shared" ca="1" si="7"/>
        <v>0</v>
      </c>
      <c r="M123">
        <f ca="1">OFFSET(raw!$G$10,정리!A123,0)</f>
        <v>0</v>
      </c>
      <c r="N123">
        <f ca="1">OFFSET(raw!$A$11,정리!A123,0)</f>
        <v>0</v>
      </c>
    </row>
    <row r="124" spans="1:14" ht="99.9" customHeight="1" x14ac:dyDescent="0.4">
      <c r="A124">
        <v>245</v>
      </c>
      <c r="B124">
        <f ca="1">OFFSET(raw!$A$10,정리!A124,0)</f>
        <v>0</v>
      </c>
      <c r="C124" t="str">
        <f t="shared" ca="1" si="6"/>
        <v>000000</v>
      </c>
      <c r="D124">
        <f ca="1">OFFSET(raw!$B$10,정리!A124,0)</f>
        <v>0</v>
      </c>
      <c r="E124">
        <f ca="1">OFFSET(raw!$B$11,정리!A124,0)</f>
        <v>0</v>
      </c>
      <c r="F124">
        <f ca="1">OFFSET(raw!$C$10,정리!A124,0)</f>
        <v>0</v>
      </c>
      <c r="G124">
        <f ca="1">OFFSET(raw!$C$11,정리!A124,0)</f>
        <v>0</v>
      </c>
      <c r="H124">
        <f ca="1">OFFSET(raw!$D$10,정리!A124,0)</f>
        <v>0</v>
      </c>
      <c r="I124">
        <f ca="1">OFFSET(raw!$D$11,정리!A124,0)</f>
        <v>0</v>
      </c>
      <c r="J124">
        <f ca="1">OFFSET(raw!$E$10,정리!A124,0)</f>
        <v>0</v>
      </c>
      <c r="K124">
        <f ca="1">OFFSET(raw!$F$10,정리!A124,0)</f>
        <v>0</v>
      </c>
      <c r="L124" s="9" t="str">
        <f t="shared" ca="1" si="7"/>
        <v>0</v>
      </c>
      <c r="M124">
        <f ca="1">OFFSET(raw!$G$10,정리!A124,0)</f>
        <v>0</v>
      </c>
      <c r="N124">
        <f ca="1">OFFSET(raw!$A$11,정리!A124,0)</f>
        <v>0</v>
      </c>
    </row>
    <row r="125" spans="1:14" ht="99.9" customHeight="1" x14ac:dyDescent="0.4">
      <c r="A125">
        <v>247</v>
      </c>
      <c r="B125">
        <f ca="1">OFFSET(raw!$A$10,정리!A125,0)</f>
        <v>0</v>
      </c>
      <c r="C125" t="str">
        <f t="shared" ca="1" si="6"/>
        <v>000000</v>
      </c>
      <c r="D125">
        <f ca="1">OFFSET(raw!$B$10,정리!A125,0)</f>
        <v>0</v>
      </c>
      <c r="E125">
        <f ca="1">OFFSET(raw!$B$11,정리!A125,0)</f>
        <v>0</v>
      </c>
      <c r="F125">
        <f ca="1">OFFSET(raw!$C$10,정리!A125,0)</f>
        <v>0</v>
      </c>
      <c r="G125">
        <f ca="1">OFFSET(raw!$C$11,정리!A125,0)</f>
        <v>0</v>
      </c>
      <c r="H125">
        <f ca="1">OFFSET(raw!$D$10,정리!A125,0)</f>
        <v>0</v>
      </c>
      <c r="I125">
        <f ca="1">OFFSET(raw!$D$11,정리!A125,0)</f>
        <v>0</v>
      </c>
      <c r="J125">
        <f ca="1">OFFSET(raw!$E$10,정리!A125,0)</f>
        <v>0</v>
      </c>
      <c r="K125">
        <f ca="1">OFFSET(raw!$F$10,정리!A125,0)</f>
        <v>0</v>
      </c>
      <c r="L125" s="9" t="str">
        <f t="shared" ca="1" si="7"/>
        <v>0</v>
      </c>
      <c r="M125">
        <f ca="1">OFFSET(raw!$G$10,정리!A125,0)</f>
        <v>0</v>
      </c>
      <c r="N125">
        <f ca="1">OFFSET(raw!$A$11,정리!A125,0)</f>
        <v>0</v>
      </c>
    </row>
    <row r="126" spans="1:14" ht="99.9" customHeight="1" x14ac:dyDescent="0.4">
      <c r="A126">
        <v>249</v>
      </c>
      <c r="B126">
        <f ca="1">OFFSET(raw!$A$10,정리!A126,0)</f>
        <v>0</v>
      </c>
      <c r="C126" t="str">
        <f t="shared" ca="1" si="6"/>
        <v>000000</v>
      </c>
      <c r="D126">
        <f ca="1">OFFSET(raw!$B$10,정리!A126,0)</f>
        <v>0</v>
      </c>
      <c r="E126">
        <f ca="1">OFFSET(raw!$B$11,정리!A126,0)</f>
        <v>0</v>
      </c>
      <c r="F126">
        <f ca="1">OFFSET(raw!$C$10,정리!A126,0)</f>
        <v>0</v>
      </c>
      <c r="G126">
        <f ca="1">OFFSET(raw!$C$11,정리!A126,0)</f>
        <v>0</v>
      </c>
      <c r="H126">
        <f ca="1">OFFSET(raw!$D$10,정리!A126,0)</f>
        <v>0</v>
      </c>
      <c r="I126">
        <f ca="1">OFFSET(raw!$D$11,정리!A126,0)</f>
        <v>0</v>
      </c>
      <c r="J126">
        <f ca="1">OFFSET(raw!$E$10,정리!A126,0)</f>
        <v>0</v>
      </c>
      <c r="K126">
        <f ca="1">OFFSET(raw!$F$10,정리!A126,0)</f>
        <v>0</v>
      </c>
      <c r="L126" s="9" t="str">
        <f t="shared" ca="1" si="7"/>
        <v>0</v>
      </c>
      <c r="M126">
        <f ca="1">OFFSET(raw!$G$10,정리!A126,0)</f>
        <v>0</v>
      </c>
      <c r="N126">
        <f ca="1">OFFSET(raw!$A$11,정리!A126,0)</f>
        <v>0</v>
      </c>
    </row>
    <row r="127" spans="1:14" ht="99.9" customHeight="1" x14ac:dyDescent="0.4">
      <c r="A127">
        <v>251</v>
      </c>
      <c r="B127">
        <f ca="1">OFFSET(raw!$A$10,정리!A127,0)</f>
        <v>0</v>
      </c>
      <c r="C127" t="str">
        <f t="shared" ca="1" si="6"/>
        <v>000000</v>
      </c>
      <c r="D127">
        <f ca="1">OFFSET(raw!$B$10,정리!A127,0)</f>
        <v>0</v>
      </c>
      <c r="E127">
        <f ca="1">OFFSET(raw!$B$11,정리!A127,0)</f>
        <v>0</v>
      </c>
      <c r="F127">
        <f ca="1">OFFSET(raw!$C$10,정리!A127,0)</f>
        <v>0</v>
      </c>
      <c r="G127">
        <f ca="1">OFFSET(raw!$C$11,정리!A127,0)</f>
        <v>0</v>
      </c>
      <c r="H127">
        <f ca="1">OFFSET(raw!$D$10,정리!A127,0)</f>
        <v>0</v>
      </c>
      <c r="I127">
        <f ca="1">OFFSET(raw!$D$11,정리!A127,0)</f>
        <v>0</v>
      </c>
      <c r="J127">
        <f ca="1">OFFSET(raw!$E$10,정리!A127,0)</f>
        <v>0</v>
      </c>
      <c r="K127">
        <f ca="1">OFFSET(raw!$F$10,정리!A127,0)</f>
        <v>0</v>
      </c>
      <c r="L127" s="9" t="str">
        <f t="shared" ca="1" si="7"/>
        <v>0</v>
      </c>
      <c r="M127">
        <f ca="1">OFFSET(raw!$G$10,정리!A127,0)</f>
        <v>0</v>
      </c>
      <c r="N127">
        <f ca="1">OFFSET(raw!$A$11,정리!A127,0)</f>
        <v>0</v>
      </c>
    </row>
    <row r="128" spans="1:14" ht="99.9" customHeight="1" x14ac:dyDescent="0.4">
      <c r="A128">
        <v>253</v>
      </c>
      <c r="B128">
        <f ca="1">OFFSET(raw!$A$10,정리!A128,0)</f>
        <v>0</v>
      </c>
      <c r="C128" t="str">
        <f t="shared" ca="1" si="6"/>
        <v>000000</v>
      </c>
      <c r="D128">
        <f ca="1">OFFSET(raw!$B$10,정리!A128,0)</f>
        <v>0</v>
      </c>
      <c r="E128">
        <f ca="1">OFFSET(raw!$B$11,정리!A128,0)</f>
        <v>0</v>
      </c>
      <c r="F128">
        <f ca="1">OFFSET(raw!$C$10,정리!A128,0)</f>
        <v>0</v>
      </c>
      <c r="G128">
        <f ca="1">OFFSET(raw!$C$11,정리!A128,0)</f>
        <v>0</v>
      </c>
      <c r="H128">
        <f ca="1">OFFSET(raw!$D$10,정리!A128,0)</f>
        <v>0</v>
      </c>
      <c r="I128">
        <f ca="1">OFFSET(raw!$D$11,정리!A128,0)</f>
        <v>0</v>
      </c>
      <c r="J128">
        <f ca="1">OFFSET(raw!$E$10,정리!A128,0)</f>
        <v>0</v>
      </c>
      <c r="K128">
        <f ca="1">OFFSET(raw!$F$10,정리!A128,0)</f>
        <v>0</v>
      </c>
      <c r="L128" s="9" t="str">
        <f t="shared" ca="1" si="7"/>
        <v>0</v>
      </c>
      <c r="M128">
        <f ca="1">OFFSET(raw!$G$10,정리!A128,0)</f>
        <v>0</v>
      </c>
      <c r="N128">
        <f ca="1">OFFSET(raw!$A$11,정리!A128,0)</f>
        <v>0</v>
      </c>
    </row>
    <row r="129" spans="1:14" ht="99.9" customHeight="1" x14ac:dyDescent="0.4">
      <c r="A129">
        <v>255</v>
      </c>
      <c r="B129">
        <f ca="1">OFFSET(raw!$A$10,정리!A129,0)</f>
        <v>0</v>
      </c>
      <c r="C129" t="str">
        <f t="shared" ca="1" si="6"/>
        <v>000000</v>
      </c>
      <c r="D129">
        <f ca="1">OFFSET(raw!$B$10,정리!A129,0)</f>
        <v>0</v>
      </c>
      <c r="E129">
        <f ca="1">OFFSET(raw!$B$11,정리!A129,0)</f>
        <v>0</v>
      </c>
      <c r="F129">
        <f ca="1">OFFSET(raw!$C$10,정리!A129,0)</f>
        <v>0</v>
      </c>
      <c r="G129">
        <f ca="1">OFFSET(raw!$C$11,정리!A129,0)</f>
        <v>0</v>
      </c>
      <c r="H129">
        <f ca="1">OFFSET(raw!$D$10,정리!A129,0)</f>
        <v>0</v>
      </c>
      <c r="I129">
        <f ca="1">OFFSET(raw!$D$11,정리!A129,0)</f>
        <v>0</v>
      </c>
      <c r="J129">
        <f ca="1">OFFSET(raw!$E$10,정리!A129,0)</f>
        <v>0</v>
      </c>
      <c r="K129">
        <f ca="1">OFFSET(raw!$F$10,정리!A129,0)</f>
        <v>0</v>
      </c>
      <c r="L129" s="9" t="str">
        <f t="shared" ca="1" si="7"/>
        <v>0</v>
      </c>
      <c r="M129">
        <f ca="1">OFFSET(raw!$G$10,정리!A129,0)</f>
        <v>0</v>
      </c>
      <c r="N129">
        <f ca="1">OFFSET(raw!$A$11,정리!A129,0)</f>
        <v>0</v>
      </c>
    </row>
    <row r="130" spans="1:14" ht="99.9" customHeight="1" x14ac:dyDescent="0.4">
      <c r="A130">
        <v>257</v>
      </c>
      <c r="B130">
        <f ca="1">OFFSET(raw!$A$10,정리!A130,0)</f>
        <v>0</v>
      </c>
      <c r="C130" t="str">
        <f t="shared" ref="C130:C161" ca="1" si="8">SUBSTITUTE(TEXT(N130,"000000"),"-","A")</f>
        <v>000000</v>
      </c>
      <c r="D130">
        <f ca="1">OFFSET(raw!$B$10,정리!A130,0)</f>
        <v>0</v>
      </c>
      <c r="E130">
        <f ca="1">OFFSET(raw!$B$11,정리!A130,0)</f>
        <v>0</v>
      </c>
      <c r="F130">
        <f ca="1">OFFSET(raw!$C$10,정리!A130,0)</f>
        <v>0</v>
      </c>
      <c r="G130">
        <f ca="1">OFFSET(raw!$C$11,정리!A130,0)</f>
        <v>0</v>
      </c>
      <c r="H130">
        <f ca="1">OFFSET(raw!$D$10,정리!A130,0)</f>
        <v>0</v>
      </c>
      <c r="I130">
        <f ca="1">OFFSET(raw!$D$11,정리!A130,0)</f>
        <v>0</v>
      </c>
      <c r="J130">
        <f ca="1">OFFSET(raw!$E$10,정리!A130,0)</f>
        <v>0</v>
      </c>
      <c r="K130">
        <f ca="1">OFFSET(raw!$F$10,정리!A130,0)</f>
        <v>0</v>
      </c>
      <c r="L130" s="9" t="str">
        <f t="shared" ref="L130:L161" ca="1" si="9">SUBSTITUTE(M130, " ▶ ", CHAR(10) &amp; "▶ ")</f>
        <v>0</v>
      </c>
      <c r="M130">
        <f ca="1">OFFSET(raw!$G$10,정리!A130,0)</f>
        <v>0</v>
      </c>
      <c r="N130">
        <f ca="1">OFFSET(raw!$A$11,정리!A130,0)</f>
        <v>0</v>
      </c>
    </row>
    <row r="131" spans="1:14" ht="99.9" customHeight="1" x14ac:dyDescent="0.4">
      <c r="A131">
        <v>259</v>
      </c>
      <c r="B131">
        <f ca="1">OFFSET(raw!$A$10,정리!A131,0)</f>
        <v>0</v>
      </c>
      <c r="C131" t="str">
        <f t="shared" ca="1" si="8"/>
        <v>000000</v>
      </c>
      <c r="D131">
        <f ca="1">OFFSET(raw!$B$10,정리!A131,0)</f>
        <v>0</v>
      </c>
      <c r="E131">
        <f ca="1">OFFSET(raw!$B$11,정리!A131,0)</f>
        <v>0</v>
      </c>
      <c r="F131">
        <f ca="1">OFFSET(raw!$C$10,정리!A131,0)</f>
        <v>0</v>
      </c>
      <c r="G131">
        <f ca="1">OFFSET(raw!$C$11,정리!A131,0)</f>
        <v>0</v>
      </c>
      <c r="H131">
        <f ca="1">OFFSET(raw!$D$10,정리!A131,0)</f>
        <v>0</v>
      </c>
      <c r="I131">
        <f ca="1">OFFSET(raw!$D$11,정리!A131,0)</f>
        <v>0</v>
      </c>
      <c r="J131">
        <f ca="1">OFFSET(raw!$E$10,정리!A131,0)</f>
        <v>0</v>
      </c>
      <c r="K131">
        <f ca="1">OFFSET(raw!$F$10,정리!A131,0)</f>
        <v>0</v>
      </c>
      <c r="L131" s="9" t="str">
        <f t="shared" ca="1" si="9"/>
        <v>0</v>
      </c>
      <c r="M131">
        <f ca="1">OFFSET(raw!$G$10,정리!A131,0)</f>
        <v>0</v>
      </c>
      <c r="N131">
        <f ca="1">OFFSET(raw!$A$11,정리!A131,0)</f>
        <v>0</v>
      </c>
    </row>
    <row r="132" spans="1:14" ht="99.9" customHeight="1" x14ac:dyDescent="0.4">
      <c r="A132">
        <v>261</v>
      </c>
      <c r="B132">
        <f ca="1">OFFSET(raw!$A$10,정리!A132,0)</f>
        <v>0</v>
      </c>
      <c r="C132" t="str">
        <f t="shared" ca="1" si="8"/>
        <v>000000</v>
      </c>
      <c r="D132">
        <f ca="1">OFFSET(raw!$B$10,정리!A132,0)</f>
        <v>0</v>
      </c>
      <c r="E132">
        <f ca="1">OFFSET(raw!$B$11,정리!A132,0)</f>
        <v>0</v>
      </c>
      <c r="F132">
        <f ca="1">OFFSET(raw!$C$10,정리!A132,0)</f>
        <v>0</v>
      </c>
      <c r="G132">
        <f ca="1">OFFSET(raw!$C$11,정리!A132,0)</f>
        <v>0</v>
      </c>
      <c r="H132">
        <f ca="1">OFFSET(raw!$D$10,정리!A132,0)</f>
        <v>0</v>
      </c>
      <c r="I132">
        <f ca="1">OFFSET(raw!$D$11,정리!A132,0)</f>
        <v>0</v>
      </c>
      <c r="J132">
        <f ca="1">OFFSET(raw!$E$10,정리!A132,0)</f>
        <v>0</v>
      </c>
      <c r="K132">
        <f ca="1">OFFSET(raw!$F$10,정리!A132,0)</f>
        <v>0</v>
      </c>
      <c r="L132" s="9" t="str">
        <f t="shared" ca="1" si="9"/>
        <v>0</v>
      </c>
      <c r="M132">
        <f ca="1">OFFSET(raw!$G$10,정리!A132,0)</f>
        <v>0</v>
      </c>
      <c r="N132">
        <f ca="1">OFFSET(raw!$A$11,정리!A132,0)</f>
        <v>0</v>
      </c>
    </row>
    <row r="133" spans="1:14" ht="99.9" customHeight="1" x14ac:dyDescent="0.4">
      <c r="A133">
        <v>263</v>
      </c>
      <c r="B133">
        <f ca="1">OFFSET(raw!$A$10,정리!A133,0)</f>
        <v>0</v>
      </c>
      <c r="C133" t="str">
        <f t="shared" ca="1" si="8"/>
        <v>000000</v>
      </c>
      <c r="D133">
        <f ca="1">OFFSET(raw!$B$10,정리!A133,0)</f>
        <v>0</v>
      </c>
      <c r="E133">
        <f ca="1">OFFSET(raw!$B$11,정리!A133,0)</f>
        <v>0</v>
      </c>
      <c r="F133">
        <f ca="1">OFFSET(raw!$C$10,정리!A133,0)</f>
        <v>0</v>
      </c>
      <c r="G133">
        <f ca="1">OFFSET(raw!$C$11,정리!A133,0)</f>
        <v>0</v>
      </c>
      <c r="H133">
        <f ca="1">OFFSET(raw!$D$10,정리!A133,0)</f>
        <v>0</v>
      </c>
      <c r="I133">
        <f ca="1">OFFSET(raw!$D$11,정리!A133,0)</f>
        <v>0</v>
      </c>
      <c r="J133">
        <f ca="1">OFFSET(raw!$E$10,정리!A133,0)</f>
        <v>0</v>
      </c>
      <c r="K133">
        <f ca="1">OFFSET(raw!$F$10,정리!A133,0)</f>
        <v>0</v>
      </c>
      <c r="L133" s="9" t="str">
        <f t="shared" ca="1" si="9"/>
        <v>0</v>
      </c>
      <c r="M133">
        <f ca="1">OFFSET(raw!$G$10,정리!A133,0)</f>
        <v>0</v>
      </c>
      <c r="N133">
        <f ca="1">OFFSET(raw!$A$11,정리!A133,0)</f>
        <v>0</v>
      </c>
    </row>
    <row r="134" spans="1:14" ht="99.9" customHeight="1" x14ac:dyDescent="0.4">
      <c r="A134">
        <v>265</v>
      </c>
      <c r="B134">
        <f ca="1">OFFSET(raw!$A$10,정리!A134,0)</f>
        <v>0</v>
      </c>
      <c r="C134" t="str">
        <f t="shared" ca="1" si="8"/>
        <v>000000</v>
      </c>
      <c r="D134">
        <f ca="1">OFFSET(raw!$B$10,정리!A134,0)</f>
        <v>0</v>
      </c>
      <c r="E134">
        <f ca="1">OFFSET(raw!$B$11,정리!A134,0)</f>
        <v>0</v>
      </c>
      <c r="F134">
        <f ca="1">OFFSET(raw!$C$10,정리!A134,0)</f>
        <v>0</v>
      </c>
      <c r="G134">
        <f ca="1">OFFSET(raw!$C$11,정리!A134,0)</f>
        <v>0</v>
      </c>
      <c r="H134">
        <f ca="1">OFFSET(raw!$D$10,정리!A134,0)</f>
        <v>0</v>
      </c>
      <c r="I134">
        <f ca="1">OFFSET(raw!$D$11,정리!A134,0)</f>
        <v>0</v>
      </c>
      <c r="J134">
        <f ca="1">OFFSET(raw!$E$10,정리!A134,0)</f>
        <v>0</v>
      </c>
      <c r="K134">
        <f ca="1">OFFSET(raw!$F$10,정리!A134,0)</f>
        <v>0</v>
      </c>
      <c r="L134" s="9" t="str">
        <f t="shared" ca="1" si="9"/>
        <v>0</v>
      </c>
      <c r="M134">
        <f ca="1">OFFSET(raw!$G$10,정리!A134,0)</f>
        <v>0</v>
      </c>
      <c r="N134">
        <f ca="1">OFFSET(raw!$A$11,정리!A134,0)</f>
        <v>0</v>
      </c>
    </row>
    <row r="135" spans="1:14" ht="99.9" customHeight="1" x14ac:dyDescent="0.4">
      <c r="A135">
        <v>267</v>
      </c>
      <c r="B135">
        <f ca="1">OFFSET(raw!$A$10,정리!A135,0)</f>
        <v>0</v>
      </c>
      <c r="C135" t="str">
        <f t="shared" ca="1" si="8"/>
        <v>000000</v>
      </c>
      <c r="D135">
        <f ca="1">OFFSET(raw!$B$10,정리!A135,0)</f>
        <v>0</v>
      </c>
      <c r="E135">
        <f ca="1">OFFSET(raw!$B$11,정리!A135,0)</f>
        <v>0</v>
      </c>
      <c r="F135">
        <f ca="1">OFFSET(raw!$C$10,정리!A135,0)</f>
        <v>0</v>
      </c>
      <c r="G135">
        <f ca="1">OFFSET(raw!$C$11,정리!A135,0)</f>
        <v>0</v>
      </c>
      <c r="H135">
        <f ca="1">OFFSET(raw!$D$10,정리!A135,0)</f>
        <v>0</v>
      </c>
      <c r="I135">
        <f ca="1">OFFSET(raw!$D$11,정리!A135,0)</f>
        <v>0</v>
      </c>
      <c r="J135">
        <f ca="1">OFFSET(raw!$E$10,정리!A135,0)</f>
        <v>0</v>
      </c>
      <c r="K135">
        <f ca="1">OFFSET(raw!$F$10,정리!A135,0)</f>
        <v>0</v>
      </c>
      <c r="L135" s="9" t="str">
        <f t="shared" ca="1" si="9"/>
        <v>0</v>
      </c>
      <c r="M135">
        <f ca="1">OFFSET(raw!$G$10,정리!A135,0)</f>
        <v>0</v>
      </c>
      <c r="N135">
        <f ca="1">OFFSET(raw!$A$11,정리!A135,0)</f>
        <v>0</v>
      </c>
    </row>
    <row r="136" spans="1:14" ht="99.9" customHeight="1" x14ac:dyDescent="0.4">
      <c r="A136">
        <v>269</v>
      </c>
      <c r="B136">
        <f ca="1">OFFSET(raw!$A$10,정리!A136,0)</f>
        <v>0</v>
      </c>
      <c r="C136" t="str">
        <f t="shared" ca="1" si="8"/>
        <v>000000</v>
      </c>
      <c r="D136">
        <f ca="1">OFFSET(raw!$B$10,정리!A136,0)</f>
        <v>0</v>
      </c>
      <c r="E136">
        <f ca="1">OFFSET(raw!$B$11,정리!A136,0)</f>
        <v>0</v>
      </c>
      <c r="F136">
        <f ca="1">OFFSET(raw!$C$10,정리!A136,0)</f>
        <v>0</v>
      </c>
      <c r="G136">
        <f ca="1">OFFSET(raw!$C$11,정리!A136,0)</f>
        <v>0</v>
      </c>
      <c r="H136">
        <f ca="1">OFFSET(raw!$D$10,정리!A136,0)</f>
        <v>0</v>
      </c>
      <c r="I136">
        <f ca="1">OFFSET(raw!$D$11,정리!A136,0)</f>
        <v>0</v>
      </c>
      <c r="J136">
        <f ca="1">OFFSET(raw!$E$10,정리!A136,0)</f>
        <v>0</v>
      </c>
      <c r="K136">
        <f ca="1">OFFSET(raw!$F$10,정리!A136,0)</f>
        <v>0</v>
      </c>
      <c r="L136" s="9" t="str">
        <f t="shared" ca="1" si="9"/>
        <v>0</v>
      </c>
      <c r="M136">
        <f ca="1">OFFSET(raw!$G$10,정리!A136,0)</f>
        <v>0</v>
      </c>
      <c r="N136">
        <f ca="1">OFFSET(raw!$A$11,정리!A136,0)</f>
        <v>0</v>
      </c>
    </row>
    <row r="137" spans="1:14" ht="99.9" customHeight="1" x14ac:dyDescent="0.4">
      <c r="A137">
        <v>271</v>
      </c>
      <c r="B137">
        <f ca="1">OFFSET(raw!$A$10,정리!A137,0)</f>
        <v>0</v>
      </c>
      <c r="C137" t="str">
        <f t="shared" ca="1" si="8"/>
        <v>000000</v>
      </c>
      <c r="D137">
        <f ca="1">OFFSET(raw!$B$10,정리!A137,0)</f>
        <v>0</v>
      </c>
      <c r="E137">
        <f ca="1">OFFSET(raw!$B$11,정리!A137,0)</f>
        <v>0</v>
      </c>
      <c r="F137">
        <f ca="1">OFFSET(raw!$C$10,정리!A137,0)</f>
        <v>0</v>
      </c>
      <c r="G137">
        <f ca="1">OFFSET(raw!$C$11,정리!A137,0)</f>
        <v>0</v>
      </c>
      <c r="H137">
        <f ca="1">OFFSET(raw!$D$10,정리!A137,0)</f>
        <v>0</v>
      </c>
      <c r="I137">
        <f ca="1">OFFSET(raw!$D$11,정리!A137,0)</f>
        <v>0</v>
      </c>
      <c r="J137">
        <f ca="1">OFFSET(raw!$E$10,정리!A137,0)</f>
        <v>0</v>
      </c>
      <c r="K137">
        <f ca="1">OFFSET(raw!$F$10,정리!A137,0)</f>
        <v>0</v>
      </c>
      <c r="L137" s="9" t="str">
        <f t="shared" ca="1" si="9"/>
        <v>0</v>
      </c>
      <c r="M137">
        <f ca="1">OFFSET(raw!$G$10,정리!A137,0)</f>
        <v>0</v>
      </c>
      <c r="N137">
        <f ca="1">OFFSET(raw!$A$11,정리!A137,0)</f>
        <v>0</v>
      </c>
    </row>
    <row r="138" spans="1:14" ht="99.9" customHeight="1" x14ac:dyDescent="0.4">
      <c r="A138">
        <v>273</v>
      </c>
      <c r="B138">
        <f ca="1">OFFSET(raw!$A$10,정리!A138,0)</f>
        <v>0</v>
      </c>
      <c r="C138" t="str">
        <f t="shared" ca="1" si="8"/>
        <v>000000</v>
      </c>
      <c r="D138">
        <f ca="1">OFFSET(raw!$B$10,정리!A138,0)</f>
        <v>0</v>
      </c>
      <c r="E138">
        <f ca="1">OFFSET(raw!$B$11,정리!A138,0)</f>
        <v>0</v>
      </c>
      <c r="F138">
        <f ca="1">OFFSET(raw!$C$10,정리!A138,0)</f>
        <v>0</v>
      </c>
      <c r="G138">
        <f ca="1">OFFSET(raw!$C$11,정리!A138,0)</f>
        <v>0</v>
      </c>
      <c r="H138">
        <f ca="1">OFFSET(raw!$D$10,정리!A138,0)</f>
        <v>0</v>
      </c>
      <c r="I138">
        <f ca="1">OFFSET(raw!$D$11,정리!A138,0)</f>
        <v>0</v>
      </c>
      <c r="J138">
        <f ca="1">OFFSET(raw!$E$10,정리!A138,0)</f>
        <v>0</v>
      </c>
      <c r="K138">
        <f ca="1">OFFSET(raw!$F$10,정리!A138,0)</f>
        <v>0</v>
      </c>
      <c r="L138" s="9" t="str">
        <f t="shared" ca="1" si="9"/>
        <v>0</v>
      </c>
      <c r="M138">
        <f ca="1">OFFSET(raw!$G$10,정리!A138,0)</f>
        <v>0</v>
      </c>
      <c r="N138">
        <f ca="1">OFFSET(raw!$A$11,정리!A138,0)</f>
        <v>0</v>
      </c>
    </row>
    <row r="139" spans="1:14" ht="99.9" customHeight="1" x14ac:dyDescent="0.4">
      <c r="A139">
        <v>275</v>
      </c>
      <c r="B139">
        <f ca="1">OFFSET(raw!$A$10,정리!A139,0)</f>
        <v>0</v>
      </c>
      <c r="C139" t="str">
        <f t="shared" ca="1" si="8"/>
        <v>000000</v>
      </c>
      <c r="D139">
        <f ca="1">OFFSET(raw!$B$10,정리!A139,0)</f>
        <v>0</v>
      </c>
      <c r="E139">
        <f ca="1">OFFSET(raw!$B$11,정리!A139,0)</f>
        <v>0</v>
      </c>
      <c r="F139">
        <f ca="1">OFFSET(raw!$C$10,정리!A139,0)</f>
        <v>0</v>
      </c>
      <c r="G139">
        <f ca="1">OFFSET(raw!$C$11,정리!A139,0)</f>
        <v>0</v>
      </c>
      <c r="H139">
        <f ca="1">OFFSET(raw!$D$10,정리!A139,0)</f>
        <v>0</v>
      </c>
      <c r="I139">
        <f ca="1">OFFSET(raw!$D$11,정리!A139,0)</f>
        <v>0</v>
      </c>
      <c r="J139">
        <f ca="1">OFFSET(raw!$E$10,정리!A139,0)</f>
        <v>0</v>
      </c>
      <c r="K139">
        <f ca="1">OFFSET(raw!$F$10,정리!A139,0)</f>
        <v>0</v>
      </c>
      <c r="L139" s="9" t="str">
        <f t="shared" ca="1" si="9"/>
        <v>0</v>
      </c>
      <c r="M139">
        <f ca="1">OFFSET(raw!$G$10,정리!A139,0)</f>
        <v>0</v>
      </c>
      <c r="N139">
        <f ca="1">OFFSET(raw!$A$11,정리!A139,0)</f>
        <v>0</v>
      </c>
    </row>
    <row r="140" spans="1:14" ht="99.9" customHeight="1" x14ac:dyDescent="0.4">
      <c r="A140">
        <v>277</v>
      </c>
      <c r="B140">
        <f ca="1">OFFSET(raw!$A$10,정리!A140,0)</f>
        <v>0</v>
      </c>
      <c r="C140" t="str">
        <f t="shared" ca="1" si="8"/>
        <v>000000</v>
      </c>
      <c r="D140">
        <f ca="1">OFFSET(raw!$B$10,정리!A140,0)</f>
        <v>0</v>
      </c>
      <c r="E140">
        <f ca="1">OFFSET(raw!$B$11,정리!A140,0)</f>
        <v>0</v>
      </c>
      <c r="F140">
        <f ca="1">OFFSET(raw!$C$10,정리!A140,0)</f>
        <v>0</v>
      </c>
      <c r="G140">
        <f ca="1">OFFSET(raw!$C$11,정리!A140,0)</f>
        <v>0</v>
      </c>
      <c r="H140">
        <f ca="1">OFFSET(raw!$D$10,정리!A140,0)</f>
        <v>0</v>
      </c>
      <c r="I140">
        <f ca="1">OFFSET(raw!$D$11,정리!A140,0)</f>
        <v>0</v>
      </c>
      <c r="J140">
        <f ca="1">OFFSET(raw!$E$10,정리!A140,0)</f>
        <v>0</v>
      </c>
      <c r="K140">
        <f ca="1">OFFSET(raw!$F$10,정리!A140,0)</f>
        <v>0</v>
      </c>
      <c r="L140" s="9" t="str">
        <f t="shared" ca="1" si="9"/>
        <v>0</v>
      </c>
      <c r="M140">
        <f ca="1">OFFSET(raw!$G$10,정리!A140,0)</f>
        <v>0</v>
      </c>
      <c r="N140">
        <f ca="1">OFFSET(raw!$A$11,정리!A140,0)</f>
        <v>0</v>
      </c>
    </row>
    <row r="141" spans="1:14" ht="99.9" customHeight="1" x14ac:dyDescent="0.4">
      <c r="A141">
        <v>279</v>
      </c>
      <c r="B141">
        <f ca="1">OFFSET(raw!$A$10,정리!A141,0)</f>
        <v>0</v>
      </c>
      <c r="C141" t="str">
        <f t="shared" ca="1" si="8"/>
        <v>000000</v>
      </c>
      <c r="D141">
        <f ca="1">OFFSET(raw!$B$10,정리!A141,0)</f>
        <v>0</v>
      </c>
      <c r="E141">
        <f ca="1">OFFSET(raw!$B$11,정리!A141,0)</f>
        <v>0</v>
      </c>
      <c r="F141">
        <f ca="1">OFFSET(raw!$C$10,정리!A141,0)</f>
        <v>0</v>
      </c>
      <c r="G141">
        <f ca="1">OFFSET(raw!$C$11,정리!A141,0)</f>
        <v>0</v>
      </c>
      <c r="H141">
        <f ca="1">OFFSET(raw!$D$10,정리!A141,0)</f>
        <v>0</v>
      </c>
      <c r="I141">
        <f ca="1">OFFSET(raw!$D$11,정리!A141,0)</f>
        <v>0</v>
      </c>
      <c r="J141">
        <f ca="1">OFFSET(raw!$E$10,정리!A141,0)</f>
        <v>0</v>
      </c>
      <c r="K141">
        <f ca="1">OFFSET(raw!$F$10,정리!A141,0)</f>
        <v>0</v>
      </c>
      <c r="L141" s="9" t="str">
        <f t="shared" ca="1" si="9"/>
        <v>0</v>
      </c>
      <c r="M141">
        <f ca="1">OFFSET(raw!$G$10,정리!A141,0)</f>
        <v>0</v>
      </c>
      <c r="N141">
        <f ca="1">OFFSET(raw!$A$11,정리!A141,0)</f>
        <v>0</v>
      </c>
    </row>
    <row r="142" spans="1:14" ht="99.9" customHeight="1" x14ac:dyDescent="0.4">
      <c r="A142">
        <v>281</v>
      </c>
      <c r="B142">
        <f ca="1">OFFSET(raw!$A$10,정리!A142,0)</f>
        <v>0</v>
      </c>
      <c r="C142" t="str">
        <f t="shared" ca="1" si="8"/>
        <v>000000</v>
      </c>
      <c r="D142">
        <f ca="1">OFFSET(raw!$B$10,정리!A142,0)</f>
        <v>0</v>
      </c>
      <c r="E142">
        <f ca="1">OFFSET(raw!$B$11,정리!A142,0)</f>
        <v>0</v>
      </c>
      <c r="F142">
        <f ca="1">OFFSET(raw!$C$10,정리!A142,0)</f>
        <v>0</v>
      </c>
      <c r="G142">
        <f ca="1">OFFSET(raw!$C$11,정리!A142,0)</f>
        <v>0</v>
      </c>
      <c r="H142">
        <f ca="1">OFFSET(raw!$D$10,정리!A142,0)</f>
        <v>0</v>
      </c>
      <c r="I142">
        <f ca="1">OFFSET(raw!$D$11,정리!A142,0)</f>
        <v>0</v>
      </c>
      <c r="J142">
        <f ca="1">OFFSET(raw!$E$10,정리!A142,0)</f>
        <v>0</v>
      </c>
      <c r="K142">
        <f ca="1">OFFSET(raw!$F$10,정리!A142,0)</f>
        <v>0</v>
      </c>
      <c r="L142" s="9" t="str">
        <f t="shared" ca="1" si="9"/>
        <v>0</v>
      </c>
      <c r="M142">
        <f ca="1">OFFSET(raw!$G$10,정리!A142,0)</f>
        <v>0</v>
      </c>
      <c r="N142">
        <f ca="1">OFFSET(raw!$A$11,정리!A142,0)</f>
        <v>0</v>
      </c>
    </row>
    <row r="143" spans="1:14" ht="99.9" customHeight="1" x14ac:dyDescent="0.4">
      <c r="A143">
        <v>283</v>
      </c>
      <c r="B143">
        <f ca="1">OFFSET(raw!$A$10,정리!A143,0)</f>
        <v>0</v>
      </c>
      <c r="C143" t="str">
        <f t="shared" ca="1" si="8"/>
        <v>000000</v>
      </c>
      <c r="D143">
        <f ca="1">OFFSET(raw!$B$10,정리!A143,0)</f>
        <v>0</v>
      </c>
      <c r="E143">
        <f ca="1">OFFSET(raw!$B$11,정리!A143,0)</f>
        <v>0</v>
      </c>
      <c r="F143">
        <f ca="1">OFFSET(raw!$C$10,정리!A143,0)</f>
        <v>0</v>
      </c>
      <c r="G143">
        <f ca="1">OFFSET(raw!$C$11,정리!A143,0)</f>
        <v>0</v>
      </c>
      <c r="H143">
        <f ca="1">OFFSET(raw!$D$10,정리!A143,0)</f>
        <v>0</v>
      </c>
      <c r="I143">
        <f ca="1">OFFSET(raw!$D$11,정리!A143,0)</f>
        <v>0</v>
      </c>
      <c r="J143">
        <f ca="1">OFFSET(raw!$E$10,정리!A143,0)</f>
        <v>0</v>
      </c>
      <c r="K143">
        <f ca="1">OFFSET(raw!$F$10,정리!A143,0)</f>
        <v>0</v>
      </c>
      <c r="L143" s="9" t="str">
        <f t="shared" ca="1" si="9"/>
        <v>0</v>
      </c>
      <c r="M143">
        <f ca="1">OFFSET(raw!$G$10,정리!A143,0)</f>
        <v>0</v>
      </c>
      <c r="N143">
        <f ca="1">OFFSET(raw!$A$11,정리!A143,0)</f>
        <v>0</v>
      </c>
    </row>
    <row r="144" spans="1:14" ht="99.9" customHeight="1" x14ac:dyDescent="0.4">
      <c r="A144">
        <v>285</v>
      </c>
      <c r="B144">
        <f ca="1">OFFSET(raw!$A$10,정리!A144,0)</f>
        <v>0</v>
      </c>
      <c r="C144" t="str">
        <f t="shared" ca="1" si="8"/>
        <v>000000</v>
      </c>
      <c r="D144">
        <f ca="1">OFFSET(raw!$B$10,정리!A144,0)</f>
        <v>0</v>
      </c>
      <c r="E144">
        <f ca="1">OFFSET(raw!$B$11,정리!A144,0)</f>
        <v>0</v>
      </c>
      <c r="F144">
        <f ca="1">OFFSET(raw!$C$10,정리!A144,0)</f>
        <v>0</v>
      </c>
      <c r="G144">
        <f ca="1">OFFSET(raw!$C$11,정리!A144,0)</f>
        <v>0</v>
      </c>
      <c r="H144">
        <f ca="1">OFFSET(raw!$D$10,정리!A144,0)</f>
        <v>0</v>
      </c>
      <c r="I144">
        <f ca="1">OFFSET(raw!$D$11,정리!A144,0)</f>
        <v>0</v>
      </c>
      <c r="J144">
        <f ca="1">OFFSET(raw!$E$10,정리!A144,0)</f>
        <v>0</v>
      </c>
      <c r="K144">
        <f ca="1">OFFSET(raw!$F$10,정리!A144,0)</f>
        <v>0</v>
      </c>
      <c r="L144" s="9" t="str">
        <f t="shared" ca="1" si="9"/>
        <v>0</v>
      </c>
      <c r="M144">
        <f ca="1">OFFSET(raw!$G$10,정리!A144,0)</f>
        <v>0</v>
      </c>
      <c r="N144">
        <f ca="1">OFFSET(raw!$A$11,정리!A144,0)</f>
        <v>0</v>
      </c>
    </row>
    <row r="145" spans="1:14" ht="99.9" customHeight="1" x14ac:dyDescent="0.4">
      <c r="A145">
        <v>287</v>
      </c>
      <c r="B145">
        <f ca="1">OFFSET(raw!$A$10,정리!A145,0)</f>
        <v>0</v>
      </c>
      <c r="C145" t="str">
        <f t="shared" ca="1" si="8"/>
        <v>000000</v>
      </c>
      <c r="D145">
        <f ca="1">OFFSET(raw!$B$10,정리!A145,0)</f>
        <v>0</v>
      </c>
      <c r="E145">
        <f ca="1">OFFSET(raw!$B$11,정리!A145,0)</f>
        <v>0</v>
      </c>
      <c r="F145">
        <f ca="1">OFFSET(raw!$C$10,정리!A145,0)</f>
        <v>0</v>
      </c>
      <c r="G145">
        <f ca="1">OFFSET(raw!$C$11,정리!A145,0)</f>
        <v>0</v>
      </c>
      <c r="H145">
        <f ca="1">OFFSET(raw!$D$10,정리!A145,0)</f>
        <v>0</v>
      </c>
      <c r="I145">
        <f ca="1">OFFSET(raw!$D$11,정리!A145,0)</f>
        <v>0</v>
      </c>
      <c r="J145">
        <f ca="1">OFFSET(raw!$E$10,정리!A145,0)</f>
        <v>0</v>
      </c>
      <c r="K145">
        <f ca="1">OFFSET(raw!$F$10,정리!A145,0)</f>
        <v>0</v>
      </c>
      <c r="L145" s="9" t="str">
        <f t="shared" ca="1" si="9"/>
        <v>0</v>
      </c>
      <c r="M145">
        <f ca="1">OFFSET(raw!$G$10,정리!A145,0)</f>
        <v>0</v>
      </c>
      <c r="N145">
        <f ca="1">OFFSET(raw!$A$11,정리!A145,0)</f>
        <v>0</v>
      </c>
    </row>
    <row r="146" spans="1:14" ht="99.9" customHeight="1" x14ac:dyDescent="0.4">
      <c r="A146">
        <v>289</v>
      </c>
      <c r="B146">
        <f ca="1">OFFSET(raw!$A$10,정리!A146,0)</f>
        <v>0</v>
      </c>
      <c r="C146" t="str">
        <f t="shared" ca="1" si="8"/>
        <v>000000</v>
      </c>
      <c r="D146">
        <f ca="1">OFFSET(raw!$B$10,정리!A146,0)</f>
        <v>0</v>
      </c>
      <c r="E146">
        <f ca="1">OFFSET(raw!$B$11,정리!A146,0)</f>
        <v>0</v>
      </c>
      <c r="F146">
        <f ca="1">OFFSET(raw!$C$10,정리!A146,0)</f>
        <v>0</v>
      </c>
      <c r="G146">
        <f ca="1">OFFSET(raw!$C$11,정리!A146,0)</f>
        <v>0</v>
      </c>
      <c r="H146">
        <f ca="1">OFFSET(raw!$D$10,정리!A146,0)</f>
        <v>0</v>
      </c>
      <c r="I146">
        <f ca="1">OFFSET(raw!$D$11,정리!A146,0)</f>
        <v>0</v>
      </c>
      <c r="J146">
        <f ca="1">OFFSET(raw!$E$10,정리!A146,0)</f>
        <v>0</v>
      </c>
      <c r="K146">
        <f ca="1">OFFSET(raw!$F$10,정리!A146,0)</f>
        <v>0</v>
      </c>
      <c r="L146" s="9" t="str">
        <f t="shared" ca="1" si="9"/>
        <v>0</v>
      </c>
      <c r="M146">
        <f ca="1">OFFSET(raw!$G$10,정리!A146,0)</f>
        <v>0</v>
      </c>
      <c r="N146">
        <f ca="1">OFFSET(raw!$A$11,정리!A146,0)</f>
        <v>0</v>
      </c>
    </row>
    <row r="147" spans="1:14" ht="99.9" customHeight="1" x14ac:dyDescent="0.4">
      <c r="A147">
        <v>291</v>
      </c>
      <c r="B147">
        <f ca="1">OFFSET(raw!$A$10,정리!A147,0)</f>
        <v>0</v>
      </c>
      <c r="C147" t="str">
        <f t="shared" ca="1" si="8"/>
        <v>000000</v>
      </c>
      <c r="D147">
        <f ca="1">OFFSET(raw!$B$10,정리!A147,0)</f>
        <v>0</v>
      </c>
      <c r="E147">
        <f ca="1">OFFSET(raw!$B$11,정리!A147,0)</f>
        <v>0</v>
      </c>
      <c r="F147">
        <f ca="1">OFFSET(raw!$C$10,정리!A147,0)</f>
        <v>0</v>
      </c>
      <c r="G147">
        <f ca="1">OFFSET(raw!$C$11,정리!A147,0)</f>
        <v>0</v>
      </c>
      <c r="H147">
        <f ca="1">OFFSET(raw!$D$10,정리!A147,0)</f>
        <v>0</v>
      </c>
      <c r="I147">
        <f ca="1">OFFSET(raw!$D$11,정리!A147,0)</f>
        <v>0</v>
      </c>
      <c r="J147">
        <f ca="1">OFFSET(raw!$E$10,정리!A147,0)</f>
        <v>0</v>
      </c>
      <c r="K147">
        <f ca="1">OFFSET(raw!$F$10,정리!A147,0)</f>
        <v>0</v>
      </c>
      <c r="L147" s="9" t="str">
        <f t="shared" ca="1" si="9"/>
        <v>0</v>
      </c>
      <c r="M147">
        <f ca="1">OFFSET(raw!$G$10,정리!A147,0)</f>
        <v>0</v>
      </c>
      <c r="N147">
        <f ca="1">OFFSET(raw!$A$11,정리!A147,0)</f>
        <v>0</v>
      </c>
    </row>
    <row r="148" spans="1:14" ht="99.9" customHeight="1" x14ac:dyDescent="0.4">
      <c r="A148">
        <v>293</v>
      </c>
      <c r="B148">
        <f ca="1">OFFSET(raw!$A$10,정리!A148,0)</f>
        <v>0</v>
      </c>
      <c r="C148" t="str">
        <f t="shared" ca="1" si="8"/>
        <v>000000</v>
      </c>
      <c r="D148">
        <f ca="1">OFFSET(raw!$B$10,정리!A148,0)</f>
        <v>0</v>
      </c>
      <c r="E148">
        <f ca="1">OFFSET(raw!$B$11,정리!A148,0)</f>
        <v>0</v>
      </c>
      <c r="F148">
        <f ca="1">OFFSET(raw!$C$10,정리!A148,0)</f>
        <v>0</v>
      </c>
      <c r="G148">
        <f ca="1">OFFSET(raw!$C$11,정리!A148,0)</f>
        <v>0</v>
      </c>
      <c r="H148">
        <f ca="1">OFFSET(raw!$D$10,정리!A148,0)</f>
        <v>0</v>
      </c>
      <c r="I148">
        <f ca="1">OFFSET(raw!$D$11,정리!A148,0)</f>
        <v>0</v>
      </c>
      <c r="J148">
        <f ca="1">OFFSET(raw!$E$10,정리!A148,0)</f>
        <v>0</v>
      </c>
      <c r="K148">
        <f ca="1">OFFSET(raw!$F$10,정리!A148,0)</f>
        <v>0</v>
      </c>
      <c r="L148" s="9" t="str">
        <f t="shared" ca="1" si="9"/>
        <v>0</v>
      </c>
      <c r="M148">
        <f ca="1">OFFSET(raw!$G$10,정리!A148,0)</f>
        <v>0</v>
      </c>
      <c r="N148">
        <f ca="1">OFFSET(raw!$A$11,정리!A148,0)</f>
        <v>0</v>
      </c>
    </row>
    <row r="149" spans="1:14" ht="99.9" customHeight="1" x14ac:dyDescent="0.4">
      <c r="A149">
        <v>295</v>
      </c>
      <c r="B149">
        <f ca="1">OFFSET(raw!$A$10,정리!A149,0)</f>
        <v>0</v>
      </c>
      <c r="C149" t="str">
        <f t="shared" ca="1" si="8"/>
        <v>000000</v>
      </c>
      <c r="D149">
        <f ca="1">OFFSET(raw!$B$10,정리!A149,0)</f>
        <v>0</v>
      </c>
      <c r="E149">
        <f ca="1">OFFSET(raw!$B$11,정리!A149,0)</f>
        <v>0</v>
      </c>
      <c r="F149">
        <f ca="1">OFFSET(raw!$C$10,정리!A149,0)</f>
        <v>0</v>
      </c>
      <c r="G149">
        <f ca="1">OFFSET(raw!$C$11,정리!A149,0)</f>
        <v>0</v>
      </c>
      <c r="H149">
        <f ca="1">OFFSET(raw!$D$10,정리!A149,0)</f>
        <v>0</v>
      </c>
      <c r="I149">
        <f ca="1">OFFSET(raw!$D$11,정리!A149,0)</f>
        <v>0</v>
      </c>
      <c r="J149">
        <f ca="1">OFFSET(raw!$E$10,정리!A149,0)</f>
        <v>0</v>
      </c>
      <c r="K149">
        <f ca="1">OFFSET(raw!$F$10,정리!A149,0)</f>
        <v>0</v>
      </c>
      <c r="L149" s="9" t="str">
        <f t="shared" ca="1" si="9"/>
        <v>0</v>
      </c>
      <c r="M149">
        <f ca="1">OFFSET(raw!$G$10,정리!A149,0)</f>
        <v>0</v>
      </c>
      <c r="N149">
        <f ca="1">OFFSET(raw!$A$11,정리!A149,0)</f>
        <v>0</v>
      </c>
    </row>
    <row r="150" spans="1:14" ht="99.9" customHeight="1" x14ac:dyDescent="0.4">
      <c r="A150">
        <v>297</v>
      </c>
      <c r="B150">
        <f ca="1">OFFSET(raw!$A$10,정리!A150,0)</f>
        <v>0</v>
      </c>
      <c r="C150" t="str">
        <f t="shared" ca="1" si="8"/>
        <v>000000</v>
      </c>
      <c r="D150">
        <f ca="1">OFFSET(raw!$B$10,정리!A150,0)</f>
        <v>0</v>
      </c>
      <c r="E150">
        <f ca="1">OFFSET(raw!$B$11,정리!A150,0)</f>
        <v>0</v>
      </c>
      <c r="F150">
        <f ca="1">OFFSET(raw!$C$10,정리!A150,0)</f>
        <v>0</v>
      </c>
      <c r="G150">
        <f ca="1">OFFSET(raw!$C$11,정리!A150,0)</f>
        <v>0</v>
      </c>
      <c r="H150">
        <f ca="1">OFFSET(raw!$D$10,정리!A150,0)</f>
        <v>0</v>
      </c>
      <c r="I150">
        <f ca="1">OFFSET(raw!$D$11,정리!A150,0)</f>
        <v>0</v>
      </c>
      <c r="J150">
        <f ca="1">OFFSET(raw!$E$10,정리!A150,0)</f>
        <v>0</v>
      </c>
      <c r="K150">
        <f ca="1">OFFSET(raw!$F$10,정리!A150,0)</f>
        <v>0</v>
      </c>
      <c r="L150" s="9" t="str">
        <f t="shared" ca="1" si="9"/>
        <v>0</v>
      </c>
      <c r="M150">
        <f ca="1">OFFSET(raw!$G$10,정리!A150,0)</f>
        <v>0</v>
      </c>
      <c r="N150">
        <f ca="1">OFFSET(raw!$A$11,정리!A150,0)</f>
        <v>0</v>
      </c>
    </row>
    <row r="151" spans="1:14" ht="99.9" customHeight="1" x14ac:dyDescent="0.4">
      <c r="A151">
        <v>299</v>
      </c>
      <c r="B151">
        <f ca="1">OFFSET(raw!$A$10,정리!A151,0)</f>
        <v>0</v>
      </c>
      <c r="C151" t="str">
        <f t="shared" ca="1" si="8"/>
        <v>000000</v>
      </c>
      <c r="D151">
        <f ca="1">OFFSET(raw!$B$10,정리!A151,0)</f>
        <v>0</v>
      </c>
      <c r="E151">
        <f ca="1">OFFSET(raw!$B$11,정리!A151,0)</f>
        <v>0</v>
      </c>
      <c r="F151">
        <f ca="1">OFFSET(raw!$C$10,정리!A151,0)</f>
        <v>0</v>
      </c>
      <c r="G151">
        <f ca="1">OFFSET(raw!$C$11,정리!A151,0)</f>
        <v>0</v>
      </c>
      <c r="H151">
        <f ca="1">OFFSET(raw!$D$10,정리!A151,0)</f>
        <v>0</v>
      </c>
      <c r="I151">
        <f ca="1">OFFSET(raw!$D$11,정리!A151,0)</f>
        <v>0</v>
      </c>
      <c r="J151">
        <f ca="1">OFFSET(raw!$E$10,정리!A151,0)</f>
        <v>0</v>
      </c>
      <c r="K151">
        <f ca="1">OFFSET(raw!$F$10,정리!A151,0)</f>
        <v>0</v>
      </c>
      <c r="L151" s="9" t="str">
        <f t="shared" ca="1" si="9"/>
        <v>0</v>
      </c>
      <c r="M151">
        <f ca="1">OFFSET(raw!$G$10,정리!A151,0)</f>
        <v>0</v>
      </c>
      <c r="N151">
        <f ca="1">OFFSET(raw!$A$11,정리!A151,0)</f>
        <v>0</v>
      </c>
    </row>
    <row r="152" spans="1:14" ht="99.9" customHeight="1" x14ac:dyDescent="0.4">
      <c r="A152">
        <v>301</v>
      </c>
      <c r="B152">
        <f ca="1">OFFSET(raw!$A$10,정리!A152,0)</f>
        <v>0</v>
      </c>
      <c r="C152" t="str">
        <f t="shared" ca="1" si="8"/>
        <v>000000</v>
      </c>
      <c r="D152">
        <f ca="1">OFFSET(raw!$B$10,정리!A152,0)</f>
        <v>0</v>
      </c>
      <c r="E152">
        <f ca="1">OFFSET(raw!$B$11,정리!A152,0)</f>
        <v>0</v>
      </c>
      <c r="F152">
        <f ca="1">OFFSET(raw!$C$10,정리!A152,0)</f>
        <v>0</v>
      </c>
      <c r="G152">
        <f ca="1">OFFSET(raw!$C$11,정리!A152,0)</f>
        <v>0</v>
      </c>
      <c r="H152">
        <f ca="1">OFFSET(raw!$D$10,정리!A152,0)</f>
        <v>0</v>
      </c>
      <c r="I152">
        <f ca="1">OFFSET(raw!$D$11,정리!A152,0)</f>
        <v>0</v>
      </c>
      <c r="J152">
        <f ca="1">OFFSET(raw!$E$10,정리!A152,0)</f>
        <v>0</v>
      </c>
      <c r="K152">
        <f ca="1">OFFSET(raw!$F$10,정리!A152,0)</f>
        <v>0</v>
      </c>
      <c r="L152" s="9" t="str">
        <f t="shared" ca="1" si="9"/>
        <v>0</v>
      </c>
      <c r="M152">
        <f ca="1">OFFSET(raw!$G$10,정리!A152,0)</f>
        <v>0</v>
      </c>
      <c r="N152">
        <f ca="1">OFFSET(raw!$A$11,정리!A152,0)</f>
        <v>0</v>
      </c>
    </row>
    <row r="153" spans="1:14" ht="99.9" customHeight="1" x14ac:dyDescent="0.4">
      <c r="A153">
        <v>303</v>
      </c>
      <c r="B153">
        <f ca="1">OFFSET(raw!$A$10,정리!A153,0)</f>
        <v>0</v>
      </c>
      <c r="C153" t="str">
        <f t="shared" ca="1" si="8"/>
        <v>000000</v>
      </c>
      <c r="D153">
        <f ca="1">OFFSET(raw!$B$10,정리!A153,0)</f>
        <v>0</v>
      </c>
      <c r="E153">
        <f ca="1">OFFSET(raw!$B$11,정리!A153,0)</f>
        <v>0</v>
      </c>
      <c r="F153">
        <f ca="1">OFFSET(raw!$C$10,정리!A153,0)</f>
        <v>0</v>
      </c>
      <c r="G153">
        <f ca="1">OFFSET(raw!$C$11,정리!A153,0)</f>
        <v>0</v>
      </c>
      <c r="H153">
        <f ca="1">OFFSET(raw!$D$10,정리!A153,0)</f>
        <v>0</v>
      </c>
      <c r="I153">
        <f ca="1">OFFSET(raw!$D$11,정리!A153,0)</f>
        <v>0</v>
      </c>
      <c r="J153">
        <f ca="1">OFFSET(raw!$E$10,정리!A153,0)</f>
        <v>0</v>
      </c>
      <c r="K153">
        <f ca="1">OFFSET(raw!$F$10,정리!A153,0)</f>
        <v>0</v>
      </c>
      <c r="L153" s="9" t="str">
        <f t="shared" ca="1" si="9"/>
        <v>0</v>
      </c>
      <c r="M153">
        <f ca="1">OFFSET(raw!$G$10,정리!A153,0)</f>
        <v>0</v>
      </c>
      <c r="N153">
        <f ca="1">OFFSET(raw!$A$11,정리!A153,0)</f>
        <v>0</v>
      </c>
    </row>
    <row r="154" spans="1:14" ht="99.9" customHeight="1" x14ac:dyDescent="0.4">
      <c r="A154">
        <v>305</v>
      </c>
      <c r="B154">
        <f ca="1">OFFSET(raw!$A$10,정리!A154,0)</f>
        <v>0</v>
      </c>
      <c r="C154" t="str">
        <f t="shared" ca="1" si="8"/>
        <v>000000</v>
      </c>
      <c r="D154">
        <f ca="1">OFFSET(raw!$B$10,정리!A154,0)</f>
        <v>0</v>
      </c>
      <c r="E154">
        <f ca="1">OFFSET(raw!$B$11,정리!A154,0)</f>
        <v>0</v>
      </c>
      <c r="F154">
        <f ca="1">OFFSET(raw!$C$10,정리!A154,0)</f>
        <v>0</v>
      </c>
      <c r="G154">
        <f ca="1">OFFSET(raw!$C$11,정리!A154,0)</f>
        <v>0</v>
      </c>
      <c r="H154">
        <f ca="1">OFFSET(raw!$D$10,정리!A154,0)</f>
        <v>0</v>
      </c>
      <c r="I154">
        <f ca="1">OFFSET(raw!$D$11,정리!A154,0)</f>
        <v>0</v>
      </c>
      <c r="J154">
        <f ca="1">OFFSET(raw!$E$10,정리!A154,0)</f>
        <v>0</v>
      </c>
      <c r="K154">
        <f ca="1">OFFSET(raw!$F$10,정리!A154,0)</f>
        <v>0</v>
      </c>
      <c r="L154" s="9" t="str">
        <f t="shared" ca="1" si="9"/>
        <v>0</v>
      </c>
      <c r="M154">
        <f ca="1">OFFSET(raw!$G$10,정리!A154,0)</f>
        <v>0</v>
      </c>
      <c r="N154">
        <f ca="1">OFFSET(raw!$A$11,정리!A154,0)</f>
        <v>0</v>
      </c>
    </row>
    <row r="155" spans="1:14" ht="99.9" customHeight="1" x14ac:dyDescent="0.4">
      <c r="A155">
        <v>307</v>
      </c>
      <c r="B155">
        <f ca="1">OFFSET(raw!$A$10,정리!A155,0)</f>
        <v>0</v>
      </c>
      <c r="C155" t="str">
        <f t="shared" ca="1" si="8"/>
        <v>000000</v>
      </c>
      <c r="D155">
        <f ca="1">OFFSET(raw!$B$10,정리!A155,0)</f>
        <v>0</v>
      </c>
      <c r="E155">
        <f ca="1">OFFSET(raw!$B$11,정리!A155,0)</f>
        <v>0</v>
      </c>
      <c r="F155">
        <f ca="1">OFFSET(raw!$C$10,정리!A155,0)</f>
        <v>0</v>
      </c>
      <c r="G155">
        <f ca="1">OFFSET(raw!$C$11,정리!A155,0)</f>
        <v>0</v>
      </c>
      <c r="H155">
        <f ca="1">OFFSET(raw!$D$10,정리!A155,0)</f>
        <v>0</v>
      </c>
      <c r="I155">
        <f ca="1">OFFSET(raw!$D$11,정리!A155,0)</f>
        <v>0</v>
      </c>
      <c r="J155">
        <f ca="1">OFFSET(raw!$E$10,정리!A155,0)</f>
        <v>0</v>
      </c>
      <c r="K155">
        <f ca="1">OFFSET(raw!$F$10,정리!A155,0)</f>
        <v>0</v>
      </c>
      <c r="L155" s="9" t="str">
        <f t="shared" ca="1" si="9"/>
        <v>0</v>
      </c>
      <c r="M155">
        <f ca="1">OFFSET(raw!$G$10,정리!A155,0)</f>
        <v>0</v>
      </c>
      <c r="N155">
        <f ca="1">OFFSET(raw!$A$11,정리!A155,0)</f>
        <v>0</v>
      </c>
    </row>
    <row r="156" spans="1:14" ht="99.9" customHeight="1" x14ac:dyDescent="0.4">
      <c r="A156">
        <v>309</v>
      </c>
      <c r="B156">
        <f ca="1">OFFSET(raw!$A$10,정리!A156,0)</f>
        <v>0</v>
      </c>
      <c r="C156" t="str">
        <f t="shared" ca="1" si="8"/>
        <v>000000</v>
      </c>
      <c r="D156">
        <f ca="1">OFFSET(raw!$B$10,정리!A156,0)</f>
        <v>0</v>
      </c>
      <c r="E156">
        <f ca="1">OFFSET(raw!$B$11,정리!A156,0)</f>
        <v>0</v>
      </c>
      <c r="F156">
        <f ca="1">OFFSET(raw!$C$10,정리!A156,0)</f>
        <v>0</v>
      </c>
      <c r="G156">
        <f ca="1">OFFSET(raw!$C$11,정리!A156,0)</f>
        <v>0</v>
      </c>
      <c r="H156">
        <f ca="1">OFFSET(raw!$D$10,정리!A156,0)</f>
        <v>0</v>
      </c>
      <c r="I156">
        <f ca="1">OFFSET(raw!$D$11,정리!A156,0)</f>
        <v>0</v>
      </c>
      <c r="J156">
        <f ca="1">OFFSET(raw!$E$10,정리!A156,0)</f>
        <v>0</v>
      </c>
      <c r="K156">
        <f ca="1">OFFSET(raw!$F$10,정리!A156,0)</f>
        <v>0</v>
      </c>
      <c r="L156" s="9" t="str">
        <f t="shared" ca="1" si="9"/>
        <v>0</v>
      </c>
      <c r="M156">
        <f ca="1">OFFSET(raw!$G$10,정리!A156,0)</f>
        <v>0</v>
      </c>
      <c r="N156">
        <f ca="1">OFFSET(raw!$A$11,정리!A156,0)</f>
        <v>0</v>
      </c>
    </row>
    <row r="157" spans="1:14" ht="99.9" customHeight="1" x14ac:dyDescent="0.4">
      <c r="A157">
        <v>311</v>
      </c>
      <c r="B157">
        <f ca="1">OFFSET(raw!$A$10,정리!A157,0)</f>
        <v>0</v>
      </c>
      <c r="C157" t="str">
        <f t="shared" ca="1" si="8"/>
        <v>000000</v>
      </c>
      <c r="D157">
        <f ca="1">OFFSET(raw!$B$10,정리!A157,0)</f>
        <v>0</v>
      </c>
      <c r="E157">
        <f ca="1">OFFSET(raw!$B$11,정리!A157,0)</f>
        <v>0</v>
      </c>
      <c r="F157">
        <f ca="1">OFFSET(raw!$C$10,정리!A157,0)</f>
        <v>0</v>
      </c>
      <c r="G157">
        <f ca="1">OFFSET(raw!$C$11,정리!A157,0)</f>
        <v>0</v>
      </c>
      <c r="H157">
        <f ca="1">OFFSET(raw!$D$10,정리!A157,0)</f>
        <v>0</v>
      </c>
      <c r="I157">
        <f ca="1">OFFSET(raw!$D$11,정리!A157,0)</f>
        <v>0</v>
      </c>
      <c r="J157">
        <f ca="1">OFFSET(raw!$E$10,정리!A157,0)</f>
        <v>0</v>
      </c>
      <c r="K157">
        <f ca="1">OFFSET(raw!$F$10,정리!A157,0)</f>
        <v>0</v>
      </c>
      <c r="L157" s="9" t="str">
        <f t="shared" ca="1" si="9"/>
        <v>0</v>
      </c>
      <c r="M157">
        <f ca="1">OFFSET(raw!$G$10,정리!A157,0)</f>
        <v>0</v>
      </c>
      <c r="N157">
        <f ca="1">OFFSET(raw!$A$11,정리!A157,0)</f>
        <v>0</v>
      </c>
    </row>
    <row r="158" spans="1:14" ht="99.9" customHeight="1" x14ac:dyDescent="0.4">
      <c r="A158">
        <v>313</v>
      </c>
      <c r="B158">
        <f ca="1">OFFSET(raw!$A$10,정리!A158,0)</f>
        <v>0</v>
      </c>
      <c r="C158" t="str">
        <f t="shared" ca="1" si="8"/>
        <v>000000</v>
      </c>
      <c r="D158">
        <f ca="1">OFFSET(raw!$B$10,정리!A158,0)</f>
        <v>0</v>
      </c>
      <c r="E158">
        <f ca="1">OFFSET(raw!$B$11,정리!A158,0)</f>
        <v>0</v>
      </c>
      <c r="F158">
        <f ca="1">OFFSET(raw!$C$10,정리!A158,0)</f>
        <v>0</v>
      </c>
      <c r="G158">
        <f ca="1">OFFSET(raw!$C$11,정리!A158,0)</f>
        <v>0</v>
      </c>
      <c r="H158">
        <f ca="1">OFFSET(raw!$D$10,정리!A158,0)</f>
        <v>0</v>
      </c>
      <c r="I158">
        <f ca="1">OFFSET(raw!$D$11,정리!A158,0)</f>
        <v>0</v>
      </c>
      <c r="J158">
        <f ca="1">OFFSET(raw!$E$10,정리!A158,0)</f>
        <v>0</v>
      </c>
      <c r="K158">
        <f ca="1">OFFSET(raw!$F$10,정리!A158,0)</f>
        <v>0</v>
      </c>
      <c r="L158" s="9" t="str">
        <f t="shared" ca="1" si="9"/>
        <v>0</v>
      </c>
      <c r="M158">
        <f ca="1">OFFSET(raw!$G$10,정리!A158,0)</f>
        <v>0</v>
      </c>
      <c r="N158">
        <f ca="1">OFFSET(raw!$A$11,정리!A158,0)</f>
        <v>0</v>
      </c>
    </row>
    <row r="159" spans="1:14" ht="99.9" customHeight="1" x14ac:dyDescent="0.4">
      <c r="A159">
        <v>315</v>
      </c>
      <c r="B159">
        <f ca="1">OFFSET(raw!$A$10,정리!A159,0)</f>
        <v>0</v>
      </c>
      <c r="C159" t="str">
        <f t="shared" ca="1" si="8"/>
        <v>000000</v>
      </c>
      <c r="D159">
        <f ca="1">OFFSET(raw!$B$10,정리!A159,0)</f>
        <v>0</v>
      </c>
      <c r="E159">
        <f ca="1">OFFSET(raw!$B$11,정리!A159,0)</f>
        <v>0</v>
      </c>
      <c r="F159">
        <f ca="1">OFFSET(raw!$C$10,정리!A159,0)</f>
        <v>0</v>
      </c>
      <c r="G159">
        <f ca="1">OFFSET(raw!$C$11,정리!A159,0)</f>
        <v>0</v>
      </c>
      <c r="H159">
        <f ca="1">OFFSET(raw!$D$10,정리!A159,0)</f>
        <v>0</v>
      </c>
      <c r="I159">
        <f ca="1">OFFSET(raw!$D$11,정리!A159,0)</f>
        <v>0</v>
      </c>
      <c r="J159">
        <f ca="1">OFFSET(raw!$E$10,정리!A159,0)</f>
        <v>0</v>
      </c>
      <c r="K159">
        <f ca="1">OFFSET(raw!$F$10,정리!A159,0)</f>
        <v>0</v>
      </c>
      <c r="L159" s="9" t="str">
        <f t="shared" ca="1" si="9"/>
        <v>0</v>
      </c>
      <c r="M159">
        <f ca="1">OFFSET(raw!$G$10,정리!A159,0)</f>
        <v>0</v>
      </c>
      <c r="N159">
        <f ca="1">OFFSET(raw!$A$11,정리!A159,0)</f>
        <v>0</v>
      </c>
    </row>
    <row r="160" spans="1:14" ht="99.9" customHeight="1" x14ac:dyDescent="0.4">
      <c r="A160">
        <v>317</v>
      </c>
      <c r="B160">
        <f ca="1">OFFSET(raw!$A$10,정리!A160,0)</f>
        <v>0</v>
      </c>
      <c r="C160" t="str">
        <f t="shared" ca="1" si="8"/>
        <v>000000</v>
      </c>
      <c r="D160">
        <f ca="1">OFFSET(raw!$B$10,정리!A160,0)</f>
        <v>0</v>
      </c>
      <c r="E160">
        <f ca="1">OFFSET(raw!$B$11,정리!A160,0)</f>
        <v>0</v>
      </c>
      <c r="F160">
        <f ca="1">OFFSET(raw!$C$10,정리!A160,0)</f>
        <v>0</v>
      </c>
      <c r="G160">
        <f ca="1">OFFSET(raw!$C$11,정리!A160,0)</f>
        <v>0</v>
      </c>
      <c r="H160">
        <f ca="1">OFFSET(raw!$D$10,정리!A160,0)</f>
        <v>0</v>
      </c>
      <c r="I160">
        <f ca="1">OFFSET(raw!$D$11,정리!A160,0)</f>
        <v>0</v>
      </c>
      <c r="J160">
        <f ca="1">OFFSET(raw!$E$10,정리!A160,0)</f>
        <v>0</v>
      </c>
      <c r="K160">
        <f ca="1">OFFSET(raw!$F$10,정리!A160,0)</f>
        <v>0</v>
      </c>
      <c r="L160" s="9" t="str">
        <f t="shared" ca="1" si="9"/>
        <v>0</v>
      </c>
      <c r="M160">
        <f ca="1">OFFSET(raw!$G$10,정리!A160,0)</f>
        <v>0</v>
      </c>
      <c r="N160">
        <f ca="1">OFFSET(raw!$A$11,정리!A160,0)</f>
        <v>0</v>
      </c>
    </row>
    <row r="161" spans="1:14" ht="99.9" customHeight="1" x14ac:dyDescent="0.4">
      <c r="A161">
        <v>319</v>
      </c>
      <c r="B161">
        <f ca="1">OFFSET(raw!$A$10,정리!A161,0)</f>
        <v>0</v>
      </c>
      <c r="C161" t="str">
        <f t="shared" ca="1" si="8"/>
        <v>000000</v>
      </c>
      <c r="D161">
        <f ca="1">OFFSET(raw!$B$10,정리!A161,0)</f>
        <v>0</v>
      </c>
      <c r="E161">
        <f ca="1">OFFSET(raw!$B$11,정리!A161,0)</f>
        <v>0</v>
      </c>
      <c r="F161">
        <f ca="1">OFFSET(raw!$C$10,정리!A161,0)</f>
        <v>0</v>
      </c>
      <c r="G161">
        <f ca="1">OFFSET(raw!$C$11,정리!A161,0)</f>
        <v>0</v>
      </c>
      <c r="H161">
        <f ca="1">OFFSET(raw!$D$10,정리!A161,0)</f>
        <v>0</v>
      </c>
      <c r="I161">
        <f ca="1">OFFSET(raw!$D$11,정리!A161,0)</f>
        <v>0</v>
      </c>
      <c r="J161">
        <f ca="1">OFFSET(raw!$E$10,정리!A161,0)</f>
        <v>0</v>
      </c>
      <c r="K161">
        <f ca="1">OFFSET(raw!$F$10,정리!A161,0)</f>
        <v>0</v>
      </c>
      <c r="L161" s="9" t="str">
        <f t="shared" ca="1" si="9"/>
        <v>0</v>
      </c>
      <c r="M161">
        <f ca="1">OFFSET(raw!$G$10,정리!A161,0)</f>
        <v>0</v>
      </c>
      <c r="N161">
        <f ca="1">OFFSET(raw!$A$11,정리!A161,0)</f>
        <v>0</v>
      </c>
    </row>
    <row r="162" spans="1:14" ht="99.9" customHeight="1" x14ac:dyDescent="0.4">
      <c r="A162">
        <v>321</v>
      </c>
      <c r="B162">
        <f ca="1">OFFSET(raw!$A$10,정리!A162,0)</f>
        <v>0</v>
      </c>
      <c r="C162" t="str">
        <f t="shared" ref="C162:C197" ca="1" si="10">SUBSTITUTE(TEXT(N162,"000000"),"-","A")</f>
        <v>000000</v>
      </c>
      <c r="D162">
        <f ca="1">OFFSET(raw!$B$10,정리!A162,0)</f>
        <v>0</v>
      </c>
      <c r="E162">
        <f ca="1">OFFSET(raw!$B$11,정리!A162,0)</f>
        <v>0</v>
      </c>
      <c r="F162">
        <f ca="1">OFFSET(raw!$C$10,정리!A162,0)</f>
        <v>0</v>
      </c>
      <c r="G162">
        <f ca="1">OFFSET(raw!$C$11,정리!A162,0)</f>
        <v>0</v>
      </c>
      <c r="H162">
        <f ca="1">OFFSET(raw!$D$10,정리!A162,0)</f>
        <v>0</v>
      </c>
      <c r="I162">
        <f ca="1">OFFSET(raw!$D$11,정리!A162,0)</f>
        <v>0</v>
      </c>
      <c r="J162">
        <f ca="1">OFFSET(raw!$E$10,정리!A162,0)</f>
        <v>0</v>
      </c>
      <c r="K162">
        <f ca="1">OFFSET(raw!$F$10,정리!A162,0)</f>
        <v>0</v>
      </c>
      <c r="L162" s="9" t="str">
        <f t="shared" ref="L162:L193" ca="1" si="11">SUBSTITUTE(M162, " ▶ ", CHAR(10) &amp; "▶ ")</f>
        <v>0</v>
      </c>
      <c r="M162">
        <f ca="1">OFFSET(raw!$G$10,정리!A162,0)</f>
        <v>0</v>
      </c>
      <c r="N162">
        <f ca="1">OFFSET(raw!$A$11,정리!A162,0)</f>
        <v>0</v>
      </c>
    </row>
    <row r="163" spans="1:14" ht="99.9" customHeight="1" x14ac:dyDescent="0.4">
      <c r="A163">
        <v>323</v>
      </c>
      <c r="B163">
        <f ca="1">OFFSET(raw!$A$10,정리!A163,0)</f>
        <v>0</v>
      </c>
      <c r="C163" t="str">
        <f t="shared" ca="1" si="10"/>
        <v>000000</v>
      </c>
      <c r="D163">
        <f ca="1">OFFSET(raw!$B$10,정리!A163,0)</f>
        <v>0</v>
      </c>
      <c r="E163">
        <f ca="1">OFFSET(raw!$B$11,정리!A163,0)</f>
        <v>0</v>
      </c>
      <c r="F163">
        <f ca="1">OFFSET(raw!$C$10,정리!A163,0)</f>
        <v>0</v>
      </c>
      <c r="G163">
        <f ca="1">OFFSET(raw!$C$11,정리!A163,0)</f>
        <v>0</v>
      </c>
      <c r="H163">
        <f ca="1">OFFSET(raw!$D$10,정리!A163,0)</f>
        <v>0</v>
      </c>
      <c r="I163">
        <f ca="1">OFFSET(raw!$D$11,정리!A163,0)</f>
        <v>0</v>
      </c>
      <c r="J163">
        <f ca="1">OFFSET(raw!$E$10,정리!A163,0)</f>
        <v>0</v>
      </c>
      <c r="K163">
        <f ca="1">OFFSET(raw!$F$10,정리!A163,0)</f>
        <v>0</v>
      </c>
      <c r="L163" s="9" t="str">
        <f t="shared" ca="1" si="11"/>
        <v>0</v>
      </c>
      <c r="M163">
        <f ca="1">OFFSET(raw!$G$10,정리!A163,0)</f>
        <v>0</v>
      </c>
      <c r="N163">
        <f ca="1">OFFSET(raw!$A$11,정리!A163,0)</f>
        <v>0</v>
      </c>
    </row>
    <row r="164" spans="1:14" ht="99.9" customHeight="1" x14ac:dyDescent="0.4">
      <c r="A164">
        <v>325</v>
      </c>
      <c r="B164">
        <f ca="1">OFFSET(raw!$A$10,정리!A164,0)</f>
        <v>0</v>
      </c>
      <c r="C164" t="str">
        <f t="shared" ca="1" si="10"/>
        <v>000000</v>
      </c>
      <c r="D164">
        <f ca="1">OFFSET(raw!$B$10,정리!A164,0)</f>
        <v>0</v>
      </c>
      <c r="E164">
        <f ca="1">OFFSET(raw!$B$11,정리!A164,0)</f>
        <v>0</v>
      </c>
      <c r="F164">
        <f ca="1">OFFSET(raw!$C$10,정리!A164,0)</f>
        <v>0</v>
      </c>
      <c r="G164">
        <f ca="1">OFFSET(raw!$C$11,정리!A164,0)</f>
        <v>0</v>
      </c>
      <c r="H164">
        <f ca="1">OFFSET(raw!$D$10,정리!A164,0)</f>
        <v>0</v>
      </c>
      <c r="I164">
        <f ca="1">OFFSET(raw!$D$11,정리!A164,0)</f>
        <v>0</v>
      </c>
      <c r="J164">
        <f ca="1">OFFSET(raw!$E$10,정리!A164,0)</f>
        <v>0</v>
      </c>
      <c r="K164">
        <f ca="1">OFFSET(raw!$F$10,정리!A164,0)</f>
        <v>0</v>
      </c>
      <c r="L164" s="9" t="str">
        <f t="shared" ca="1" si="11"/>
        <v>0</v>
      </c>
      <c r="M164">
        <f ca="1">OFFSET(raw!$G$10,정리!A164,0)</f>
        <v>0</v>
      </c>
      <c r="N164">
        <f ca="1">OFFSET(raw!$A$11,정리!A164,0)</f>
        <v>0</v>
      </c>
    </row>
    <row r="165" spans="1:14" ht="99.9" customHeight="1" x14ac:dyDescent="0.4">
      <c r="A165">
        <v>327</v>
      </c>
      <c r="B165">
        <f ca="1">OFFSET(raw!$A$10,정리!A165,0)</f>
        <v>0</v>
      </c>
      <c r="C165" t="str">
        <f t="shared" ca="1" si="10"/>
        <v>000000</v>
      </c>
      <c r="D165">
        <f ca="1">OFFSET(raw!$B$10,정리!A165,0)</f>
        <v>0</v>
      </c>
      <c r="E165">
        <f ca="1">OFFSET(raw!$B$11,정리!A165,0)</f>
        <v>0</v>
      </c>
      <c r="F165">
        <f ca="1">OFFSET(raw!$C$10,정리!A165,0)</f>
        <v>0</v>
      </c>
      <c r="G165">
        <f ca="1">OFFSET(raw!$C$11,정리!A165,0)</f>
        <v>0</v>
      </c>
      <c r="H165">
        <f ca="1">OFFSET(raw!$D$10,정리!A165,0)</f>
        <v>0</v>
      </c>
      <c r="I165">
        <f ca="1">OFFSET(raw!$D$11,정리!A165,0)</f>
        <v>0</v>
      </c>
      <c r="J165">
        <f ca="1">OFFSET(raw!$E$10,정리!A165,0)</f>
        <v>0</v>
      </c>
      <c r="K165">
        <f ca="1">OFFSET(raw!$F$10,정리!A165,0)</f>
        <v>0</v>
      </c>
      <c r="L165" s="9" t="str">
        <f t="shared" ca="1" si="11"/>
        <v>0</v>
      </c>
      <c r="M165">
        <f ca="1">OFFSET(raw!$G$10,정리!A165,0)</f>
        <v>0</v>
      </c>
      <c r="N165">
        <f ca="1">OFFSET(raw!$A$11,정리!A165,0)</f>
        <v>0</v>
      </c>
    </row>
    <row r="166" spans="1:14" ht="99.9" customHeight="1" x14ac:dyDescent="0.4">
      <c r="A166">
        <v>329</v>
      </c>
      <c r="B166">
        <f ca="1">OFFSET(raw!$A$10,정리!A166,0)</f>
        <v>0</v>
      </c>
      <c r="C166" t="str">
        <f t="shared" ca="1" si="10"/>
        <v>000000</v>
      </c>
      <c r="D166">
        <f ca="1">OFFSET(raw!$B$10,정리!A166,0)</f>
        <v>0</v>
      </c>
      <c r="E166">
        <f ca="1">OFFSET(raw!$B$11,정리!A166,0)</f>
        <v>0</v>
      </c>
      <c r="F166">
        <f ca="1">OFFSET(raw!$C$10,정리!A166,0)</f>
        <v>0</v>
      </c>
      <c r="G166">
        <f ca="1">OFFSET(raw!$C$11,정리!A166,0)</f>
        <v>0</v>
      </c>
      <c r="H166">
        <f ca="1">OFFSET(raw!$D$10,정리!A166,0)</f>
        <v>0</v>
      </c>
      <c r="I166">
        <f ca="1">OFFSET(raw!$D$11,정리!A166,0)</f>
        <v>0</v>
      </c>
      <c r="J166">
        <f ca="1">OFFSET(raw!$E$10,정리!A166,0)</f>
        <v>0</v>
      </c>
      <c r="K166">
        <f ca="1">OFFSET(raw!$F$10,정리!A166,0)</f>
        <v>0</v>
      </c>
      <c r="L166" s="9" t="str">
        <f t="shared" ca="1" si="11"/>
        <v>0</v>
      </c>
      <c r="M166">
        <f ca="1">OFFSET(raw!$G$10,정리!A166,0)</f>
        <v>0</v>
      </c>
      <c r="N166">
        <f ca="1">OFFSET(raw!$A$11,정리!A166,0)</f>
        <v>0</v>
      </c>
    </row>
    <row r="167" spans="1:14" ht="99.9" customHeight="1" x14ac:dyDescent="0.4">
      <c r="A167">
        <v>331</v>
      </c>
      <c r="B167">
        <f ca="1">OFFSET(raw!$A$10,정리!A167,0)</f>
        <v>0</v>
      </c>
      <c r="C167" t="str">
        <f t="shared" ca="1" si="10"/>
        <v>000000</v>
      </c>
      <c r="D167">
        <f ca="1">OFFSET(raw!$B$10,정리!A167,0)</f>
        <v>0</v>
      </c>
      <c r="E167">
        <f ca="1">OFFSET(raw!$B$11,정리!A167,0)</f>
        <v>0</v>
      </c>
      <c r="F167">
        <f ca="1">OFFSET(raw!$C$10,정리!A167,0)</f>
        <v>0</v>
      </c>
      <c r="G167">
        <f ca="1">OFFSET(raw!$C$11,정리!A167,0)</f>
        <v>0</v>
      </c>
      <c r="H167">
        <f ca="1">OFFSET(raw!$D$10,정리!A167,0)</f>
        <v>0</v>
      </c>
      <c r="I167">
        <f ca="1">OFFSET(raw!$D$11,정리!A167,0)</f>
        <v>0</v>
      </c>
      <c r="J167">
        <f ca="1">OFFSET(raw!$E$10,정리!A167,0)</f>
        <v>0</v>
      </c>
      <c r="K167">
        <f ca="1">OFFSET(raw!$F$10,정리!A167,0)</f>
        <v>0</v>
      </c>
      <c r="L167" s="9" t="str">
        <f t="shared" ca="1" si="11"/>
        <v>0</v>
      </c>
      <c r="M167">
        <f ca="1">OFFSET(raw!$G$10,정리!A167,0)</f>
        <v>0</v>
      </c>
      <c r="N167">
        <f ca="1">OFFSET(raw!$A$11,정리!A167,0)</f>
        <v>0</v>
      </c>
    </row>
    <row r="168" spans="1:14" ht="99.9" customHeight="1" x14ac:dyDescent="0.4">
      <c r="A168">
        <v>333</v>
      </c>
      <c r="B168">
        <f ca="1">OFFSET(raw!$A$10,정리!A168,0)</f>
        <v>0</v>
      </c>
      <c r="C168" t="str">
        <f t="shared" ca="1" si="10"/>
        <v>000000</v>
      </c>
      <c r="D168">
        <f ca="1">OFFSET(raw!$B$10,정리!A168,0)</f>
        <v>0</v>
      </c>
      <c r="E168">
        <f ca="1">OFFSET(raw!$B$11,정리!A168,0)</f>
        <v>0</v>
      </c>
      <c r="F168">
        <f ca="1">OFFSET(raw!$C$10,정리!A168,0)</f>
        <v>0</v>
      </c>
      <c r="G168">
        <f ca="1">OFFSET(raw!$C$11,정리!A168,0)</f>
        <v>0</v>
      </c>
      <c r="H168">
        <f ca="1">OFFSET(raw!$D$10,정리!A168,0)</f>
        <v>0</v>
      </c>
      <c r="I168">
        <f ca="1">OFFSET(raw!$D$11,정리!A168,0)</f>
        <v>0</v>
      </c>
      <c r="J168">
        <f ca="1">OFFSET(raw!$E$10,정리!A168,0)</f>
        <v>0</v>
      </c>
      <c r="K168">
        <f ca="1">OFFSET(raw!$F$10,정리!A168,0)</f>
        <v>0</v>
      </c>
      <c r="L168" s="9" t="str">
        <f t="shared" ca="1" si="11"/>
        <v>0</v>
      </c>
      <c r="M168">
        <f ca="1">OFFSET(raw!$G$10,정리!A168,0)</f>
        <v>0</v>
      </c>
      <c r="N168">
        <f ca="1">OFFSET(raw!$A$11,정리!A168,0)</f>
        <v>0</v>
      </c>
    </row>
    <row r="169" spans="1:14" ht="99.9" customHeight="1" x14ac:dyDescent="0.4">
      <c r="A169">
        <v>335</v>
      </c>
      <c r="B169">
        <f ca="1">OFFSET(raw!$A$10,정리!A169,0)</f>
        <v>0</v>
      </c>
      <c r="C169" t="str">
        <f t="shared" ca="1" si="10"/>
        <v>000000</v>
      </c>
      <c r="D169">
        <f ca="1">OFFSET(raw!$B$10,정리!A169,0)</f>
        <v>0</v>
      </c>
      <c r="E169">
        <f ca="1">OFFSET(raw!$B$11,정리!A169,0)</f>
        <v>0</v>
      </c>
      <c r="F169">
        <f ca="1">OFFSET(raw!$C$10,정리!A169,0)</f>
        <v>0</v>
      </c>
      <c r="G169">
        <f ca="1">OFFSET(raw!$C$11,정리!A169,0)</f>
        <v>0</v>
      </c>
      <c r="H169">
        <f ca="1">OFFSET(raw!$D$10,정리!A169,0)</f>
        <v>0</v>
      </c>
      <c r="I169">
        <f ca="1">OFFSET(raw!$D$11,정리!A169,0)</f>
        <v>0</v>
      </c>
      <c r="J169">
        <f ca="1">OFFSET(raw!$E$10,정리!A169,0)</f>
        <v>0</v>
      </c>
      <c r="K169">
        <f ca="1">OFFSET(raw!$F$10,정리!A169,0)</f>
        <v>0</v>
      </c>
      <c r="L169" s="9" t="str">
        <f t="shared" ca="1" si="11"/>
        <v>0</v>
      </c>
      <c r="M169">
        <f ca="1">OFFSET(raw!$G$10,정리!A169,0)</f>
        <v>0</v>
      </c>
      <c r="N169">
        <f ca="1">OFFSET(raw!$A$11,정리!A169,0)</f>
        <v>0</v>
      </c>
    </row>
    <row r="170" spans="1:14" ht="99.9" customHeight="1" x14ac:dyDescent="0.4">
      <c r="A170">
        <v>337</v>
      </c>
      <c r="B170">
        <f ca="1">OFFSET(raw!$A$10,정리!A170,0)</f>
        <v>0</v>
      </c>
      <c r="C170" t="str">
        <f t="shared" ca="1" si="10"/>
        <v>000000</v>
      </c>
      <c r="D170">
        <f ca="1">OFFSET(raw!$B$10,정리!A170,0)</f>
        <v>0</v>
      </c>
      <c r="E170">
        <f ca="1">OFFSET(raw!$B$11,정리!A170,0)</f>
        <v>0</v>
      </c>
      <c r="F170">
        <f ca="1">OFFSET(raw!$C$10,정리!A170,0)</f>
        <v>0</v>
      </c>
      <c r="G170">
        <f ca="1">OFFSET(raw!$C$11,정리!A170,0)</f>
        <v>0</v>
      </c>
      <c r="H170">
        <f ca="1">OFFSET(raw!$D$10,정리!A170,0)</f>
        <v>0</v>
      </c>
      <c r="I170">
        <f ca="1">OFFSET(raw!$D$11,정리!A170,0)</f>
        <v>0</v>
      </c>
      <c r="J170">
        <f ca="1">OFFSET(raw!$E$10,정리!A170,0)</f>
        <v>0</v>
      </c>
      <c r="K170">
        <f ca="1">OFFSET(raw!$F$10,정리!A170,0)</f>
        <v>0</v>
      </c>
      <c r="L170" s="9" t="str">
        <f t="shared" ca="1" si="11"/>
        <v>0</v>
      </c>
      <c r="M170">
        <f ca="1">OFFSET(raw!$G$10,정리!A170,0)</f>
        <v>0</v>
      </c>
      <c r="N170">
        <f ca="1">OFFSET(raw!$A$11,정리!A170,0)</f>
        <v>0</v>
      </c>
    </row>
    <row r="171" spans="1:14" ht="99.9" customHeight="1" x14ac:dyDescent="0.4">
      <c r="A171">
        <v>339</v>
      </c>
      <c r="B171">
        <f ca="1">OFFSET(raw!$A$10,정리!A171,0)</f>
        <v>0</v>
      </c>
      <c r="C171" t="str">
        <f t="shared" ca="1" si="10"/>
        <v>000000</v>
      </c>
      <c r="D171">
        <f ca="1">OFFSET(raw!$B$10,정리!A171,0)</f>
        <v>0</v>
      </c>
      <c r="E171">
        <f ca="1">OFFSET(raw!$B$11,정리!A171,0)</f>
        <v>0</v>
      </c>
      <c r="F171">
        <f ca="1">OFFSET(raw!$C$10,정리!A171,0)</f>
        <v>0</v>
      </c>
      <c r="G171">
        <f ca="1">OFFSET(raw!$C$11,정리!A171,0)</f>
        <v>0</v>
      </c>
      <c r="H171">
        <f ca="1">OFFSET(raw!$D$10,정리!A171,0)</f>
        <v>0</v>
      </c>
      <c r="I171">
        <f ca="1">OFFSET(raw!$D$11,정리!A171,0)</f>
        <v>0</v>
      </c>
      <c r="J171">
        <f ca="1">OFFSET(raw!$E$10,정리!A171,0)</f>
        <v>0</v>
      </c>
      <c r="K171">
        <f ca="1">OFFSET(raw!$F$10,정리!A171,0)</f>
        <v>0</v>
      </c>
      <c r="L171" s="9" t="str">
        <f t="shared" ca="1" si="11"/>
        <v>0</v>
      </c>
      <c r="M171">
        <f ca="1">OFFSET(raw!$G$10,정리!A171,0)</f>
        <v>0</v>
      </c>
      <c r="N171">
        <f ca="1">OFFSET(raw!$A$11,정리!A171,0)</f>
        <v>0</v>
      </c>
    </row>
    <row r="172" spans="1:14" ht="99.9" customHeight="1" x14ac:dyDescent="0.4">
      <c r="A172">
        <v>341</v>
      </c>
      <c r="B172">
        <f ca="1">OFFSET(raw!$A$10,정리!A172,0)</f>
        <v>0</v>
      </c>
      <c r="C172" t="str">
        <f t="shared" ca="1" si="10"/>
        <v>000000</v>
      </c>
      <c r="D172">
        <f ca="1">OFFSET(raw!$B$10,정리!A172,0)</f>
        <v>0</v>
      </c>
      <c r="E172">
        <f ca="1">OFFSET(raw!$B$11,정리!A172,0)</f>
        <v>0</v>
      </c>
      <c r="F172">
        <f ca="1">OFFSET(raw!$C$10,정리!A172,0)</f>
        <v>0</v>
      </c>
      <c r="G172">
        <f ca="1">OFFSET(raw!$C$11,정리!A172,0)</f>
        <v>0</v>
      </c>
      <c r="H172">
        <f ca="1">OFFSET(raw!$D$10,정리!A172,0)</f>
        <v>0</v>
      </c>
      <c r="I172">
        <f ca="1">OFFSET(raw!$D$11,정리!A172,0)</f>
        <v>0</v>
      </c>
      <c r="J172">
        <f ca="1">OFFSET(raw!$E$10,정리!A172,0)</f>
        <v>0</v>
      </c>
      <c r="K172">
        <f ca="1">OFFSET(raw!$F$10,정리!A172,0)</f>
        <v>0</v>
      </c>
      <c r="L172" s="9" t="str">
        <f t="shared" ca="1" si="11"/>
        <v>0</v>
      </c>
      <c r="M172">
        <f ca="1">OFFSET(raw!$G$10,정리!A172,0)</f>
        <v>0</v>
      </c>
      <c r="N172">
        <f ca="1">OFFSET(raw!$A$11,정리!A172,0)</f>
        <v>0</v>
      </c>
    </row>
    <row r="173" spans="1:14" ht="99.9" customHeight="1" x14ac:dyDescent="0.4">
      <c r="A173">
        <v>343</v>
      </c>
      <c r="B173">
        <f ca="1">OFFSET(raw!$A$10,정리!A173,0)</f>
        <v>0</v>
      </c>
      <c r="C173" t="str">
        <f t="shared" ca="1" si="10"/>
        <v>000000</v>
      </c>
      <c r="D173">
        <f ca="1">OFFSET(raw!$B$10,정리!A173,0)</f>
        <v>0</v>
      </c>
      <c r="E173">
        <f ca="1">OFFSET(raw!$B$11,정리!A173,0)</f>
        <v>0</v>
      </c>
      <c r="F173">
        <f ca="1">OFFSET(raw!$C$10,정리!A173,0)</f>
        <v>0</v>
      </c>
      <c r="G173">
        <f ca="1">OFFSET(raw!$C$11,정리!A173,0)</f>
        <v>0</v>
      </c>
      <c r="H173">
        <f ca="1">OFFSET(raw!$D$10,정리!A173,0)</f>
        <v>0</v>
      </c>
      <c r="I173">
        <f ca="1">OFFSET(raw!$D$11,정리!A173,0)</f>
        <v>0</v>
      </c>
      <c r="J173">
        <f ca="1">OFFSET(raw!$E$10,정리!A173,0)</f>
        <v>0</v>
      </c>
      <c r="K173">
        <f ca="1">OFFSET(raw!$F$10,정리!A173,0)</f>
        <v>0</v>
      </c>
      <c r="L173" s="9" t="str">
        <f t="shared" ca="1" si="11"/>
        <v>0</v>
      </c>
      <c r="M173">
        <f ca="1">OFFSET(raw!$G$10,정리!A173,0)</f>
        <v>0</v>
      </c>
      <c r="N173">
        <f ca="1">OFFSET(raw!$A$11,정리!A173,0)</f>
        <v>0</v>
      </c>
    </row>
    <row r="174" spans="1:14" ht="99.9" customHeight="1" x14ac:dyDescent="0.4">
      <c r="A174">
        <v>345</v>
      </c>
      <c r="B174">
        <f ca="1">OFFSET(raw!$A$10,정리!A174,0)</f>
        <v>0</v>
      </c>
      <c r="C174" t="str">
        <f t="shared" ca="1" si="10"/>
        <v>000000</v>
      </c>
      <c r="D174">
        <f ca="1">OFFSET(raw!$B$10,정리!A174,0)</f>
        <v>0</v>
      </c>
      <c r="E174">
        <f ca="1">OFFSET(raw!$B$11,정리!A174,0)</f>
        <v>0</v>
      </c>
      <c r="F174">
        <f ca="1">OFFSET(raw!$C$10,정리!A174,0)</f>
        <v>0</v>
      </c>
      <c r="G174">
        <f ca="1">OFFSET(raw!$C$11,정리!A174,0)</f>
        <v>0</v>
      </c>
      <c r="H174">
        <f ca="1">OFFSET(raw!$D$10,정리!A174,0)</f>
        <v>0</v>
      </c>
      <c r="I174">
        <f ca="1">OFFSET(raw!$D$11,정리!A174,0)</f>
        <v>0</v>
      </c>
      <c r="J174">
        <f ca="1">OFFSET(raw!$E$10,정리!A174,0)</f>
        <v>0</v>
      </c>
      <c r="K174">
        <f ca="1">OFFSET(raw!$F$10,정리!A174,0)</f>
        <v>0</v>
      </c>
      <c r="L174" s="9" t="str">
        <f t="shared" ca="1" si="11"/>
        <v>0</v>
      </c>
      <c r="M174">
        <f ca="1">OFFSET(raw!$G$10,정리!A174,0)</f>
        <v>0</v>
      </c>
      <c r="N174">
        <f ca="1">OFFSET(raw!$A$11,정리!A174,0)</f>
        <v>0</v>
      </c>
    </row>
    <row r="175" spans="1:14" ht="99.9" customHeight="1" x14ac:dyDescent="0.4">
      <c r="A175">
        <v>347</v>
      </c>
      <c r="B175">
        <f ca="1">OFFSET(raw!$A$10,정리!A175,0)</f>
        <v>0</v>
      </c>
      <c r="C175" t="str">
        <f t="shared" ca="1" si="10"/>
        <v>000000</v>
      </c>
      <c r="D175">
        <f ca="1">OFFSET(raw!$B$10,정리!A175,0)</f>
        <v>0</v>
      </c>
      <c r="E175">
        <f ca="1">OFFSET(raw!$B$11,정리!A175,0)</f>
        <v>0</v>
      </c>
      <c r="F175">
        <f ca="1">OFFSET(raw!$C$10,정리!A175,0)</f>
        <v>0</v>
      </c>
      <c r="G175">
        <f ca="1">OFFSET(raw!$C$11,정리!A175,0)</f>
        <v>0</v>
      </c>
      <c r="H175">
        <f ca="1">OFFSET(raw!$D$10,정리!A175,0)</f>
        <v>0</v>
      </c>
      <c r="I175">
        <f ca="1">OFFSET(raw!$D$11,정리!A175,0)</f>
        <v>0</v>
      </c>
      <c r="J175">
        <f ca="1">OFFSET(raw!$E$10,정리!A175,0)</f>
        <v>0</v>
      </c>
      <c r="K175">
        <f ca="1">OFFSET(raw!$F$10,정리!A175,0)</f>
        <v>0</v>
      </c>
      <c r="L175" s="9" t="str">
        <f t="shared" ca="1" si="11"/>
        <v>0</v>
      </c>
      <c r="M175">
        <f ca="1">OFFSET(raw!$G$10,정리!A175,0)</f>
        <v>0</v>
      </c>
      <c r="N175">
        <f ca="1">OFFSET(raw!$A$11,정리!A175,0)</f>
        <v>0</v>
      </c>
    </row>
    <row r="176" spans="1:14" ht="99.9" customHeight="1" x14ac:dyDescent="0.4">
      <c r="A176">
        <v>349</v>
      </c>
      <c r="B176">
        <f ca="1">OFFSET(raw!$A$10,정리!A176,0)</f>
        <v>0</v>
      </c>
      <c r="C176" t="str">
        <f t="shared" ca="1" si="10"/>
        <v>000000</v>
      </c>
      <c r="D176">
        <f ca="1">OFFSET(raw!$B$10,정리!A176,0)</f>
        <v>0</v>
      </c>
      <c r="E176">
        <f ca="1">OFFSET(raw!$B$11,정리!A176,0)</f>
        <v>0</v>
      </c>
      <c r="F176">
        <f ca="1">OFFSET(raw!$C$10,정리!A176,0)</f>
        <v>0</v>
      </c>
      <c r="G176">
        <f ca="1">OFFSET(raw!$C$11,정리!A176,0)</f>
        <v>0</v>
      </c>
      <c r="H176">
        <f ca="1">OFFSET(raw!$D$10,정리!A176,0)</f>
        <v>0</v>
      </c>
      <c r="I176">
        <f ca="1">OFFSET(raw!$D$11,정리!A176,0)</f>
        <v>0</v>
      </c>
      <c r="J176">
        <f ca="1">OFFSET(raw!$E$10,정리!A176,0)</f>
        <v>0</v>
      </c>
      <c r="K176">
        <f ca="1">OFFSET(raw!$F$10,정리!A176,0)</f>
        <v>0</v>
      </c>
      <c r="L176" s="9" t="str">
        <f t="shared" ca="1" si="11"/>
        <v>0</v>
      </c>
      <c r="M176">
        <f ca="1">OFFSET(raw!$G$10,정리!A176,0)</f>
        <v>0</v>
      </c>
      <c r="N176">
        <f ca="1">OFFSET(raw!$A$11,정리!A176,0)</f>
        <v>0</v>
      </c>
    </row>
    <row r="177" spans="1:14" ht="99.9" customHeight="1" x14ac:dyDescent="0.4">
      <c r="A177">
        <v>351</v>
      </c>
      <c r="B177">
        <f ca="1">OFFSET(raw!$A$10,정리!A177,0)</f>
        <v>0</v>
      </c>
      <c r="C177" t="str">
        <f t="shared" ca="1" si="10"/>
        <v>000000</v>
      </c>
      <c r="D177">
        <f ca="1">OFFSET(raw!$B$10,정리!A177,0)</f>
        <v>0</v>
      </c>
      <c r="E177">
        <f ca="1">OFFSET(raw!$B$11,정리!A177,0)</f>
        <v>0</v>
      </c>
      <c r="F177">
        <f ca="1">OFFSET(raw!$C$10,정리!A177,0)</f>
        <v>0</v>
      </c>
      <c r="G177">
        <f ca="1">OFFSET(raw!$C$11,정리!A177,0)</f>
        <v>0</v>
      </c>
      <c r="H177">
        <f ca="1">OFFSET(raw!$D$10,정리!A177,0)</f>
        <v>0</v>
      </c>
      <c r="I177">
        <f ca="1">OFFSET(raw!$D$11,정리!A177,0)</f>
        <v>0</v>
      </c>
      <c r="J177">
        <f ca="1">OFFSET(raw!$E$10,정리!A177,0)</f>
        <v>0</v>
      </c>
      <c r="K177">
        <f ca="1">OFFSET(raw!$F$10,정리!A177,0)</f>
        <v>0</v>
      </c>
      <c r="L177" s="9" t="str">
        <f t="shared" ca="1" si="11"/>
        <v>0</v>
      </c>
      <c r="M177">
        <f ca="1">OFFSET(raw!$G$10,정리!A177,0)</f>
        <v>0</v>
      </c>
      <c r="N177">
        <f ca="1">OFFSET(raw!$A$11,정리!A177,0)</f>
        <v>0</v>
      </c>
    </row>
    <row r="178" spans="1:14" ht="99.9" customHeight="1" x14ac:dyDescent="0.4">
      <c r="A178">
        <v>353</v>
      </c>
      <c r="B178">
        <f ca="1">OFFSET(raw!$A$10,정리!A178,0)</f>
        <v>0</v>
      </c>
      <c r="C178" t="str">
        <f t="shared" ca="1" si="10"/>
        <v>000000</v>
      </c>
      <c r="D178">
        <f ca="1">OFFSET(raw!$B$10,정리!A178,0)</f>
        <v>0</v>
      </c>
      <c r="E178">
        <f ca="1">OFFSET(raw!$B$11,정리!A178,0)</f>
        <v>0</v>
      </c>
      <c r="F178">
        <f ca="1">OFFSET(raw!$C$10,정리!A178,0)</f>
        <v>0</v>
      </c>
      <c r="G178">
        <f ca="1">OFFSET(raw!$C$11,정리!A178,0)</f>
        <v>0</v>
      </c>
      <c r="H178">
        <f ca="1">OFFSET(raw!$D$10,정리!A178,0)</f>
        <v>0</v>
      </c>
      <c r="I178">
        <f ca="1">OFFSET(raw!$D$11,정리!A178,0)</f>
        <v>0</v>
      </c>
      <c r="J178">
        <f ca="1">OFFSET(raw!$E$10,정리!A178,0)</f>
        <v>0</v>
      </c>
      <c r="K178">
        <f ca="1">OFFSET(raw!$F$10,정리!A178,0)</f>
        <v>0</v>
      </c>
      <c r="L178" s="9" t="str">
        <f t="shared" ca="1" si="11"/>
        <v>0</v>
      </c>
      <c r="M178">
        <f ca="1">OFFSET(raw!$G$10,정리!A178,0)</f>
        <v>0</v>
      </c>
      <c r="N178">
        <f ca="1">OFFSET(raw!$A$11,정리!A178,0)</f>
        <v>0</v>
      </c>
    </row>
    <row r="179" spans="1:14" ht="99.9" customHeight="1" x14ac:dyDescent="0.4">
      <c r="A179">
        <v>355</v>
      </c>
      <c r="B179">
        <f ca="1">OFFSET(raw!$A$10,정리!A179,0)</f>
        <v>0</v>
      </c>
      <c r="C179" t="str">
        <f t="shared" ca="1" si="10"/>
        <v>000000</v>
      </c>
      <c r="D179">
        <f ca="1">OFFSET(raw!$B$10,정리!A179,0)</f>
        <v>0</v>
      </c>
      <c r="E179">
        <f ca="1">OFFSET(raw!$B$11,정리!A179,0)</f>
        <v>0</v>
      </c>
      <c r="F179">
        <f ca="1">OFFSET(raw!$C$10,정리!A179,0)</f>
        <v>0</v>
      </c>
      <c r="G179">
        <f ca="1">OFFSET(raw!$C$11,정리!A179,0)</f>
        <v>0</v>
      </c>
      <c r="H179">
        <f ca="1">OFFSET(raw!$D$10,정리!A179,0)</f>
        <v>0</v>
      </c>
      <c r="I179">
        <f ca="1">OFFSET(raw!$D$11,정리!A179,0)</f>
        <v>0</v>
      </c>
      <c r="J179">
        <f ca="1">OFFSET(raw!$E$10,정리!A179,0)</f>
        <v>0</v>
      </c>
      <c r="K179">
        <f ca="1">OFFSET(raw!$F$10,정리!A179,0)</f>
        <v>0</v>
      </c>
      <c r="L179" s="9" t="str">
        <f t="shared" ca="1" si="11"/>
        <v>0</v>
      </c>
      <c r="M179">
        <f ca="1">OFFSET(raw!$G$10,정리!A179,0)</f>
        <v>0</v>
      </c>
      <c r="N179">
        <f ca="1">OFFSET(raw!$A$11,정리!A179,0)</f>
        <v>0</v>
      </c>
    </row>
    <row r="180" spans="1:14" ht="99.9" customHeight="1" x14ac:dyDescent="0.4">
      <c r="A180">
        <v>357</v>
      </c>
      <c r="B180">
        <f ca="1">OFFSET(raw!$A$10,정리!A180,0)</f>
        <v>0</v>
      </c>
      <c r="C180" t="str">
        <f t="shared" ca="1" si="10"/>
        <v>000000</v>
      </c>
      <c r="D180">
        <f ca="1">OFFSET(raw!$B$10,정리!A180,0)</f>
        <v>0</v>
      </c>
      <c r="E180">
        <f ca="1">OFFSET(raw!$B$11,정리!A180,0)</f>
        <v>0</v>
      </c>
      <c r="F180">
        <f ca="1">OFFSET(raw!$C$10,정리!A180,0)</f>
        <v>0</v>
      </c>
      <c r="G180">
        <f ca="1">OFFSET(raw!$C$11,정리!A180,0)</f>
        <v>0</v>
      </c>
      <c r="H180">
        <f ca="1">OFFSET(raw!$D$10,정리!A180,0)</f>
        <v>0</v>
      </c>
      <c r="I180">
        <f ca="1">OFFSET(raw!$D$11,정리!A180,0)</f>
        <v>0</v>
      </c>
      <c r="J180">
        <f ca="1">OFFSET(raw!$E$10,정리!A180,0)</f>
        <v>0</v>
      </c>
      <c r="K180">
        <f ca="1">OFFSET(raw!$F$10,정리!A180,0)</f>
        <v>0</v>
      </c>
      <c r="L180" s="9" t="str">
        <f t="shared" ca="1" si="11"/>
        <v>0</v>
      </c>
      <c r="M180">
        <f ca="1">OFFSET(raw!$G$10,정리!A180,0)</f>
        <v>0</v>
      </c>
      <c r="N180">
        <f ca="1">OFFSET(raw!$A$11,정리!A180,0)</f>
        <v>0</v>
      </c>
    </row>
    <row r="181" spans="1:14" ht="99.9" customHeight="1" x14ac:dyDescent="0.4">
      <c r="A181">
        <v>359</v>
      </c>
      <c r="B181">
        <f ca="1">OFFSET(raw!$A$10,정리!A181,0)</f>
        <v>0</v>
      </c>
      <c r="C181" t="str">
        <f t="shared" ca="1" si="10"/>
        <v>000000</v>
      </c>
      <c r="D181">
        <f ca="1">OFFSET(raw!$B$10,정리!A181,0)</f>
        <v>0</v>
      </c>
      <c r="E181">
        <f ca="1">OFFSET(raw!$B$11,정리!A181,0)</f>
        <v>0</v>
      </c>
      <c r="F181">
        <f ca="1">OFFSET(raw!$C$10,정리!A181,0)</f>
        <v>0</v>
      </c>
      <c r="G181">
        <f ca="1">OFFSET(raw!$C$11,정리!A181,0)</f>
        <v>0</v>
      </c>
      <c r="H181">
        <f ca="1">OFFSET(raw!$D$10,정리!A181,0)</f>
        <v>0</v>
      </c>
      <c r="I181">
        <f ca="1">OFFSET(raw!$D$11,정리!A181,0)</f>
        <v>0</v>
      </c>
      <c r="J181">
        <f ca="1">OFFSET(raw!$E$10,정리!A181,0)</f>
        <v>0</v>
      </c>
      <c r="K181">
        <f ca="1">OFFSET(raw!$F$10,정리!A181,0)</f>
        <v>0</v>
      </c>
      <c r="L181" s="9" t="str">
        <f t="shared" ca="1" si="11"/>
        <v>0</v>
      </c>
      <c r="M181">
        <f ca="1">OFFSET(raw!$G$10,정리!A181,0)</f>
        <v>0</v>
      </c>
      <c r="N181">
        <f ca="1">OFFSET(raw!$A$11,정리!A181,0)</f>
        <v>0</v>
      </c>
    </row>
    <row r="182" spans="1:14" ht="99.9" customHeight="1" x14ac:dyDescent="0.4">
      <c r="A182">
        <v>361</v>
      </c>
      <c r="B182">
        <f ca="1">OFFSET(raw!$A$10,정리!A182,0)</f>
        <v>0</v>
      </c>
      <c r="C182" t="str">
        <f t="shared" ca="1" si="10"/>
        <v>000000</v>
      </c>
      <c r="D182">
        <f ca="1">OFFSET(raw!$B$10,정리!A182,0)</f>
        <v>0</v>
      </c>
      <c r="E182">
        <f ca="1">OFFSET(raw!$B$11,정리!A182,0)</f>
        <v>0</v>
      </c>
      <c r="F182">
        <f ca="1">OFFSET(raw!$C$10,정리!A182,0)</f>
        <v>0</v>
      </c>
      <c r="G182">
        <f ca="1">OFFSET(raw!$C$11,정리!A182,0)</f>
        <v>0</v>
      </c>
      <c r="H182">
        <f ca="1">OFFSET(raw!$D$10,정리!A182,0)</f>
        <v>0</v>
      </c>
      <c r="I182">
        <f ca="1">OFFSET(raw!$D$11,정리!A182,0)</f>
        <v>0</v>
      </c>
      <c r="J182">
        <f ca="1">OFFSET(raw!$E$10,정리!A182,0)</f>
        <v>0</v>
      </c>
      <c r="K182">
        <f ca="1">OFFSET(raw!$F$10,정리!A182,0)</f>
        <v>0</v>
      </c>
      <c r="L182" s="9" t="str">
        <f t="shared" ca="1" si="11"/>
        <v>0</v>
      </c>
      <c r="M182">
        <f ca="1">OFFSET(raw!$G$10,정리!A182,0)</f>
        <v>0</v>
      </c>
      <c r="N182">
        <f ca="1">OFFSET(raw!$A$11,정리!A182,0)</f>
        <v>0</v>
      </c>
    </row>
    <row r="183" spans="1:14" ht="99.9" customHeight="1" x14ac:dyDescent="0.4">
      <c r="A183">
        <v>363</v>
      </c>
      <c r="B183">
        <f ca="1">OFFSET(raw!$A$10,정리!A183,0)</f>
        <v>0</v>
      </c>
      <c r="C183" t="str">
        <f t="shared" ca="1" si="10"/>
        <v>000000</v>
      </c>
      <c r="D183">
        <f ca="1">OFFSET(raw!$B$10,정리!A183,0)</f>
        <v>0</v>
      </c>
      <c r="E183">
        <f ca="1">OFFSET(raw!$B$11,정리!A183,0)</f>
        <v>0</v>
      </c>
      <c r="F183">
        <f ca="1">OFFSET(raw!$C$10,정리!A183,0)</f>
        <v>0</v>
      </c>
      <c r="G183">
        <f ca="1">OFFSET(raw!$C$11,정리!A183,0)</f>
        <v>0</v>
      </c>
      <c r="H183">
        <f ca="1">OFFSET(raw!$D$10,정리!A183,0)</f>
        <v>0</v>
      </c>
      <c r="I183">
        <f ca="1">OFFSET(raw!$D$11,정리!A183,0)</f>
        <v>0</v>
      </c>
      <c r="J183">
        <f ca="1">OFFSET(raw!$E$10,정리!A183,0)</f>
        <v>0</v>
      </c>
      <c r="K183">
        <f ca="1">OFFSET(raw!$F$10,정리!A183,0)</f>
        <v>0</v>
      </c>
      <c r="L183" s="9" t="str">
        <f t="shared" ca="1" si="11"/>
        <v>0</v>
      </c>
      <c r="M183">
        <f ca="1">OFFSET(raw!$G$10,정리!A183,0)</f>
        <v>0</v>
      </c>
      <c r="N183">
        <f ca="1">OFFSET(raw!$A$11,정리!A183,0)</f>
        <v>0</v>
      </c>
    </row>
    <row r="184" spans="1:14" ht="99.9" customHeight="1" x14ac:dyDescent="0.4">
      <c r="A184">
        <v>365</v>
      </c>
      <c r="B184">
        <f ca="1">OFFSET(raw!$A$10,정리!A184,0)</f>
        <v>0</v>
      </c>
      <c r="C184" t="str">
        <f t="shared" ca="1" si="10"/>
        <v>000000</v>
      </c>
      <c r="D184">
        <f ca="1">OFFSET(raw!$B$10,정리!A184,0)</f>
        <v>0</v>
      </c>
      <c r="E184">
        <f ca="1">OFFSET(raw!$B$11,정리!A184,0)</f>
        <v>0</v>
      </c>
      <c r="F184">
        <f ca="1">OFFSET(raw!$C$10,정리!A184,0)</f>
        <v>0</v>
      </c>
      <c r="G184">
        <f ca="1">OFFSET(raw!$C$11,정리!A184,0)</f>
        <v>0</v>
      </c>
      <c r="H184">
        <f ca="1">OFFSET(raw!$D$10,정리!A184,0)</f>
        <v>0</v>
      </c>
      <c r="I184">
        <f ca="1">OFFSET(raw!$D$11,정리!A184,0)</f>
        <v>0</v>
      </c>
      <c r="J184">
        <f ca="1">OFFSET(raw!$E$10,정리!A184,0)</f>
        <v>0</v>
      </c>
      <c r="K184">
        <f ca="1">OFFSET(raw!$F$10,정리!A184,0)</f>
        <v>0</v>
      </c>
      <c r="L184" s="9" t="str">
        <f t="shared" ca="1" si="11"/>
        <v>0</v>
      </c>
      <c r="M184">
        <f ca="1">OFFSET(raw!$G$10,정리!A184,0)</f>
        <v>0</v>
      </c>
      <c r="N184">
        <f ca="1">OFFSET(raw!$A$11,정리!A184,0)</f>
        <v>0</v>
      </c>
    </row>
    <row r="185" spans="1:14" ht="99.9" customHeight="1" x14ac:dyDescent="0.4">
      <c r="A185">
        <v>367</v>
      </c>
      <c r="B185">
        <f ca="1">OFFSET(raw!$A$10,정리!A185,0)</f>
        <v>0</v>
      </c>
      <c r="C185" t="str">
        <f t="shared" ca="1" si="10"/>
        <v>000000</v>
      </c>
      <c r="D185">
        <f ca="1">OFFSET(raw!$B$10,정리!A185,0)</f>
        <v>0</v>
      </c>
      <c r="E185">
        <f ca="1">OFFSET(raw!$B$11,정리!A185,0)</f>
        <v>0</v>
      </c>
      <c r="F185">
        <f ca="1">OFFSET(raw!$C$10,정리!A185,0)</f>
        <v>0</v>
      </c>
      <c r="G185">
        <f ca="1">OFFSET(raw!$C$11,정리!A185,0)</f>
        <v>0</v>
      </c>
      <c r="H185">
        <f ca="1">OFFSET(raw!$D$10,정리!A185,0)</f>
        <v>0</v>
      </c>
      <c r="I185">
        <f ca="1">OFFSET(raw!$D$11,정리!A185,0)</f>
        <v>0</v>
      </c>
      <c r="J185">
        <f ca="1">OFFSET(raw!$E$10,정리!A185,0)</f>
        <v>0</v>
      </c>
      <c r="K185">
        <f ca="1">OFFSET(raw!$F$10,정리!A185,0)</f>
        <v>0</v>
      </c>
      <c r="L185" s="9" t="str">
        <f t="shared" ca="1" si="11"/>
        <v>0</v>
      </c>
      <c r="M185">
        <f ca="1">OFFSET(raw!$G$10,정리!A185,0)</f>
        <v>0</v>
      </c>
      <c r="N185">
        <f ca="1">OFFSET(raw!$A$11,정리!A185,0)</f>
        <v>0</v>
      </c>
    </row>
    <row r="186" spans="1:14" ht="99.9" customHeight="1" x14ac:dyDescent="0.4">
      <c r="A186">
        <v>369</v>
      </c>
      <c r="B186">
        <f ca="1">OFFSET(raw!$A$10,정리!A186,0)</f>
        <v>0</v>
      </c>
      <c r="C186" t="str">
        <f t="shared" ca="1" si="10"/>
        <v>000000</v>
      </c>
      <c r="D186">
        <f ca="1">OFFSET(raw!$B$10,정리!A186,0)</f>
        <v>0</v>
      </c>
      <c r="E186">
        <f ca="1">OFFSET(raw!$B$11,정리!A186,0)</f>
        <v>0</v>
      </c>
      <c r="F186">
        <f ca="1">OFFSET(raw!$C$10,정리!A186,0)</f>
        <v>0</v>
      </c>
      <c r="G186">
        <f ca="1">OFFSET(raw!$C$11,정리!A186,0)</f>
        <v>0</v>
      </c>
      <c r="H186">
        <f ca="1">OFFSET(raw!$D$10,정리!A186,0)</f>
        <v>0</v>
      </c>
      <c r="I186">
        <f ca="1">OFFSET(raw!$D$11,정리!A186,0)</f>
        <v>0</v>
      </c>
      <c r="J186">
        <f ca="1">OFFSET(raw!$E$10,정리!A186,0)</f>
        <v>0</v>
      </c>
      <c r="K186">
        <f ca="1">OFFSET(raw!$F$10,정리!A186,0)</f>
        <v>0</v>
      </c>
      <c r="L186" s="9" t="str">
        <f t="shared" ca="1" si="11"/>
        <v>0</v>
      </c>
      <c r="M186">
        <f ca="1">OFFSET(raw!$G$10,정리!A186,0)</f>
        <v>0</v>
      </c>
      <c r="N186">
        <f ca="1">OFFSET(raw!$A$11,정리!A186,0)</f>
        <v>0</v>
      </c>
    </row>
    <row r="187" spans="1:14" ht="99.9" customHeight="1" x14ac:dyDescent="0.4">
      <c r="A187">
        <v>371</v>
      </c>
      <c r="B187">
        <f ca="1">OFFSET(raw!$A$10,정리!A187,0)</f>
        <v>0</v>
      </c>
      <c r="C187" t="str">
        <f t="shared" ca="1" si="10"/>
        <v>000000</v>
      </c>
      <c r="D187">
        <f ca="1">OFFSET(raw!$B$10,정리!A187,0)</f>
        <v>0</v>
      </c>
      <c r="E187">
        <f ca="1">OFFSET(raw!$B$11,정리!A187,0)</f>
        <v>0</v>
      </c>
      <c r="F187">
        <f ca="1">OFFSET(raw!$C$10,정리!A187,0)</f>
        <v>0</v>
      </c>
      <c r="G187">
        <f ca="1">OFFSET(raw!$C$11,정리!A187,0)</f>
        <v>0</v>
      </c>
      <c r="H187">
        <f ca="1">OFFSET(raw!$D$10,정리!A187,0)</f>
        <v>0</v>
      </c>
      <c r="I187">
        <f ca="1">OFFSET(raw!$D$11,정리!A187,0)</f>
        <v>0</v>
      </c>
      <c r="J187">
        <f ca="1">OFFSET(raw!$E$10,정리!A187,0)</f>
        <v>0</v>
      </c>
      <c r="K187">
        <f ca="1">OFFSET(raw!$F$10,정리!A187,0)</f>
        <v>0</v>
      </c>
      <c r="L187" s="9" t="str">
        <f t="shared" ca="1" si="11"/>
        <v>0</v>
      </c>
      <c r="M187">
        <f ca="1">OFFSET(raw!$G$10,정리!A187,0)</f>
        <v>0</v>
      </c>
      <c r="N187">
        <f ca="1">OFFSET(raw!$A$11,정리!A187,0)</f>
        <v>0</v>
      </c>
    </row>
    <row r="188" spans="1:14" ht="99.9" customHeight="1" x14ac:dyDescent="0.4">
      <c r="A188">
        <v>373</v>
      </c>
      <c r="B188">
        <f ca="1">OFFSET(raw!$A$10,정리!A188,0)</f>
        <v>0</v>
      </c>
      <c r="C188" t="str">
        <f t="shared" ca="1" si="10"/>
        <v>000000</v>
      </c>
      <c r="D188">
        <f ca="1">OFFSET(raw!$B$10,정리!A188,0)</f>
        <v>0</v>
      </c>
      <c r="E188">
        <f ca="1">OFFSET(raw!$B$11,정리!A188,0)</f>
        <v>0</v>
      </c>
      <c r="F188">
        <f ca="1">OFFSET(raw!$C$10,정리!A188,0)</f>
        <v>0</v>
      </c>
      <c r="G188">
        <f ca="1">OFFSET(raw!$C$11,정리!A188,0)</f>
        <v>0</v>
      </c>
      <c r="H188">
        <f ca="1">OFFSET(raw!$D$10,정리!A188,0)</f>
        <v>0</v>
      </c>
      <c r="I188">
        <f ca="1">OFFSET(raw!$D$11,정리!A188,0)</f>
        <v>0</v>
      </c>
      <c r="J188">
        <f ca="1">OFFSET(raw!$E$10,정리!A188,0)</f>
        <v>0</v>
      </c>
      <c r="K188">
        <f ca="1">OFFSET(raw!$F$10,정리!A188,0)</f>
        <v>0</v>
      </c>
      <c r="L188" s="9" t="str">
        <f t="shared" ca="1" si="11"/>
        <v>0</v>
      </c>
      <c r="M188">
        <f ca="1">OFFSET(raw!$G$10,정리!A188,0)</f>
        <v>0</v>
      </c>
      <c r="N188">
        <f ca="1">OFFSET(raw!$A$11,정리!A188,0)</f>
        <v>0</v>
      </c>
    </row>
    <row r="189" spans="1:14" ht="99.9" customHeight="1" x14ac:dyDescent="0.4">
      <c r="A189">
        <v>375</v>
      </c>
      <c r="B189">
        <f ca="1">OFFSET(raw!$A$10,정리!A189,0)</f>
        <v>0</v>
      </c>
      <c r="C189" t="str">
        <f t="shared" ca="1" si="10"/>
        <v>000000</v>
      </c>
      <c r="D189">
        <f ca="1">OFFSET(raw!$B$10,정리!A189,0)</f>
        <v>0</v>
      </c>
      <c r="E189">
        <f ca="1">OFFSET(raw!$B$11,정리!A189,0)</f>
        <v>0</v>
      </c>
      <c r="F189">
        <f ca="1">OFFSET(raw!$C$10,정리!A189,0)</f>
        <v>0</v>
      </c>
      <c r="G189">
        <f ca="1">OFFSET(raw!$C$11,정리!A189,0)</f>
        <v>0</v>
      </c>
      <c r="H189">
        <f ca="1">OFFSET(raw!$D$10,정리!A189,0)</f>
        <v>0</v>
      </c>
      <c r="I189">
        <f ca="1">OFFSET(raw!$D$11,정리!A189,0)</f>
        <v>0</v>
      </c>
      <c r="J189">
        <f ca="1">OFFSET(raw!$E$10,정리!A189,0)</f>
        <v>0</v>
      </c>
      <c r="K189">
        <f ca="1">OFFSET(raw!$F$10,정리!A189,0)</f>
        <v>0</v>
      </c>
      <c r="L189" s="9" t="str">
        <f t="shared" ca="1" si="11"/>
        <v>0</v>
      </c>
      <c r="M189">
        <f ca="1">OFFSET(raw!$G$10,정리!A189,0)</f>
        <v>0</v>
      </c>
      <c r="N189">
        <f ca="1">OFFSET(raw!$A$11,정리!A189,0)</f>
        <v>0</v>
      </c>
    </row>
    <row r="190" spans="1:14" ht="99.9" customHeight="1" x14ac:dyDescent="0.4">
      <c r="A190">
        <v>377</v>
      </c>
      <c r="B190">
        <f ca="1">OFFSET(raw!$A$10,정리!A190,0)</f>
        <v>0</v>
      </c>
      <c r="C190" t="str">
        <f t="shared" ca="1" si="10"/>
        <v>000000</v>
      </c>
      <c r="D190">
        <f ca="1">OFFSET(raw!$B$10,정리!A190,0)</f>
        <v>0</v>
      </c>
      <c r="E190">
        <f ca="1">OFFSET(raw!$B$11,정리!A190,0)</f>
        <v>0</v>
      </c>
      <c r="F190">
        <f ca="1">OFFSET(raw!$C$10,정리!A190,0)</f>
        <v>0</v>
      </c>
      <c r="G190">
        <f ca="1">OFFSET(raw!$C$11,정리!A190,0)</f>
        <v>0</v>
      </c>
      <c r="H190">
        <f ca="1">OFFSET(raw!$D$10,정리!A190,0)</f>
        <v>0</v>
      </c>
      <c r="I190">
        <f ca="1">OFFSET(raw!$D$11,정리!A190,0)</f>
        <v>0</v>
      </c>
      <c r="J190">
        <f ca="1">OFFSET(raw!$E$10,정리!A190,0)</f>
        <v>0</v>
      </c>
      <c r="K190">
        <f ca="1">OFFSET(raw!$F$10,정리!A190,0)</f>
        <v>0</v>
      </c>
      <c r="L190" s="9" t="str">
        <f t="shared" ca="1" si="11"/>
        <v>0</v>
      </c>
      <c r="M190">
        <f ca="1">OFFSET(raw!$G$10,정리!A190,0)</f>
        <v>0</v>
      </c>
      <c r="N190">
        <f ca="1">OFFSET(raw!$A$11,정리!A190,0)</f>
        <v>0</v>
      </c>
    </row>
    <row r="191" spans="1:14" ht="99.9" customHeight="1" x14ac:dyDescent="0.4">
      <c r="A191">
        <v>379</v>
      </c>
      <c r="B191">
        <f ca="1">OFFSET(raw!$A$10,정리!A191,0)</f>
        <v>0</v>
      </c>
      <c r="C191" t="str">
        <f t="shared" ca="1" si="10"/>
        <v>000000</v>
      </c>
      <c r="D191">
        <f ca="1">OFFSET(raw!$B$10,정리!A191,0)</f>
        <v>0</v>
      </c>
      <c r="E191">
        <f ca="1">OFFSET(raw!$B$11,정리!A191,0)</f>
        <v>0</v>
      </c>
      <c r="F191">
        <f ca="1">OFFSET(raw!$C$10,정리!A191,0)</f>
        <v>0</v>
      </c>
      <c r="G191">
        <f ca="1">OFFSET(raw!$C$11,정리!A191,0)</f>
        <v>0</v>
      </c>
      <c r="H191">
        <f ca="1">OFFSET(raw!$D$10,정리!A191,0)</f>
        <v>0</v>
      </c>
      <c r="I191">
        <f ca="1">OFFSET(raw!$D$11,정리!A191,0)</f>
        <v>0</v>
      </c>
      <c r="J191">
        <f ca="1">OFFSET(raw!$E$10,정리!A191,0)</f>
        <v>0</v>
      </c>
      <c r="K191">
        <f ca="1">OFFSET(raw!$F$10,정리!A191,0)</f>
        <v>0</v>
      </c>
      <c r="L191" s="9" t="str">
        <f t="shared" ca="1" si="11"/>
        <v>0</v>
      </c>
      <c r="M191">
        <f ca="1">OFFSET(raw!$G$10,정리!A191,0)</f>
        <v>0</v>
      </c>
      <c r="N191">
        <f ca="1">OFFSET(raw!$A$11,정리!A191,0)</f>
        <v>0</v>
      </c>
    </row>
    <row r="192" spans="1:14" ht="99.9" customHeight="1" x14ac:dyDescent="0.4">
      <c r="A192">
        <v>381</v>
      </c>
      <c r="B192">
        <f ca="1">OFFSET(raw!$A$10,정리!A192,0)</f>
        <v>0</v>
      </c>
      <c r="C192" t="str">
        <f t="shared" ca="1" si="10"/>
        <v>000000</v>
      </c>
      <c r="D192">
        <f ca="1">OFFSET(raw!$B$10,정리!A192,0)</f>
        <v>0</v>
      </c>
      <c r="E192">
        <f ca="1">OFFSET(raw!$B$11,정리!A192,0)</f>
        <v>0</v>
      </c>
      <c r="F192">
        <f ca="1">OFFSET(raw!$C$10,정리!A192,0)</f>
        <v>0</v>
      </c>
      <c r="G192">
        <f ca="1">OFFSET(raw!$C$11,정리!A192,0)</f>
        <v>0</v>
      </c>
      <c r="H192">
        <f ca="1">OFFSET(raw!$D$10,정리!A192,0)</f>
        <v>0</v>
      </c>
      <c r="I192">
        <f ca="1">OFFSET(raw!$D$11,정리!A192,0)</f>
        <v>0</v>
      </c>
      <c r="J192">
        <f ca="1">OFFSET(raw!$E$10,정리!A192,0)</f>
        <v>0</v>
      </c>
      <c r="K192">
        <f ca="1">OFFSET(raw!$F$10,정리!A192,0)</f>
        <v>0</v>
      </c>
      <c r="L192" s="9" t="str">
        <f t="shared" ca="1" si="11"/>
        <v>0</v>
      </c>
      <c r="M192">
        <f ca="1">OFFSET(raw!$G$10,정리!A192,0)</f>
        <v>0</v>
      </c>
      <c r="N192">
        <f ca="1">OFFSET(raw!$A$11,정리!A192,0)</f>
        <v>0</v>
      </c>
    </row>
    <row r="193" spans="1:14" ht="99.9" customHeight="1" x14ac:dyDescent="0.4">
      <c r="A193">
        <v>383</v>
      </c>
      <c r="B193">
        <f ca="1">OFFSET(raw!$A$10,정리!A193,0)</f>
        <v>0</v>
      </c>
      <c r="C193" t="str">
        <f t="shared" ca="1" si="10"/>
        <v>000000</v>
      </c>
      <c r="D193">
        <f ca="1">OFFSET(raw!$B$10,정리!A193,0)</f>
        <v>0</v>
      </c>
      <c r="E193">
        <f ca="1">OFFSET(raw!$B$11,정리!A193,0)</f>
        <v>0</v>
      </c>
      <c r="F193">
        <f ca="1">OFFSET(raw!$C$10,정리!A193,0)</f>
        <v>0</v>
      </c>
      <c r="G193">
        <f ca="1">OFFSET(raw!$C$11,정리!A193,0)</f>
        <v>0</v>
      </c>
      <c r="H193">
        <f ca="1">OFFSET(raw!$D$10,정리!A193,0)</f>
        <v>0</v>
      </c>
      <c r="I193">
        <f ca="1">OFFSET(raw!$D$11,정리!A193,0)</f>
        <v>0</v>
      </c>
      <c r="J193">
        <f ca="1">OFFSET(raw!$E$10,정리!A193,0)</f>
        <v>0</v>
      </c>
      <c r="K193">
        <f ca="1">OFFSET(raw!$F$10,정리!A193,0)</f>
        <v>0</v>
      </c>
      <c r="L193" s="9" t="str">
        <f t="shared" ca="1" si="11"/>
        <v>0</v>
      </c>
      <c r="M193">
        <f ca="1">OFFSET(raw!$G$10,정리!A193,0)</f>
        <v>0</v>
      </c>
      <c r="N193">
        <f ca="1">OFFSET(raw!$A$11,정리!A193,0)</f>
        <v>0</v>
      </c>
    </row>
    <row r="194" spans="1:14" ht="99.9" customHeight="1" x14ac:dyDescent="0.4">
      <c r="A194">
        <v>385</v>
      </c>
      <c r="B194">
        <f ca="1">OFFSET(raw!$A$10,정리!A194,0)</f>
        <v>0</v>
      </c>
      <c r="C194" t="str">
        <f t="shared" ca="1" si="10"/>
        <v>000000</v>
      </c>
      <c r="D194">
        <f ca="1">OFFSET(raw!$B$10,정리!A194,0)</f>
        <v>0</v>
      </c>
      <c r="E194">
        <f ca="1">OFFSET(raw!$B$11,정리!A194,0)</f>
        <v>0</v>
      </c>
      <c r="F194">
        <f ca="1">OFFSET(raw!$C$10,정리!A194,0)</f>
        <v>0</v>
      </c>
      <c r="G194">
        <f ca="1">OFFSET(raw!$C$11,정리!A194,0)</f>
        <v>0</v>
      </c>
      <c r="H194">
        <f ca="1">OFFSET(raw!$D$10,정리!A194,0)</f>
        <v>0</v>
      </c>
      <c r="I194">
        <f ca="1">OFFSET(raw!$D$11,정리!A194,0)</f>
        <v>0</v>
      </c>
      <c r="J194">
        <f ca="1">OFFSET(raw!$E$10,정리!A194,0)</f>
        <v>0</v>
      </c>
      <c r="K194">
        <f ca="1">OFFSET(raw!$F$10,정리!A194,0)</f>
        <v>0</v>
      </c>
      <c r="L194" s="9" t="str">
        <f t="shared" ref="L194:L197" ca="1" si="12">SUBSTITUTE(M194, " ▶ ", CHAR(10) &amp; "▶ ")</f>
        <v>0</v>
      </c>
      <c r="M194">
        <f ca="1">OFFSET(raw!$G$10,정리!A194,0)</f>
        <v>0</v>
      </c>
      <c r="N194">
        <f ca="1">OFFSET(raw!$A$11,정리!A194,0)</f>
        <v>0</v>
      </c>
    </row>
    <row r="195" spans="1:14" ht="99.9" customHeight="1" x14ac:dyDescent="0.4">
      <c r="A195">
        <v>387</v>
      </c>
      <c r="B195">
        <f ca="1">OFFSET(raw!$A$10,정리!A195,0)</f>
        <v>0</v>
      </c>
      <c r="C195" t="str">
        <f t="shared" ca="1" si="10"/>
        <v>000000</v>
      </c>
      <c r="D195">
        <f ca="1">OFFSET(raw!$B$10,정리!A195,0)</f>
        <v>0</v>
      </c>
      <c r="E195">
        <f ca="1">OFFSET(raw!$B$11,정리!A195,0)</f>
        <v>0</v>
      </c>
      <c r="F195">
        <f ca="1">OFFSET(raw!$C$10,정리!A195,0)</f>
        <v>0</v>
      </c>
      <c r="G195">
        <f ca="1">OFFSET(raw!$C$11,정리!A195,0)</f>
        <v>0</v>
      </c>
      <c r="H195">
        <f ca="1">OFFSET(raw!$D$10,정리!A195,0)</f>
        <v>0</v>
      </c>
      <c r="I195">
        <f ca="1">OFFSET(raw!$D$11,정리!A195,0)</f>
        <v>0</v>
      </c>
      <c r="J195">
        <f ca="1">OFFSET(raw!$E$10,정리!A195,0)</f>
        <v>0</v>
      </c>
      <c r="K195">
        <f ca="1">OFFSET(raw!$F$10,정리!A195,0)</f>
        <v>0</v>
      </c>
      <c r="L195" s="9" t="str">
        <f t="shared" ca="1" si="12"/>
        <v>0</v>
      </c>
      <c r="M195">
        <f ca="1">OFFSET(raw!$G$10,정리!A195,0)</f>
        <v>0</v>
      </c>
      <c r="N195">
        <f ca="1">OFFSET(raw!$A$11,정리!A195,0)</f>
        <v>0</v>
      </c>
    </row>
    <row r="196" spans="1:14" ht="99.9" customHeight="1" x14ac:dyDescent="0.4">
      <c r="A196">
        <v>389</v>
      </c>
      <c r="B196">
        <f ca="1">OFFSET(raw!$A$10,정리!A196,0)</f>
        <v>0</v>
      </c>
      <c r="C196" t="str">
        <f t="shared" ca="1" si="10"/>
        <v>000000</v>
      </c>
      <c r="D196">
        <f ca="1">OFFSET(raw!$B$10,정리!A196,0)</f>
        <v>0</v>
      </c>
      <c r="E196">
        <f ca="1">OFFSET(raw!$B$11,정리!A196,0)</f>
        <v>0</v>
      </c>
      <c r="F196">
        <f ca="1">OFFSET(raw!$C$10,정리!A196,0)</f>
        <v>0</v>
      </c>
      <c r="G196">
        <f ca="1">OFFSET(raw!$C$11,정리!A196,0)</f>
        <v>0</v>
      </c>
      <c r="H196">
        <f ca="1">OFFSET(raw!$D$10,정리!A196,0)</f>
        <v>0</v>
      </c>
      <c r="I196">
        <f ca="1">OFFSET(raw!$D$11,정리!A196,0)</f>
        <v>0</v>
      </c>
      <c r="J196">
        <f ca="1">OFFSET(raw!$E$10,정리!A196,0)</f>
        <v>0</v>
      </c>
      <c r="K196">
        <f ca="1">OFFSET(raw!$F$10,정리!A196,0)</f>
        <v>0</v>
      </c>
      <c r="L196" s="9" t="str">
        <f t="shared" ca="1" si="12"/>
        <v>0</v>
      </c>
      <c r="M196">
        <f ca="1">OFFSET(raw!$G$10,정리!A196,0)</f>
        <v>0</v>
      </c>
      <c r="N196">
        <f ca="1">OFFSET(raw!$A$11,정리!A196,0)</f>
        <v>0</v>
      </c>
    </row>
    <row r="197" spans="1:14" ht="99.9" customHeight="1" x14ac:dyDescent="0.4">
      <c r="A197">
        <v>391</v>
      </c>
      <c r="B197">
        <f ca="1">OFFSET(raw!$A$10,정리!A197,0)</f>
        <v>0</v>
      </c>
      <c r="C197" t="str">
        <f t="shared" ca="1" si="10"/>
        <v>000000</v>
      </c>
      <c r="D197">
        <f ca="1">OFFSET(raw!$B$10,정리!A197,0)</f>
        <v>0</v>
      </c>
      <c r="E197">
        <f ca="1">OFFSET(raw!$B$11,정리!A197,0)</f>
        <v>0</v>
      </c>
      <c r="F197">
        <f ca="1">OFFSET(raw!$C$10,정리!A197,0)</f>
        <v>0</v>
      </c>
      <c r="G197">
        <f ca="1">OFFSET(raw!$C$11,정리!A197,0)</f>
        <v>0</v>
      </c>
      <c r="H197">
        <f ca="1">OFFSET(raw!$D$10,정리!A197,0)</f>
        <v>0</v>
      </c>
      <c r="I197">
        <f ca="1">OFFSET(raw!$D$11,정리!A197,0)</f>
        <v>0</v>
      </c>
      <c r="J197">
        <f ca="1">OFFSET(raw!$E$10,정리!A197,0)</f>
        <v>0</v>
      </c>
      <c r="K197">
        <f ca="1">OFFSET(raw!$F$10,정리!A197,0)</f>
        <v>0</v>
      </c>
      <c r="L197" s="9" t="str">
        <f t="shared" ca="1" si="12"/>
        <v>0</v>
      </c>
      <c r="M197">
        <f ca="1">OFFSET(raw!$G$10,정리!A197,0)</f>
        <v>0</v>
      </c>
      <c r="N197">
        <f ca="1">OFFSET(raw!$A$11,정리!A197,0)</f>
        <v>0</v>
      </c>
    </row>
  </sheetData>
  <phoneticPr fontId="2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I41"/>
  <sheetViews>
    <sheetView workbookViewId="0"/>
  </sheetViews>
  <sheetFormatPr defaultRowHeight="17.399999999999999" x14ac:dyDescent="0.4"/>
  <cols>
    <col min="1" max="1" width="78.69921875" bestFit="1" customWidth="1"/>
    <col min="2" max="2" width="23.09765625" bestFit="1" customWidth="1"/>
    <col min="3" max="4" width="13" bestFit="1" customWidth="1"/>
    <col min="5" max="5" width="12.3984375" bestFit="1" customWidth="1"/>
    <col min="6" max="6" width="54.19921875" bestFit="1" customWidth="1"/>
    <col min="7" max="7" width="80.796875" bestFit="1" customWidth="1"/>
    <col min="9" max="9" width="5" bestFit="1" customWidth="1"/>
  </cols>
  <sheetData>
    <row r="2" spans="1:7" x14ac:dyDescent="0.4">
      <c r="B2" t="s">
        <v>7</v>
      </c>
    </row>
    <row r="3" spans="1:7" x14ac:dyDescent="0.4">
      <c r="B3" t="s">
        <v>8</v>
      </c>
      <c r="C3" t="s">
        <v>9</v>
      </c>
      <c r="D3" t="s">
        <v>10</v>
      </c>
    </row>
    <row r="5" spans="1:7" x14ac:dyDescent="0.4">
      <c r="A5" t="s">
        <v>11</v>
      </c>
    </row>
    <row r="6" spans="1:7" x14ac:dyDescent="0.4">
      <c r="A6" t="s">
        <v>12</v>
      </c>
    </row>
    <row r="7" spans="1:7" x14ac:dyDescent="0.4">
      <c r="A7" t="s">
        <v>13</v>
      </c>
    </row>
    <row r="8" spans="1:7" x14ac:dyDescent="0.4">
      <c r="A8" t="s">
        <v>14</v>
      </c>
    </row>
    <row r="9" spans="1:7" x14ac:dyDescent="0.4">
      <c r="A9" t="s">
        <v>15</v>
      </c>
    </row>
    <row r="10" spans="1:7" x14ac:dyDescent="0.4">
      <c r="A10" t="s">
        <v>1</v>
      </c>
      <c r="B10" t="s">
        <v>0</v>
      </c>
      <c r="C10" t="s">
        <v>2</v>
      </c>
      <c r="D10" t="s">
        <v>3</v>
      </c>
      <c r="E10" t="s">
        <v>4</v>
      </c>
      <c r="F10" t="s">
        <v>5</v>
      </c>
      <c r="G10" t="s">
        <v>6</v>
      </c>
    </row>
    <row r="11" spans="1:7" x14ac:dyDescent="0.4">
      <c r="A11" t="s">
        <v>43</v>
      </c>
      <c r="B11" t="s">
        <v>41</v>
      </c>
      <c r="C11" t="s">
        <v>16</v>
      </c>
      <c r="D11" t="s">
        <v>16</v>
      </c>
      <c r="E11" s="8">
        <v>48350</v>
      </c>
      <c r="F11" t="s">
        <v>61</v>
      </c>
      <c r="G11" t="s">
        <v>62</v>
      </c>
    </row>
    <row r="12" spans="1:7" x14ac:dyDescent="0.4">
      <c r="A12">
        <v>-28050</v>
      </c>
      <c r="B12" t="s">
        <v>60</v>
      </c>
      <c r="C12" t="s">
        <v>37</v>
      </c>
      <c r="D12" s="8">
        <v>73500</v>
      </c>
    </row>
    <row r="13" spans="1:7" x14ac:dyDescent="0.4">
      <c r="A13" t="s">
        <v>63</v>
      </c>
      <c r="B13" t="s">
        <v>42</v>
      </c>
      <c r="C13" t="s">
        <v>16</v>
      </c>
      <c r="D13" t="s">
        <v>36</v>
      </c>
      <c r="E13" s="8">
        <v>460500</v>
      </c>
      <c r="F13" t="s">
        <v>64</v>
      </c>
      <c r="G13" t="s">
        <v>65</v>
      </c>
    </row>
    <row r="14" spans="1:7" x14ac:dyDescent="0.4">
      <c r="A14">
        <v>-28260</v>
      </c>
      <c r="B14" t="s">
        <v>44</v>
      </c>
      <c r="C14" t="s">
        <v>37</v>
      </c>
      <c r="D14" s="8">
        <v>650000</v>
      </c>
    </row>
    <row r="15" spans="1:7" x14ac:dyDescent="0.4">
      <c r="A15" t="s">
        <v>66</v>
      </c>
      <c r="B15" t="s">
        <v>67</v>
      </c>
      <c r="C15" t="s">
        <v>38</v>
      </c>
      <c r="D15" t="s">
        <v>39</v>
      </c>
      <c r="E15" s="8">
        <v>126400</v>
      </c>
      <c r="F15" t="s">
        <v>69</v>
      </c>
      <c r="G15" t="s">
        <v>70</v>
      </c>
    </row>
    <row r="16" spans="1:7" x14ac:dyDescent="0.4">
      <c r="A16">
        <v>-31980</v>
      </c>
      <c r="B16" t="s">
        <v>68</v>
      </c>
      <c r="D16" s="8"/>
    </row>
    <row r="17" spans="1:7" x14ac:dyDescent="0.4">
      <c r="A17" t="s">
        <v>71</v>
      </c>
      <c r="B17" t="s">
        <v>67</v>
      </c>
      <c r="C17" t="s">
        <v>38</v>
      </c>
      <c r="D17" s="8" t="s">
        <v>39</v>
      </c>
      <c r="E17" s="8">
        <v>68000</v>
      </c>
      <c r="F17" t="s">
        <v>72</v>
      </c>
      <c r="G17" t="s">
        <v>73</v>
      </c>
    </row>
    <row r="18" spans="1:7" x14ac:dyDescent="0.4">
      <c r="A18">
        <v>-89970</v>
      </c>
      <c r="B18" t="s">
        <v>68</v>
      </c>
      <c r="D18" s="8"/>
    </row>
    <row r="19" spans="1:7" x14ac:dyDescent="0.4">
      <c r="A19" t="s">
        <v>74</v>
      </c>
      <c r="B19" t="s">
        <v>42</v>
      </c>
      <c r="C19" t="s">
        <v>16</v>
      </c>
      <c r="D19" s="8" t="s">
        <v>36</v>
      </c>
      <c r="E19" s="8">
        <v>494000</v>
      </c>
      <c r="F19" t="s">
        <v>76</v>
      </c>
      <c r="G19" t="s">
        <v>77</v>
      </c>
    </row>
    <row r="20" spans="1:7" x14ac:dyDescent="0.4">
      <c r="A20">
        <v>-128940</v>
      </c>
      <c r="B20" t="s">
        <v>75</v>
      </c>
      <c r="C20" t="s">
        <v>37</v>
      </c>
      <c r="D20" s="8">
        <v>710000</v>
      </c>
    </row>
    <row r="21" spans="1:7" x14ac:dyDescent="0.4">
      <c r="A21" t="s">
        <v>78</v>
      </c>
      <c r="B21" t="s">
        <v>79</v>
      </c>
      <c r="C21" t="s">
        <v>16</v>
      </c>
      <c r="D21" s="8" t="s">
        <v>16</v>
      </c>
      <c r="E21" s="8">
        <v>89200</v>
      </c>
      <c r="F21" t="s">
        <v>81</v>
      </c>
      <c r="G21" t="s">
        <v>82</v>
      </c>
    </row>
    <row r="22" spans="1:7" x14ac:dyDescent="0.4">
      <c r="A22">
        <v>-139480</v>
      </c>
      <c r="B22" t="s">
        <v>80</v>
      </c>
      <c r="C22" t="s">
        <v>37</v>
      </c>
      <c r="D22" s="8">
        <v>120000</v>
      </c>
    </row>
    <row r="23" spans="1:7" x14ac:dyDescent="0.4">
      <c r="A23" t="s">
        <v>83</v>
      </c>
      <c r="B23" t="s">
        <v>45</v>
      </c>
      <c r="C23" t="s">
        <v>38</v>
      </c>
      <c r="D23" s="8" t="s">
        <v>39</v>
      </c>
      <c r="E23" s="8">
        <v>17180</v>
      </c>
      <c r="F23" t="s">
        <v>84</v>
      </c>
      <c r="G23" t="s">
        <v>85</v>
      </c>
    </row>
    <row r="24" spans="1:7" x14ac:dyDescent="0.4">
      <c r="A24">
        <v>-144510</v>
      </c>
      <c r="B24" t="s">
        <v>46</v>
      </c>
      <c r="D24" s="8"/>
    </row>
    <row r="25" spans="1:7" x14ac:dyDescent="0.4">
      <c r="A25" t="s">
        <v>86</v>
      </c>
      <c r="B25" t="s">
        <v>87</v>
      </c>
      <c r="C25" t="s">
        <v>38</v>
      </c>
      <c r="D25" s="8" t="s">
        <v>39</v>
      </c>
      <c r="E25" s="8"/>
      <c r="F25" t="s">
        <v>89</v>
      </c>
      <c r="G25" t="s">
        <v>90</v>
      </c>
    </row>
    <row r="26" spans="1:7" x14ac:dyDescent="0.4">
      <c r="A26">
        <v>-153890</v>
      </c>
      <c r="B26" t="s">
        <v>88</v>
      </c>
      <c r="D26" s="8"/>
    </row>
    <row r="27" spans="1:7" x14ac:dyDescent="0.4">
      <c r="A27" t="s">
        <v>91</v>
      </c>
      <c r="B27" t="s">
        <v>40</v>
      </c>
      <c r="C27" t="s">
        <v>38</v>
      </c>
      <c r="D27" s="8" t="s">
        <v>39</v>
      </c>
      <c r="E27" s="8">
        <v>7800</v>
      </c>
      <c r="F27" t="s">
        <v>93</v>
      </c>
      <c r="G27" t="s">
        <v>94</v>
      </c>
    </row>
    <row r="28" spans="1:7" x14ac:dyDescent="0.4">
      <c r="A28">
        <v>-229500</v>
      </c>
      <c r="B28" t="s">
        <v>92</v>
      </c>
      <c r="D28" s="8"/>
    </row>
    <row r="29" spans="1:7" x14ac:dyDescent="0.4">
      <c r="A29" t="s">
        <v>95</v>
      </c>
      <c r="B29" t="s">
        <v>42</v>
      </c>
      <c r="C29" t="s">
        <v>38</v>
      </c>
      <c r="D29" s="8" t="s">
        <v>39</v>
      </c>
      <c r="E29" s="8">
        <v>2085</v>
      </c>
      <c r="F29" t="s">
        <v>97</v>
      </c>
      <c r="G29" t="s">
        <v>98</v>
      </c>
    </row>
    <row r="30" spans="1:7" x14ac:dyDescent="0.4">
      <c r="A30">
        <v>-271830</v>
      </c>
      <c r="B30" t="s">
        <v>96</v>
      </c>
      <c r="D30" s="8"/>
    </row>
    <row r="31" spans="1:7" x14ac:dyDescent="0.4">
      <c r="A31" t="s">
        <v>99</v>
      </c>
      <c r="B31" t="s">
        <v>67</v>
      </c>
      <c r="C31" t="s">
        <v>38</v>
      </c>
      <c r="D31" s="8" t="s">
        <v>39</v>
      </c>
      <c r="E31" s="8">
        <v>65300</v>
      </c>
      <c r="F31" t="s">
        <v>100</v>
      </c>
      <c r="G31" t="s">
        <v>101</v>
      </c>
    </row>
    <row r="32" spans="1:7" x14ac:dyDescent="0.4">
      <c r="A32">
        <v>-281820</v>
      </c>
      <c r="B32" t="s">
        <v>68</v>
      </c>
      <c r="D32" s="8"/>
    </row>
    <row r="33" spans="1:9" x14ac:dyDescent="0.4">
      <c r="A33" t="s">
        <v>102</v>
      </c>
      <c r="B33" t="s">
        <v>42</v>
      </c>
      <c r="C33" t="s">
        <v>38</v>
      </c>
      <c r="D33" s="8" t="s">
        <v>39</v>
      </c>
      <c r="E33" s="8">
        <v>92300</v>
      </c>
      <c r="F33" t="s">
        <v>103</v>
      </c>
      <c r="G33" t="s">
        <v>104</v>
      </c>
    </row>
    <row r="34" spans="1:9" x14ac:dyDescent="0.4">
      <c r="A34">
        <v>-347850</v>
      </c>
      <c r="B34" t="s">
        <v>75</v>
      </c>
      <c r="D34" s="8"/>
    </row>
    <row r="35" spans="1:9" x14ac:dyDescent="0.4">
      <c r="A35" t="s">
        <v>105</v>
      </c>
      <c r="B35" t="s">
        <v>106</v>
      </c>
      <c r="C35" t="s">
        <v>38</v>
      </c>
      <c r="D35" s="8" t="s">
        <v>39</v>
      </c>
      <c r="E35" s="8">
        <v>60000</v>
      </c>
      <c r="F35" t="s">
        <v>108</v>
      </c>
      <c r="G35" t="s">
        <v>109</v>
      </c>
    </row>
    <row r="36" spans="1:9" x14ac:dyDescent="0.4">
      <c r="A36">
        <v>-439260</v>
      </c>
      <c r="B36" t="s">
        <v>107</v>
      </c>
      <c r="D36" s="8"/>
    </row>
    <row r="37" spans="1:9" x14ac:dyDescent="0.4">
      <c r="A37" t="s">
        <v>110</v>
      </c>
      <c r="B37" t="s">
        <v>111</v>
      </c>
      <c r="C37" t="s">
        <v>38</v>
      </c>
      <c r="D37" s="8" t="s">
        <v>39</v>
      </c>
      <c r="E37" s="8">
        <v>99200</v>
      </c>
      <c r="F37" t="s">
        <v>113</v>
      </c>
      <c r="G37" t="s">
        <v>114</v>
      </c>
    </row>
    <row r="38" spans="1:9" x14ac:dyDescent="0.4">
      <c r="A38">
        <v>-950160</v>
      </c>
      <c r="B38" t="s">
        <v>112</v>
      </c>
      <c r="D38" s="8"/>
    </row>
    <row r="39" spans="1:9" x14ac:dyDescent="0.4">
      <c r="D39" s="8"/>
      <c r="E39" s="8"/>
    </row>
    <row r="40" spans="1:9" x14ac:dyDescent="0.4">
      <c r="A40" t="s">
        <v>17</v>
      </c>
      <c r="D40" s="8"/>
    </row>
    <row r="41" spans="1:9" x14ac:dyDescent="0.4">
      <c r="A41" t="s">
        <v>18</v>
      </c>
      <c r="D41" s="8"/>
      <c r="E41" s="8"/>
      <c r="I41" t="s">
        <v>19</v>
      </c>
    </row>
  </sheetData>
  <phoneticPr fontId="23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D352"/>
  <sheetViews>
    <sheetView workbookViewId="0">
      <selection activeCell="C2" sqref="C2:C197"/>
    </sheetView>
  </sheetViews>
  <sheetFormatPr defaultRowHeight="17.399999999999999" x14ac:dyDescent="0.4"/>
  <sheetData>
    <row r="1" spans="1:160" x14ac:dyDescent="0.4">
      <c r="A1" t="s">
        <v>33</v>
      </c>
    </row>
    <row r="2" spans="1:160" x14ac:dyDescent="0.4">
      <c r="A2" t="s">
        <v>47</v>
      </c>
      <c r="C2" t="str">
        <f t="shared" ref="C2:C65" si="0">IF(LEFT(A2,1)="A",A2,"")</f>
        <v>A001680</v>
      </c>
      <c r="E2" t="str">
        <f t="array" ref="E2:FD2">TRANSPOSE(A2:A157)</f>
        <v>A001680</v>
      </c>
      <c r="F2" t="str">
        <v>A011070</v>
      </c>
      <c r="G2" t="str">
        <v>A028050</v>
      </c>
      <c r="H2" t="str">
        <v>A053280</v>
      </c>
      <c r="I2" t="str">
        <v>A060720</v>
      </c>
      <c r="J2" t="str">
        <v>A061090</v>
      </c>
      <c r="K2" t="str">
        <v>A066910</v>
      </c>
      <c r="L2" t="str">
        <v>A122640</v>
      </c>
      <c r="M2" t="str">
        <v>A319660</v>
      </c>
      <c r="N2" t="str">
        <v>A333050</v>
      </c>
      <c r="O2" t="str">
        <v>A355690</v>
      </c>
      <c r="P2" t="str">
        <v>A450950</v>
      </c>
      <c r="Q2" t="str">
        <v>A475040</v>
      </c>
      <c r="R2" t="str">
        <v>변동없음(변동없음), 신규(신규), 이전대비상향(이전대비상향), 이전대비하향(이전대비하향)</v>
      </c>
      <c r="S2" t="str">
        <v>000000</v>
      </c>
      <c r="T2" t="str">
        <v>000000</v>
      </c>
      <c r="U2" t="str">
        <v>000000</v>
      </c>
      <c r="V2" t="str">
        <v>000000</v>
      </c>
      <c r="W2" t="str">
        <v>000000</v>
      </c>
      <c r="X2" t="str">
        <v>000000</v>
      </c>
      <c r="Y2" t="str">
        <v>000000</v>
      </c>
      <c r="Z2" t="str">
        <v>000000</v>
      </c>
      <c r="AA2" t="str">
        <v>000000</v>
      </c>
      <c r="AB2" t="str">
        <v>000000</v>
      </c>
      <c r="AC2" t="str">
        <v>000000</v>
      </c>
      <c r="AD2" t="str">
        <v>000000</v>
      </c>
      <c r="AE2" t="str">
        <v>000000</v>
      </c>
      <c r="AF2" t="str">
        <v>000000</v>
      </c>
      <c r="AG2" t="str">
        <v>000000</v>
      </c>
      <c r="AH2" t="str">
        <v>000000</v>
      </c>
      <c r="AI2" t="str">
        <v>000000</v>
      </c>
      <c r="AJ2" t="str">
        <v>000000</v>
      </c>
      <c r="AK2" t="str">
        <v>000000</v>
      </c>
      <c r="AL2" t="str">
        <v>000000</v>
      </c>
      <c r="AM2" t="str">
        <v>000000</v>
      </c>
      <c r="AN2" t="str">
        <v>000000</v>
      </c>
      <c r="AO2" t="str">
        <v>000000</v>
      </c>
      <c r="AP2" t="str">
        <v>000000</v>
      </c>
      <c r="AQ2" t="str">
        <v>000000</v>
      </c>
      <c r="AR2" t="str">
        <v>000000</v>
      </c>
      <c r="AS2" t="str">
        <v>000000</v>
      </c>
      <c r="AT2" t="str">
        <v>000000</v>
      </c>
      <c r="AU2" t="str">
        <v>000000</v>
      </c>
      <c r="AV2" t="str">
        <v>000000</v>
      </c>
      <c r="AW2" t="str">
        <v>000000</v>
      </c>
      <c r="AX2" t="str">
        <v>000000</v>
      </c>
      <c r="AY2" t="str">
        <v>000000</v>
      </c>
      <c r="AZ2" t="str">
        <v>000000</v>
      </c>
      <c r="BA2" t="str">
        <v>000000</v>
      </c>
      <c r="BB2" t="str">
        <v>000000</v>
      </c>
      <c r="BC2" t="str">
        <v>000000</v>
      </c>
      <c r="BD2" t="str">
        <v>000000</v>
      </c>
      <c r="BE2" t="str">
        <v>000000</v>
      </c>
      <c r="BF2" t="str">
        <v>000000</v>
      </c>
      <c r="BG2" t="str">
        <v>000000</v>
      </c>
      <c r="BH2" t="str">
        <v>000000</v>
      </c>
      <c r="BI2" t="str">
        <v>000000</v>
      </c>
      <c r="BJ2" t="str">
        <v>000000</v>
      </c>
      <c r="BK2" t="str">
        <v>000000</v>
      </c>
      <c r="BL2" t="str">
        <v>000000</v>
      </c>
      <c r="BM2" t="str">
        <v>000000</v>
      </c>
      <c r="BN2" t="str">
        <v>000000</v>
      </c>
      <c r="BO2" t="str">
        <v>000000</v>
      </c>
      <c r="BP2" t="str">
        <v>000000</v>
      </c>
      <c r="BQ2" t="str">
        <v>000000</v>
      </c>
      <c r="BR2" t="str">
        <v>000000</v>
      </c>
      <c r="BS2" t="str">
        <v>000000</v>
      </c>
      <c r="BT2" t="str">
        <v>000000</v>
      </c>
      <c r="BU2" t="str">
        <v>000000</v>
      </c>
      <c r="BV2" t="str">
        <v>000000</v>
      </c>
      <c r="BW2" t="str">
        <v>000000</v>
      </c>
      <c r="BX2" t="str">
        <v>000000</v>
      </c>
      <c r="BY2" t="str">
        <v>000000</v>
      </c>
      <c r="BZ2" t="str">
        <v>000000</v>
      </c>
      <c r="CA2" t="str">
        <v>000000</v>
      </c>
      <c r="CB2" t="str">
        <v>000000</v>
      </c>
      <c r="CC2" t="str">
        <v>000000</v>
      </c>
      <c r="CD2" t="str">
        <v>000000</v>
      </c>
      <c r="CE2" t="str">
        <v>000000</v>
      </c>
      <c r="CF2" t="str">
        <v>000000</v>
      </c>
      <c r="CG2" t="str">
        <v>000000</v>
      </c>
      <c r="CH2" t="str">
        <v>000000</v>
      </c>
      <c r="CI2" t="str">
        <v>000000</v>
      </c>
      <c r="CJ2" t="str">
        <v>000000</v>
      </c>
      <c r="CK2" t="str">
        <v>000000</v>
      </c>
      <c r="CL2" t="str">
        <v>000000</v>
      </c>
      <c r="CM2" t="str">
        <v>000000</v>
      </c>
      <c r="CN2" t="str">
        <v>000000</v>
      </c>
      <c r="CO2" t="str">
        <v>000000</v>
      </c>
      <c r="CP2" t="str">
        <v>000000</v>
      </c>
      <c r="CQ2" t="str">
        <v>000000</v>
      </c>
      <c r="CR2" t="str">
        <v>000000</v>
      </c>
      <c r="CS2" t="str">
        <v>000000</v>
      </c>
      <c r="CT2" t="str">
        <v>000000</v>
      </c>
      <c r="CU2" t="str">
        <v>000000</v>
      </c>
      <c r="CV2" t="str">
        <v>000000</v>
      </c>
      <c r="CW2" t="str">
        <v>000000</v>
      </c>
      <c r="CX2" t="str">
        <v>000000</v>
      </c>
      <c r="CY2" t="str">
        <v>000000</v>
      </c>
      <c r="CZ2" t="str">
        <v>000000</v>
      </c>
      <c r="DA2" t="str">
        <v>000000</v>
      </c>
      <c r="DB2" t="str">
        <v>000000</v>
      </c>
      <c r="DC2" t="str">
        <v>000000</v>
      </c>
      <c r="DD2" t="str">
        <v>000000</v>
      </c>
      <c r="DE2" t="str">
        <v>000000</v>
      </c>
      <c r="DF2" t="str">
        <v>000000</v>
      </c>
      <c r="DG2" t="str">
        <v>000000</v>
      </c>
      <c r="DH2" t="str">
        <v>000000</v>
      </c>
      <c r="DI2" t="str">
        <v>000000</v>
      </c>
      <c r="DJ2" t="str">
        <v>000000</v>
      </c>
      <c r="DK2" t="str">
        <v>000000</v>
      </c>
      <c r="DL2" t="str">
        <v>000000</v>
      </c>
      <c r="DM2" t="str">
        <v>000000</v>
      </c>
      <c r="DN2" t="str">
        <v>000000</v>
      </c>
      <c r="DO2" t="str">
        <v>000000</v>
      </c>
      <c r="DP2" t="str">
        <v>000000</v>
      </c>
      <c r="DQ2" t="str">
        <v>000000</v>
      </c>
      <c r="DR2" t="str">
        <v>000000</v>
      </c>
      <c r="DS2" t="str">
        <v>000000</v>
      </c>
      <c r="DT2" t="str">
        <v>000000</v>
      </c>
      <c r="DU2" t="str">
        <v>000000</v>
      </c>
      <c r="DV2" t="str">
        <v>000000</v>
      </c>
      <c r="DW2" t="str">
        <v>000000</v>
      </c>
      <c r="DX2" t="str">
        <v>000000</v>
      </c>
      <c r="DY2" t="str">
        <v>000000</v>
      </c>
      <c r="DZ2" t="str">
        <v>000000</v>
      </c>
      <c r="EA2" t="str">
        <v>000000</v>
      </c>
      <c r="EB2" t="str">
        <v>000000</v>
      </c>
      <c r="EC2" t="str">
        <v>000000</v>
      </c>
      <c r="ED2" t="str">
        <v>000000</v>
      </c>
      <c r="EE2" t="str">
        <v>000000</v>
      </c>
      <c r="EF2" t="str">
        <v>000000</v>
      </c>
      <c r="EG2" t="str">
        <v>000000</v>
      </c>
      <c r="EH2" t="str">
        <v>000000</v>
      </c>
      <c r="EI2" t="str">
        <v>000000</v>
      </c>
      <c r="EJ2" t="str">
        <v>000000</v>
      </c>
      <c r="EK2" t="str">
        <v>000000</v>
      </c>
      <c r="EL2" t="str">
        <v>000000</v>
      </c>
      <c r="EM2" t="str">
        <v>000000</v>
      </c>
      <c r="EN2" t="str">
        <v>000000</v>
      </c>
      <c r="EO2" t="str">
        <v>000000</v>
      </c>
      <c r="EP2" t="str">
        <v>000000</v>
      </c>
      <c r="EQ2" t="str">
        <v>000000</v>
      </c>
      <c r="ER2" t="str">
        <v>000000</v>
      </c>
      <c r="ES2" t="str">
        <v>000000</v>
      </c>
      <c r="ET2" t="str">
        <v>000000</v>
      </c>
      <c r="EU2" t="str">
        <v>000000</v>
      </c>
      <c r="EV2" t="str">
        <v>000000</v>
      </c>
      <c r="EW2" t="str">
        <v>000000</v>
      </c>
      <c r="EX2" t="str">
        <v>000000</v>
      </c>
      <c r="EY2" t="str">
        <v>000000</v>
      </c>
      <c r="EZ2" t="str">
        <v>000000</v>
      </c>
      <c r="FA2" t="str">
        <v>000000</v>
      </c>
      <c r="FB2" t="str">
        <v>000000</v>
      </c>
      <c r="FC2" t="str">
        <v>000000</v>
      </c>
      <c r="FD2" t="str">
        <v>000000</v>
      </c>
    </row>
    <row r="3" spans="1:160" x14ac:dyDescent="0.4">
      <c r="A3" t="s">
        <v>48</v>
      </c>
      <c r="C3" t="str">
        <f t="shared" si="0"/>
        <v>A011070</v>
      </c>
      <c r="E3" t="str">
        <f>IF(LEFT(E2,1)="A",E2,"")</f>
        <v>A001680</v>
      </c>
      <c r="F3" t="str">
        <f t="shared" ref="F3:BQ3" si="1">IF(LEFT(F2,1)="A",F2,"")</f>
        <v>A011070</v>
      </c>
      <c r="G3" t="s">
        <v>31</v>
      </c>
      <c r="H3" t="str">
        <f t="shared" si="1"/>
        <v>A053280</v>
      </c>
      <c r="I3" t="str">
        <f t="shared" si="1"/>
        <v>A060720</v>
      </c>
      <c r="J3" t="str">
        <f t="shared" si="1"/>
        <v>A061090</v>
      </c>
      <c r="K3" t="str">
        <f t="shared" si="1"/>
        <v>A066910</v>
      </c>
      <c r="L3" t="str">
        <f t="shared" si="1"/>
        <v>A122640</v>
      </c>
      <c r="M3" t="str">
        <f t="shared" si="1"/>
        <v>A319660</v>
      </c>
      <c r="N3" t="str">
        <f t="shared" si="1"/>
        <v>A333050</v>
      </c>
      <c r="O3" t="str">
        <f t="shared" si="1"/>
        <v>A355690</v>
      </c>
      <c r="P3" t="str">
        <f t="shared" si="1"/>
        <v>A450950</v>
      </c>
      <c r="Q3" t="str">
        <f t="shared" si="1"/>
        <v>A475040</v>
      </c>
      <c r="R3" t="str">
        <f t="shared" si="1"/>
        <v/>
      </c>
      <c r="S3" t="str">
        <f t="shared" si="1"/>
        <v/>
      </c>
      <c r="T3" t="str">
        <f t="shared" si="1"/>
        <v/>
      </c>
      <c r="U3" t="str">
        <f t="shared" si="1"/>
        <v/>
      </c>
      <c r="V3" t="str">
        <f t="shared" si="1"/>
        <v/>
      </c>
      <c r="W3" t="str">
        <f t="shared" si="1"/>
        <v/>
      </c>
      <c r="X3" t="str">
        <f t="shared" si="1"/>
        <v/>
      </c>
      <c r="Y3" t="str">
        <f t="shared" si="1"/>
        <v/>
      </c>
      <c r="Z3" t="str">
        <f t="shared" si="1"/>
        <v/>
      </c>
      <c r="AA3" t="str">
        <f t="shared" si="1"/>
        <v/>
      </c>
      <c r="AB3" t="str">
        <f t="shared" si="1"/>
        <v/>
      </c>
      <c r="AC3" t="str">
        <f t="shared" si="1"/>
        <v/>
      </c>
      <c r="AD3" t="str">
        <f t="shared" si="1"/>
        <v/>
      </c>
      <c r="AE3" t="str">
        <f t="shared" si="1"/>
        <v/>
      </c>
      <c r="AF3" t="str">
        <f t="shared" si="1"/>
        <v/>
      </c>
      <c r="AG3" t="str">
        <f t="shared" si="1"/>
        <v/>
      </c>
      <c r="AH3" t="str">
        <f t="shared" si="1"/>
        <v/>
      </c>
      <c r="AI3" t="str">
        <f t="shared" si="1"/>
        <v/>
      </c>
      <c r="AJ3" t="str">
        <f t="shared" si="1"/>
        <v/>
      </c>
      <c r="AK3" t="str">
        <f t="shared" si="1"/>
        <v/>
      </c>
      <c r="AL3" t="str">
        <f t="shared" si="1"/>
        <v/>
      </c>
      <c r="AM3" t="str">
        <f t="shared" si="1"/>
        <v/>
      </c>
      <c r="AN3" t="str">
        <f t="shared" si="1"/>
        <v/>
      </c>
      <c r="AO3" t="str">
        <f t="shared" si="1"/>
        <v/>
      </c>
      <c r="AP3" t="str">
        <f t="shared" si="1"/>
        <v/>
      </c>
      <c r="AQ3" t="str">
        <f t="shared" si="1"/>
        <v/>
      </c>
      <c r="AR3" t="str">
        <f t="shared" si="1"/>
        <v/>
      </c>
      <c r="AS3" t="str">
        <f t="shared" si="1"/>
        <v/>
      </c>
      <c r="AT3" t="str">
        <f t="shared" si="1"/>
        <v/>
      </c>
      <c r="AU3" t="str">
        <f t="shared" si="1"/>
        <v/>
      </c>
      <c r="AV3" t="str">
        <f t="shared" si="1"/>
        <v/>
      </c>
      <c r="AW3" t="str">
        <f t="shared" si="1"/>
        <v/>
      </c>
      <c r="AX3" t="str">
        <f t="shared" si="1"/>
        <v/>
      </c>
      <c r="AY3" t="str">
        <f t="shared" si="1"/>
        <v/>
      </c>
      <c r="AZ3" t="str">
        <f t="shared" si="1"/>
        <v/>
      </c>
      <c r="BA3" t="str">
        <f t="shared" si="1"/>
        <v/>
      </c>
      <c r="BB3" t="str">
        <f t="shared" si="1"/>
        <v/>
      </c>
      <c r="BC3" t="str">
        <f t="shared" si="1"/>
        <v/>
      </c>
      <c r="BD3" t="str">
        <f t="shared" si="1"/>
        <v/>
      </c>
      <c r="BE3" t="str">
        <f t="shared" si="1"/>
        <v/>
      </c>
      <c r="BF3" t="str">
        <f t="shared" si="1"/>
        <v/>
      </c>
      <c r="BG3" t="str">
        <f t="shared" si="1"/>
        <v/>
      </c>
      <c r="BH3" t="str">
        <f t="shared" si="1"/>
        <v/>
      </c>
      <c r="BI3" t="str">
        <f t="shared" si="1"/>
        <v/>
      </c>
      <c r="BJ3" t="str">
        <f t="shared" si="1"/>
        <v/>
      </c>
      <c r="BK3" t="str">
        <f t="shared" si="1"/>
        <v/>
      </c>
      <c r="BL3" t="str">
        <f t="shared" si="1"/>
        <v/>
      </c>
      <c r="BM3" t="str">
        <f t="shared" si="1"/>
        <v/>
      </c>
      <c r="BN3" t="str">
        <f t="shared" si="1"/>
        <v/>
      </c>
      <c r="BO3" t="str">
        <f t="shared" si="1"/>
        <v/>
      </c>
      <c r="BP3" t="str">
        <f t="shared" si="1"/>
        <v/>
      </c>
      <c r="BQ3" t="str">
        <f t="shared" si="1"/>
        <v/>
      </c>
      <c r="BR3" t="str">
        <f t="shared" ref="BR3:EC3" si="2">IF(LEFT(BR2,1)="A",BR2,"")</f>
        <v/>
      </c>
      <c r="BS3" t="str">
        <f t="shared" si="2"/>
        <v/>
      </c>
      <c r="BT3" t="str">
        <f t="shared" si="2"/>
        <v/>
      </c>
      <c r="BU3" t="str">
        <f t="shared" si="2"/>
        <v/>
      </c>
      <c r="BV3" t="str">
        <f t="shared" si="2"/>
        <v/>
      </c>
      <c r="BW3" t="str">
        <f t="shared" si="2"/>
        <v/>
      </c>
      <c r="BX3" t="str">
        <f t="shared" si="2"/>
        <v/>
      </c>
      <c r="BY3" t="str">
        <f t="shared" si="2"/>
        <v/>
      </c>
      <c r="BZ3" t="str">
        <f t="shared" si="2"/>
        <v/>
      </c>
      <c r="CA3" t="str">
        <f t="shared" si="2"/>
        <v/>
      </c>
      <c r="CB3" t="str">
        <f t="shared" si="2"/>
        <v/>
      </c>
      <c r="CC3" t="str">
        <f t="shared" si="2"/>
        <v/>
      </c>
      <c r="CD3" t="str">
        <f t="shared" si="2"/>
        <v/>
      </c>
      <c r="CE3" t="str">
        <f t="shared" si="2"/>
        <v/>
      </c>
      <c r="CF3" t="str">
        <f t="shared" si="2"/>
        <v/>
      </c>
      <c r="CG3" t="str">
        <f t="shared" si="2"/>
        <v/>
      </c>
      <c r="CH3" t="str">
        <f t="shared" si="2"/>
        <v/>
      </c>
      <c r="CI3" t="str">
        <f t="shared" si="2"/>
        <v/>
      </c>
      <c r="CJ3" t="str">
        <f t="shared" si="2"/>
        <v/>
      </c>
      <c r="CK3" t="str">
        <f t="shared" si="2"/>
        <v/>
      </c>
      <c r="CL3" t="str">
        <f t="shared" si="2"/>
        <v/>
      </c>
      <c r="CM3" t="str">
        <f t="shared" si="2"/>
        <v/>
      </c>
      <c r="CN3" t="str">
        <f t="shared" si="2"/>
        <v/>
      </c>
      <c r="CO3" t="str">
        <f t="shared" si="2"/>
        <v/>
      </c>
      <c r="CP3" t="str">
        <f t="shared" si="2"/>
        <v/>
      </c>
      <c r="CQ3" t="str">
        <f t="shared" si="2"/>
        <v/>
      </c>
      <c r="CR3" t="str">
        <f t="shared" si="2"/>
        <v/>
      </c>
      <c r="CS3" t="str">
        <f t="shared" si="2"/>
        <v/>
      </c>
      <c r="CT3" t="str">
        <f t="shared" si="2"/>
        <v/>
      </c>
      <c r="CU3" t="str">
        <f t="shared" si="2"/>
        <v/>
      </c>
      <c r="CV3" t="str">
        <f t="shared" si="2"/>
        <v/>
      </c>
      <c r="CW3" t="str">
        <f t="shared" si="2"/>
        <v/>
      </c>
      <c r="CX3" t="str">
        <f t="shared" si="2"/>
        <v/>
      </c>
      <c r="CY3" t="str">
        <f t="shared" si="2"/>
        <v/>
      </c>
      <c r="CZ3" t="str">
        <f t="shared" si="2"/>
        <v/>
      </c>
      <c r="DA3" t="str">
        <f t="shared" si="2"/>
        <v/>
      </c>
      <c r="DB3" t="str">
        <f t="shared" si="2"/>
        <v/>
      </c>
      <c r="DC3" t="str">
        <f t="shared" si="2"/>
        <v/>
      </c>
      <c r="DD3" t="str">
        <f t="shared" si="2"/>
        <v/>
      </c>
      <c r="DE3" t="str">
        <f t="shared" si="2"/>
        <v/>
      </c>
      <c r="DF3" t="str">
        <f t="shared" si="2"/>
        <v/>
      </c>
      <c r="DG3" t="str">
        <f t="shared" si="2"/>
        <v/>
      </c>
      <c r="DH3" t="str">
        <f t="shared" si="2"/>
        <v/>
      </c>
      <c r="DI3" t="str">
        <f t="shared" si="2"/>
        <v/>
      </c>
      <c r="DJ3" t="str">
        <f t="shared" si="2"/>
        <v/>
      </c>
      <c r="DK3" t="str">
        <f t="shared" si="2"/>
        <v/>
      </c>
      <c r="DL3" t="str">
        <f t="shared" si="2"/>
        <v/>
      </c>
      <c r="DM3" t="str">
        <f t="shared" si="2"/>
        <v/>
      </c>
      <c r="DN3" t="str">
        <f t="shared" si="2"/>
        <v/>
      </c>
      <c r="DO3" t="str">
        <f t="shared" si="2"/>
        <v/>
      </c>
      <c r="DP3" t="str">
        <f t="shared" si="2"/>
        <v/>
      </c>
      <c r="DQ3" t="str">
        <f t="shared" si="2"/>
        <v/>
      </c>
      <c r="DR3" t="str">
        <f t="shared" si="2"/>
        <v/>
      </c>
      <c r="DS3" t="str">
        <f t="shared" si="2"/>
        <v/>
      </c>
      <c r="DT3" t="str">
        <f t="shared" si="2"/>
        <v/>
      </c>
      <c r="DU3" t="str">
        <f t="shared" si="2"/>
        <v/>
      </c>
      <c r="DV3" t="str">
        <f t="shared" si="2"/>
        <v/>
      </c>
      <c r="DW3" t="str">
        <f t="shared" si="2"/>
        <v/>
      </c>
      <c r="DX3" t="str">
        <f t="shared" si="2"/>
        <v/>
      </c>
      <c r="DY3" t="str">
        <f t="shared" si="2"/>
        <v/>
      </c>
      <c r="DZ3" t="str">
        <f t="shared" si="2"/>
        <v/>
      </c>
      <c r="EA3" t="str">
        <f t="shared" si="2"/>
        <v/>
      </c>
      <c r="EB3" t="str">
        <f t="shared" si="2"/>
        <v/>
      </c>
      <c r="EC3" t="str">
        <f t="shared" si="2"/>
        <v/>
      </c>
      <c r="ED3" t="str">
        <f t="shared" ref="ED3:FD3" si="3">IF(LEFT(ED2,1)="A",ED2,"")</f>
        <v/>
      </c>
      <c r="EE3" t="str">
        <f t="shared" si="3"/>
        <v/>
      </c>
      <c r="EF3" t="str">
        <f t="shared" si="3"/>
        <v/>
      </c>
      <c r="EG3" t="str">
        <f t="shared" si="3"/>
        <v/>
      </c>
      <c r="EH3" t="str">
        <f t="shared" si="3"/>
        <v/>
      </c>
      <c r="EI3" t="str">
        <f t="shared" si="3"/>
        <v/>
      </c>
      <c r="EJ3" t="str">
        <f t="shared" si="3"/>
        <v/>
      </c>
      <c r="EK3" t="str">
        <f t="shared" si="3"/>
        <v/>
      </c>
      <c r="EL3" t="str">
        <f t="shared" si="3"/>
        <v/>
      </c>
      <c r="EM3" t="str">
        <f t="shared" si="3"/>
        <v/>
      </c>
      <c r="EN3" t="str">
        <f t="shared" si="3"/>
        <v/>
      </c>
      <c r="EO3" t="str">
        <f t="shared" si="3"/>
        <v/>
      </c>
      <c r="EP3" t="str">
        <f t="shared" si="3"/>
        <v/>
      </c>
      <c r="EQ3" t="str">
        <f t="shared" si="3"/>
        <v/>
      </c>
      <c r="ER3" t="str">
        <f t="shared" si="3"/>
        <v/>
      </c>
      <c r="ES3" t="str">
        <f t="shared" si="3"/>
        <v/>
      </c>
      <c r="ET3" t="str">
        <f t="shared" si="3"/>
        <v/>
      </c>
      <c r="EU3" t="str">
        <f t="shared" si="3"/>
        <v/>
      </c>
      <c r="EV3" t="str">
        <f t="shared" si="3"/>
        <v/>
      </c>
      <c r="EW3" t="str">
        <f t="shared" si="3"/>
        <v/>
      </c>
      <c r="EX3" t="str">
        <f t="shared" si="3"/>
        <v/>
      </c>
      <c r="EY3" t="str">
        <f t="shared" si="3"/>
        <v/>
      </c>
      <c r="EZ3" t="str">
        <f t="shared" si="3"/>
        <v/>
      </c>
      <c r="FA3" t="str">
        <f t="shared" si="3"/>
        <v/>
      </c>
      <c r="FB3" t="str">
        <f t="shared" si="3"/>
        <v/>
      </c>
      <c r="FC3" t="str">
        <f t="shared" si="3"/>
        <v/>
      </c>
      <c r="FD3" t="str">
        <f t="shared" si="3"/>
        <v/>
      </c>
    </row>
    <row r="4" spans="1:160" x14ac:dyDescent="0.4">
      <c r="A4" t="s">
        <v>49</v>
      </c>
      <c r="C4" t="str">
        <f t="shared" si="0"/>
        <v>A028050</v>
      </c>
    </row>
    <row r="5" spans="1:160" x14ac:dyDescent="0.4">
      <c r="A5" t="s">
        <v>50</v>
      </c>
      <c r="C5" t="str">
        <f t="shared" si="0"/>
        <v>A053280</v>
      </c>
    </row>
    <row r="6" spans="1:160" x14ac:dyDescent="0.4">
      <c r="A6" t="s">
        <v>51</v>
      </c>
      <c r="C6" t="str">
        <f t="shared" si="0"/>
        <v>A060720</v>
      </c>
    </row>
    <row r="7" spans="1:160" x14ac:dyDescent="0.4">
      <c r="A7" t="s">
        <v>52</v>
      </c>
      <c r="C7" t="str">
        <f t="shared" si="0"/>
        <v>A061090</v>
      </c>
    </row>
    <row r="8" spans="1:160" x14ac:dyDescent="0.4">
      <c r="A8" t="s">
        <v>53</v>
      </c>
      <c r="C8" t="str">
        <f t="shared" si="0"/>
        <v>A066910</v>
      </c>
    </row>
    <row r="9" spans="1:160" x14ac:dyDescent="0.4">
      <c r="A9" t="s">
        <v>54</v>
      </c>
      <c r="C9" t="str">
        <f t="shared" si="0"/>
        <v>A122640</v>
      </c>
    </row>
    <row r="10" spans="1:160" x14ac:dyDescent="0.4">
      <c r="A10" t="s">
        <v>55</v>
      </c>
      <c r="C10" t="str">
        <f t="shared" si="0"/>
        <v>A319660</v>
      </c>
    </row>
    <row r="11" spans="1:160" x14ac:dyDescent="0.4">
      <c r="A11" t="s">
        <v>56</v>
      </c>
      <c r="C11" t="str">
        <f t="shared" si="0"/>
        <v>A333050</v>
      </c>
    </row>
    <row r="12" spans="1:160" x14ac:dyDescent="0.4">
      <c r="A12" t="s">
        <v>57</v>
      </c>
      <c r="C12" t="str">
        <f t="shared" si="0"/>
        <v>A355690</v>
      </c>
    </row>
    <row r="13" spans="1:160" x14ac:dyDescent="0.4">
      <c r="A13" t="s">
        <v>58</v>
      </c>
      <c r="C13" t="str">
        <f t="shared" si="0"/>
        <v>A450950</v>
      </c>
    </row>
    <row r="14" spans="1:160" x14ac:dyDescent="0.4">
      <c r="A14" t="s">
        <v>59</v>
      </c>
      <c r="C14" t="str">
        <f t="shared" si="0"/>
        <v>A475040</v>
      </c>
    </row>
    <row r="15" spans="1:160" x14ac:dyDescent="0.4">
      <c r="A15" t="s">
        <v>17</v>
      </c>
      <c r="C15" t="str">
        <f t="shared" si="0"/>
        <v/>
      </c>
    </row>
    <row r="16" spans="1:160" x14ac:dyDescent="0.4">
      <c r="A16" t="s">
        <v>32</v>
      </c>
      <c r="C16" t="str">
        <f t="shared" si="0"/>
        <v/>
      </c>
    </row>
    <row r="17" spans="1:3" x14ac:dyDescent="0.4">
      <c r="A17" t="s">
        <v>32</v>
      </c>
      <c r="C17" t="str">
        <f t="shared" si="0"/>
        <v/>
      </c>
    </row>
    <row r="18" spans="1:3" x14ac:dyDescent="0.4">
      <c r="A18" t="s">
        <v>32</v>
      </c>
      <c r="C18" t="str">
        <f t="shared" si="0"/>
        <v/>
      </c>
    </row>
    <row r="19" spans="1:3" x14ac:dyDescent="0.4">
      <c r="A19" t="s">
        <v>32</v>
      </c>
      <c r="C19" t="str">
        <f t="shared" si="0"/>
        <v/>
      </c>
    </row>
    <row r="20" spans="1:3" x14ac:dyDescent="0.4">
      <c r="A20" t="s">
        <v>32</v>
      </c>
      <c r="C20" t="str">
        <f t="shared" si="0"/>
        <v/>
      </c>
    </row>
    <row r="21" spans="1:3" x14ac:dyDescent="0.4">
      <c r="A21" t="s">
        <v>32</v>
      </c>
      <c r="C21" t="str">
        <f t="shared" si="0"/>
        <v/>
      </c>
    </row>
    <row r="22" spans="1:3" x14ac:dyDescent="0.4">
      <c r="A22" t="s">
        <v>32</v>
      </c>
      <c r="C22" t="str">
        <f t="shared" si="0"/>
        <v/>
      </c>
    </row>
    <row r="23" spans="1:3" x14ac:dyDescent="0.4">
      <c r="A23" t="s">
        <v>32</v>
      </c>
      <c r="C23" t="str">
        <f t="shared" si="0"/>
        <v/>
      </c>
    </row>
    <row r="24" spans="1:3" x14ac:dyDescent="0.4">
      <c r="A24" t="s">
        <v>32</v>
      </c>
      <c r="C24" t="str">
        <f t="shared" si="0"/>
        <v/>
      </c>
    </row>
    <row r="25" spans="1:3" x14ac:dyDescent="0.4">
      <c r="A25" t="s">
        <v>32</v>
      </c>
      <c r="C25" t="str">
        <f t="shared" si="0"/>
        <v/>
      </c>
    </row>
    <row r="26" spans="1:3" x14ac:dyDescent="0.4">
      <c r="A26" t="s">
        <v>32</v>
      </c>
      <c r="C26" t="str">
        <f t="shared" si="0"/>
        <v/>
      </c>
    </row>
    <row r="27" spans="1:3" x14ac:dyDescent="0.4">
      <c r="A27" t="s">
        <v>32</v>
      </c>
      <c r="C27" t="str">
        <f t="shared" si="0"/>
        <v/>
      </c>
    </row>
    <row r="28" spans="1:3" x14ac:dyDescent="0.4">
      <c r="A28" t="s">
        <v>32</v>
      </c>
      <c r="C28" t="str">
        <f t="shared" si="0"/>
        <v/>
      </c>
    </row>
    <row r="29" spans="1:3" x14ac:dyDescent="0.4">
      <c r="A29" t="s">
        <v>32</v>
      </c>
      <c r="C29" t="str">
        <f t="shared" si="0"/>
        <v/>
      </c>
    </row>
    <row r="30" spans="1:3" x14ac:dyDescent="0.4">
      <c r="A30" t="s">
        <v>32</v>
      </c>
      <c r="C30" t="str">
        <f t="shared" si="0"/>
        <v/>
      </c>
    </row>
    <row r="31" spans="1:3" x14ac:dyDescent="0.4">
      <c r="A31" t="s">
        <v>32</v>
      </c>
      <c r="C31" t="str">
        <f t="shared" si="0"/>
        <v/>
      </c>
    </row>
    <row r="32" spans="1:3" x14ac:dyDescent="0.4">
      <c r="A32" t="s">
        <v>32</v>
      </c>
      <c r="C32" t="str">
        <f t="shared" si="0"/>
        <v/>
      </c>
    </row>
    <row r="33" spans="1:3" x14ac:dyDescent="0.4">
      <c r="A33" t="s">
        <v>32</v>
      </c>
      <c r="C33" t="str">
        <f t="shared" si="0"/>
        <v/>
      </c>
    </row>
    <row r="34" spans="1:3" x14ac:dyDescent="0.4">
      <c r="A34" t="s">
        <v>32</v>
      </c>
      <c r="C34" t="str">
        <f t="shared" si="0"/>
        <v/>
      </c>
    </row>
    <row r="35" spans="1:3" x14ac:dyDescent="0.4">
      <c r="A35" t="s">
        <v>32</v>
      </c>
      <c r="C35" t="str">
        <f t="shared" si="0"/>
        <v/>
      </c>
    </row>
    <row r="36" spans="1:3" x14ac:dyDescent="0.4">
      <c r="A36" t="s">
        <v>32</v>
      </c>
      <c r="C36" t="str">
        <f t="shared" si="0"/>
        <v/>
      </c>
    </row>
    <row r="37" spans="1:3" x14ac:dyDescent="0.4">
      <c r="A37" t="s">
        <v>32</v>
      </c>
      <c r="C37" t="str">
        <f t="shared" si="0"/>
        <v/>
      </c>
    </row>
    <row r="38" spans="1:3" x14ac:dyDescent="0.4">
      <c r="A38" t="s">
        <v>32</v>
      </c>
      <c r="C38" t="str">
        <f t="shared" si="0"/>
        <v/>
      </c>
    </row>
    <row r="39" spans="1:3" x14ac:dyDescent="0.4">
      <c r="A39" t="s">
        <v>32</v>
      </c>
      <c r="C39" t="str">
        <f t="shared" si="0"/>
        <v/>
      </c>
    </row>
    <row r="40" spans="1:3" x14ac:dyDescent="0.4">
      <c r="A40" t="s">
        <v>32</v>
      </c>
      <c r="C40" t="str">
        <f t="shared" si="0"/>
        <v/>
      </c>
    </row>
    <row r="41" spans="1:3" x14ac:dyDescent="0.4">
      <c r="A41" t="s">
        <v>32</v>
      </c>
      <c r="C41" t="str">
        <f t="shared" si="0"/>
        <v/>
      </c>
    </row>
    <row r="42" spans="1:3" x14ac:dyDescent="0.4">
      <c r="A42" t="s">
        <v>32</v>
      </c>
      <c r="C42" t="str">
        <f t="shared" si="0"/>
        <v/>
      </c>
    </row>
    <row r="43" spans="1:3" x14ac:dyDescent="0.4">
      <c r="A43" t="s">
        <v>32</v>
      </c>
      <c r="C43" t="str">
        <f t="shared" si="0"/>
        <v/>
      </c>
    </row>
    <row r="44" spans="1:3" x14ac:dyDescent="0.4">
      <c r="A44" t="s">
        <v>32</v>
      </c>
      <c r="C44" t="str">
        <f t="shared" si="0"/>
        <v/>
      </c>
    </row>
    <row r="45" spans="1:3" x14ac:dyDescent="0.4">
      <c r="A45" t="s">
        <v>32</v>
      </c>
      <c r="C45" t="str">
        <f t="shared" si="0"/>
        <v/>
      </c>
    </row>
    <row r="46" spans="1:3" x14ac:dyDescent="0.4">
      <c r="A46" t="s">
        <v>32</v>
      </c>
      <c r="C46" t="str">
        <f t="shared" si="0"/>
        <v/>
      </c>
    </row>
    <row r="47" spans="1:3" x14ac:dyDescent="0.4">
      <c r="A47" t="s">
        <v>32</v>
      </c>
      <c r="C47" t="str">
        <f t="shared" si="0"/>
        <v/>
      </c>
    </row>
    <row r="48" spans="1:3" x14ac:dyDescent="0.4">
      <c r="A48" t="s">
        <v>32</v>
      </c>
      <c r="C48" t="str">
        <f t="shared" si="0"/>
        <v/>
      </c>
    </row>
    <row r="49" spans="1:3" x14ac:dyDescent="0.4">
      <c r="A49" t="s">
        <v>32</v>
      </c>
      <c r="C49" t="str">
        <f t="shared" si="0"/>
        <v/>
      </c>
    </row>
    <row r="50" spans="1:3" x14ac:dyDescent="0.4">
      <c r="A50" t="s">
        <v>32</v>
      </c>
      <c r="C50" t="str">
        <f t="shared" si="0"/>
        <v/>
      </c>
    </row>
    <row r="51" spans="1:3" x14ac:dyDescent="0.4">
      <c r="A51" t="s">
        <v>32</v>
      </c>
      <c r="C51" t="str">
        <f t="shared" si="0"/>
        <v/>
      </c>
    </row>
    <row r="52" spans="1:3" x14ac:dyDescent="0.4">
      <c r="A52" t="s">
        <v>32</v>
      </c>
      <c r="C52" t="str">
        <f t="shared" si="0"/>
        <v/>
      </c>
    </row>
    <row r="53" spans="1:3" x14ac:dyDescent="0.4">
      <c r="A53" t="s">
        <v>32</v>
      </c>
      <c r="C53" t="str">
        <f t="shared" si="0"/>
        <v/>
      </c>
    </row>
    <row r="54" spans="1:3" x14ac:dyDescent="0.4">
      <c r="A54" t="s">
        <v>32</v>
      </c>
      <c r="C54" t="str">
        <f t="shared" si="0"/>
        <v/>
      </c>
    </row>
    <row r="55" spans="1:3" x14ac:dyDescent="0.4">
      <c r="A55" t="s">
        <v>32</v>
      </c>
      <c r="C55" t="str">
        <f t="shared" si="0"/>
        <v/>
      </c>
    </row>
    <row r="56" spans="1:3" x14ac:dyDescent="0.4">
      <c r="A56" t="s">
        <v>32</v>
      </c>
      <c r="C56" t="str">
        <f t="shared" si="0"/>
        <v/>
      </c>
    </row>
    <row r="57" spans="1:3" x14ac:dyDescent="0.4">
      <c r="A57" t="s">
        <v>32</v>
      </c>
      <c r="C57" t="str">
        <f t="shared" si="0"/>
        <v/>
      </c>
    </row>
    <row r="58" spans="1:3" x14ac:dyDescent="0.4">
      <c r="A58" t="s">
        <v>32</v>
      </c>
      <c r="C58" t="str">
        <f t="shared" si="0"/>
        <v/>
      </c>
    </row>
    <row r="59" spans="1:3" x14ac:dyDescent="0.4">
      <c r="A59" t="s">
        <v>32</v>
      </c>
      <c r="C59" t="str">
        <f t="shared" si="0"/>
        <v/>
      </c>
    </row>
    <row r="60" spans="1:3" x14ac:dyDescent="0.4">
      <c r="A60" t="s">
        <v>32</v>
      </c>
      <c r="C60" t="str">
        <f t="shared" si="0"/>
        <v/>
      </c>
    </row>
    <row r="61" spans="1:3" x14ac:dyDescent="0.4">
      <c r="A61" t="s">
        <v>32</v>
      </c>
      <c r="C61" t="str">
        <f t="shared" si="0"/>
        <v/>
      </c>
    </row>
    <row r="62" spans="1:3" x14ac:dyDescent="0.4">
      <c r="A62" t="s">
        <v>32</v>
      </c>
      <c r="C62" t="str">
        <f t="shared" si="0"/>
        <v/>
      </c>
    </row>
    <row r="63" spans="1:3" x14ac:dyDescent="0.4">
      <c r="A63" t="s">
        <v>32</v>
      </c>
      <c r="C63" t="str">
        <f t="shared" si="0"/>
        <v/>
      </c>
    </row>
    <row r="64" spans="1:3" x14ac:dyDescent="0.4">
      <c r="A64" t="s">
        <v>32</v>
      </c>
      <c r="C64" t="str">
        <f t="shared" si="0"/>
        <v/>
      </c>
    </row>
    <row r="65" spans="1:3" x14ac:dyDescent="0.4">
      <c r="A65" t="s">
        <v>32</v>
      </c>
      <c r="C65" t="str">
        <f t="shared" si="0"/>
        <v/>
      </c>
    </row>
    <row r="66" spans="1:3" x14ac:dyDescent="0.4">
      <c r="A66" t="s">
        <v>32</v>
      </c>
      <c r="C66" t="str">
        <f t="shared" ref="C66:C129" si="4">IF(LEFT(A66,1)="A",A66,"")</f>
        <v/>
      </c>
    </row>
    <row r="67" spans="1:3" x14ac:dyDescent="0.4">
      <c r="A67" t="s">
        <v>32</v>
      </c>
      <c r="C67" t="str">
        <f t="shared" si="4"/>
        <v/>
      </c>
    </row>
    <row r="68" spans="1:3" x14ac:dyDescent="0.4">
      <c r="A68" t="s">
        <v>32</v>
      </c>
      <c r="C68" t="str">
        <f t="shared" si="4"/>
        <v/>
      </c>
    </row>
    <row r="69" spans="1:3" x14ac:dyDescent="0.4">
      <c r="A69" t="s">
        <v>32</v>
      </c>
      <c r="C69" t="str">
        <f t="shared" si="4"/>
        <v/>
      </c>
    </row>
    <row r="70" spans="1:3" x14ac:dyDescent="0.4">
      <c r="A70" t="s">
        <v>32</v>
      </c>
      <c r="C70" t="str">
        <f t="shared" si="4"/>
        <v/>
      </c>
    </row>
    <row r="71" spans="1:3" x14ac:dyDescent="0.4">
      <c r="A71" t="s">
        <v>32</v>
      </c>
      <c r="C71" t="str">
        <f t="shared" si="4"/>
        <v/>
      </c>
    </row>
    <row r="72" spans="1:3" x14ac:dyDescent="0.4">
      <c r="A72" t="s">
        <v>32</v>
      </c>
      <c r="C72" t="str">
        <f t="shared" si="4"/>
        <v/>
      </c>
    </row>
    <row r="73" spans="1:3" x14ac:dyDescent="0.4">
      <c r="A73" t="s">
        <v>32</v>
      </c>
      <c r="C73" t="str">
        <f t="shared" si="4"/>
        <v/>
      </c>
    </row>
    <row r="74" spans="1:3" x14ac:dyDescent="0.4">
      <c r="A74" t="s">
        <v>32</v>
      </c>
      <c r="C74" t="str">
        <f t="shared" si="4"/>
        <v/>
      </c>
    </row>
    <row r="75" spans="1:3" x14ac:dyDescent="0.4">
      <c r="A75" t="s">
        <v>32</v>
      </c>
      <c r="C75" t="str">
        <f t="shared" si="4"/>
        <v/>
      </c>
    </row>
    <row r="76" spans="1:3" x14ac:dyDescent="0.4">
      <c r="A76" t="s">
        <v>32</v>
      </c>
      <c r="C76" t="str">
        <f t="shared" si="4"/>
        <v/>
      </c>
    </row>
    <row r="77" spans="1:3" x14ac:dyDescent="0.4">
      <c r="A77" t="s">
        <v>32</v>
      </c>
      <c r="C77" t="str">
        <f t="shared" si="4"/>
        <v/>
      </c>
    </row>
    <row r="78" spans="1:3" x14ac:dyDescent="0.4">
      <c r="A78" t="s">
        <v>32</v>
      </c>
      <c r="C78" t="str">
        <f t="shared" si="4"/>
        <v/>
      </c>
    </row>
    <row r="79" spans="1:3" x14ac:dyDescent="0.4">
      <c r="A79" t="s">
        <v>32</v>
      </c>
      <c r="C79" t="str">
        <f t="shared" si="4"/>
        <v/>
      </c>
    </row>
    <row r="80" spans="1:3" x14ac:dyDescent="0.4">
      <c r="A80" t="s">
        <v>32</v>
      </c>
      <c r="C80" t="str">
        <f t="shared" si="4"/>
        <v/>
      </c>
    </row>
    <row r="81" spans="1:3" x14ac:dyDescent="0.4">
      <c r="A81" t="s">
        <v>32</v>
      </c>
      <c r="C81" t="str">
        <f t="shared" si="4"/>
        <v/>
      </c>
    </row>
    <row r="82" spans="1:3" x14ac:dyDescent="0.4">
      <c r="A82" t="s">
        <v>32</v>
      </c>
      <c r="C82" t="str">
        <f t="shared" si="4"/>
        <v/>
      </c>
    </row>
    <row r="83" spans="1:3" x14ac:dyDescent="0.4">
      <c r="A83" t="s">
        <v>32</v>
      </c>
      <c r="C83" t="str">
        <f t="shared" si="4"/>
        <v/>
      </c>
    </row>
    <row r="84" spans="1:3" x14ac:dyDescent="0.4">
      <c r="A84" t="s">
        <v>32</v>
      </c>
      <c r="C84" t="str">
        <f t="shared" si="4"/>
        <v/>
      </c>
    </row>
    <row r="85" spans="1:3" x14ac:dyDescent="0.4">
      <c r="A85" t="s">
        <v>32</v>
      </c>
      <c r="C85" t="str">
        <f t="shared" si="4"/>
        <v/>
      </c>
    </row>
    <row r="86" spans="1:3" x14ac:dyDescent="0.4">
      <c r="A86" t="s">
        <v>32</v>
      </c>
      <c r="C86" t="str">
        <f t="shared" si="4"/>
        <v/>
      </c>
    </row>
    <row r="87" spans="1:3" x14ac:dyDescent="0.4">
      <c r="A87" t="s">
        <v>32</v>
      </c>
      <c r="C87" t="str">
        <f t="shared" si="4"/>
        <v/>
      </c>
    </row>
    <row r="88" spans="1:3" x14ac:dyDescent="0.4">
      <c r="A88" t="s">
        <v>32</v>
      </c>
      <c r="C88" t="str">
        <f t="shared" si="4"/>
        <v/>
      </c>
    </row>
    <row r="89" spans="1:3" x14ac:dyDescent="0.4">
      <c r="A89" t="s">
        <v>32</v>
      </c>
      <c r="C89" t="str">
        <f t="shared" si="4"/>
        <v/>
      </c>
    </row>
    <row r="90" spans="1:3" x14ac:dyDescent="0.4">
      <c r="A90" t="s">
        <v>32</v>
      </c>
      <c r="C90" t="str">
        <f t="shared" si="4"/>
        <v/>
      </c>
    </row>
    <row r="91" spans="1:3" x14ac:dyDescent="0.4">
      <c r="A91" t="s">
        <v>32</v>
      </c>
      <c r="C91" t="str">
        <f t="shared" si="4"/>
        <v/>
      </c>
    </row>
    <row r="92" spans="1:3" x14ac:dyDescent="0.4">
      <c r="A92" t="s">
        <v>32</v>
      </c>
      <c r="C92" t="str">
        <f t="shared" si="4"/>
        <v/>
      </c>
    </row>
    <row r="93" spans="1:3" x14ac:dyDescent="0.4">
      <c r="A93" t="s">
        <v>32</v>
      </c>
      <c r="C93" t="str">
        <f t="shared" si="4"/>
        <v/>
      </c>
    </row>
    <row r="94" spans="1:3" x14ac:dyDescent="0.4">
      <c r="A94" t="s">
        <v>32</v>
      </c>
      <c r="C94" t="str">
        <f t="shared" si="4"/>
        <v/>
      </c>
    </row>
    <row r="95" spans="1:3" x14ac:dyDescent="0.4">
      <c r="A95" t="s">
        <v>32</v>
      </c>
      <c r="C95" t="str">
        <f t="shared" si="4"/>
        <v/>
      </c>
    </row>
    <row r="96" spans="1:3" x14ac:dyDescent="0.4">
      <c r="A96" t="s">
        <v>32</v>
      </c>
      <c r="C96" t="str">
        <f t="shared" si="4"/>
        <v/>
      </c>
    </row>
    <row r="97" spans="1:3" x14ac:dyDescent="0.4">
      <c r="A97" t="s">
        <v>32</v>
      </c>
      <c r="C97" t="str">
        <f t="shared" si="4"/>
        <v/>
      </c>
    </row>
    <row r="98" spans="1:3" x14ac:dyDescent="0.4">
      <c r="A98" t="s">
        <v>32</v>
      </c>
      <c r="C98" t="str">
        <f t="shared" si="4"/>
        <v/>
      </c>
    </row>
    <row r="99" spans="1:3" x14ac:dyDescent="0.4">
      <c r="A99" t="s">
        <v>32</v>
      </c>
      <c r="C99" t="str">
        <f t="shared" si="4"/>
        <v/>
      </c>
    </row>
    <row r="100" spans="1:3" x14ac:dyDescent="0.4">
      <c r="A100" t="s">
        <v>32</v>
      </c>
      <c r="C100" t="str">
        <f t="shared" si="4"/>
        <v/>
      </c>
    </row>
    <row r="101" spans="1:3" x14ac:dyDescent="0.4">
      <c r="A101" t="s">
        <v>32</v>
      </c>
      <c r="C101" t="str">
        <f t="shared" si="4"/>
        <v/>
      </c>
    </row>
    <row r="102" spans="1:3" x14ac:dyDescent="0.4">
      <c r="A102" t="s">
        <v>32</v>
      </c>
      <c r="C102" t="str">
        <f t="shared" si="4"/>
        <v/>
      </c>
    </row>
    <row r="103" spans="1:3" x14ac:dyDescent="0.4">
      <c r="A103" t="s">
        <v>32</v>
      </c>
      <c r="C103" t="str">
        <f t="shared" si="4"/>
        <v/>
      </c>
    </row>
    <row r="104" spans="1:3" x14ac:dyDescent="0.4">
      <c r="A104" t="s">
        <v>32</v>
      </c>
      <c r="C104" t="str">
        <f t="shared" si="4"/>
        <v/>
      </c>
    </row>
    <row r="105" spans="1:3" x14ac:dyDescent="0.4">
      <c r="A105" t="s">
        <v>32</v>
      </c>
      <c r="C105" t="str">
        <f t="shared" si="4"/>
        <v/>
      </c>
    </row>
    <row r="106" spans="1:3" x14ac:dyDescent="0.4">
      <c r="A106" t="s">
        <v>32</v>
      </c>
      <c r="C106" t="str">
        <f t="shared" si="4"/>
        <v/>
      </c>
    </row>
    <row r="107" spans="1:3" x14ac:dyDescent="0.4">
      <c r="A107" t="s">
        <v>32</v>
      </c>
      <c r="C107" t="str">
        <f t="shared" si="4"/>
        <v/>
      </c>
    </row>
    <row r="108" spans="1:3" x14ac:dyDescent="0.4">
      <c r="A108" t="s">
        <v>32</v>
      </c>
      <c r="C108" t="str">
        <f t="shared" si="4"/>
        <v/>
      </c>
    </row>
    <row r="109" spans="1:3" x14ac:dyDescent="0.4">
      <c r="A109" t="s">
        <v>32</v>
      </c>
      <c r="C109" t="str">
        <f t="shared" si="4"/>
        <v/>
      </c>
    </row>
    <row r="110" spans="1:3" x14ac:dyDescent="0.4">
      <c r="A110" t="s">
        <v>32</v>
      </c>
      <c r="C110" t="str">
        <f t="shared" si="4"/>
        <v/>
      </c>
    </row>
    <row r="111" spans="1:3" x14ac:dyDescent="0.4">
      <c r="A111" t="s">
        <v>32</v>
      </c>
      <c r="C111" t="str">
        <f t="shared" si="4"/>
        <v/>
      </c>
    </row>
    <row r="112" spans="1:3" x14ac:dyDescent="0.4">
      <c r="A112" t="s">
        <v>32</v>
      </c>
      <c r="C112" t="str">
        <f t="shared" si="4"/>
        <v/>
      </c>
    </row>
    <row r="113" spans="1:3" x14ac:dyDescent="0.4">
      <c r="A113" t="s">
        <v>32</v>
      </c>
      <c r="C113" t="str">
        <f t="shared" si="4"/>
        <v/>
      </c>
    </row>
    <row r="114" spans="1:3" x14ac:dyDescent="0.4">
      <c r="A114" t="s">
        <v>32</v>
      </c>
      <c r="C114" t="str">
        <f t="shared" si="4"/>
        <v/>
      </c>
    </row>
    <row r="115" spans="1:3" x14ac:dyDescent="0.4">
      <c r="A115" t="s">
        <v>32</v>
      </c>
      <c r="C115" t="str">
        <f t="shared" si="4"/>
        <v/>
      </c>
    </row>
    <row r="116" spans="1:3" x14ac:dyDescent="0.4">
      <c r="A116" t="s">
        <v>32</v>
      </c>
      <c r="C116" t="str">
        <f t="shared" si="4"/>
        <v/>
      </c>
    </row>
    <row r="117" spans="1:3" x14ac:dyDescent="0.4">
      <c r="A117" t="s">
        <v>32</v>
      </c>
      <c r="C117" t="str">
        <f t="shared" si="4"/>
        <v/>
      </c>
    </row>
    <row r="118" spans="1:3" x14ac:dyDescent="0.4">
      <c r="A118" t="s">
        <v>32</v>
      </c>
      <c r="C118" t="str">
        <f t="shared" si="4"/>
        <v/>
      </c>
    </row>
    <row r="119" spans="1:3" x14ac:dyDescent="0.4">
      <c r="A119" t="s">
        <v>32</v>
      </c>
      <c r="C119" t="str">
        <f t="shared" si="4"/>
        <v/>
      </c>
    </row>
    <row r="120" spans="1:3" x14ac:dyDescent="0.4">
      <c r="A120" t="s">
        <v>32</v>
      </c>
      <c r="C120" t="str">
        <f t="shared" si="4"/>
        <v/>
      </c>
    </row>
    <row r="121" spans="1:3" x14ac:dyDescent="0.4">
      <c r="A121" t="s">
        <v>32</v>
      </c>
      <c r="C121" t="str">
        <f t="shared" si="4"/>
        <v/>
      </c>
    </row>
    <row r="122" spans="1:3" x14ac:dyDescent="0.4">
      <c r="A122" t="s">
        <v>32</v>
      </c>
      <c r="C122" t="str">
        <f t="shared" si="4"/>
        <v/>
      </c>
    </row>
    <row r="123" spans="1:3" x14ac:dyDescent="0.4">
      <c r="A123" t="s">
        <v>32</v>
      </c>
      <c r="C123" t="str">
        <f t="shared" si="4"/>
        <v/>
      </c>
    </row>
    <row r="124" spans="1:3" x14ac:dyDescent="0.4">
      <c r="A124" t="s">
        <v>32</v>
      </c>
      <c r="C124" t="str">
        <f t="shared" si="4"/>
        <v/>
      </c>
    </row>
    <row r="125" spans="1:3" x14ac:dyDescent="0.4">
      <c r="A125" t="s">
        <v>32</v>
      </c>
      <c r="C125" t="str">
        <f t="shared" si="4"/>
        <v/>
      </c>
    </row>
    <row r="126" spans="1:3" x14ac:dyDescent="0.4">
      <c r="A126" t="s">
        <v>32</v>
      </c>
      <c r="C126" t="str">
        <f t="shared" si="4"/>
        <v/>
      </c>
    </row>
    <row r="127" spans="1:3" x14ac:dyDescent="0.4">
      <c r="A127" t="s">
        <v>32</v>
      </c>
      <c r="C127" t="str">
        <f t="shared" si="4"/>
        <v/>
      </c>
    </row>
    <row r="128" spans="1:3" x14ac:dyDescent="0.4">
      <c r="A128" t="s">
        <v>32</v>
      </c>
      <c r="C128" t="str">
        <f t="shared" si="4"/>
        <v/>
      </c>
    </row>
    <row r="129" spans="1:3" x14ac:dyDescent="0.4">
      <c r="A129" t="s">
        <v>32</v>
      </c>
      <c r="C129" t="str">
        <f t="shared" si="4"/>
        <v/>
      </c>
    </row>
    <row r="130" spans="1:3" x14ac:dyDescent="0.4">
      <c r="A130" t="s">
        <v>32</v>
      </c>
      <c r="C130" t="str">
        <f t="shared" ref="C130:C193" si="5">IF(LEFT(A130,1)="A",A130,"")</f>
        <v/>
      </c>
    </row>
    <row r="131" spans="1:3" x14ac:dyDescent="0.4">
      <c r="A131" t="s">
        <v>32</v>
      </c>
      <c r="C131" t="str">
        <f t="shared" si="5"/>
        <v/>
      </c>
    </row>
    <row r="132" spans="1:3" x14ac:dyDescent="0.4">
      <c r="A132" t="s">
        <v>32</v>
      </c>
      <c r="C132" t="str">
        <f t="shared" si="5"/>
        <v/>
      </c>
    </row>
    <row r="133" spans="1:3" x14ac:dyDescent="0.4">
      <c r="A133" t="s">
        <v>32</v>
      </c>
      <c r="C133" t="str">
        <f t="shared" si="5"/>
        <v/>
      </c>
    </row>
    <row r="134" spans="1:3" x14ac:dyDescent="0.4">
      <c r="A134" t="s">
        <v>32</v>
      </c>
      <c r="C134" t="str">
        <f t="shared" si="5"/>
        <v/>
      </c>
    </row>
    <row r="135" spans="1:3" x14ac:dyDescent="0.4">
      <c r="A135" t="s">
        <v>32</v>
      </c>
      <c r="C135" t="str">
        <f t="shared" si="5"/>
        <v/>
      </c>
    </row>
    <row r="136" spans="1:3" x14ac:dyDescent="0.4">
      <c r="A136" t="s">
        <v>32</v>
      </c>
      <c r="C136" t="str">
        <f t="shared" si="5"/>
        <v/>
      </c>
    </row>
    <row r="137" spans="1:3" x14ac:dyDescent="0.4">
      <c r="A137" t="s">
        <v>32</v>
      </c>
      <c r="C137" t="str">
        <f t="shared" si="5"/>
        <v/>
      </c>
    </row>
    <row r="138" spans="1:3" x14ac:dyDescent="0.4">
      <c r="A138" t="s">
        <v>32</v>
      </c>
      <c r="C138" t="str">
        <f t="shared" si="5"/>
        <v/>
      </c>
    </row>
    <row r="139" spans="1:3" x14ac:dyDescent="0.4">
      <c r="A139" t="s">
        <v>32</v>
      </c>
      <c r="C139" t="str">
        <f t="shared" si="5"/>
        <v/>
      </c>
    </row>
    <row r="140" spans="1:3" x14ac:dyDescent="0.4">
      <c r="A140" t="s">
        <v>32</v>
      </c>
      <c r="C140" t="str">
        <f t="shared" si="5"/>
        <v/>
      </c>
    </row>
    <row r="141" spans="1:3" x14ac:dyDescent="0.4">
      <c r="A141" t="s">
        <v>32</v>
      </c>
      <c r="C141" t="str">
        <f t="shared" si="5"/>
        <v/>
      </c>
    </row>
    <row r="142" spans="1:3" x14ac:dyDescent="0.4">
      <c r="A142" t="s">
        <v>32</v>
      </c>
      <c r="C142" t="str">
        <f t="shared" si="5"/>
        <v/>
      </c>
    </row>
    <row r="143" spans="1:3" x14ac:dyDescent="0.4">
      <c r="A143" t="s">
        <v>32</v>
      </c>
      <c r="C143" t="str">
        <f t="shared" si="5"/>
        <v/>
      </c>
    </row>
    <row r="144" spans="1:3" x14ac:dyDescent="0.4">
      <c r="A144" t="s">
        <v>32</v>
      </c>
      <c r="C144" t="str">
        <f t="shared" si="5"/>
        <v/>
      </c>
    </row>
    <row r="145" spans="1:3" x14ac:dyDescent="0.4">
      <c r="A145" t="s">
        <v>32</v>
      </c>
      <c r="C145" t="str">
        <f t="shared" si="5"/>
        <v/>
      </c>
    </row>
    <row r="146" spans="1:3" x14ac:dyDescent="0.4">
      <c r="A146" t="s">
        <v>32</v>
      </c>
      <c r="C146" t="str">
        <f t="shared" si="5"/>
        <v/>
      </c>
    </row>
    <row r="147" spans="1:3" x14ac:dyDescent="0.4">
      <c r="A147" t="s">
        <v>32</v>
      </c>
      <c r="C147" t="str">
        <f t="shared" si="5"/>
        <v/>
      </c>
    </row>
    <row r="148" spans="1:3" x14ac:dyDescent="0.4">
      <c r="A148" t="s">
        <v>32</v>
      </c>
      <c r="C148" t="str">
        <f t="shared" si="5"/>
        <v/>
      </c>
    </row>
    <row r="149" spans="1:3" x14ac:dyDescent="0.4">
      <c r="A149" t="s">
        <v>32</v>
      </c>
      <c r="C149" t="str">
        <f t="shared" si="5"/>
        <v/>
      </c>
    </row>
    <row r="150" spans="1:3" x14ac:dyDescent="0.4">
      <c r="A150" t="s">
        <v>32</v>
      </c>
      <c r="C150" t="str">
        <f t="shared" si="5"/>
        <v/>
      </c>
    </row>
    <row r="151" spans="1:3" x14ac:dyDescent="0.4">
      <c r="A151" t="s">
        <v>32</v>
      </c>
      <c r="C151" t="str">
        <f t="shared" si="5"/>
        <v/>
      </c>
    </row>
    <row r="152" spans="1:3" x14ac:dyDescent="0.4">
      <c r="A152" t="s">
        <v>32</v>
      </c>
      <c r="C152" t="str">
        <f t="shared" si="5"/>
        <v/>
      </c>
    </row>
    <row r="153" spans="1:3" x14ac:dyDescent="0.4">
      <c r="A153" t="s">
        <v>32</v>
      </c>
      <c r="C153" t="str">
        <f t="shared" si="5"/>
        <v/>
      </c>
    </row>
    <row r="154" spans="1:3" x14ac:dyDescent="0.4">
      <c r="A154" t="s">
        <v>32</v>
      </c>
      <c r="C154" t="str">
        <f t="shared" si="5"/>
        <v/>
      </c>
    </row>
    <row r="155" spans="1:3" x14ac:dyDescent="0.4">
      <c r="A155" t="s">
        <v>32</v>
      </c>
      <c r="C155" t="str">
        <f t="shared" si="5"/>
        <v/>
      </c>
    </row>
    <row r="156" spans="1:3" x14ac:dyDescent="0.4">
      <c r="A156" t="s">
        <v>32</v>
      </c>
      <c r="C156" t="str">
        <f t="shared" si="5"/>
        <v/>
      </c>
    </row>
    <row r="157" spans="1:3" x14ac:dyDescent="0.4">
      <c r="A157" t="s">
        <v>32</v>
      </c>
      <c r="C157" t="str">
        <f t="shared" si="5"/>
        <v/>
      </c>
    </row>
    <row r="158" spans="1:3" x14ac:dyDescent="0.4">
      <c r="A158" t="s">
        <v>32</v>
      </c>
      <c r="C158" t="str">
        <f t="shared" si="5"/>
        <v/>
      </c>
    </row>
    <row r="159" spans="1:3" x14ac:dyDescent="0.4">
      <c r="A159" t="s">
        <v>32</v>
      </c>
      <c r="C159" t="str">
        <f t="shared" si="5"/>
        <v/>
      </c>
    </row>
    <row r="160" spans="1:3" x14ac:dyDescent="0.4">
      <c r="A160" t="s">
        <v>32</v>
      </c>
      <c r="C160" t="str">
        <f t="shared" si="5"/>
        <v/>
      </c>
    </row>
    <row r="161" spans="1:3" x14ac:dyDescent="0.4">
      <c r="A161" t="s">
        <v>32</v>
      </c>
      <c r="C161" t="str">
        <f t="shared" si="5"/>
        <v/>
      </c>
    </row>
    <row r="162" spans="1:3" x14ac:dyDescent="0.4">
      <c r="A162" t="s">
        <v>32</v>
      </c>
      <c r="C162" t="str">
        <f t="shared" si="5"/>
        <v/>
      </c>
    </row>
    <row r="163" spans="1:3" x14ac:dyDescent="0.4">
      <c r="A163" t="s">
        <v>32</v>
      </c>
      <c r="C163" t="str">
        <f t="shared" si="5"/>
        <v/>
      </c>
    </row>
    <row r="164" spans="1:3" x14ac:dyDescent="0.4">
      <c r="A164" t="s">
        <v>32</v>
      </c>
      <c r="C164" t="str">
        <f t="shared" si="5"/>
        <v/>
      </c>
    </row>
    <row r="165" spans="1:3" x14ac:dyDescent="0.4">
      <c r="A165" t="s">
        <v>32</v>
      </c>
      <c r="C165" t="str">
        <f t="shared" si="5"/>
        <v/>
      </c>
    </row>
    <row r="166" spans="1:3" x14ac:dyDescent="0.4">
      <c r="A166" t="s">
        <v>32</v>
      </c>
      <c r="C166" t="str">
        <f t="shared" si="5"/>
        <v/>
      </c>
    </row>
    <row r="167" spans="1:3" x14ac:dyDescent="0.4">
      <c r="A167" t="s">
        <v>32</v>
      </c>
      <c r="C167" t="str">
        <f t="shared" si="5"/>
        <v/>
      </c>
    </row>
    <row r="168" spans="1:3" x14ac:dyDescent="0.4">
      <c r="A168" t="s">
        <v>32</v>
      </c>
      <c r="C168" t="str">
        <f t="shared" si="5"/>
        <v/>
      </c>
    </row>
    <row r="169" spans="1:3" x14ac:dyDescent="0.4">
      <c r="A169" t="s">
        <v>32</v>
      </c>
      <c r="C169" t="str">
        <f t="shared" si="5"/>
        <v/>
      </c>
    </row>
    <row r="170" spans="1:3" x14ac:dyDescent="0.4">
      <c r="A170" t="s">
        <v>32</v>
      </c>
      <c r="C170" t="str">
        <f t="shared" si="5"/>
        <v/>
      </c>
    </row>
    <row r="171" spans="1:3" x14ac:dyDescent="0.4">
      <c r="A171" t="s">
        <v>32</v>
      </c>
      <c r="C171" t="str">
        <f t="shared" si="5"/>
        <v/>
      </c>
    </row>
    <row r="172" spans="1:3" x14ac:dyDescent="0.4">
      <c r="A172" t="s">
        <v>32</v>
      </c>
      <c r="C172" t="str">
        <f t="shared" si="5"/>
        <v/>
      </c>
    </row>
    <row r="173" spans="1:3" x14ac:dyDescent="0.4">
      <c r="A173" t="s">
        <v>32</v>
      </c>
      <c r="C173" t="str">
        <f t="shared" si="5"/>
        <v/>
      </c>
    </row>
    <row r="174" spans="1:3" x14ac:dyDescent="0.4">
      <c r="A174" t="s">
        <v>32</v>
      </c>
      <c r="C174" t="str">
        <f t="shared" si="5"/>
        <v/>
      </c>
    </row>
    <row r="175" spans="1:3" x14ac:dyDescent="0.4">
      <c r="A175" t="s">
        <v>32</v>
      </c>
      <c r="C175" t="str">
        <f t="shared" si="5"/>
        <v/>
      </c>
    </row>
    <row r="176" spans="1:3" x14ac:dyDescent="0.4">
      <c r="A176" t="s">
        <v>32</v>
      </c>
      <c r="C176" t="str">
        <f t="shared" si="5"/>
        <v/>
      </c>
    </row>
    <row r="177" spans="1:3" x14ac:dyDescent="0.4">
      <c r="A177" t="s">
        <v>32</v>
      </c>
      <c r="C177" t="str">
        <f t="shared" si="5"/>
        <v/>
      </c>
    </row>
    <row r="178" spans="1:3" x14ac:dyDescent="0.4">
      <c r="A178" t="s">
        <v>32</v>
      </c>
      <c r="C178" t="str">
        <f t="shared" si="5"/>
        <v/>
      </c>
    </row>
    <row r="179" spans="1:3" x14ac:dyDescent="0.4">
      <c r="A179" t="s">
        <v>32</v>
      </c>
      <c r="C179" t="str">
        <f t="shared" si="5"/>
        <v/>
      </c>
    </row>
    <row r="180" spans="1:3" x14ac:dyDescent="0.4">
      <c r="A180" t="s">
        <v>32</v>
      </c>
      <c r="C180" t="str">
        <f t="shared" si="5"/>
        <v/>
      </c>
    </row>
    <row r="181" spans="1:3" x14ac:dyDescent="0.4">
      <c r="A181" t="s">
        <v>32</v>
      </c>
      <c r="C181" t="str">
        <f t="shared" si="5"/>
        <v/>
      </c>
    </row>
    <row r="182" spans="1:3" x14ac:dyDescent="0.4">
      <c r="A182" t="s">
        <v>32</v>
      </c>
      <c r="C182" t="str">
        <f t="shared" si="5"/>
        <v/>
      </c>
    </row>
    <row r="183" spans="1:3" x14ac:dyDescent="0.4">
      <c r="A183" t="s">
        <v>32</v>
      </c>
      <c r="C183" t="str">
        <f t="shared" si="5"/>
        <v/>
      </c>
    </row>
    <row r="184" spans="1:3" x14ac:dyDescent="0.4">
      <c r="A184" t="s">
        <v>32</v>
      </c>
      <c r="C184" t="str">
        <f t="shared" si="5"/>
        <v/>
      </c>
    </row>
    <row r="185" spans="1:3" x14ac:dyDescent="0.4">
      <c r="A185" t="s">
        <v>32</v>
      </c>
      <c r="C185" t="str">
        <f t="shared" si="5"/>
        <v/>
      </c>
    </row>
    <row r="186" spans="1:3" x14ac:dyDescent="0.4">
      <c r="A186" t="s">
        <v>32</v>
      </c>
      <c r="C186" t="str">
        <f t="shared" si="5"/>
        <v/>
      </c>
    </row>
    <row r="187" spans="1:3" x14ac:dyDescent="0.4">
      <c r="A187" t="s">
        <v>32</v>
      </c>
      <c r="C187" t="str">
        <f t="shared" si="5"/>
        <v/>
      </c>
    </row>
    <row r="188" spans="1:3" x14ac:dyDescent="0.4">
      <c r="A188" t="s">
        <v>32</v>
      </c>
      <c r="C188" t="str">
        <f t="shared" si="5"/>
        <v/>
      </c>
    </row>
    <row r="189" spans="1:3" x14ac:dyDescent="0.4">
      <c r="A189" t="s">
        <v>32</v>
      </c>
      <c r="C189" t="str">
        <f t="shared" si="5"/>
        <v/>
      </c>
    </row>
    <row r="190" spans="1:3" x14ac:dyDescent="0.4">
      <c r="A190" t="s">
        <v>32</v>
      </c>
      <c r="C190" t="str">
        <f t="shared" si="5"/>
        <v/>
      </c>
    </row>
    <row r="191" spans="1:3" x14ac:dyDescent="0.4">
      <c r="A191" t="s">
        <v>32</v>
      </c>
      <c r="C191" t="str">
        <f t="shared" si="5"/>
        <v/>
      </c>
    </row>
    <row r="192" spans="1:3" x14ac:dyDescent="0.4">
      <c r="A192" t="s">
        <v>32</v>
      </c>
      <c r="C192" t="str">
        <f t="shared" si="5"/>
        <v/>
      </c>
    </row>
    <row r="193" spans="1:3" x14ac:dyDescent="0.4">
      <c r="A193" t="s">
        <v>32</v>
      </c>
      <c r="C193" t="str">
        <f t="shared" si="5"/>
        <v/>
      </c>
    </row>
    <row r="194" spans="1:3" x14ac:dyDescent="0.4">
      <c r="A194" t="s">
        <v>32</v>
      </c>
      <c r="C194" t="str">
        <f t="shared" ref="C194:C197" si="6">IF(LEFT(A194,1)="A",A194,"")</f>
        <v/>
      </c>
    </row>
    <row r="195" spans="1:3" x14ac:dyDescent="0.4">
      <c r="A195" t="s">
        <v>32</v>
      </c>
      <c r="C195" t="str">
        <f t="shared" si="6"/>
        <v/>
      </c>
    </row>
    <row r="196" spans="1:3" x14ac:dyDescent="0.4">
      <c r="A196" t="s">
        <v>32</v>
      </c>
      <c r="C196" t="str">
        <f t="shared" si="6"/>
        <v/>
      </c>
    </row>
    <row r="197" spans="1:3" x14ac:dyDescent="0.4">
      <c r="A197" t="s">
        <v>32</v>
      </c>
      <c r="C197" t="str">
        <f t="shared" si="6"/>
        <v/>
      </c>
    </row>
    <row r="205" spans="1:3" x14ac:dyDescent="0.4">
      <c r="C205" t="str">
        <f t="shared" ref="C205:C257" si="7">IF(LEFT(A205,1)="A",A205,"")</f>
        <v/>
      </c>
    </row>
    <row r="206" spans="1:3" x14ac:dyDescent="0.4">
      <c r="C206" t="str">
        <f t="shared" si="7"/>
        <v/>
      </c>
    </row>
    <row r="207" spans="1:3" x14ac:dyDescent="0.4">
      <c r="C207" t="str">
        <f t="shared" si="7"/>
        <v/>
      </c>
    </row>
    <row r="208" spans="1:3" x14ac:dyDescent="0.4">
      <c r="C208" t="str">
        <f t="shared" si="7"/>
        <v/>
      </c>
    </row>
    <row r="209" spans="3:3" x14ac:dyDescent="0.4">
      <c r="C209" t="str">
        <f t="shared" si="7"/>
        <v/>
      </c>
    </row>
    <row r="210" spans="3:3" x14ac:dyDescent="0.4">
      <c r="C210" t="str">
        <f t="shared" si="7"/>
        <v/>
      </c>
    </row>
    <row r="211" spans="3:3" x14ac:dyDescent="0.4">
      <c r="C211" t="str">
        <f t="shared" si="7"/>
        <v/>
      </c>
    </row>
    <row r="212" spans="3:3" x14ac:dyDescent="0.4">
      <c r="C212" t="str">
        <f t="shared" si="7"/>
        <v/>
      </c>
    </row>
    <row r="213" spans="3:3" x14ac:dyDescent="0.4">
      <c r="C213" t="str">
        <f t="shared" si="7"/>
        <v/>
      </c>
    </row>
    <row r="214" spans="3:3" x14ac:dyDescent="0.4">
      <c r="C214" t="str">
        <f t="shared" si="7"/>
        <v/>
      </c>
    </row>
    <row r="215" spans="3:3" x14ac:dyDescent="0.4">
      <c r="C215" t="str">
        <f t="shared" si="7"/>
        <v/>
      </c>
    </row>
    <row r="216" spans="3:3" x14ac:dyDescent="0.4">
      <c r="C216" t="str">
        <f t="shared" si="7"/>
        <v/>
      </c>
    </row>
    <row r="217" spans="3:3" x14ac:dyDescent="0.4">
      <c r="C217" t="str">
        <f t="shared" si="7"/>
        <v/>
      </c>
    </row>
    <row r="218" spans="3:3" x14ac:dyDescent="0.4">
      <c r="C218" t="str">
        <f t="shared" si="7"/>
        <v/>
      </c>
    </row>
    <row r="219" spans="3:3" x14ac:dyDescent="0.4">
      <c r="C219" t="str">
        <f t="shared" si="7"/>
        <v/>
      </c>
    </row>
    <row r="220" spans="3:3" x14ac:dyDescent="0.4">
      <c r="C220" t="str">
        <f t="shared" si="7"/>
        <v/>
      </c>
    </row>
    <row r="221" spans="3:3" x14ac:dyDescent="0.4">
      <c r="C221" t="str">
        <f t="shared" si="7"/>
        <v/>
      </c>
    </row>
    <row r="222" spans="3:3" x14ac:dyDescent="0.4">
      <c r="C222" t="str">
        <f t="shared" si="7"/>
        <v/>
      </c>
    </row>
    <row r="223" spans="3:3" x14ac:dyDescent="0.4">
      <c r="C223" t="str">
        <f t="shared" si="7"/>
        <v/>
      </c>
    </row>
    <row r="224" spans="3:3" x14ac:dyDescent="0.4">
      <c r="C224" t="str">
        <f t="shared" si="7"/>
        <v/>
      </c>
    </row>
    <row r="225" spans="3:3" x14ac:dyDescent="0.4">
      <c r="C225" t="str">
        <f t="shared" si="7"/>
        <v/>
      </c>
    </row>
    <row r="226" spans="3:3" x14ac:dyDescent="0.4">
      <c r="C226" t="str">
        <f t="shared" si="7"/>
        <v/>
      </c>
    </row>
    <row r="227" spans="3:3" x14ac:dyDescent="0.4">
      <c r="C227" t="str">
        <f t="shared" si="7"/>
        <v/>
      </c>
    </row>
    <row r="228" spans="3:3" x14ac:dyDescent="0.4">
      <c r="C228" t="str">
        <f t="shared" si="7"/>
        <v/>
      </c>
    </row>
    <row r="229" spans="3:3" x14ac:dyDescent="0.4">
      <c r="C229" t="str">
        <f t="shared" si="7"/>
        <v/>
      </c>
    </row>
    <row r="230" spans="3:3" x14ac:dyDescent="0.4">
      <c r="C230" t="str">
        <f t="shared" si="7"/>
        <v/>
      </c>
    </row>
    <row r="231" spans="3:3" x14ac:dyDescent="0.4">
      <c r="C231" t="str">
        <f t="shared" si="7"/>
        <v/>
      </c>
    </row>
    <row r="232" spans="3:3" x14ac:dyDescent="0.4">
      <c r="C232" t="str">
        <f t="shared" si="7"/>
        <v/>
      </c>
    </row>
    <row r="233" spans="3:3" x14ac:dyDescent="0.4">
      <c r="C233" t="str">
        <f t="shared" si="7"/>
        <v/>
      </c>
    </row>
    <row r="234" spans="3:3" x14ac:dyDescent="0.4">
      <c r="C234" t="str">
        <f t="shared" si="7"/>
        <v/>
      </c>
    </row>
    <row r="235" spans="3:3" x14ac:dyDescent="0.4">
      <c r="C235" t="str">
        <f t="shared" si="7"/>
        <v/>
      </c>
    </row>
    <row r="236" spans="3:3" x14ac:dyDescent="0.4">
      <c r="C236" t="str">
        <f t="shared" si="7"/>
        <v/>
      </c>
    </row>
    <row r="237" spans="3:3" x14ac:dyDescent="0.4">
      <c r="C237" t="str">
        <f t="shared" si="7"/>
        <v/>
      </c>
    </row>
    <row r="238" spans="3:3" x14ac:dyDescent="0.4">
      <c r="C238" t="str">
        <f t="shared" si="7"/>
        <v/>
      </c>
    </row>
    <row r="239" spans="3:3" x14ac:dyDescent="0.4">
      <c r="C239" t="str">
        <f t="shared" si="7"/>
        <v/>
      </c>
    </row>
    <row r="240" spans="3:3" x14ac:dyDescent="0.4">
      <c r="C240" t="str">
        <f t="shared" si="7"/>
        <v/>
      </c>
    </row>
    <row r="241" spans="3:3" x14ac:dyDescent="0.4">
      <c r="C241" t="str">
        <f t="shared" si="7"/>
        <v/>
      </c>
    </row>
    <row r="242" spans="3:3" x14ac:dyDescent="0.4">
      <c r="C242" t="str">
        <f t="shared" si="7"/>
        <v/>
      </c>
    </row>
    <row r="243" spans="3:3" x14ac:dyDescent="0.4">
      <c r="C243" t="str">
        <f t="shared" si="7"/>
        <v/>
      </c>
    </row>
    <row r="244" spans="3:3" x14ac:dyDescent="0.4">
      <c r="C244" t="str">
        <f t="shared" si="7"/>
        <v/>
      </c>
    </row>
    <row r="245" spans="3:3" x14ac:dyDescent="0.4">
      <c r="C245" t="str">
        <f t="shared" si="7"/>
        <v/>
      </c>
    </row>
    <row r="246" spans="3:3" x14ac:dyDescent="0.4">
      <c r="C246" t="str">
        <f t="shared" si="7"/>
        <v/>
      </c>
    </row>
    <row r="247" spans="3:3" x14ac:dyDescent="0.4">
      <c r="C247" t="str">
        <f t="shared" si="7"/>
        <v/>
      </c>
    </row>
    <row r="248" spans="3:3" x14ac:dyDescent="0.4">
      <c r="C248" t="str">
        <f t="shared" si="7"/>
        <v/>
      </c>
    </row>
    <row r="249" spans="3:3" x14ac:dyDescent="0.4">
      <c r="C249" t="str">
        <f t="shared" si="7"/>
        <v/>
      </c>
    </row>
    <row r="250" spans="3:3" x14ac:dyDescent="0.4">
      <c r="C250" t="str">
        <f t="shared" si="7"/>
        <v/>
      </c>
    </row>
    <row r="251" spans="3:3" x14ac:dyDescent="0.4">
      <c r="C251" t="str">
        <f t="shared" si="7"/>
        <v/>
      </c>
    </row>
    <row r="252" spans="3:3" x14ac:dyDescent="0.4">
      <c r="C252" t="str">
        <f t="shared" si="7"/>
        <v/>
      </c>
    </row>
    <row r="253" spans="3:3" x14ac:dyDescent="0.4">
      <c r="C253" t="str">
        <f t="shared" si="7"/>
        <v/>
      </c>
    </row>
    <row r="254" spans="3:3" x14ac:dyDescent="0.4">
      <c r="C254" t="str">
        <f t="shared" si="7"/>
        <v/>
      </c>
    </row>
    <row r="255" spans="3:3" x14ac:dyDescent="0.4">
      <c r="C255" t="str">
        <f t="shared" si="7"/>
        <v/>
      </c>
    </row>
    <row r="256" spans="3:3" x14ac:dyDescent="0.4">
      <c r="C256" t="str">
        <f t="shared" si="7"/>
        <v/>
      </c>
    </row>
    <row r="257" spans="3:3" x14ac:dyDescent="0.4">
      <c r="C257" t="str">
        <f t="shared" si="7"/>
        <v/>
      </c>
    </row>
    <row r="258" spans="3:3" x14ac:dyDescent="0.4">
      <c r="C258" t="str">
        <f t="shared" ref="C258:C321" si="8">IF(LEFT(A258,1)="A",A258,"")</f>
        <v/>
      </c>
    </row>
    <row r="259" spans="3:3" x14ac:dyDescent="0.4">
      <c r="C259" t="str">
        <f t="shared" si="8"/>
        <v/>
      </c>
    </row>
    <row r="260" spans="3:3" x14ac:dyDescent="0.4">
      <c r="C260" t="str">
        <f t="shared" si="8"/>
        <v/>
      </c>
    </row>
    <row r="261" spans="3:3" x14ac:dyDescent="0.4">
      <c r="C261" t="str">
        <f t="shared" si="8"/>
        <v/>
      </c>
    </row>
    <row r="262" spans="3:3" x14ac:dyDescent="0.4">
      <c r="C262" t="str">
        <f t="shared" si="8"/>
        <v/>
      </c>
    </row>
    <row r="263" spans="3:3" x14ac:dyDescent="0.4">
      <c r="C263" t="str">
        <f t="shared" si="8"/>
        <v/>
      </c>
    </row>
    <row r="264" spans="3:3" x14ac:dyDescent="0.4">
      <c r="C264" t="str">
        <f t="shared" si="8"/>
        <v/>
      </c>
    </row>
    <row r="265" spans="3:3" x14ac:dyDescent="0.4">
      <c r="C265" t="str">
        <f t="shared" si="8"/>
        <v/>
      </c>
    </row>
    <row r="266" spans="3:3" x14ac:dyDescent="0.4">
      <c r="C266" t="str">
        <f t="shared" si="8"/>
        <v/>
      </c>
    </row>
    <row r="267" spans="3:3" x14ac:dyDescent="0.4">
      <c r="C267" t="str">
        <f t="shared" si="8"/>
        <v/>
      </c>
    </row>
    <row r="268" spans="3:3" x14ac:dyDescent="0.4">
      <c r="C268" t="str">
        <f t="shared" si="8"/>
        <v/>
      </c>
    </row>
    <row r="269" spans="3:3" x14ac:dyDescent="0.4">
      <c r="C269" t="str">
        <f t="shared" si="8"/>
        <v/>
      </c>
    </row>
    <row r="270" spans="3:3" x14ac:dyDescent="0.4">
      <c r="C270" t="str">
        <f t="shared" si="8"/>
        <v/>
      </c>
    </row>
    <row r="271" spans="3:3" x14ac:dyDescent="0.4">
      <c r="C271" t="str">
        <f t="shared" si="8"/>
        <v/>
      </c>
    </row>
    <row r="272" spans="3:3" x14ac:dyDescent="0.4">
      <c r="C272" t="str">
        <f t="shared" si="8"/>
        <v/>
      </c>
    </row>
    <row r="273" spans="3:3" x14ac:dyDescent="0.4">
      <c r="C273" t="str">
        <f t="shared" si="8"/>
        <v/>
      </c>
    </row>
    <row r="274" spans="3:3" x14ac:dyDescent="0.4">
      <c r="C274" t="str">
        <f t="shared" si="8"/>
        <v/>
      </c>
    </row>
    <row r="275" spans="3:3" x14ac:dyDescent="0.4">
      <c r="C275" t="str">
        <f t="shared" si="8"/>
        <v/>
      </c>
    </row>
    <row r="276" spans="3:3" x14ac:dyDescent="0.4">
      <c r="C276" t="str">
        <f t="shared" si="8"/>
        <v/>
      </c>
    </row>
    <row r="277" spans="3:3" x14ac:dyDescent="0.4">
      <c r="C277" t="str">
        <f t="shared" si="8"/>
        <v/>
      </c>
    </row>
    <row r="278" spans="3:3" x14ac:dyDescent="0.4">
      <c r="C278" t="str">
        <f t="shared" si="8"/>
        <v/>
      </c>
    </row>
    <row r="279" spans="3:3" x14ac:dyDescent="0.4">
      <c r="C279" t="str">
        <f t="shared" si="8"/>
        <v/>
      </c>
    </row>
    <row r="280" spans="3:3" x14ac:dyDescent="0.4">
      <c r="C280" t="str">
        <f t="shared" si="8"/>
        <v/>
      </c>
    </row>
    <row r="281" spans="3:3" x14ac:dyDescent="0.4">
      <c r="C281" t="str">
        <f t="shared" si="8"/>
        <v/>
      </c>
    </row>
    <row r="282" spans="3:3" x14ac:dyDescent="0.4">
      <c r="C282" t="str">
        <f t="shared" si="8"/>
        <v/>
      </c>
    </row>
    <row r="283" spans="3:3" x14ac:dyDescent="0.4">
      <c r="C283" t="str">
        <f t="shared" si="8"/>
        <v/>
      </c>
    </row>
    <row r="284" spans="3:3" x14ac:dyDescent="0.4">
      <c r="C284" t="str">
        <f t="shared" si="8"/>
        <v/>
      </c>
    </row>
    <row r="285" spans="3:3" x14ac:dyDescent="0.4">
      <c r="C285" t="str">
        <f t="shared" si="8"/>
        <v/>
      </c>
    </row>
    <row r="286" spans="3:3" x14ac:dyDescent="0.4">
      <c r="C286" t="str">
        <f t="shared" si="8"/>
        <v/>
      </c>
    </row>
    <row r="287" spans="3:3" x14ac:dyDescent="0.4">
      <c r="C287" t="str">
        <f t="shared" si="8"/>
        <v/>
      </c>
    </row>
    <row r="288" spans="3:3" x14ac:dyDescent="0.4">
      <c r="C288" t="str">
        <f t="shared" si="8"/>
        <v/>
      </c>
    </row>
    <row r="289" spans="3:3" x14ac:dyDescent="0.4">
      <c r="C289" t="str">
        <f t="shared" si="8"/>
        <v/>
      </c>
    </row>
    <row r="290" spans="3:3" x14ac:dyDescent="0.4">
      <c r="C290" t="str">
        <f t="shared" si="8"/>
        <v/>
      </c>
    </row>
    <row r="291" spans="3:3" x14ac:dyDescent="0.4">
      <c r="C291" t="str">
        <f t="shared" si="8"/>
        <v/>
      </c>
    </row>
    <row r="292" spans="3:3" x14ac:dyDescent="0.4">
      <c r="C292" t="str">
        <f t="shared" si="8"/>
        <v/>
      </c>
    </row>
    <row r="293" spans="3:3" x14ac:dyDescent="0.4">
      <c r="C293" t="str">
        <f t="shared" si="8"/>
        <v/>
      </c>
    </row>
    <row r="294" spans="3:3" x14ac:dyDescent="0.4">
      <c r="C294" t="str">
        <f t="shared" si="8"/>
        <v/>
      </c>
    </row>
    <row r="295" spans="3:3" x14ac:dyDescent="0.4">
      <c r="C295" t="str">
        <f t="shared" si="8"/>
        <v/>
      </c>
    </row>
    <row r="296" spans="3:3" x14ac:dyDescent="0.4">
      <c r="C296" t="str">
        <f t="shared" si="8"/>
        <v/>
      </c>
    </row>
    <row r="297" spans="3:3" x14ac:dyDescent="0.4">
      <c r="C297" t="str">
        <f t="shared" si="8"/>
        <v/>
      </c>
    </row>
    <row r="298" spans="3:3" x14ac:dyDescent="0.4">
      <c r="C298" t="str">
        <f t="shared" si="8"/>
        <v/>
      </c>
    </row>
    <row r="299" spans="3:3" x14ac:dyDescent="0.4">
      <c r="C299" t="str">
        <f t="shared" si="8"/>
        <v/>
      </c>
    </row>
    <row r="300" spans="3:3" x14ac:dyDescent="0.4">
      <c r="C300" t="str">
        <f t="shared" si="8"/>
        <v/>
      </c>
    </row>
    <row r="301" spans="3:3" x14ac:dyDescent="0.4">
      <c r="C301" t="str">
        <f t="shared" si="8"/>
        <v/>
      </c>
    </row>
    <row r="302" spans="3:3" x14ac:dyDescent="0.4">
      <c r="C302" t="str">
        <f t="shared" si="8"/>
        <v/>
      </c>
    </row>
    <row r="303" spans="3:3" x14ac:dyDescent="0.4">
      <c r="C303" t="str">
        <f t="shared" si="8"/>
        <v/>
      </c>
    </row>
    <row r="304" spans="3:3" x14ac:dyDescent="0.4">
      <c r="C304" t="str">
        <f t="shared" si="8"/>
        <v/>
      </c>
    </row>
    <row r="305" spans="3:3" x14ac:dyDescent="0.4">
      <c r="C305" t="str">
        <f t="shared" si="8"/>
        <v/>
      </c>
    </row>
    <row r="306" spans="3:3" x14ac:dyDescent="0.4">
      <c r="C306" t="str">
        <f t="shared" si="8"/>
        <v/>
      </c>
    </row>
    <row r="307" spans="3:3" x14ac:dyDescent="0.4">
      <c r="C307" t="str">
        <f t="shared" si="8"/>
        <v/>
      </c>
    </row>
    <row r="308" spans="3:3" x14ac:dyDescent="0.4">
      <c r="C308" t="str">
        <f t="shared" si="8"/>
        <v/>
      </c>
    </row>
    <row r="309" spans="3:3" x14ac:dyDescent="0.4">
      <c r="C309" t="str">
        <f t="shared" si="8"/>
        <v/>
      </c>
    </row>
    <row r="310" spans="3:3" x14ac:dyDescent="0.4">
      <c r="C310" t="str">
        <f t="shared" si="8"/>
        <v/>
      </c>
    </row>
    <row r="311" spans="3:3" x14ac:dyDescent="0.4">
      <c r="C311" t="str">
        <f t="shared" si="8"/>
        <v/>
      </c>
    </row>
    <row r="312" spans="3:3" x14ac:dyDescent="0.4">
      <c r="C312" t="str">
        <f t="shared" si="8"/>
        <v/>
      </c>
    </row>
    <row r="313" spans="3:3" x14ac:dyDescent="0.4">
      <c r="C313" t="str">
        <f t="shared" si="8"/>
        <v/>
      </c>
    </row>
    <row r="314" spans="3:3" x14ac:dyDescent="0.4">
      <c r="C314" t="str">
        <f t="shared" si="8"/>
        <v/>
      </c>
    </row>
    <row r="315" spans="3:3" x14ac:dyDescent="0.4">
      <c r="C315" t="str">
        <f t="shared" si="8"/>
        <v/>
      </c>
    </row>
    <row r="316" spans="3:3" x14ac:dyDescent="0.4">
      <c r="C316" t="str">
        <f t="shared" si="8"/>
        <v/>
      </c>
    </row>
    <row r="317" spans="3:3" x14ac:dyDescent="0.4">
      <c r="C317" t="str">
        <f t="shared" si="8"/>
        <v/>
      </c>
    </row>
    <row r="318" spans="3:3" x14ac:dyDescent="0.4">
      <c r="C318" t="str">
        <f t="shared" si="8"/>
        <v/>
      </c>
    </row>
    <row r="319" spans="3:3" x14ac:dyDescent="0.4">
      <c r="C319" t="str">
        <f t="shared" si="8"/>
        <v/>
      </c>
    </row>
    <row r="320" spans="3:3" x14ac:dyDescent="0.4">
      <c r="C320" t="str">
        <f t="shared" si="8"/>
        <v/>
      </c>
    </row>
    <row r="321" spans="3:3" x14ac:dyDescent="0.4">
      <c r="C321" t="str">
        <f t="shared" si="8"/>
        <v/>
      </c>
    </row>
    <row r="322" spans="3:3" x14ac:dyDescent="0.4">
      <c r="C322" t="str">
        <f t="shared" ref="C322:C352" si="9">IF(LEFT(A322,1)="A",A322,"")</f>
        <v/>
      </c>
    </row>
    <row r="323" spans="3:3" x14ac:dyDescent="0.4">
      <c r="C323" t="str">
        <f t="shared" si="9"/>
        <v/>
      </c>
    </row>
    <row r="324" spans="3:3" x14ac:dyDescent="0.4">
      <c r="C324" t="str">
        <f t="shared" si="9"/>
        <v/>
      </c>
    </row>
    <row r="325" spans="3:3" x14ac:dyDescent="0.4">
      <c r="C325" t="str">
        <f t="shared" si="9"/>
        <v/>
      </c>
    </row>
    <row r="326" spans="3:3" x14ac:dyDescent="0.4">
      <c r="C326" t="str">
        <f t="shared" si="9"/>
        <v/>
      </c>
    </row>
    <row r="327" spans="3:3" x14ac:dyDescent="0.4">
      <c r="C327" t="str">
        <f t="shared" si="9"/>
        <v/>
      </c>
    </row>
    <row r="328" spans="3:3" x14ac:dyDescent="0.4">
      <c r="C328" t="str">
        <f t="shared" si="9"/>
        <v/>
      </c>
    </row>
    <row r="329" spans="3:3" x14ac:dyDescent="0.4">
      <c r="C329" t="str">
        <f t="shared" si="9"/>
        <v/>
      </c>
    </row>
    <row r="330" spans="3:3" x14ac:dyDescent="0.4">
      <c r="C330" t="str">
        <f t="shared" si="9"/>
        <v/>
      </c>
    </row>
    <row r="331" spans="3:3" x14ac:dyDescent="0.4">
      <c r="C331" t="str">
        <f t="shared" si="9"/>
        <v/>
      </c>
    </row>
    <row r="332" spans="3:3" x14ac:dyDescent="0.4">
      <c r="C332" t="str">
        <f t="shared" si="9"/>
        <v/>
      </c>
    </row>
    <row r="333" spans="3:3" x14ac:dyDescent="0.4">
      <c r="C333" t="str">
        <f t="shared" si="9"/>
        <v/>
      </c>
    </row>
    <row r="334" spans="3:3" x14ac:dyDescent="0.4">
      <c r="C334" t="str">
        <f t="shared" si="9"/>
        <v/>
      </c>
    </row>
    <row r="335" spans="3:3" x14ac:dyDescent="0.4">
      <c r="C335" t="str">
        <f t="shared" si="9"/>
        <v/>
      </c>
    </row>
    <row r="336" spans="3:3" x14ac:dyDescent="0.4">
      <c r="C336" t="str">
        <f t="shared" si="9"/>
        <v/>
      </c>
    </row>
    <row r="337" spans="3:3" x14ac:dyDescent="0.4">
      <c r="C337" t="str">
        <f t="shared" si="9"/>
        <v/>
      </c>
    </row>
    <row r="338" spans="3:3" x14ac:dyDescent="0.4">
      <c r="C338" t="str">
        <f t="shared" si="9"/>
        <v/>
      </c>
    </row>
    <row r="339" spans="3:3" x14ac:dyDescent="0.4">
      <c r="C339" t="str">
        <f t="shared" si="9"/>
        <v/>
      </c>
    </row>
    <row r="340" spans="3:3" x14ac:dyDescent="0.4">
      <c r="C340" t="str">
        <f t="shared" si="9"/>
        <v/>
      </c>
    </row>
    <row r="341" spans="3:3" x14ac:dyDescent="0.4">
      <c r="C341" t="str">
        <f t="shared" si="9"/>
        <v/>
      </c>
    </row>
    <row r="342" spans="3:3" x14ac:dyDescent="0.4">
      <c r="C342" t="str">
        <f t="shared" si="9"/>
        <v/>
      </c>
    </row>
    <row r="343" spans="3:3" x14ac:dyDescent="0.4">
      <c r="C343" t="str">
        <f t="shared" si="9"/>
        <v/>
      </c>
    </row>
    <row r="344" spans="3:3" x14ac:dyDescent="0.4">
      <c r="C344" t="str">
        <f t="shared" si="9"/>
        <v/>
      </c>
    </row>
    <row r="345" spans="3:3" x14ac:dyDescent="0.4">
      <c r="C345" t="str">
        <f t="shared" si="9"/>
        <v/>
      </c>
    </row>
    <row r="346" spans="3:3" x14ac:dyDescent="0.4">
      <c r="C346" t="str">
        <f t="shared" si="9"/>
        <v/>
      </c>
    </row>
    <row r="347" spans="3:3" x14ac:dyDescent="0.4">
      <c r="C347" t="str">
        <f t="shared" si="9"/>
        <v/>
      </c>
    </row>
    <row r="348" spans="3:3" x14ac:dyDescent="0.4">
      <c r="C348" t="str">
        <f t="shared" si="9"/>
        <v/>
      </c>
    </row>
    <row r="349" spans="3:3" x14ac:dyDescent="0.4">
      <c r="C349" t="str">
        <f t="shared" si="9"/>
        <v/>
      </c>
    </row>
    <row r="350" spans="3:3" x14ac:dyDescent="0.4">
      <c r="C350" t="str">
        <f t="shared" si="9"/>
        <v/>
      </c>
    </row>
    <row r="351" spans="3:3" x14ac:dyDescent="0.4">
      <c r="C351" t="str">
        <f t="shared" si="9"/>
        <v/>
      </c>
    </row>
    <row r="352" spans="3:3" x14ac:dyDescent="0.4">
      <c r="C352" t="str">
        <f t="shared" si="9"/>
        <v/>
      </c>
    </row>
  </sheetData>
  <autoFilter ref="A1:A223" xr:uid="{00000000-0009-0000-0000-000003000000}"/>
  <phoneticPr fontId="2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3B942-9E54-4FAC-8279-168542BB73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WiseReport ReportSummary</vt:lpstr>
      <vt:lpstr>정리</vt:lpstr>
      <vt:lpstr>raw</vt:lpstr>
      <vt:lpstr>코드 중복 체크</vt:lpstr>
      <vt:lpstr>raw!ReportSummary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리포트서머리</dc:title>
  <cp:lastModifiedBy>병조 김</cp:lastModifiedBy>
  <dcterms:created xsi:type="dcterms:W3CDTF">2023-07-04T04:51:33Z</dcterms:created>
  <dcterms:modified xsi:type="dcterms:W3CDTF">2026-06-07T23:02:58Z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20241017081601</vt:lpwstr>
  </property>
</Properties>
</file>